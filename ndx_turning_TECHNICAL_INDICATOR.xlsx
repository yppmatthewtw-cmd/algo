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說明" sheetId="1" state="visible" r:id="rId3"/>
    <sheet name="01_A0技術指標" sheetId="2" state="visible" r:id="rId4"/>
    <sheet name="02_轉折點45" sheetId="3" state="visible" r:id="rId5"/>
    <sheet name="05_訊號明細" sheetId="4" state="visible" r:id="rId6"/>
    <sheet name="03_領先指標排行" sheetId="5" state="visible" r:id="rId7"/>
    <sheet name="04_逐轉折lead矩陣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<sst xmlns="http://schemas.openxmlformats.org/spreadsheetml/2006/main" count="11986" uniqueCount="3039">
  <si>
    <r>
      <rPr>
        <b val="true"/>
        <sz val="12"/>
        <rFont val="Arial"/>
        <family val="0"/>
        <charset val="1"/>
      </rPr>
      <t xml:space="preserve">ndx_turning_(TECHNICAL_INDICATOR) — A-Chart </t>
    </r>
    <r>
      <rPr>
        <b val="true"/>
        <sz val="12"/>
        <rFont val="WenQuanYi Zen Hei"/>
        <family val="2"/>
      </rPr>
      <t xml:space="preserve">格式 </t>
    </r>
    <r>
      <rPr>
        <b val="true"/>
        <sz val="12"/>
        <rFont val="Arial"/>
        <family val="0"/>
        <charset val="1"/>
      </rPr>
      <t xml:space="preserve">Excel </t>
    </r>
    <r>
      <rPr>
        <b val="true"/>
        <sz val="12"/>
        <rFont val="WenQuanYi Zen Hei"/>
        <family val="2"/>
      </rPr>
      <t xml:space="preserve">版 </t>
    </r>
    <r>
      <rPr>
        <b val="true"/>
        <sz val="12"/>
        <rFont val="Arial"/>
        <family val="0"/>
        <charset val="1"/>
      </rPr>
      <t xml:space="preserve">(2026-07-28)</t>
    </r>
  </si>
  <si>
    <t xml:space="preserve">對應</t>
  </si>
  <si>
    <r>
      <rPr>
        <sz val="9"/>
        <rFont val="Arial"/>
        <family val="0"/>
        <charset val="1"/>
      </rPr>
      <t xml:space="preserve">HTML</t>
    </r>
    <r>
      <rPr>
        <sz val="9"/>
        <rFont val="WenQuanYi Zen Hei"/>
        <family val="2"/>
      </rPr>
      <t xml:space="preserve">版</t>
    </r>
    <r>
      <rPr>
        <sz val="9"/>
        <rFont val="Arial"/>
        <family val="0"/>
        <charset val="1"/>
      </rPr>
      <t xml:space="preserve">=Macro_dashboard R15.12 A-Chart </t>
    </r>
    <r>
      <rPr>
        <sz val="9"/>
        <rFont val="WenQuanYi Zen Hei"/>
        <family val="2"/>
      </rPr>
      <t xml:space="preserve">頁完整保留</t>
    </r>
    <r>
      <rPr>
        <sz val="9"/>
        <rFont val="Arial"/>
        <family val="0"/>
        <charset val="1"/>
      </rPr>
      <t xml:space="preserve">(B/C/D</t>
    </r>
    <r>
      <rPr>
        <sz val="9"/>
        <rFont val="WenQuanYi Zen Hei"/>
        <family val="2"/>
      </rPr>
      <t xml:space="preserve">已移除</t>
    </r>
    <r>
      <rPr>
        <sz val="9"/>
        <rFont val="Arial"/>
        <family val="0"/>
        <charset val="1"/>
      </rPr>
      <t xml:space="preserve">)+A3.1</t>
    </r>
    <r>
      <rPr>
        <sz val="9"/>
        <rFont val="WenQuanYi Zen Hei"/>
        <family val="2"/>
      </rPr>
      <t xml:space="preserve">訊號</t>
    </r>
    <r>
      <rPr>
        <sz val="9"/>
        <rFont val="Arial"/>
        <family val="0"/>
        <charset val="1"/>
      </rPr>
      <t xml:space="preserve">raster+A3.2</t>
    </r>
    <r>
      <rPr>
        <sz val="9"/>
        <rFont val="WenQuanYi Zen Hei"/>
        <family val="2"/>
      </rPr>
      <t xml:space="preserve">排行榜</t>
    </r>
    <r>
      <rPr>
        <sz val="9"/>
        <rFont val="Arial"/>
        <family val="0"/>
        <charset val="1"/>
      </rPr>
      <t xml:space="preserve">+TURNS</t>
    </r>
    <r>
      <rPr>
        <sz val="9"/>
        <rFont val="WenQuanYi Zen Hei"/>
        <family val="2"/>
      </rPr>
      <t xml:space="preserve">領先排名實裝。本</t>
    </r>
    <r>
      <rPr>
        <sz val="9"/>
        <rFont val="Arial"/>
        <family val="0"/>
        <charset val="1"/>
      </rPr>
      <t xml:space="preserve">Excel=</t>
    </r>
    <r>
      <rPr>
        <sz val="9"/>
        <rFont val="WenQuanYi Zen Hei"/>
        <family val="2"/>
      </rPr>
      <t xml:space="preserve">同一數據的表格版。</t>
    </r>
  </si>
  <si>
    <r>
      <rPr>
        <b val="true"/>
        <sz val="9"/>
        <rFont val="Arial"/>
        <family val="0"/>
        <charset val="1"/>
      </rPr>
      <t xml:space="preserve">01</t>
    </r>
    <r>
      <rPr>
        <b val="true"/>
        <sz val="9"/>
        <rFont val="WenQuanYi Zen Hei"/>
        <family val="2"/>
      </rPr>
      <t xml:space="preserve">表</t>
    </r>
  </si>
  <si>
    <r>
      <rPr>
        <sz val="9"/>
        <rFont val="Arial"/>
        <family val="0"/>
        <charset val="1"/>
      </rPr>
      <t xml:space="preserve">A0</t>
    </r>
    <r>
      <rPr>
        <sz val="9"/>
        <rFont val="WenQuanYi Zen Hei"/>
        <family val="2"/>
      </rPr>
      <t xml:space="preserve">面板同組技術指標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活公式</t>
    </r>
    <r>
      <rPr>
        <sz val="9"/>
        <rFont val="Arial"/>
        <family val="0"/>
        <charset val="1"/>
      </rPr>
      <t xml:space="preserve">): dashboard</t>
    </r>
    <r>
      <rPr>
        <sz val="9"/>
        <rFont val="WenQuanYi Zen Hei"/>
        <family val="2"/>
      </rPr>
      <t xml:space="preserve">內嵌真實</t>
    </r>
    <r>
      <rPr>
        <sz val="9"/>
        <rFont val="Arial"/>
        <family val="0"/>
        <charset val="1"/>
      </rPr>
      <t xml:space="preserve">NDX OHLC/</t>
    </r>
    <r>
      <rPr>
        <sz val="9"/>
        <rFont val="WenQuanYi Zen Hei"/>
        <family val="2"/>
      </rPr>
      <t xml:space="preserve">成交量</t>
    </r>
    <r>
      <rPr>
        <sz val="9"/>
        <rFont val="Arial"/>
        <family val="0"/>
        <charset val="1"/>
      </rPr>
      <t xml:space="preserve">(2020-01-02..2026-07-27, 1649</t>
    </r>
    <r>
      <rPr>
        <sz val="9"/>
        <rFont val="WenQuanYi Zen Hei"/>
        <family val="2"/>
      </rPr>
      <t xml:space="preserve">交易日</t>
    </r>
    <r>
      <rPr>
        <sz val="9"/>
        <rFont val="Arial"/>
        <family val="0"/>
        <charset val="1"/>
      </rPr>
      <t xml:space="preserve">) + MA5/10/20/50/100/200 + BOLL(20,2σ) + RSI14(Wilder) + MACD(12,26,9) + </t>
    </r>
    <r>
      <rPr>
        <sz val="9"/>
        <rFont val="WenQuanYi Zen Hei"/>
        <family val="2"/>
      </rPr>
      <t xml:space="preserve">三區制度</t>
    </r>
    <r>
      <rPr>
        <sz val="9"/>
        <rFont val="Arial"/>
        <family val="0"/>
        <charset val="1"/>
      </rPr>
      <t xml:space="preserve">zone(A1.8A Fable) + ZigZag</t>
    </r>
    <r>
      <rPr>
        <sz val="9"/>
        <rFont val="WenQuanYi Zen Hei"/>
        <family val="2"/>
      </rPr>
      <t xml:space="preserve">轉折標記 </t>
    </r>
    <r>
      <rPr>
        <sz val="9"/>
        <rFont val="Arial"/>
        <family val="0"/>
        <charset val="1"/>
      </rPr>
      <t xml:space="preserve">+ </t>
    </r>
    <r>
      <rPr>
        <sz val="9"/>
        <rFont val="WenQuanYi Zen Hei"/>
        <family val="2"/>
      </rPr>
      <t xml:space="preserve">當日領先訊號數</t>
    </r>
    <r>
      <rPr>
        <sz val="9"/>
        <rFont val="Arial"/>
        <family val="0"/>
        <charset val="1"/>
      </rPr>
      <t xml:space="preserve">(COUNTIF</t>
    </r>
    <r>
      <rPr>
        <sz val="9"/>
        <rFont val="WenQuanYi Zen Hei"/>
        <family val="2"/>
      </rPr>
      <t xml:space="preserve">活算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。修改</t>
    </r>
    <r>
      <rPr>
        <sz val="9"/>
        <rFont val="Arial"/>
        <family val="0"/>
        <charset val="1"/>
      </rPr>
      <t xml:space="preserve">F</t>
    </r>
    <r>
      <rPr>
        <sz val="9"/>
        <rFont val="WenQuanYi Zen Hei"/>
        <family val="2"/>
      </rPr>
      <t xml:space="preserve">欄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收盤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即全表重算。</t>
    </r>
  </si>
  <si>
    <r>
      <rPr>
        <b val="true"/>
        <sz val="9"/>
        <rFont val="Arial"/>
        <family val="0"/>
        <charset val="1"/>
      </rPr>
      <t xml:space="preserve">02-05</t>
    </r>
    <r>
      <rPr>
        <b val="true"/>
        <sz val="9"/>
        <rFont val="WenQuanYi Zen Hei"/>
        <family val="2"/>
      </rPr>
      <t xml:space="preserve">表</t>
    </r>
  </si>
  <si>
    <r>
      <rPr>
        <sz val="9"/>
        <rFont val="Arial"/>
        <family val="0"/>
        <charset val="1"/>
      </rPr>
      <t xml:space="preserve">02=45</t>
    </r>
    <r>
      <rPr>
        <sz val="9"/>
        <rFont val="WenQuanYi Zen Hei"/>
        <family val="2"/>
      </rPr>
      <t xml:space="preserve">個主要轉折</t>
    </r>
    <r>
      <rPr>
        <sz val="9"/>
        <rFont val="Arial"/>
        <family val="0"/>
        <charset val="1"/>
      </rPr>
      <t xml:space="preserve">(1999-2026, ±15%) | 03=34</t>
    </r>
    <r>
      <rPr>
        <sz val="9"/>
        <rFont val="WenQuanYi Zen Hei"/>
        <family val="2"/>
      </rPr>
      <t xml:space="preserve">指標領先性排行</t>
    </r>
    <r>
      <rPr>
        <sz val="9"/>
        <rFont val="Arial"/>
        <family val="0"/>
        <charset val="1"/>
      </rPr>
      <t xml:space="preserve">(45</t>
    </r>
    <r>
      <rPr>
        <sz val="9"/>
        <rFont val="WenQuanYi Zen Hei"/>
        <family val="2"/>
      </rPr>
      <t xml:space="preserve">轉折驗證</t>
    </r>
    <r>
      <rPr>
        <sz val="9"/>
        <rFont val="Arial"/>
        <family val="0"/>
        <charset val="1"/>
      </rPr>
      <t xml:space="preserve">) | 04=</t>
    </r>
    <r>
      <rPr>
        <sz val="9"/>
        <rFont val="WenQuanYi Zen Hei"/>
        <family val="2"/>
      </rPr>
      <t xml:space="preserve">逐轉折</t>
    </r>
    <r>
      <rPr>
        <sz val="9"/>
        <rFont val="Arial"/>
        <family val="0"/>
        <charset val="1"/>
      </rPr>
      <t xml:space="preserve">×</t>
    </r>
    <r>
      <rPr>
        <sz val="9"/>
        <rFont val="WenQuanYi Zen Hei"/>
        <family val="2"/>
      </rPr>
      <t xml:space="preserve">逐指標</t>
    </r>
    <r>
      <rPr>
        <sz val="9"/>
        <rFont val="Arial"/>
        <family val="0"/>
        <charset val="1"/>
      </rPr>
      <t xml:space="preserve">lead</t>
    </r>
    <r>
      <rPr>
        <sz val="9"/>
        <rFont val="WenQuanYi Zen Hei"/>
        <family val="2"/>
      </rPr>
      <t xml:space="preserve">矩陣 </t>
    </r>
    <r>
      <rPr>
        <sz val="9"/>
        <rFont val="Arial"/>
        <family val="0"/>
        <charset val="1"/>
      </rPr>
      <t xml:space="preserve">| 05=</t>
    </r>
    <r>
      <rPr>
        <sz val="9"/>
        <rFont val="WenQuanYi Zen Hei"/>
        <family val="2"/>
      </rPr>
      <t xml:space="preserve">全部</t>
    </r>
    <r>
      <rPr>
        <sz val="9"/>
        <rFont val="Arial"/>
        <family val="0"/>
        <charset val="1"/>
      </rPr>
      <t xml:space="preserve">2037</t>
    </r>
    <r>
      <rPr>
        <sz val="9"/>
        <rFont val="WenQuanYi Zen Hei"/>
        <family val="2"/>
      </rPr>
      <t xml:space="preserve">個訊號日。</t>
    </r>
  </si>
  <si>
    <t xml:space="preserve">驗證</t>
  </si>
  <si>
    <r>
      <rPr>
        <sz val="9"/>
        <rFont val="Arial"/>
        <family val="0"/>
        <charset val="1"/>
      </rPr>
      <t xml:space="preserve">01</t>
    </r>
    <r>
      <rPr>
        <sz val="9"/>
        <rFont val="WenQuanYi Zen Hei"/>
        <family val="2"/>
      </rPr>
      <t xml:space="preserve">表公式與</t>
    </r>
    <r>
      <rPr>
        <sz val="9"/>
        <rFont val="Arial"/>
        <family val="0"/>
        <charset val="1"/>
      </rPr>
      <t xml:space="preserve">dashboard</t>
    </r>
    <r>
      <rPr>
        <sz val="9"/>
        <rFont val="WenQuanYi Zen Hei"/>
        <family val="2"/>
      </rPr>
      <t xml:space="preserve">預計算陣列交叉核對</t>
    </r>
    <r>
      <rPr>
        <sz val="9"/>
        <rFont val="Arial"/>
        <family val="0"/>
        <charset val="1"/>
      </rPr>
      <t xml:space="preserve">(sma200/rsi/macd</t>
    </r>
    <r>
      <rPr>
        <sz val="9"/>
        <rFont val="WenQuanYi Zen Hei"/>
        <family val="2"/>
      </rPr>
      <t xml:space="preserve">末值一致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見</t>
    </r>
    <r>
      <rPr>
        <sz val="9"/>
        <rFont val="Arial"/>
        <family val="0"/>
        <charset val="1"/>
      </rPr>
      <t xml:space="preserve">01</t>
    </r>
    <r>
      <rPr>
        <sz val="9"/>
        <rFont val="WenQuanYi Zen Hei"/>
        <family val="2"/>
      </rPr>
      <t xml:space="preserve">表底部核對區</t>
    </r>
    <r>
      <rPr>
        <sz val="9"/>
        <rFont val="Arial"/>
        <family val="0"/>
        <charset val="1"/>
      </rPr>
      <t xml:space="preserve">); 34</t>
    </r>
    <r>
      <rPr>
        <sz val="9"/>
        <rFont val="WenQuanYi Zen Hei"/>
        <family val="2"/>
      </rPr>
      <t xml:space="preserve">指標領先性經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個對抗性驗證</t>
    </r>
    <r>
      <rPr>
        <sz val="9"/>
        <rFont val="Arial"/>
        <family val="0"/>
        <charset val="1"/>
      </rPr>
      <t xml:space="preserve">agent</t>
    </r>
    <r>
      <rPr>
        <sz val="9"/>
        <rFont val="WenQuanYi Zen Hei"/>
        <family val="2"/>
      </rPr>
      <t xml:space="preserve">重算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見前次交付</t>
    </r>
    <r>
      <rPr>
        <sz val="9"/>
        <rFont val="Arial"/>
        <family val="0"/>
        <charset val="1"/>
      </rPr>
      <t xml:space="preserve">03</t>
    </r>
    <r>
      <rPr>
        <sz val="9"/>
        <rFont val="WenQuanYi Zen Hei"/>
        <family val="2"/>
      </rPr>
      <t xml:space="preserve">表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</si>
  <si>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t xml:space="preserve">限制</t>
  </si>
  <si>
    <r>
      <rPr>
        <sz val="9"/>
        <rFont val="Arial"/>
        <family val="0"/>
        <charset val="1"/>
      </rPr>
      <t xml:space="preserve">01</t>
    </r>
    <r>
      <rPr>
        <sz val="9"/>
        <rFont val="WenQuanYi Zen Hei"/>
        <family val="2"/>
      </rPr>
      <t xml:space="preserve">表軸</t>
    </r>
    <r>
      <rPr>
        <sz val="9"/>
        <rFont val="Arial"/>
        <family val="0"/>
        <charset val="1"/>
      </rPr>
      <t xml:space="preserve">=dashboard</t>
    </r>
    <r>
      <rPr>
        <sz val="9"/>
        <rFont val="WenQuanYi Zen Hei"/>
        <family val="2"/>
      </rPr>
      <t xml:space="preserve">價格軸</t>
    </r>
    <r>
      <rPr>
        <sz val="9"/>
        <rFont val="Arial"/>
        <family val="0"/>
        <charset val="1"/>
      </rPr>
      <t xml:space="preserve">(2020</t>
    </r>
    <r>
      <rPr>
        <sz val="9"/>
        <rFont val="WenQuanYi Zen Hei"/>
        <family val="2"/>
      </rPr>
      <t xml:space="preserve">起</t>
    </r>
    <r>
      <rPr>
        <sz val="9"/>
        <rFont val="Arial"/>
        <family val="0"/>
        <charset val="1"/>
      </rPr>
      <t xml:space="preserve">); 1999-2019</t>
    </r>
    <r>
      <rPr>
        <sz val="9"/>
        <rFont val="WenQuanYi Zen Hei"/>
        <family val="2"/>
      </rPr>
      <t xml:space="preserve">轉折見</t>
    </r>
    <r>
      <rPr>
        <sz val="9"/>
        <rFont val="Arial"/>
        <family val="0"/>
        <charset val="1"/>
      </rPr>
      <t xml:space="preserve">02</t>
    </r>
    <r>
      <rPr>
        <sz val="9"/>
        <rFont val="WenQuanYi Zen Hei"/>
        <family val="2"/>
      </rPr>
      <t xml:space="preserve">表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完整日線見</t>
    </r>
    <r>
      <rPr>
        <sz val="9"/>
        <rFont val="Arial"/>
        <family val="0"/>
        <charset val="1"/>
      </rPr>
      <t xml:space="preserve">repo data/ndx_daily_spliced.csv</t>
    </r>
    <r>
      <rPr>
        <sz val="9"/>
        <rFont val="WenQuanYi Zen Hei"/>
        <family val="2"/>
      </rPr>
      <t xml:space="preserve">。</t>
    </r>
    <r>
      <rPr>
        <sz val="9"/>
        <rFont val="Arial"/>
        <family val="0"/>
        <charset val="1"/>
      </rPr>
      <t xml:space="preserve">RSI/MACD</t>
    </r>
    <r>
      <rPr>
        <sz val="9"/>
        <rFont val="WenQuanYi Zen Hei"/>
        <family val="2"/>
      </rPr>
      <t xml:space="preserve">前若干行為暖機期。</t>
    </r>
  </si>
  <si>
    <r>
      <rPr>
        <b val="true"/>
        <sz val="12"/>
        <rFont val="Arial"/>
        <family val="0"/>
        <charset val="1"/>
      </rPr>
      <t xml:space="preserve">A0-Nasdaq 100 · dashboard</t>
    </r>
    <r>
      <rPr>
        <b val="true"/>
        <sz val="12"/>
        <rFont val="WenQuanYi Zen Hei"/>
        <family val="2"/>
      </rPr>
      <t xml:space="preserve">真實</t>
    </r>
    <r>
      <rPr>
        <b val="true"/>
        <sz val="12"/>
        <rFont val="Arial"/>
        <family val="0"/>
        <charset val="1"/>
      </rPr>
      <t xml:space="preserve">OHLC(2020-01-02..2026-07-27) + A-Chart</t>
    </r>
    <r>
      <rPr>
        <b val="true"/>
        <sz val="12"/>
        <rFont val="WenQuanYi Zen Hei"/>
        <family val="2"/>
      </rPr>
      <t xml:space="preserve">同組技術指標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活公式</t>
    </r>
    <r>
      <rPr>
        <b val="true"/>
        <sz val="12"/>
        <rFont val="Arial"/>
        <family val="0"/>
        <charset val="1"/>
      </rPr>
      <t xml:space="preserve">) | B-F=OHLC</t>
    </r>
    <r>
      <rPr>
        <b val="true"/>
        <sz val="12"/>
        <rFont val="WenQuanYi Zen Hei"/>
        <family val="2"/>
      </rPr>
      <t xml:space="preserve">值 </t>
    </r>
    <r>
      <rPr>
        <b val="true"/>
        <sz val="12"/>
        <rFont val="Arial"/>
        <family val="0"/>
        <charset val="1"/>
      </rPr>
      <t xml:space="preserve">G=</t>
    </r>
    <r>
      <rPr>
        <b val="true"/>
        <sz val="12"/>
        <rFont val="WenQuanYi Zen Hei"/>
        <family val="2"/>
      </rPr>
      <t xml:space="preserve">量 </t>
    </r>
    <r>
      <rPr>
        <b val="true"/>
        <sz val="12"/>
        <rFont val="Arial"/>
        <family val="0"/>
        <charset val="1"/>
      </rPr>
      <t xml:space="preserve">H-M=MA5/10/20/50/100/200 N-P=BOLL Q-T=RSI14(Wilder) U-X=MACD(12,26,9) Y=</t>
    </r>
    <r>
      <rPr>
        <b val="true"/>
        <sz val="12"/>
        <rFont val="WenQuanYi Zen Hei"/>
        <family val="2"/>
      </rPr>
      <t xml:space="preserve">三區</t>
    </r>
    <r>
      <rPr>
        <b val="true"/>
        <sz val="12"/>
        <rFont val="Arial"/>
        <family val="0"/>
        <charset val="1"/>
      </rPr>
      <t xml:space="preserve">zone Z=</t>
    </r>
    <r>
      <rPr>
        <b val="true"/>
        <sz val="12"/>
        <rFont val="WenQuanYi Zen Hei"/>
        <family val="2"/>
      </rPr>
      <t xml:space="preserve">轉折 </t>
    </r>
    <r>
      <rPr>
        <b val="true"/>
        <sz val="12"/>
        <rFont val="Arial"/>
        <family val="0"/>
        <charset val="1"/>
      </rPr>
      <t xml:space="preserve">AA/AB=</t>
    </r>
    <r>
      <rPr>
        <b val="true"/>
        <sz val="12"/>
        <rFont val="WenQuanYi Zen Hei"/>
        <family val="2"/>
      </rPr>
      <t xml:space="preserve">當日頂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WenQuanYi Zen Hei"/>
        <family val="2"/>
      </rPr>
      <t xml:space="preserve">底訊號數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WenQuanYi Zen Hei"/>
        <family val="2"/>
      </rPr>
      <t xml:space="preserve">式</t>
    </r>
    <r>
      <rPr>
        <b val="true"/>
        <sz val="12"/>
        <rFont val="Arial"/>
        <family val="0"/>
        <charset val="1"/>
      </rPr>
      <t xml:space="preserve">)</t>
    </r>
  </si>
  <si>
    <t xml:space="preserve">日期</t>
  </si>
  <si>
    <t xml:space="preserve">開</t>
  </si>
  <si>
    <t xml:space="preserve">高</t>
  </si>
  <si>
    <t xml:space="preserve">低</t>
  </si>
  <si>
    <t xml:space="preserve">收</t>
  </si>
  <si>
    <t xml:space="preserve">量</t>
  </si>
  <si>
    <r>
      <rPr>
        <b val="true"/>
        <sz val="9"/>
        <rFont val="Arial"/>
        <family val="0"/>
        <charset val="1"/>
      </rPr>
      <t xml:space="preserve">MA5(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</si>
  <si>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MA10(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</si>
  <si>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MA20(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</si>
  <si>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MA50(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</si>
  <si>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MA100(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</si>
  <si>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MA200(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</si>
  <si>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BOLL</t>
    </r>
    <r>
      <rPr>
        <b val="true"/>
        <sz val="9"/>
        <rFont val="WenQuanYi Zen Hei"/>
        <family val="2"/>
      </rPr>
      <t xml:space="preserve">中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</si>
  <si>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BOLL</t>
    </r>
    <r>
      <rPr>
        <b val="true"/>
        <sz val="9"/>
        <rFont val="WenQuanYi Zen Hei"/>
        <family val="2"/>
      </rPr>
      <t xml:space="preserve">上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</si>
  <si>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BOLL</t>
    </r>
    <r>
      <rPr>
        <b val="true"/>
        <sz val="9"/>
        <rFont val="WenQuanYi Zen Hei"/>
        <family val="2"/>
      </rPr>
      <t xml:space="preserve">下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</si>
  <si>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漲</t>
    </r>
    <r>
      <rPr>
        <b val="true"/>
        <sz val="9"/>
        <rFont val="Arial"/>
        <family val="0"/>
        <charset val="1"/>
      </rPr>
      <t xml:space="preserve">U(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</si>
  <si>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跌</t>
    </r>
    <r>
      <rPr>
        <b val="true"/>
        <sz val="9"/>
        <rFont val="Arial"/>
        <family val="0"/>
        <charset val="1"/>
      </rPr>
      <t xml:space="preserve">D(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</si>
  <si>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AvgU14(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</si>
  <si>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AvgD14(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</si>
  <si>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RSI14(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</si>
  <si>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EMA12(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</si>
  <si>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EMA26(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</si>
  <si>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MACD(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</si>
  <si>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Signal9(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</si>
  <si>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Hist(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</si>
  <si>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三區</t>
    </r>
    <r>
      <rPr>
        <b val="true"/>
        <sz val="9"/>
        <rFont val="Arial"/>
        <family val="0"/>
        <charset val="1"/>
      </rPr>
      <t xml:space="preserve">zone</t>
    </r>
  </si>
  <si>
    <r>
      <rPr>
        <b val="true"/>
        <sz val="9"/>
        <rFont val="WenQuanYi Zen Hei"/>
        <family val="2"/>
      </rPr>
      <t xml:space="preserve">轉折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</si>
  <si>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頂訊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</si>
  <si>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底訊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式</t>
    </r>
    <r>
      <rPr>
        <b val="true"/>
        <sz val="9"/>
        <rFont val="Arial"/>
        <family val="0"/>
        <charset val="1"/>
      </rPr>
      <t xml:space="preserve">)</t>
    </r>
  </si>
  <si>
    <t xml:space="preserve">2020-01-02</t>
  </si>
  <si>
    <t xml:space="preserve">EASY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</si>
  <si>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</si>
  <si>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</si>
  <si>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</si>
  <si>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</si>
  <si>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</si>
  <si>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</si>
  <si>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</si>
  <si>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</si>
  <si>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</si>
  <si>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</si>
  <si>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</si>
  <si>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</si>
  <si>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</si>
  <si>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</si>
  <si>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</si>
  <si>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</si>
  <si>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</si>
  <si>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</si>
  <si>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</si>
  <si>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</si>
  <si>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</si>
  <si>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</si>
  <si>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</si>
  <si>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</si>
  <si>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</si>
  <si>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</si>
  <si>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</si>
  <si>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</si>
  <si>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</si>
  <si>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</si>
  <si>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</si>
  <si>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</si>
  <si>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</si>
  <si>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</si>
  <si>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</si>
  <si>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UNCERTAIN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</si>
  <si>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</si>
  <si>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</si>
  <si>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</si>
  <si>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</si>
  <si>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</si>
  <si>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</si>
  <si>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</si>
  <si>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</si>
  <si>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</si>
  <si>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</si>
  <si>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HARD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</si>
  <si>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</si>
  <si>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</si>
  <si>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</si>
  <si>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</si>
  <si>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</si>
  <si>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</si>
  <si>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</si>
  <si>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</si>
  <si>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</si>
  <si>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</si>
  <si>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</si>
  <si>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</si>
  <si>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</si>
  <si>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</si>
  <si>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</si>
  <si>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</si>
  <si>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</si>
  <si>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</si>
  <si>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</si>
  <si>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</si>
  <si>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</si>
  <si>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</si>
  <si>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</si>
  <si>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</si>
  <si>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</si>
  <si>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</si>
  <si>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</si>
  <si>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</si>
  <si>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</si>
  <si>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</si>
  <si>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</si>
  <si>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</si>
  <si>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</si>
  <si>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</si>
  <si>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</si>
  <si>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</si>
  <si>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</si>
  <si>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</si>
  <si>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</si>
  <si>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</si>
  <si>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</si>
  <si>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</si>
  <si>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</si>
  <si>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</si>
  <si>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</si>
  <si>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</si>
  <si>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</si>
  <si>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</si>
  <si>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</si>
  <si>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</si>
  <si>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</si>
  <si>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</si>
  <si>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</si>
  <si>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</si>
  <si>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</si>
  <si>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</si>
  <si>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</si>
  <si>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</si>
  <si>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</si>
  <si>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</si>
  <si>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</si>
  <si>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</si>
  <si>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</si>
  <si>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</si>
  <si>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</si>
  <si>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</si>
  <si>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</si>
  <si>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</si>
  <si>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</si>
  <si>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</si>
  <si>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</si>
  <si>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</si>
  <si>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</si>
  <si>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</si>
  <si>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</si>
  <si>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</si>
  <si>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</si>
  <si>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</si>
  <si>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</si>
  <si>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</si>
  <si>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</si>
  <si>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</si>
  <si>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</si>
  <si>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</si>
  <si>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</si>
  <si>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</si>
  <si>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</si>
  <si>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</si>
  <si>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</si>
  <si>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</si>
  <si>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</si>
  <si>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</si>
  <si>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</si>
  <si>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</si>
  <si>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</si>
  <si>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</si>
  <si>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</si>
  <si>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</si>
  <si>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</si>
  <si>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</si>
  <si>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</si>
  <si>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</si>
  <si>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</si>
  <si>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</si>
  <si>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</si>
  <si>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</si>
  <si>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</si>
  <si>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</si>
  <si>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</si>
  <si>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</si>
  <si>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</si>
  <si>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</si>
  <si>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</si>
  <si>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</si>
  <si>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</si>
  <si>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</si>
  <si>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</si>
  <si>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</si>
  <si>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</si>
  <si>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</si>
  <si>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</si>
  <si>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</si>
  <si>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</si>
  <si>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</si>
  <si>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</si>
  <si>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</si>
  <si>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</si>
  <si>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</si>
  <si>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</si>
  <si>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</si>
  <si>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</si>
  <si>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</si>
  <si>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</si>
  <si>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</si>
  <si>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</si>
  <si>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</si>
  <si>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</si>
  <si>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</si>
  <si>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</si>
  <si>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</si>
  <si>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</si>
  <si>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</si>
  <si>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</si>
  <si>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</si>
  <si>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</si>
  <si>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</si>
  <si>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</si>
  <si>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</si>
  <si>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</si>
  <si>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</si>
  <si>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</si>
  <si>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</si>
  <si>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</si>
  <si>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</si>
  <si>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</si>
  <si>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</si>
  <si>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</si>
  <si>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</si>
  <si>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</si>
  <si>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</si>
  <si>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</si>
  <si>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</si>
  <si>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</si>
  <si>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</si>
  <si>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</si>
  <si>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</si>
  <si>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</si>
  <si>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</si>
  <si>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</si>
  <si>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</si>
  <si>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</si>
  <si>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</si>
  <si>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</si>
  <si>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</si>
  <si>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</si>
  <si>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</si>
  <si>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</si>
  <si>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</si>
  <si>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</si>
  <si>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</si>
  <si>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</si>
  <si>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</si>
  <si>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</si>
  <si>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</si>
  <si>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</si>
  <si>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</si>
  <si>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</si>
  <si>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</si>
  <si>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</si>
  <si>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</si>
  <si>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</si>
  <si>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</si>
  <si>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</si>
  <si>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</si>
  <si>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</si>
  <si>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</si>
  <si>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</si>
  <si>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</si>
  <si>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</si>
  <si>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</si>
  <si>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</si>
  <si>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</si>
  <si>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</si>
  <si>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</si>
  <si>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</si>
  <si>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</si>
  <si>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</si>
  <si>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</si>
  <si>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</si>
  <si>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</si>
  <si>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</si>
  <si>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</si>
  <si>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</si>
  <si>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</si>
  <si>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</si>
  <si>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</si>
  <si>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</si>
  <si>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</si>
  <si>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</si>
  <si>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</si>
  <si>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</si>
  <si>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</si>
  <si>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</si>
  <si>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</si>
  <si>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</si>
  <si>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</si>
  <si>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</si>
  <si>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</si>
  <si>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</si>
  <si>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</si>
  <si>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</si>
  <si>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</si>
  <si>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</si>
  <si>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</si>
  <si>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</si>
  <si>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</si>
  <si>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</si>
  <si>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</si>
  <si>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</si>
  <si>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</si>
  <si>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</si>
  <si>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</si>
  <si>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</si>
  <si>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</si>
  <si>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</si>
  <si>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</si>
  <si>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</si>
  <si>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</si>
  <si>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</si>
  <si>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</si>
  <si>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</si>
  <si>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</si>
  <si>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</si>
  <si>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</si>
  <si>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</si>
  <si>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</si>
  <si>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</si>
  <si>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</si>
  <si>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</si>
  <si>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</si>
  <si>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</si>
  <si>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</si>
  <si>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</si>
  <si>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</si>
  <si>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</si>
  <si>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</si>
  <si>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</si>
  <si>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</si>
  <si>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</si>
  <si>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</si>
  <si>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</si>
  <si>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</si>
  <si>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</si>
  <si>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</si>
  <si>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</si>
  <si>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</si>
  <si>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</si>
  <si>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</si>
  <si>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</si>
  <si>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</si>
  <si>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</si>
  <si>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</si>
  <si>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</si>
  <si>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</si>
  <si>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</si>
  <si>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</si>
  <si>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</si>
  <si>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</si>
  <si>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</si>
  <si>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</si>
  <si>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</si>
  <si>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</si>
  <si>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</si>
  <si>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</si>
  <si>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</si>
  <si>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</si>
  <si>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</si>
  <si>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</si>
  <si>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</si>
  <si>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</si>
  <si>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</si>
  <si>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</si>
  <si>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</si>
  <si>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</si>
  <si>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</si>
  <si>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</si>
  <si>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</si>
  <si>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</si>
  <si>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</si>
  <si>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</si>
  <si>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</si>
  <si>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</si>
  <si>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</si>
  <si>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</si>
  <si>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</si>
  <si>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</si>
  <si>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</si>
  <si>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</si>
  <si>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</si>
  <si>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</si>
  <si>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</si>
  <si>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</si>
  <si>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</si>
  <si>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</si>
  <si>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</si>
  <si>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</si>
  <si>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</si>
  <si>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</si>
  <si>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</si>
  <si>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</si>
  <si>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</si>
  <si>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</si>
  <si>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</si>
  <si>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</si>
  <si>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</si>
  <si>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</si>
  <si>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</si>
  <si>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</si>
  <si>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</si>
  <si>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</si>
  <si>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</si>
  <si>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</si>
  <si>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</si>
  <si>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</si>
  <si>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</si>
  <si>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</si>
  <si>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</si>
  <si>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</si>
  <si>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</si>
  <si>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</si>
  <si>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</si>
  <si>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</si>
  <si>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</si>
  <si>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</si>
  <si>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</si>
  <si>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</si>
  <si>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</si>
  <si>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</si>
  <si>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</si>
  <si>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</si>
  <si>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</si>
  <si>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</si>
  <si>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</si>
  <si>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</si>
  <si>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</si>
  <si>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</si>
  <si>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</si>
  <si>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</si>
  <si>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</si>
  <si>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</si>
  <si>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</si>
  <si>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</si>
  <si>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</si>
  <si>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</si>
  <si>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</si>
  <si>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</si>
  <si>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</si>
  <si>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</si>
  <si>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</si>
  <si>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</si>
  <si>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</si>
  <si>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</si>
  <si>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</si>
  <si>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</si>
  <si>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</si>
  <si>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</si>
  <si>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</si>
  <si>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</si>
  <si>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</si>
  <si>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</si>
  <si>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</si>
  <si>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</si>
  <si>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</si>
  <si>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</si>
  <si>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</si>
  <si>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</si>
  <si>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</si>
  <si>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</si>
  <si>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</si>
  <si>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</si>
  <si>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</si>
  <si>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</si>
  <si>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</si>
  <si>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</si>
  <si>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</si>
  <si>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</si>
  <si>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</si>
  <si>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</si>
  <si>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</si>
  <si>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</si>
  <si>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</si>
  <si>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</si>
  <si>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</si>
  <si>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</si>
  <si>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</si>
  <si>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</si>
  <si>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</si>
  <si>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</si>
  <si>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</si>
  <si>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</si>
  <si>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</si>
  <si>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</si>
  <si>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</si>
  <si>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</si>
  <si>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</si>
  <si>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</si>
  <si>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</si>
  <si>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</si>
  <si>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</si>
  <si>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</si>
  <si>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</si>
  <si>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</si>
  <si>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</si>
  <si>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</si>
  <si>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</si>
  <si>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</si>
  <si>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</si>
  <si>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</si>
  <si>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</si>
  <si>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</si>
  <si>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</si>
  <si>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</si>
  <si>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</si>
  <si>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</si>
  <si>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</si>
  <si>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</si>
  <si>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</si>
  <si>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</si>
  <si>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</si>
  <si>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</si>
  <si>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</si>
  <si>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</si>
  <si>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</si>
  <si>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</si>
  <si>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</si>
  <si>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</si>
  <si>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</si>
  <si>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</si>
  <si>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</si>
  <si>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</si>
  <si>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</si>
  <si>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</si>
  <si>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</si>
  <si>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</si>
  <si>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</si>
  <si>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</si>
  <si>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</si>
  <si>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</si>
  <si>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</si>
  <si>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</si>
  <si>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</si>
  <si>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</si>
  <si>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</si>
  <si>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</si>
  <si>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</si>
  <si>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</si>
  <si>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</si>
  <si>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</si>
  <si>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</si>
  <si>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</si>
  <si>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</si>
  <si>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</si>
  <si>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</si>
  <si>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</si>
  <si>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</si>
  <si>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</si>
  <si>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</si>
  <si>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</si>
  <si>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</si>
  <si>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</si>
  <si>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</si>
  <si>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</si>
  <si>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</si>
  <si>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</si>
  <si>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</si>
  <si>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</si>
  <si>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</si>
  <si>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</si>
  <si>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</si>
  <si>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</si>
  <si>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</si>
  <si>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</si>
  <si>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</si>
  <si>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</si>
  <si>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</si>
  <si>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</si>
  <si>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</si>
  <si>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</si>
  <si>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</si>
  <si>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</si>
  <si>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</si>
  <si>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</si>
  <si>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</si>
  <si>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</si>
  <si>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</si>
  <si>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</si>
  <si>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</si>
  <si>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</si>
  <si>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</si>
  <si>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</si>
  <si>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</si>
  <si>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</si>
  <si>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</si>
  <si>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</si>
  <si>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</si>
  <si>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</si>
  <si>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</si>
  <si>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</si>
  <si>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</si>
  <si>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</si>
  <si>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</si>
  <si>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</si>
  <si>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</si>
  <si>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</si>
  <si>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</si>
  <si>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</si>
  <si>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</si>
  <si>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</si>
  <si>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</si>
  <si>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</si>
  <si>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</si>
  <si>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</si>
  <si>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</si>
  <si>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</si>
  <si>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</si>
  <si>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</si>
  <si>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</si>
  <si>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</si>
  <si>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</si>
  <si>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</si>
  <si>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</si>
  <si>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</si>
  <si>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</si>
  <si>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</si>
  <si>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</si>
  <si>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</si>
  <si>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</si>
  <si>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</si>
  <si>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</si>
  <si>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</si>
  <si>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</si>
  <si>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</si>
  <si>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</si>
  <si>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</si>
  <si>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</si>
  <si>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</si>
  <si>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</si>
  <si>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</si>
  <si>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</si>
  <si>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</si>
  <si>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</si>
  <si>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</si>
  <si>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</si>
  <si>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</si>
  <si>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</si>
  <si>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</si>
  <si>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</si>
  <si>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</si>
  <si>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</si>
  <si>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</si>
  <si>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</si>
  <si>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</si>
  <si>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</si>
  <si>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</si>
  <si>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</si>
  <si>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</si>
  <si>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</si>
  <si>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</si>
  <si>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</si>
  <si>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</si>
  <si>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</si>
  <si>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</si>
  <si>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</si>
  <si>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</si>
  <si>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</si>
  <si>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</si>
  <si>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</si>
  <si>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</si>
  <si>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</si>
  <si>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</si>
  <si>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</si>
  <si>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</si>
  <si>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</si>
  <si>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</si>
  <si>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</si>
  <si>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</si>
  <si>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</si>
  <si>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</si>
  <si>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</si>
  <si>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</si>
  <si>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</si>
  <si>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</si>
  <si>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</si>
  <si>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</si>
  <si>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</si>
  <si>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</si>
  <si>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</si>
  <si>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</si>
  <si>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</si>
  <si>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</si>
  <si>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</si>
  <si>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</si>
  <si>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</si>
  <si>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</si>
  <si>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</si>
  <si>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</si>
  <si>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</si>
  <si>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</si>
  <si>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</si>
  <si>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</si>
  <si>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</si>
  <si>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</si>
  <si>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</si>
  <si>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</si>
  <si>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</si>
  <si>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</si>
  <si>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</si>
  <si>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</si>
  <si>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</si>
  <si>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</si>
  <si>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</si>
  <si>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</si>
  <si>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</si>
  <si>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</si>
  <si>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</si>
  <si>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</si>
  <si>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</si>
  <si>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</si>
  <si>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</si>
  <si>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</si>
  <si>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</si>
  <si>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</si>
  <si>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</si>
  <si>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</si>
  <si>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</si>
  <si>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</si>
  <si>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</si>
  <si>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</si>
  <si>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</si>
  <si>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</si>
  <si>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</si>
  <si>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</si>
  <si>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</si>
  <si>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</si>
  <si>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</si>
  <si>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</si>
  <si>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</si>
  <si>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</si>
  <si>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</si>
  <si>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</si>
  <si>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</si>
  <si>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</si>
  <si>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</si>
  <si>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</si>
  <si>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</si>
  <si>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</si>
  <si>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</si>
  <si>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</si>
  <si>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</si>
  <si>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</si>
  <si>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</si>
  <si>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</si>
  <si>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</si>
  <si>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</si>
  <si>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</si>
  <si>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</si>
  <si>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</si>
  <si>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</si>
  <si>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</si>
  <si>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</si>
  <si>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</si>
  <si>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</si>
  <si>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</si>
  <si>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</si>
  <si>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</si>
  <si>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</si>
  <si>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</si>
  <si>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</si>
  <si>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</si>
  <si>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</si>
  <si>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</si>
  <si>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</si>
  <si>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</si>
  <si>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</si>
  <si>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</si>
  <si>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</si>
  <si>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</si>
  <si>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</si>
  <si>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</si>
  <si>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</si>
  <si>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</si>
  <si>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</si>
  <si>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</si>
  <si>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</si>
  <si>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</si>
  <si>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</si>
  <si>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</si>
  <si>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</si>
  <si>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</si>
  <si>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</si>
  <si>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</si>
  <si>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</si>
  <si>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</si>
  <si>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</si>
  <si>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</si>
  <si>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</si>
  <si>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</si>
  <si>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</si>
  <si>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</si>
  <si>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</si>
  <si>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</si>
  <si>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</si>
  <si>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</si>
  <si>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</si>
  <si>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</si>
  <si>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</si>
  <si>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</si>
  <si>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</si>
  <si>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</si>
  <si>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</si>
  <si>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</si>
  <si>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</si>
  <si>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</si>
  <si>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</si>
  <si>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</si>
  <si>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</si>
  <si>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</si>
  <si>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</si>
  <si>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</si>
  <si>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</si>
  <si>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</si>
  <si>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</si>
  <si>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</si>
  <si>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</si>
  <si>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</si>
  <si>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</si>
  <si>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</si>
  <si>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</si>
  <si>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</si>
  <si>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</si>
  <si>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</si>
  <si>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</si>
  <si>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</si>
  <si>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</si>
  <si>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</si>
  <si>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</si>
  <si>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</si>
  <si>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</si>
  <si>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</si>
  <si>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</si>
  <si>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</si>
  <si>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</si>
  <si>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</si>
  <si>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</si>
  <si>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</si>
  <si>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</si>
  <si>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</si>
  <si>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</si>
  <si>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</si>
  <si>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</si>
  <si>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</si>
  <si>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</si>
  <si>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</si>
  <si>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</si>
  <si>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</si>
  <si>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</si>
  <si>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</si>
  <si>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</si>
  <si>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</si>
  <si>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</si>
  <si>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</si>
  <si>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</si>
  <si>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</si>
  <si>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</si>
  <si>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</si>
  <si>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</si>
  <si>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</si>
  <si>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</si>
  <si>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</si>
  <si>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</si>
  <si>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</si>
  <si>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</si>
  <si>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</si>
  <si>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</si>
  <si>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</si>
  <si>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</si>
  <si>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</si>
  <si>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</si>
  <si>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</si>
  <si>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</si>
  <si>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</si>
  <si>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</si>
  <si>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</si>
  <si>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</si>
  <si>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</si>
  <si>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</si>
  <si>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</si>
  <si>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</si>
  <si>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</si>
  <si>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</si>
  <si>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</si>
  <si>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</si>
  <si>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</si>
  <si>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</si>
  <si>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</si>
  <si>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</si>
  <si>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</si>
  <si>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</si>
  <si>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</si>
  <si>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</si>
  <si>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</si>
  <si>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</si>
  <si>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</si>
  <si>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</si>
  <si>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</si>
  <si>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</si>
  <si>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</si>
  <si>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</si>
  <si>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</si>
  <si>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</si>
  <si>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</si>
  <si>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</si>
  <si>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</si>
  <si>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</si>
  <si>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</si>
  <si>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</si>
  <si>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</si>
  <si>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</si>
  <si>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</si>
  <si>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</si>
  <si>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</si>
  <si>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</si>
  <si>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</si>
  <si>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</si>
  <si>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</si>
  <si>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</si>
  <si>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</si>
  <si>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</si>
  <si>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</si>
  <si>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</si>
  <si>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</si>
  <si>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</si>
  <si>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</si>
  <si>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</si>
  <si>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</si>
  <si>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</si>
  <si>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</si>
  <si>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</si>
  <si>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</si>
  <si>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</si>
  <si>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</si>
  <si>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</si>
  <si>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</si>
  <si>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</si>
  <si>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</si>
  <si>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</si>
  <si>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</si>
  <si>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</si>
  <si>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</si>
  <si>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</si>
  <si>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</si>
  <si>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</si>
  <si>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</si>
  <si>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</si>
  <si>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</si>
  <si>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</si>
  <si>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</si>
  <si>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</si>
  <si>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</si>
  <si>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</si>
  <si>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</si>
  <si>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</si>
  <si>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</si>
  <si>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</si>
  <si>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</si>
  <si>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</si>
  <si>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</si>
  <si>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</si>
  <si>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</si>
  <si>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</si>
  <si>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</si>
  <si>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</si>
  <si>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</si>
  <si>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</si>
  <si>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</si>
  <si>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</si>
  <si>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</si>
  <si>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</si>
  <si>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</si>
  <si>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</si>
  <si>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</si>
  <si>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</si>
  <si>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</si>
  <si>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</si>
  <si>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</si>
  <si>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</si>
  <si>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</si>
  <si>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</si>
  <si>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</si>
  <si>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</si>
  <si>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</si>
  <si>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</si>
  <si>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</si>
  <si>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</si>
  <si>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</si>
  <si>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</si>
  <si>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</si>
  <si>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</si>
  <si>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</si>
  <si>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</si>
  <si>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</si>
  <si>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</si>
  <si>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</si>
  <si>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</si>
  <si>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</si>
  <si>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</si>
  <si>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</si>
  <si>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</si>
  <si>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</si>
  <si>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</si>
  <si>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</si>
  <si>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</si>
  <si>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</si>
  <si>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</si>
  <si>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</si>
  <si>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</si>
  <si>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</si>
  <si>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</si>
  <si>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</si>
  <si>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</si>
  <si>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</si>
  <si>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</si>
  <si>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</si>
  <si>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</si>
  <si>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</si>
  <si>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</si>
  <si>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</si>
  <si>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</si>
  <si>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</si>
  <si>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</si>
  <si>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</si>
  <si>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</si>
  <si>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</si>
  <si>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</si>
  <si>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</si>
  <si>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</si>
  <si>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</si>
  <si>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</si>
  <si>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</si>
  <si>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</si>
  <si>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</si>
  <si>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</si>
  <si>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</si>
  <si>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</si>
  <si>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</si>
  <si>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</si>
  <si>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</si>
  <si>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</si>
  <si>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</si>
  <si>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</si>
  <si>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</si>
  <si>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</si>
  <si>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</si>
  <si>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</si>
  <si>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</si>
  <si>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</si>
  <si>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</si>
  <si>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</si>
  <si>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</si>
  <si>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</si>
  <si>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</si>
  <si>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</si>
  <si>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</si>
  <si>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</si>
  <si>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</si>
  <si>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</si>
  <si>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</si>
  <si>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</si>
  <si>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</si>
  <si>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</si>
  <si>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</si>
  <si>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</si>
  <si>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</si>
  <si>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</si>
  <si>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</si>
  <si>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</si>
  <si>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</si>
  <si>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</si>
  <si>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</si>
  <si>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</si>
  <si>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</si>
  <si>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</si>
  <si>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</si>
  <si>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</si>
  <si>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</si>
  <si>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</si>
  <si>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</si>
  <si>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</si>
  <si>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</si>
  <si>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</si>
  <si>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</si>
  <si>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</si>
  <si>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</si>
  <si>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</si>
  <si>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</si>
  <si>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</si>
  <si>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</si>
  <si>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</si>
  <si>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</si>
  <si>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</si>
  <si>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</si>
  <si>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</si>
  <si>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</si>
  <si>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</si>
  <si>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</si>
  <si>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</si>
  <si>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</si>
  <si>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</si>
  <si>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</si>
  <si>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</si>
  <si>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</si>
  <si>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</si>
  <si>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</si>
  <si>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</si>
  <si>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</si>
  <si>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</si>
  <si>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</si>
  <si>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</si>
  <si>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</si>
  <si>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</si>
  <si>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</si>
  <si>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</si>
  <si>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</si>
  <si>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</si>
  <si>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</si>
  <si>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</si>
  <si>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</si>
  <si>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</si>
  <si>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</si>
  <si>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</si>
  <si>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</si>
  <si>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</si>
  <si>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</si>
  <si>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</si>
  <si>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</si>
  <si>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</si>
  <si>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</si>
  <si>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</si>
  <si>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</si>
  <si>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</si>
  <si>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</si>
  <si>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</si>
  <si>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</si>
  <si>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</si>
  <si>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</si>
  <si>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</si>
  <si>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</si>
  <si>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</si>
  <si>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</si>
  <si>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</si>
  <si>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</si>
  <si>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</si>
  <si>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</si>
  <si>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</si>
  <si>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</si>
  <si>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</si>
  <si>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</si>
  <si>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</si>
  <si>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</si>
  <si>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</si>
  <si>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</si>
  <si>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</si>
  <si>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</si>
  <si>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</si>
  <si>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</si>
  <si>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</si>
  <si>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</si>
  <si>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</si>
  <si>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</si>
  <si>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</si>
  <si>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</si>
  <si>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</si>
  <si>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</si>
  <si>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</si>
  <si>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</si>
  <si>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</si>
  <si>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</si>
  <si>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</si>
  <si>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</si>
  <si>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</si>
  <si>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</si>
  <si>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</si>
  <si>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</si>
  <si>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</si>
  <si>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</si>
  <si>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</si>
  <si>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</si>
  <si>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</si>
  <si>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</si>
  <si>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</si>
  <si>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</si>
  <si>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</si>
  <si>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</si>
  <si>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</si>
  <si>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</si>
  <si>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</si>
  <si>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</si>
  <si>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</si>
  <si>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</si>
  <si>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</si>
  <si>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</si>
  <si>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</si>
  <si>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</si>
  <si>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</si>
  <si>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</si>
  <si>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</si>
  <si>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</si>
  <si>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</si>
  <si>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</si>
  <si>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</si>
  <si>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</si>
  <si>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</si>
  <si>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</si>
  <si>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</si>
  <si>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</si>
  <si>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</si>
  <si>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</si>
  <si>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</si>
  <si>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</si>
  <si>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</si>
  <si>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</si>
  <si>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</si>
  <si>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</si>
  <si>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</si>
  <si>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</si>
  <si>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</si>
  <si>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</si>
  <si>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</si>
  <si>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</si>
  <si>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</si>
  <si>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</si>
  <si>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</si>
  <si>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</si>
  <si>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</si>
  <si>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</si>
  <si>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</si>
  <si>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</si>
  <si>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</si>
  <si>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</si>
  <si>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</si>
  <si>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</si>
  <si>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</si>
  <si>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</si>
  <si>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</si>
  <si>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</si>
  <si>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</si>
  <si>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</si>
  <si>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</si>
  <si>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</si>
  <si>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</si>
  <si>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</si>
  <si>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</si>
  <si>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</si>
  <si>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</si>
  <si>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</si>
  <si>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</si>
  <si>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</si>
  <si>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</si>
  <si>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</si>
  <si>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</si>
  <si>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</si>
  <si>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</si>
  <si>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</si>
  <si>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</si>
  <si>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</si>
  <si>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</si>
  <si>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</si>
  <si>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</si>
  <si>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</si>
  <si>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</si>
  <si>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</si>
  <si>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</si>
  <si>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</si>
  <si>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</si>
  <si>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</si>
  <si>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</si>
  <si>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</si>
  <si>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</si>
  <si>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</si>
  <si>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</si>
  <si>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</si>
  <si>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</si>
  <si>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</si>
  <si>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</si>
  <si>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</si>
  <si>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</si>
  <si>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</si>
  <si>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</si>
  <si>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</si>
  <si>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</si>
  <si>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</si>
  <si>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</si>
  <si>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</si>
  <si>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</si>
  <si>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</si>
  <si>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</si>
  <si>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</si>
  <si>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</si>
  <si>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</si>
  <si>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</si>
  <si>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</si>
  <si>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</si>
  <si>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</si>
  <si>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</si>
  <si>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</si>
  <si>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</si>
  <si>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</si>
  <si>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</si>
  <si>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</si>
  <si>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</si>
  <si>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</si>
  <si>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</si>
  <si>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</si>
  <si>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</si>
  <si>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</si>
  <si>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</si>
  <si>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</si>
  <si>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</si>
  <si>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</si>
  <si>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</si>
  <si>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</si>
  <si>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</si>
  <si>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</si>
  <si>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</si>
  <si>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</si>
  <si>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</si>
  <si>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</si>
  <si>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</si>
  <si>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</si>
  <si>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</si>
  <si>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</si>
  <si>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</si>
  <si>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</si>
  <si>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</si>
  <si>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</si>
  <si>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</si>
  <si>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</si>
  <si>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</si>
  <si>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</si>
  <si>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</si>
  <si>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</si>
  <si>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</si>
  <si>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</si>
  <si>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</si>
  <si>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</si>
  <si>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</si>
  <si>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</si>
  <si>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</si>
  <si>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</si>
  <si>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</si>
  <si>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</si>
  <si>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</si>
  <si>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</si>
  <si>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</si>
  <si>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</si>
  <si>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</si>
  <si>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</si>
  <si>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</si>
  <si>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</si>
  <si>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</si>
  <si>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</si>
  <si>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</si>
  <si>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</si>
  <si>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</si>
  <si>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</si>
  <si>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</si>
  <si>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</si>
  <si>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</si>
  <si>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</si>
  <si>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</si>
  <si>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</si>
  <si>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</si>
  <si>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</si>
  <si>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</si>
  <si>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</si>
  <si>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</si>
  <si>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</si>
  <si>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</si>
  <si>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</si>
  <si>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</si>
  <si>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</si>
  <si>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</si>
  <si>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</si>
  <si>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</si>
  <si>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</si>
  <si>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</si>
  <si>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</si>
  <si>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</si>
  <si>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</si>
  <si>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</si>
  <si>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</si>
  <si>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</si>
  <si>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</si>
  <si>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</si>
  <si>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</si>
  <si>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</si>
  <si>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</si>
  <si>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</si>
  <si>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</si>
  <si>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</si>
  <si>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</si>
  <si>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</si>
  <si>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</si>
  <si>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</si>
  <si>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</si>
  <si>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</si>
  <si>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</si>
  <si>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</si>
  <si>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</si>
  <si>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</si>
  <si>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</si>
  <si>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</si>
  <si>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</si>
  <si>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</si>
  <si>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</si>
  <si>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</si>
  <si>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</si>
  <si>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</si>
  <si>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</si>
  <si>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</si>
  <si>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</si>
  <si>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</si>
  <si>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</si>
  <si>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</si>
  <si>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</si>
  <si>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</si>
  <si>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</si>
  <si>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</si>
  <si>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</si>
  <si>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</si>
  <si>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</si>
  <si>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</si>
  <si>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</si>
  <si>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</si>
  <si>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</si>
  <si>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</si>
  <si>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</si>
  <si>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</si>
  <si>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</si>
  <si>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</si>
  <si>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</si>
  <si>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</si>
  <si>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</si>
  <si>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</si>
  <si>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</si>
  <si>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</si>
  <si>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</si>
  <si>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</si>
  <si>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</si>
  <si>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</si>
  <si>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</si>
  <si>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</si>
  <si>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</si>
  <si>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</si>
  <si>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</si>
  <si>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</si>
  <si>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</si>
  <si>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</si>
  <si>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</si>
  <si>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</si>
  <si>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</si>
  <si>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</si>
  <si>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</si>
  <si>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</si>
  <si>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</si>
  <si>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</si>
  <si>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</si>
  <si>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</si>
  <si>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</si>
  <si>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</si>
  <si>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</si>
  <si>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</si>
  <si>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</si>
  <si>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</si>
  <si>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</si>
  <si>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</si>
  <si>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</si>
  <si>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</si>
  <si>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</si>
  <si>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</si>
  <si>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</si>
  <si>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</si>
  <si>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</si>
  <si>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</si>
  <si>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</si>
  <si>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</si>
  <si>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</si>
  <si>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</si>
  <si>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</si>
  <si>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</si>
  <si>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</si>
  <si>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</si>
  <si>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</si>
  <si>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</si>
  <si>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</si>
  <si>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</si>
  <si>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</si>
  <si>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</si>
  <si>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</si>
  <si>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</si>
  <si>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</si>
  <si>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</si>
  <si>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</si>
  <si>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</si>
  <si>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</si>
  <si>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</si>
  <si>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</si>
  <si>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</si>
  <si>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</si>
  <si>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</si>
  <si>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</si>
  <si>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</si>
  <si>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</si>
  <si>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</si>
  <si>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</si>
  <si>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</si>
  <si>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</si>
  <si>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</si>
  <si>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</si>
  <si>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</si>
  <si>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</si>
  <si>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</si>
  <si>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</si>
  <si>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</si>
  <si>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</si>
  <si>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</si>
  <si>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</si>
  <si>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</si>
  <si>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</si>
  <si>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</si>
  <si>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</si>
  <si>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</si>
  <si>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</si>
  <si>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</si>
  <si>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</si>
  <si>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</si>
  <si>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</si>
  <si>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</si>
  <si>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</si>
  <si>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</si>
  <si>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</si>
  <si>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</si>
  <si>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</si>
  <si>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</si>
  <si>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</si>
  <si>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</si>
  <si>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</si>
  <si>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</si>
  <si>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</si>
  <si>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</si>
  <si>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</si>
  <si>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</si>
  <si>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</si>
  <si>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</si>
  <si>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</si>
  <si>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</si>
  <si>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</si>
  <si>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</si>
  <si>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</si>
  <si>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</si>
  <si>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</si>
  <si>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</si>
  <si>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2026-02-17</t>
  </si>
  <si>
    <t xml:space="preserve">2026-02-18</t>
  </si>
  <si>
    <t xml:space="preserve">2026-02-19</t>
  </si>
  <si>
    <t xml:space="preserve">2026-02-20</t>
  </si>
  <si>
    <t xml:space="preserve">2026-02-23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</si>
  <si>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</si>
  <si>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</si>
  <si>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</si>
  <si>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</si>
  <si>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</si>
  <si>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</si>
  <si>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</si>
  <si>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</si>
  <si>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</si>
  <si>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2026-03-09</t>
  </si>
  <si>
    <t xml:space="preserve">2026-03-10</t>
  </si>
  <si>
    <t xml:space="preserve">2026-03-11</t>
  </si>
  <si>
    <t xml:space="preserve">2026-03-12</t>
  </si>
  <si>
    <t xml:space="preserve">2026-03-13</t>
  </si>
  <si>
    <t xml:space="preserve">2026-03-16</t>
  </si>
  <si>
    <t xml:space="preserve">2026-03-17</t>
  </si>
  <si>
    <t xml:space="preserve">2026-03-18</t>
  </si>
  <si>
    <t xml:space="preserve">2026-03-19</t>
  </si>
  <si>
    <t xml:space="preserve">2026-03-20</t>
  </si>
  <si>
    <t xml:space="preserve">2026-03-23</t>
  </si>
  <si>
    <t xml:space="preserve">2026-03-24</t>
  </si>
  <si>
    <t xml:space="preserve">2026-03-25</t>
  </si>
  <si>
    <t xml:space="preserve">2026-03-26</t>
  </si>
  <si>
    <t xml:space="preserve">2026-03-27</t>
  </si>
  <si>
    <t xml:space="preserve">2026-03-30</t>
  </si>
  <si>
    <t xml:space="preserve">2026-03-31</t>
  </si>
  <si>
    <t xml:space="preserve">2026-04-01</t>
  </si>
  <si>
    <t xml:space="preserve">2026-04-02</t>
  </si>
  <si>
    <t xml:space="preserve">2026-04-06</t>
  </si>
  <si>
    <t xml:space="preserve">2026-04-07</t>
  </si>
  <si>
    <t xml:space="preserve">2026-04-08</t>
  </si>
  <si>
    <t xml:space="preserve">2026-04-09</t>
  </si>
  <si>
    <t xml:space="preserve">2026-04-10</t>
  </si>
  <si>
    <t xml:space="preserve">2026-04-13</t>
  </si>
  <si>
    <t xml:space="preserve">2026-04-14</t>
  </si>
  <si>
    <t xml:space="preserve">2026-04-15</t>
  </si>
  <si>
    <t xml:space="preserve">2026-04-16</t>
  </si>
  <si>
    <t xml:space="preserve">2026-04-17</t>
  </si>
  <si>
    <t xml:space="preserve">2026-04-20</t>
  </si>
  <si>
    <t xml:space="preserve">2026-04-21</t>
  </si>
  <si>
    <t xml:space="preserve">2026-04-22</t>
  </si>
  <si>
    <t xml:space="preserve">2026-04-23</t>
  </si>
  <si>
    <t xml:space="preserve">2026-04-24</t>
  </si>
  <si>
    <t xml:space="preserve">2026-04-27</t>
  </si>
  <si>
    <t xml:space="preserve">2026-04-28</t>
  </si>
  <si>
    <t xml:space="preserve">2026-04-29</t>
  </si>
  <si>
    <t xml:space="preserve">2026-04-30</t>
  </si>
  <si>
    <t xml:space="preserve">2026-05-01</t>
  </si>
  <si>
    <t xml:space="preserve">2026-05-04</t>
  </si>
  <si>
    <t xml:space="preserve">2026-05-05</t>
  </si>
  <si>
    <t xml:space="preserve">2026-05-06</t>
  </si>
  <si>
    <t xml:space="preserve">2026-05-07</t>
  </si>
  <si>
    <t xml:space="preserve">2026-05-08</t>
  </si>
  <si>
    <t xml:space="preserve">2026-05-11</t>
  </si>
  <si>
    <t xml:space="preserve">2026-05-12</t>
  </si>
  <si>
    <t xml:space="preserve">2026-05-13</t>
  </si>
  <si>
    <t xml:space="preserve">2026-05-14</t>
  </si>
  <si>
    <t xml:space="preserve">2026-05-15</t>
  </si>
  <si>
    <t xml:space="preserve">2026-05-18</t>
  </si>
  <si>
    <t xml:space="preserve">2026-05-19</t>
  </si>
  <si>
    <t xml:space="preserve">2026-05-20</t>
  </si>
  <si>
    <t xml:space="preserve">2026-05-21</t>
  </si>
  <si>
    <t xml:space="preserve">2026-05-22</t>
  </si>
  <si>
    <t xml:space="preserve">2026-05-26</t>
  </si>
  <si>
    <t xml:space="preserve">2026-05-27</t>
  </si>
  <si>
    <t xml:space="preserve">2026-05-28</t>
  </si>
  <si>
    <t xml:space="preserve">2026-05-29</t>
  </si>
  <si>
    <t xml:space="preserve">2026-06-01</t>
  </si>
  <si>
    <t xml:space="preserve">2026-06-02</t>
  </si>
  <si>
    <t xml:space="preserve">2026-06-03</t>
  </si>
  <si>
    <t xml:space="preserve">2026-06-04</t>
  </si>
  <si>
    <t xml:space="preserve">2026-06-05</t>
  </si>
  <si>
    <t xml:space="preserve">2026-06-08</t>
  </si>
  <si>
    <t xml:space="preserve">2026-06-09</t>
  </si>
  <si>
    <t xml:space="preserve">2026-06-10</t>
  </si>
  <si>
    <t xml:space="preserve">2026-06-11</t>
  </si>
  <si>
    <t xml:space="preserve">2026-06-12</t>
  </si>
  <si>
    <t xml:space="preserve">2026-06-15</t>
  </si>
  <si>
    <t xml:space="preserve">2026-06-16</t>
  </si>
  <si>
    <t xml:space="preserve">2026-06-17</t>
  </si>
  <si>
    <t xml:space="preserve">2026-06-18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</si>
  <si>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</si>
  <si>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</si>
  <si>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</si>
  <si>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</si>
  <si>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</si>
  <si>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</si>
  <si>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</si>
  <si>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</si>
  <si>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</si>
  <si>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</si>
  <si>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</si>
  <si>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</si>
  <si>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</si>
  <si>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</si>
  <si>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</si>
  <si>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</si>
  <si>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</si>
  <si>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</si>
  <si>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</si>
  <si>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</si>
  <si>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</si>
  <si>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</si>
  <si>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</si>
  <si>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</si>
  <si>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2026-07-27</t>
  </si>
  <si>
    <r>
      <rPr>
        <b val="true"/>
        <sz val="9"/>
        <rFont val="WenQuanYi Zen Hei"/>
        <family val="2"/>
      </rPr>
      <t xml:space="preserve">核對區</t>
    </r>
    <r>
      <rPr>
        <b val="true"/>
        <sz val="9"/>
        <rFont val="Arial"/>
        <family val="0"/>
        <charset val="1"/>
      </rPr>
      <t xml:space="preserve">(dashboard</t>
    </r>
    <r>
      <rPr>
        <b val="true"/>
        <sz val="9"/>
        <rFont val="WenQuanYi Zen Hei"/>
        <family val="2"/>
      </rPr>
      <t xml:space="preserve">預計算值 </t>
    </r>
    <r>
      <rPr>
        <b val="true"/>
        <sz val="9"/>
        <rFont val="Arial"/>
        <family val="0"/>
        <charset val="1"/>
      </rPr>
      <t xml:space="preserve">vs </t>
    </r>
    <r>
      <rPr>
        <b val="true"/>
        <sz val="9"/>
        <rFont val="WenQuanYi Zen Hei"/>
        <family val="2"/>
      </rPr>
      <t xml:space="preserve">本表公式</t>
    </r>
    <r>
      <rPr>
        <b val="true"/>
        <sz val="9"/>
        <rFont val="Arial"/>
        <family val="0"/>
        <charset val="1"/>
      </rPr>
      <t xml:space="preserve">, </t>
    </r>
    <r>
      <rPr>
        <b val="true"/>
        <sz val="9"/>
        <rFont val="WenQuanYi Zen Hei"/>
        <family val="2"/>
      </rPr>
      <t xml:space="preserve">末交易日</t>
    </r>
    <r>
      <rPr>
        <b val="true"/>
        <sz val="9"/>
        <rFont val="Arial"/>
        <family val="0"/>
        <charset val="1"/>
      </rPr>
      <t xml:space="preserve">)</t>
    </r>
  </si>
  <si>
    <t xml:space="preserve">MA200</t>
  </si>
  <si>
    <t xml:space="preserve">RSI14</t>
  </si>
  <si>
    <t xml:space="preserve">MACD</t>
  </si>
  <si>
    <t xml:space="preserve">Signal</t>
  </si>
  <si>
    <r>
      <rPr>
        <b val="true"/>
        <sz val="12"/>
        <rFont val="WenQuanYi Zen Hei"/>
        <family val="2"/>
      </rPr>
      <t xml:space="preserve">主要轉折點 </t>
    </r>
    <r>
      <rPr>
        <b val="true"/>
        <sz val="12"/>
        <rFont val="Arial"/>
        <family val="0"/>
        <charset val="1"/>
      </rPr>
      <t xml:space="preserve">(ZigZag ±15%, 1999-2026) | 2020</t>
    </r>
    <r>
      <rPr>
        <b val="true"/>
        <sz val="12"/>
        <rFont val="WenQuanYi Zen Hei"/>
        <family val="2"/>
      </rPr>
      <t xml:space="preserve">後</t>
    </r>
    <r>
      <rPr>
        <b val="true"/>
        <sz val="12"/>
        <rFont val="Arial"/>
        <family val="0"/>
        <charset val="1"/>
      </rPr>
      <t xml:space="preserve">14</t>
    </r>
    <r>
      <rPr>
        <b val="true"/>
        <sz val="12"/>
        <rFont val="WenQuanYi Zen Hei"/>
        <family val="2"/>
      </rPr>
      <t xml:space="preserve">個落在</t>
    </r>
    <r>
      <rPr>
        <b val="true"/>
        <sz val="12"/>
        <rFont val="Arial"/>
        <family val="0"/>
        <charset val="1"/>
      </rPr>
      <t xml:space="preserve">01</t>
    </r>
    <r>
      <rPr>
        <b val="true"/>
        <sz val="12"/>
        <rFont val="WenQuanYi Zen Hei"/>
        <family val="2"/>
      </rPr>
      <t xml:space="preserve">表軸內</t>
    </r>
  </si>
  <si>
    <t xml:space="preserve">類型</t>
  </si>
  <si>
    <t xml:space="preserve">價位</t>
  </si>
  <si>
    <r>
      <rPr>
        <b val="true"/>
        <sz val="9"/>
        <rFont val="WenQuanYi Zen Hei"/>
        <family val="2"/>
      </rPr>
      <t xml:space="preserve">其後走勢</t>
    </r>
    <r>
      <rPr>
        <b val="true"/>
        <sz val="9"/>
        <rFont val="Arial"/>
        <family val="0"/>
        <charset val="1"/>
      </rPr>
      <t xml:space="preserve">%</t>
    </r>
  </si>
  <si>
    <t xml:space="preserve">走勢迄</t>
  </si>
  <si>
    <t xml:space="preserve">2000-03-10</t>
  </si>
  <si>
    <t xml:space="preserve">TOP</t>
  </si>
  <si>
    <t xml:space="preserve">2000-04-14</t>
  </si>
  <si>
    <t xml:space="preserve">BOTTOM</t>
  </si>
  <si>
    <t xml:space="preserve">2000-05-01</t>
  </si>
  <si>
    <t xml:space="preserve">2000-05-23</t>
  </si>
  <si>
    <t xml:space="preserve">2000-07-17</t>
  </si>
  <si>
    <t xml:space="preserve">2000-11-30</t>
  </si>
  <si>
    <t xml:space="preserve">2000-12-11</t>
  </si>
  <si>
    <t xml:space="preserve">2001-01-02</t>
  </si>
  <si>
    <t xml:space="preserve">2001-01-24</t>
  </si>
  <si>
    <t xml:space="preserve">2001-04-04</t>
  </si>
  <si>
    <t xml:space="preserve">2001-05-22</t>
  </si>
  <si>
    <t xml:space="preserve">2001-09-21</t>
  </si>
  <si>
    <t xml:space="preserve">2002-01-04</t>
  </si>
  <si>
    <t xml:space="preserve">2002-08-05</t>
  </si>
  <si>
    <t xml:space="preserve">2002-08-22</t>
  </si>
  <si>
    <t xml:space="preserve">2002-10-09</t>
  </si>
  <si>
    <t xml:space="preserve">2004-01-26</t>
  </si>
  <si>
    <t xml:space="preserve">2004-08-12</t>
  </si>
  <si>
    <t xml:space="preserve">2007-10-31</t>
  </si>
  <si>
    <t xml:space="preserve">2008-03-10</t>
  </si>
  <si>
    <t xml:space="preserve">2008-06-05</t>
  </si>
  <si>
    <t xml:space="preserve">2008-10-27</t>
  </si>
  <si>
    <t xml:space="preserve">2008-11-04</t>
  </si>
  <si>
    <t xml:space="preserve">2008-11-20</t>
  </si>
  <si>
    <t xml:space="preserve">2009-01-06</t>
  </si>
  <si>
    <t xml:space="preserve">2009-03-09</t>
  </si>
  <si>
    <t xml:space="preserve">2010-04-23</t>
  </si>
  <si>
    <t xml:space="preserve">2010-07-02</t>
  </si>
  <si>
    <t xml:space="preserve">2011-04-29</t>
  </si>
  <si>
    <t xml:space="preserve">2011-10-03</t>
  </si>
  <si>
    <t xml:space="preserve">2015-07-20</t>
  </si>
  <si>
    <t xml:space="preserve">2016-02-11</t>
  </si>
  <si>
    <t xml:space="preserve">2018-08-29</t>
  </si>
  <si>
    <t xml:space="preserve">2018-12-24</t>
  </si>
  <si>
    <r>
      <rPr>
        <b val="true"/>
        <sz val="12"/>
        <rFont val="WenQuanYi Zen Hei"/>
        <family val="2"/>
      </rPr>
      <t xml:space="preserve">全部訊號日 </t>
    </r>
    <r>
      <rPr>
        <b val="true"/>
        <sz val="12"/>
        <rFont val="Arial"/>
        <family val="0"/>
        <charset val="1"/>
      </rPr>
      <t xml:space="preserve">(2037</t>
    </r>
    <r>
      <rPr>
        <b val="true"/>
        <sz val="12"/>
        <rFont val="WenQuanYi Zen Hei"/>
        <family val="2"/>
      </rPr>
      <t xml:space="preserve">筆</t>
    </r>
    <r>
      <rPr>
        <b val="true"/>
        <sz val="12"/>
        <rFont val="Arial"/>
        <family val="0"/>
        <charset val="1"/>
      </rPr>
      <t xml:space="preserve">) | 01</t>
    </r>
    <r>
      <rPr>
        <b val="true"/>
        <sz val="12"/>
        <rFont val="WenQuanYi Zen Hei"/>
        <family val="2"/>
      </rPr>
      <t xml:space="preserve">表當日訊號數以</t>
    </r>
    <r>
      <rPr>
        <b val="true"/>
        <sz val="12"/>
        <rFont val="Arial"/>
        <family val="0"/>
        <charset val="1"/>
      </rPr>
      <t xml:space="preserve">COUNTIFS</t>
    </r>
    <r>
      <rPr>
        <b val="true"/>
        <sz val="12"/>
        <rFont val="WenQuanYi Zen Hei"/>
        <family val="2"/>
      </rPr>
      <t xml:space="preserve">引用本表</t>
    </r>
  </si>
  <si>
    <t xml:space="preserve">指標</t>
  </si>
  <si>
    <t xml:space="preserve">警訊</t>
  </si>
  <si>
    <t xml:space="preserve">族</t>
  </si>
  <si>
    <t xml:space="preserve">1976-05-31</t>
  </si>
  <si>
    <t xml:space="preserve">s_CREDIT</t>
  </si>
  <si>
    <t xml:space="preserve">月度支柱</t>
  </si>
  <si>
    <t xml:space="preserve">1976-10-31</t>
  </si>
  <si>
    <t xml:space="preserve">score</t>
  </si>
  <si>
    <t xml:space="preserve">1977-01-31</t>
  </si>
  <si>
    <t xml:space="preserve">s_POLICY</t>
  </si>
  <si>
    <t xml:space="preserve">1977-02-28</t>
  </si>
  <si>
    <t xml:space="preserve">1977-11-30</t>
  </si>
  <si>
    <t xml:space="preserve">s_INFL</t>
  </si>
  <si>
    <t xml:space="preserve">1978-03-31</t>
  </si>
  <si>
    <t xml:space="preserve">1978-06-30</t>
  </si>
  <si>
    <t xml:space="preserve">1978-10-31</t>
  </si>
  <si>
    <t xml:space="preserve">1978-11-30</t>
  </si>
  <si>
    <t xml:space="preserve">s_CURVE</t>
  </si>
  <si>
    <t xml:space="preserve">1979-04-30</t>
  </si>
  <si>
    <t xml:space="preserve">1979-11-30</t>
  </si>
  <si>
    <t xml:space="preserve">1980-03-31</t>
  </si>
  <si>
    <t xml:space="preserve">s_VOL</t>
  </si>
  <si>
    <t xml:space="preserve">1980-05-31</t>
  </si>
  <si>
    <t xml:space="preserve">1980-08-31</t>
  </si>
  <si>
    <t xml:space="preserve">1980-09-30</t>
  </si>
  <si>
    <t xml:space="preserve">1981-08-31</t>
  </si>
  <si>
    <t xml:space="preserve">1981-11-30</t>
  </si>
  <si>
    <t xml:space="preserve">1982-04-30</t>
  </si>
  <si>
    <t xml:space="preserve">1982-08-31</t>
  </si>
  <si>
    <t xml:space="preserve">1983-03-31</t>
  </si>
  <si>
    <t xml:space="preserve">1983-07-31</t>
  </si>
  <si>
    <t xml:space="preserve">1983-11-30</t>
  </si>
  <si>
    <t xml:space="preserve">1983-12-31</t>
  </si>
  <si>
    <t xml:space="preserve">1984-08-31</t>
  </si>
  <si>
    <t xml:space="preserve">1984-10-31</t>
  </si>
  <si>
    <t xml:space="preserve">1985-07-31</t>
  </si>
  <si>
    <t xml:space="preserve">1985-09-30</t>
  </si>
  <si>
    <t xml:space="preserve">1985-10-31</t>
  </si>
  <si>
    <t xml:space="preserve">1985-11-30</t>
  </si>
  <si>
    <t xml:space="preserve">1986-05-31</t>
  </si>
  <si>
    <t xml:space="preserve">1986-08-31</t>
  </si>
  <si>
    <t xml:space="preserve">1986-09-30</t>
  </si>
  <si>
    <t xml:space="preserve">1986-12-31</t>
  </si>
  <si>
    <t xml:space="preserve">1987-01-31</t>
  </si>
  <si>
    <t xml:space="preserve">1987-02-28</t>
  </si>
  <si>
    <t xml:space="preserve">1987-04-30</t>
  </si>
  <si>
    <t xml:space="preserve">1987-05-31</t>
  </si>
  <si>
    <t xml:space="preserve">1987-09-30</t>
  </si>
  <si>
    <t xml:space="preserve">1987-10-31</t>
  </si>
  <si>
    <t xml:space="preserve">1987-11-30</t>
  </si>
  <si>
    <t xml:space="preserve">1987-12-31</t>
  </si>
  <si>
    <t xml:space="preserve">1988-03-31</t>
  </si>
  <si>
    <t xml:space="preserve">1988-05-31</t>
  </si>
  <si>
    <t xml:space="preserve">1988-11-30</t>
  </si>
  <si>
    <t xml:space="preserve">1989-01-31</t>
  </si>
  <si>
    <t xml:space="preserve">1989-06-30</t>
  </si>
  <si>
    <t xml:space="preserve">1989-10-31</t>
  </si>
  <si>
    <t xml:space="preserve">1989-12-31</t>
  </si>
  <si>
    <t xml:space="preserve">1990-01-31</t>
  </si>
  <si>
    <t xml:space="preserve">1990-04-30</t>
  </si>
  <si>
    <t xml:space="preserve">1990-06-30</t>
  </si>
  <si>
    <t xml:space="preserve">1990-08-31</t>
  </si>
  <si>
    <t xml:space="preserve">1991-02-28</t>
  </si>
  <si>
    <t xml:space="preserve">1991-11-30</t>
  </si>
  <si>
    <t xml:space="preserve">1994-02-28</t>
  </si>
  <si>
    <t xml:space="preserve">1994-03-31</t>
  </si>
  <si>
    <t xml:space="preserve">1994-05-31</t>
  </si>
  <si>
    <t xml:space="preserve">1994-09-30</t>
  </si>
  <si>
    <t xml:space="preserve">1994-11-30</t>
  </si>
  <si>
    <t xml:space="preserve">1995-07-31</t>
  </si>
  <si>
    <t xml:space="preserve">1998-08-31</t>
  </si>
  <si>
    <t xml:space="preserve">1998-09-30</t>
  </si>
  <si>
    <t xml:space="preserve">1998-11-30</t>
  </si>
  <si>
    <t xml:space="preserve">1999-02-28</t>
  </si>
  <si>
    <t xml:space="preserve">1999-04-26</t>
  </si>
  <si>
    <t xml:space="preserve">rsi14_top_div</t>
  </si>
  <si>
    <t xml:space="preserve">趨勢動能</t>
  </si>
  <si>
    <t xml:space="preserve">1999-06-30</t>
  </si>
  <si>
    <t xml:space="preserve">1999-09-10</t>
  </si>
  <si>
    <t xml:space="preserve">obv_top_divergence</t>
  </si>
  <si>
    <t xml:space="preserve">量價</t>
  </si>
  <si>
    <t xml:space="preserve">1999-10-20</t>
  </si>
  <si>
    <t xml:space="preserve">HV20_regime_cross25</t>
  </si>
  <si>
    <t xml:space="preserve">波動率</t>
  </si>
  <si>
    <t xml:space="preserve">1999-10-28</t>
  </si>
  <si>
    <t xml:space="preserve">1999-10-29</t>
  </si>
  <si>
    <t xml:space="preserve">1999-11-26</t>
  </si>
  <si>
    <t xml:space="preserve">newhigh_low_volume</t>
  </si>
  <si>
    <t xml:space="preserve">1999-12-02</t>
  </si>
  <si>
    <t xml:space="preserve">1999-12-03</t>
  </si>
  <si>
    <t xml:space="preserve">1999-12-06</t>
  </si>
  <si>
    <t xml:space="preserve">1999-12-07</t>
  </si>
  <si>
    <t xml:space="preserve">1999-12-21</t>
  </si>
  <si>
    <t xml:space="preserve">1999-12-29</t>
  </si>
  <si>
    <t xml:space="preserve">2000-01-04</t>
  </si>
  <si>
    <t xml:space="preserve">2000-01-05</t>
  </si>
  <si>
    <t xml:space="preserve">dd52w_cross_6</t>
  </si>
  <si>
    <t xml:space="preserve">2000-01-10</t>
  </si>
  <si>
    <t xml:space="preserve">HV20_rise_from_low_near_high</t>
  </si>
  <si>
    <t xml:space="preserve">2000-01-12</t>
  </si>
  <si>
    <t xml:space="preserve">2000-01-13</t>
  </si>
  <si>
    <t xml:space="preserve">2000-01-19</t>
  </si>
  <si>
    <t xml:space="preserve">2000-01-20</t>
  </si>
  <si>
    <t xml:space="preserve">2000-01-21</t>
  </si>
  <si>
    <t xml:space="preserve">2000-01-28</t>
  </si>
  <si>
    <t xml:space="preserve">2000-02-01</t>
  </si>
  <si>
    <t xml:space="preserve">2000-02-04</t>
  </si>
  <si>
    <t xml:space="preserve">2000-02-07</t>
  </si>
  <si>
    <t xml:space="preserve">2000-02-23</t>
  </si>
  <si>
    <t xml:space="preserve">2000-03-14</t>
  </si>
  <si>
    <t xml:space="preserve">2000-03-17</t>
  </si>
  <si>
    <t xml:space="preserve">2000-03-20</t>
  </si>
  <si>
    <t xml:space="preserve">2000-03-22</t>
  </si>
  <si>
    <t xml:space="preserve">2000-03-29</t>
  </si>
  <si>
    <t xml:space="preserve">close_x_sma200</t>
  </si>
  <si>
    <t xml:space="preserve">2000-04-17</t>
  </si>
  <si>
    <t xml:space="preserve">2000-04-24</t>
  </si>
  <si>
    <t xml:space="preserve">2000-04-25</t>
  </si>
  <si>
    <t xml:space="preserve">2000-04-30</t>
  </si>
  <si>
    <t xml:space="preserve">2000-05-10</t>
  </si>
  <si>
    <t xml:space="preserve">2000-05-15</t>
  </si>
  <si>
    <t xml:space="preserve">HV20_peak_rolloff</t>
  </si>
  <si>
    <t xml:space="preserve">2000-05-18</t>
  </si>
  <si>
    <t xml:space="preserve">rsi14_bot_div</t>
  </si>
  <si>
    <t xml:space="preserve">2000-05-31</t>
  </si>
  <si>
    <t xml:space="preserve">2000-06-02</t>
  </si>
  <si>
    <t xml:space="preserve">2000-06-09</t>
  </si>
  <si>
    <t xml:space="preserve">wk10_40_cross</t>
  </si>
  <si>
    <t xml:space="preserve">2000-06-21</t>
  </si>
  <si>
    <t xml:space="preserve">2000-07-27</t>
  </si>
  <si>
    <t xml:space="preserve">2000-07-31</t>
  </si>
  <si>
    <t xml:space="preserve">2000-08-23</t>
  </si>
  <si>
    <t xml:space="preserve">2000-09-08</t>
  </si>
  <si>
    <t xml:space="preserve">2000-09-30</t>
  </si>
  <si>
    <t xml:space="preserve">2000-10-11</t>
  </si>
  <si>
    <t xml:space="preserve">sma200_slope_neg</t>
  </si>
  <si>
    <t xml:space="preserve">2000-11-10</t>
  </si>
  <si>
    <t xml:space="preserve">2000-11-13</t>
  </si>
  <si>
    <t xml:space="preserve">2000-11-20</t>
  </si>
  <si>
    <t xml:space="preserve">2000-11-21</t>
  </si>
  <si>
    <t xml:space="preserve">2000-11-22</t>
  </si>
  <si>
    <t xml:space="preserve">2000-12-19</t>
  </si>
  <si>
    <t xml:space="preserve">2000-12-29</t>
  </si>
  <si>
    <t xml:space="preserve">sma5_10_cross</t>
  </si>
  <si>
    <t xml:space="preserve">2001-01-09</t>
  </si>
  <si>
    <t xml:space="preserve">2001-01-31</t>
  </si>
  <si>
    <t xml:space="preserve">2001-02-01</t>
  </si>
  <si>
    <t xml:space="preserve">2001-02-21</t>
  </si>
  <si>
    <t xml:space="preserve">obv_bottom_divergence</t>
  </si>
  <si>
    <t xml:space="preserve">2001-03-09</t>
  </si>
  <si>
    <t xml:space="preserve">2001-03-28</t>
  </si>
  <si>
    <t xml:space="preserve">2001-03-29</t>
  </si>
  <si>
    <t xml:space="preserve">2001-04-02</t>
  </si>
  <si>
    <t xml:space="preserve">2001-04-30</t>
  </si>
  <si>
    <t xml:space="preserve">2001-05-04</t>
  </si>
  <si>
    <t xml:space="preserve">2001-08-10</t>
  </si>
  <si>
    <t xml:space="preserve">2001-10-03</t>
  </si>
  <si>
    <t xml:space="preserve">2001-12-04</t>
  </si>
  <si>
    <t xml:space="preserve">2001-12-20</t>
  </si>
  <si>
    <t xml:space="preserve">2001-12-21</t>
  </si>
  <si>
    <t xml:space="preserve">2001-12-31</t>
  </si>
  <si>
    <t xml:space="preserve">2002-01-11</t>
  </si>
  <si>
    <t xml:space="preserve">2002-01-16</t>
  </si>
  <si>
    <t xml:space="preserve">2002-01-18</t>
  </si>
  <si>
    <t xml:space="preserve">2002-01-24</t>
  </si>
  <si>
    <t xml:space="preserve">2002-01-29</t>
  </si>
  <si>
    <t xml:space="preserve">2002-02-13</t>
  </si>
  <si>
    <t xml:space="preserve">2002-03-08</t>
  </si>
  <si>
    <t xml:space="preserve">2002-03-12</t>
  </si>
  <si>
    <t xml:space="preserve">2002-03-15</t>
  </si>
  <si>
    <t xml:space="preserve">2002-03-31</t>
  </si>
  <si>
    <t xml:space="preserve">2002-04-24</t>
  </si>
  <si>
    <t xml:space="preserve">2002-04-30</t>
  </si>
  <si>
    <t xml:space="preserve">2002-06-03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</si>
  <si>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</si>
  <si>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</si>
  <si>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</si>
  <si>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</si>
  <si>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2002-06-13</t>
  </si>
  <si>
    <t xml:space="preserve">2002-06-30</t>
  </si>
  <si>
    <t xml:space="preserve">2002-07-01</t>
  </si>
  <si>
    <t xml:space="preserve">2002-07-10</t>
  </si>
  <si>
    <t xml:space="preserve">2002-07-19</t>
  </si>
  <si>
    <t xml:space="preserve">2002-07-22</t>
  </si>
  <si>
    <t xml:space="preserve">2002-07-31</t>
  </si>
  <si>
    <t xml:space="preserve">2002-08-12</t>
  </si>
  <si>
    <t xml:space="preserve">2002-08-31</t>
  </si>
  <si>
    <t xml:space="preserve">2002-09-12</t>
  </si>
  <si>
    <t xml:space="preserve">2002-09-13</t>
  </si>
  <si>
    <t xml:space="preserve">macd_wk_hist</t>
  </si>
  <si>
    <t xml:space="preserve">2002-09-23</t>
  </si>
  <si>
    <t xml:space="preserve">2002-10-03</t>
  </si>
  <si>
    <t xml:space="preserve">2002-10-14</t>
  </si>
  <si>
    <t xml:space="preserve">2002-11-30</t>
  </si>
  <si>
    <t xml:space="preserve">2003-01-09</t>
  </si>
  <si>
    <t xml:space="preserve">2003-01-16</t>
  </si>
  <si>
    <t xml:space="preserve">2003-01-24</t>
  </si>
  <si>
    <t xml:space="preserve">2003-01-31</t>
  </si>
  <si>
    <t xml:space="preserve">2003-03-11</t>
  </si>
  <si>
    <t xml:space="preserve">2003-03-17</t>
  </si>
  <si>
    <t xml:space="preserve">2003-03-31</t>
  </si>
  <si>
    <t xml:space="preserve">2003-04-01</t>
  </si>
  <si>
    <t xml:space="preserve">2003-04-04</t>
  </si>
  <si>
    <t xml:space="preserve">2003-04-17</t>
  </si>
  <si>
    <t xml:space="preserve">2003-05-27</t>
  </si>
  <si>
    <t xml:space="preserve">2003-05-28</t>
  </si>
  <si>
    <t xml:space="preserve">2003-06-16</t>
  </si>
  <si>
    <t xml:space="preserve">2003-06-17</t>
  </si>
  <si>
    <t xml:space="preserve">2003-06-18</t>
  </si>
  <si>
    <t xml:space="preserve">2003-06-24</t>
  </si>
  <si>
    <t xml:space="preserve">2003-07-02</t>
  </si>
  <si>
    <t xml:space="preserve">2003-07-07</t>
  </si>
  <si>
    <t xml:space="preserve">2003-07-17</t>
  </si>
  <si>
    <t xml:space="preserve">2003-07-18</t>
  </si>
  <si>
    <t xml:space="preserve">2003-08-01</t>
  </si>
  <si>
    <t xml:space="preserve">2003-08-05</t>
  </si>
  <si>
    <t xml:space="preserve">2003-08-08</t>
  </si>
  <si>
    <t xml:space="preserve">2003-08-19</t>
  </si>
  <si>
    <t xml:space="preserve">2003-08-27</t>
  </si>
  <si>
    <t xml:space="preserve">2003-09-10</t>
  </si>
  <si>
    <t xml:space="preserve">2003-09-15</t>
  </si>
  <si>
    <t xml:space="preserve">2003-09-18</t>
  </si>
  <si>
    <t xml:space="preserve">2003-09-25</t>
  </si>
  <si>
    <t xml:space="preserve">2003-09-26</t>
  </si>
  <si>
    <t xml:space="preserve">2003-09-29</t>
  </si>
  <si>
    <t xml:space="preserve">2003-09-30</t>
  </si>
  <si>
    <t xml:space="preserve">2003-10-01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</si>
  <si>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</si>
  <si>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</si>
  <si>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</si>
  <si>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</si>
  <si>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2003-10-16</t>
  </si>
  <si>
    <t xml:space="preserve">2003-10-22</t>
  </si>
  <si>
    <t xml:space="preserve">2003-11-03</t>
  </si>
  <si>
    <t xml:space="preserve">2003-11-13</t>
  </si>
  <si>
    <t xml:space="preserve">2003-11-18</t>
  </si>
  <si>
    <t xml:space="preserve">distribution_cluster</t>
  </si>
  <si>
    <t xml:space="preserve">2003-11-20</t>
  </si>
  <si>
    <t xml:space="preserve">2003-11-21</t>
  </si>
  <si>
    <t xml:space="preserve">2003-12-01</t>
  </si>
  <si>
    <t xml:space="preserve">2003-12-03</t>
  </si>
  <si>
    <t xml:space="preserve">2003-12-09</t>
  </si>
  <si>
    <t xml:space="preserve">2003-12-29</t>
  </si>
  <si>
    <t xml:space="preserve">2003-12-31</t>
  </si>
  <si>
    <t xml:space="preserve">2004-01-27</t>
  </si>
  <si>
    <t xml:space="preserve">2004-01-28</t>
  </si>
  <si>
    <t xml:space="preserve">2004-02-04</t>
  </si>
  <si>
    <t xml:space="preserve">2004-02-06</t>
  </si>
  <si>
    <t xml:space="preserve">2004-02-13</t>
  </si>
  <si>
    <t xml:space="preserve">2004-02-23</t>
  </si>
  <si>
    <t xml:space="preserve">2004-03-01</t>
  </si>
  <si>
    <t xml:space="preserve">2004-03-04</t>
  </si>
  <si>
    <t xml:space="preserve">2004-03-08</t>
  </si>
  <si>
    <t xml:space="preserve">2004-03-09</t>
  </si>
  <si>
    <t xml:space="preserve">2004-03-12</t>
  </si>
  <si>
    <t xml:space="preserve">2004-03-29</t>
  </si>
  <si>
    <t xml:space="preserve">2004-04-02</t>
  </si>
  <si>
    <t xml:space="preserve">2004-04-15</t>
  </si>
  <si>
    <t xml:space="preserve">2004-04-21</t>
  </si>
  <si>
    <t xml:space="preserve">2004-04-28</t>
  </si>
  <si>
    <t xml:space="preserve">2004-04-30</t>
  </si>
  <si>
    <t xml:space="preserve">2004-05-03</t>
  </si>
  <si>
    <t xml:space="preserve">2004-05-06</t>
  </si>
  <si>
    <t xml:space="preserve">2004-05-25</t>
  </si>
  <si>
    <t xml:space="preserve">2004-05-27</t>
  </si>
  <si>
    <t xml:space="preserve">2004-06-03</t>
  </si>
  <si>
    <t xml:space="preserve">2004-06-04</t>
  </si>
  <si>
    <t xml:space="preserve">2004-06-09</t>
  </si>
  <si>
    <t xml:space="preserve">2004-06-10</t>
  </si>
  <si>
    <t xml:space="preserve">2004-06-15</t>
  </si>
  <si>
    <t xml:space="preserve">2004-06-17</t>
  </si>
  <si>
    <t xml:space="preserve">2004-06-28</t>
  </si>
  <si>
    <t xml:space="preserve">2004-06-30</t>
  </si>
  <si>
    <t xml:space="preserve">2004-07-01</t>
  </si>
  <si>
    <t xml:space="preserve">2004-07-06</t>
  </si>
  <si>
    <t xml:space="preserve">2004-07-21</t>
  </si>
  <si>
    <t xml:space="preserve">2004-08-06</t>
  </si>
  <si>
    <t xml:space="preserve">2004-08-19</t>
  </si>
  <si>
    <t xml:space="preserve">2004-09-07</t>
  </si>
  <si>
    <t xml:space="preserve">2004-10-01</t>
  </si>
  <si>
    <t xml:space="preserve">2004-10-04</t>
  </si>
  <si>
    <t xml:space="preserve">2004-10-06</t>
  </si>
  <si>
    <t xml:space="preserve">2004-10-07</t>
  </si>
  <si>
    <t xml:space="preserve">2004-10-21</t>
  </si>
  <si>
    <t xml:space="preserve">2004-10-27</t>
  </si>
  <si>
    <t xml:space="preserve">2004-10-28</t>
  </si>
  <si>
    <t xml:space="preserve">2004-11-01</t>
  </si>
  <si>
    <t xml:space="preserve">2004-11-02</t>
  </si>
  <si>
    <t xml:space="preserve">2004-11-19</t>
  </si>
  <si>
    <t xml:space="preserve">2004-11-26</t>
  </si>
  <si>
    <t xml:space="preserve">2004-11-29</t>
  </si>
  <si>
    <t xml:space="preserve">2004-12-01</t>
  </si>
  <si>
    <t xml:space="preserve">2004-12-07</t>
  </si>
  <si>
    <t xml:space="preserve">2004-12-13</t>
  </si>
  <si>
    <t xml:space="preserve">2004-12-15</t>
  </si>
  <si>
    <t xml:space="preserve">2004-12-17</t>
  </si>
  <si>
    <t xml:space="preserve">2004-12-22</t>
  </si>
  <si>
    <t xml:space="preserve">2004-12-27</t>
  </si>
  <si>
    <t xml:space="preserve">2004-12-28</t>
  </si>
  <si>
    <t xml:space="preserve">2004-12-30</t>
  </si>
  <si>
    <t xml:space="preserve">2005-01-03</t>
  </si>
  <si>
    <t xml:space="preserve">2005-01-04</t>
  </si>
  <si>
    <t xml:space="preserve">2005-01-18</t>
  </si>
  <si>
    <t xml:space="preserve">2005-01-20</t>
  </si>
  <si>
    <t xml:space="preserve">2005-01-28</t>
  </si>
  <si>
    <t xml:space="preserve">2005-02-02</t>
  </si>
  <si>
    <t xml:space="preserve">2005-02-04</t>
  </si>
  <si>
    <t xml:space="preserve">2005-02-11</t>
  </si>
  <si>
    <t xml:space="preserve">2005-02-14</t>
  </si>
  <si>
    <t xml:space="preserve">2005-02-22</t>
  </si>
  <si>
    <t xml:space="preserve">2005-03-01</t>
  </si>
  <si>
    <t xml:space="preserve">2005-03-04</t>
  </si>
  <si>
    <t xml:space="preserve">2005-03-08</t>
  </si>
  <si>
    <t xml:space="preserve">2005-03-11</t>
  </si>
  <si>
    <t xml:space="preserve">2005-03-15</t>
  </si>
  <si>
    <t xml:space="preserve">2005-03-22</t>
  </si>
  <si>
    <t xml:space="preserve">2005-03-30</t>
  </si>
  <si>
    <t xml:space="preserve">2005-04-01</t>
  </si>
  <si>
    <t xml:space="preserve">2005-04-05</t>
  </si>
  <si>
    <t xml:space="preserve">2005-04-07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</si>
  <si>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</si>
  <si>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</si>
  <si>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</si>
  <si>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</si>
  <si>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2005-04-26</t>
  </si>
  <si>
    <t xml:space="preserve">2005-04-28</t>
  </si>
  <si>
    <t xml:space="preserve">2005-04-29</t>
  </si>
  <si>
    <t xml:space="preserve">2005-05-05</t>
  </si>
  <si>
    <t xml:space="preserve">2005-05-17</t>
  </si>
  <si>
    <t xml:space="preserve">2005-06-09</t>
  </si>
  <si>
    <t xml:space="preserve">2005-06-27</t>
  </si>
  <si>
    <t xml:space="preserve">2005-06-30</t>
  </si>
  <si>
    <t xml:space="preserve">2005-07-08</t>
  </si>
  <si>
    <t xml:space="preserve">2005-07-11</t>
  </si>
  <si>
    <t xml:space="preserve">2005-08-04</t>
  </si>
  <si>
    <t xml:space="preserve">2005-08-09</t>
  </si>
  <si>
    <t xml:space="preserve">2005-08-12</t>
  </si>
  <si>
    <t xml:space="preserve">2005-09-13</t>
  </si>
  <si>
    <t xml:space="preserve">2005-09-16</t>
  </si>
  <si>
    <t xml:space="preserve">2005-09-20</t>
  </si>
  <si>
    <t xml:space="preserve">2005-09-23</t>
  </si>
  <si>
    <t xml:space="preserve">2005-09-27</t>
  </si>
  <si>
    <t xml:space="preserve">2005-10-04</t>
  </si>
  <si>
    <t xml:space="preserve">2005-10-06</t>
  </si>
  <si>
    <t xml:space="preserve">2005-10-07</t>
  </si>
  <si>
    <t xml:space="preserve">2005-10-10</t>
  </si>
  <si>
    <t xml:space="preserve">2005-10-11</t>
  </si>
  <si>
    <t xml:space="preserve">2005-10-13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</si>
  <si>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</si>
  <si>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</si>
  <si>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</si>
  <si>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</si>
  <si>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2005-10-27</t>
  </si>
  <si>
    <t xml:space="preserve">2005-10-28</t>
  </si>
  <si>
    <t xml:space="preserve">2005-10-31</t>
  </si>
  <si>
    <t xml:space="preserve">2005-11-11</t>
  </si>
  <si>
    <t xml:space="preserve">2005-11-17</t>
  </si>
  <si>
    <t xml:space="preserve">2005-11-18</t>
  </si>
  <si>
    <t xml:space="preserve">2005-11-29</t>
  </si>
  <si>
    <t xml:space="preserve">2005-12-13</t>
  </si>
  <si>
    <t xml:space="preserve">2005-12-19</t>
  </si>
  <si>
    <t xml:space="preserve">2005-12-30</t>
  </si>
  <si>
    <t xml:space="preserve">2006-01-03</t>
  </si>
  <si>
    <t xml:space="preserve">2006-01-05</t>
  </si>
  <si>
    <t xml:space="preserve">2006-01-06</t>
  </si>
  <si>
    <t xml:space="preserve">2006-01-19</t>
  </si>
  <si>
    <t xml:space="preserve">2006-02-06</t>
  </si>
  <si>
    <t xml:space="preserve">2006-02-09</t>
  </si>
  <si>
    <t xml:space="preserve">2006-02-10</t>
  </si>
  <si>
    <t xml:space="preserve">2006-02-28</t>
  </si>
  <si>
    <t xml:space="preserve">2006-03-03</t>
  </si>
  <si>
    <t xml:space="preserve">2006-03-08</t>
  </si>
  <si>
    <t xml:space="preserve">2006-03-27</t>
  </si>
  <si>
    <t xml:space="preserve">2006-03-29</t>
  </si>
  <si>
    <t xml:space="preserve">2006-03-30</t>
  </si>
  <si>
    <t xml:space="preserve">2006-04-04</t>
  </si>
  <si>
    <t xml:space="preserve">2006-04-05</t>
  </si>
  <si>
    <t xml:space="preserve">2006-04-06</t>
  </si>
  <si>
    <t xml:space="preserve">2006-04-12</t>
  </si>
  <si>
    <t xml:space="preserve">2006-04-18</t>
  </si>
  <si>
    <t xml:space="preserve">2006-04-20</t>
  </si>
  <si>
    <t xml:space="preserve">2006-04-27</t>
  </si>
  <si>
    <t xml:space="preserve">2006-04-28</t>
  </si>
  <si>
    <t xml:space="preserve">2006-05-09</t>
  </si>
  <si>
    <t xml:space="preserve">2006-05-16</t>
  </si>
  <si>
    <t xml:space="preserve">2006-05-17</t>
  </si>
  <si>
    <t xml:space="preserve">2006-05-19</t>
  </si>
  <si>
    <t xml:space="preserve">2006-05-25</t>
  </si>
  <si>
    <t xml:space="preserve">2006-05-31</t>
  </si>
  <si>
    <t xml:space="preserve">2006-06-01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</si>
  <si>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</si>
  <si>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</si>
  <si>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</si>
  <si>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</si>
  <si>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2006-06-21</t>
  </si>
  <si>
    <t xml:space="preserve">2006-06-23</t>
  </si>
  <si>
    <t xml:space="preserve">2006-06-29</t>
  </si>
  <si>
    <t xml:space="preserve">2006-07-03</t>
  </si>
  <si>
    <t xml:space="preserve">2006-07-13</t>
  </si>
  <si>
    <t xml:space="preserve">2006-07-14</t>
  </si>
  <si>
    <t xml:space="preserve">2006-07-21</t>
  </si>
  <si>
    <t xml:space="preserve">2006-07-25</t>
  </si>
  <si>
    <t xml:space="preserve">2006-07-31</t>
  </si>
  <si>
    <t xml:space="preserve">2006-08-16</t>
  </si>
  <si>
    <t xml:space="preserve">2006-08-28</t>
  </si>
  <si>
    <t xml:space="preserve">2006-08-30</t>
  </si>
  <si>
    <t xml:space="preserve">2006-09-01</t>
  </si>
  <si>
    <t xml:space="preserve">2006-09-13</t>
  </si>
  <si>
    <t xml:space="preserve">2006-09-19</t>
  </si>
  <si>
    <t xml:space="preserve">2006-09-20</t>
  </si>
  <si>
    <t xml:space="preserve">2006-09-22</t>
  </si>
  <si>
    <t xml:space="preserve">2006-09-25</t>
  </si>
  <si>
    <t xml:space="preserve">2006-10-04</t>
  </si>
  <si>
    <t xml:space="preserve">2006-10-09</t>
  </si>
  <si>
    <t xml:space="preserve">2006-10-20</t>
  </si>
  <si>
    <t xml:space="preserve">2006-10-25</t>
  </si>
  <si>
    <t xml:space="preserve">2006-11-01</t>
  </si>
  <si>
    <t xml:space="preserve">2006-11-02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</si>
  <si>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</si>
  <si>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</si>
  <si>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</si>
  <si>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</si>
  <si>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2006-11-22</t>
  </si>
  <si>
    <t xml:space="preserve">2006-11-28</t>
  </si>
  <si>
    <t xml:space="preserve">2006-12-13</t>
  </si>
  <si>
    <t xml:space="preserve">2006-12-21</t>
  </si>
  <si>
    <t xml:space="preserve">2006-12-29</t>
  </si>
  <si>
    <t xml:space="preserve">2007-01-11</t>
  </si>
  <si>
    <t xml:space="preserve">2007-01-12</t>
  </si>
  <si>
    <t xml:space="preserve">2007-01-18</t>
  </si>
  <si>
    <t xml:space="preserve">2007-01-22</t>
  </si>
  <si>
    <t xml:space="preserve">2007-01-25</t>
  </si>
  <si>
    <t xml:space="preserve">2007-02-09</t>
  </si>
  <si>
    <t xml:space="preserve">2007-02-13</t>
  </si>
  <si>
    <t xml:space="preserve">2007-02-20</t>
  </si>
  <si>
    <t xml:space="preserve">2007-02-21</t>
  </si>
  <si>
    <t xml:space="preserve">2007-02-27</t>
  </si>
  <si>
    <t xml:space="preserve">2007-02-28</t>
  </si>
  <si>
    <t xml:space="preserve">2007-03-02</t>
  </si>
  <si>
    <t xml:space="preserve">2007-03-12</t>
  </si>
  <si>
    <t xml:space="preserve">2007-03-13</t>
  </si>
  <si>
    <t xml:space="preserve">2007-03-16</t>
  </si>
  <si>
    <t xml:space="preserve">2007-03-20</t>
  </si>
  <si>
    <t xml:space="preserve">2007-03-28</t>
  </si>
  <si>
    <t xml:space="preserve">2007-03-30</t>
  </si>
  <si>
    <t xml:space="preserve">2007-03-31</t>
  </si>
  <si>
    <t xml:space="preserve">2007-05-10</t>
  </si>
  <si>
    <t xml:space="preserve">2007-05-14</t>
  </si>
  <si>
    <t xml:space="preserve">2007-05-21</t>
  </si>
  <si>
    <t xml:space="preserve">2007-05-22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</si>
  <si>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</si>
  <si>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</si>
  <si>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</si>
  <si>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</si>
  <si>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2007-06-08</t>
  </si>
  <si>
    <t xml:space="preserve">2007-06-15</t>
  </si>
  <si>
    <t xml:space="preserve">2007-06-19</t>
  </si>
  <si>
    <t xml:space="preserve">2007-06-26</t>
  </si>
  <si>
    <t xml:space="preserve">2007-07-02</t>
  </si>
  <si>
    <t xml:space="preserve">2007-07-03</t>
  </si>
  <si>
    <t xml:space="preserve">2007-07-10</t>
  </si>
  <si>
    <t xml:space="preserve">2007-07-20</t>
  </si>
  <si>
    <t xml:space="preserve">2007-07-24</t>
  </si>
  <si>
    <t xml:space="preserve">2007-07-27</t>
  </si>
  <si>
    <t xml:space="preserve">2007-07-31</t>
  </si>
  <si>
    <t xml:space="preserve">2007-08-03</t>
  </si>
  <si>
    <t xml:space="preserve">2007-08-08</t>
  </si>
  <si>
    <t xml:space="preserve">2007-08-09</t>
  </si>
  <si>
    <t xml:space="preserve">2007-08-15</t>
  </si>
  <si>
    <t xml:space="preserve">2007-08-17</t>
  </si>
  <si>
    <t xml:space="preserve">2007-08-28</t>
  </si>
  <si>
    <t xml:space="preserve">2007-08-29</t>
  </si>
  <si>
    <t xml:space="preserve">2007-08-31</t>
  </si>
  <si>
    <t xml:space="preserve">2007-09-11</t>
  </si>
  <si>
    <t xml:space="preserve">2007-09-12</t>
  </si>
  <si>
    <t xml:space="preserve">2007-09-18</t>
  </si>
  <si>
    <t xml:space="preserve">2007-09-30</t>
  </si>
  <si>
    <t xml:space="preserve">2007-10-02</t>
  </si>
  <si>
    <t xml:space="preserve">2007-10-16</t>
  </si>
  <si>
    <t xml:space="preserve">2007-10-17</t>
  </si>
  <si>
    <t xml:space="preserve">2007-10-19</t>
  </si>
  <si>
    <t xml:space="preserve">2007-10-29</t>
  </si>
  <si>
    <t xml:space="preserve">2007-11-07</t>
  </si>
  <si>
    <t xml:space="preserve">2007-11-09</t>
  </si>
  <si>
    <t xml:space="preserve">2007-11-13</t>
  </si>
  <si>
    <t xml:space="preserve">2007-11-16</t>
  </si>
  <si>
    <t xml:space="preserve">2007-11-21</t>
  </si>
  <si>
    <t xml:space="preserve">2007-11-23</t>
  </si>
  <si>
    <t xml:space="preserve">2007-11-26</t>
  </si>
  <si>
    <t xml:space="preserve">2007-11-28</t>
  </si>
  <si>
    <t xml:space="preserve">2007-11-30</t>
  </si>
  <si>
    <t xml:space="preserve">2007-12-10</t>
  </si>
  <si>
    <t xml:space="preserve">2007-12-11</t>
  </si>
  <si>
    <t xml:space="preserve">2007-12-17</t>
  </si>
  <si>
    <t xml:space="preserve">2007-12-20</t>
  </si>
  <si>
    <t xml:space="preserve">2007-12-26</t>
  </si>
  <si>
    <t xml:space="preserve">2007-12-27</t>
  </si>
  <si>
    <t xml:space="preserve">2007-12-31</t>
  </si>
  <si>
    <t xml:space="preserve">2008-01-02</t>
  </si>
  <si>
    <t xml:space="preserve">2008-01-08</t>
  </si>
  <si>
    <t xml:space="preserve">2008-01-11</t>
  </si>
  <si>
    <t xml:space="preserve">2008-01-29</t>
  </si>
  <si>
    <t xml:space="preserve">2008-01-30</t>
  </si>
  <si>
    <t xml:space="preserve">2008-01-31</t>
  </si>
  <si>
    <t xml:space="preserve">2008-02-06</t>
  </si>
  <si>
    <t xml:space="preserve">2008-02-15</t>
  </si>
  <si>
    <t xml:space="preserve">2008-02-28</t>
  </si>
  <si>
    <t xml:space="preserve">2008-02-29</t>
  </si>
  <si>
    <t xml:space="preserve">2008-03-03</t>
  </si>
  <si>
    <t xml:space="preserve">2008-03-17</t>
  </si>
  <si>
    <t xml:space="preserve">2008-03-24</t>
  </si>
  <si>
    <t xml:space="preserve">2008-04-18</t>
  </si>
  <si>
    <t xml:space="preserve">2008-04-21</t>
  </si>
  <si>
    <t xml:space="preserve">2008-05-12</t>
  </si>
  <si>
    <t xml:space="preserve">2008-05-15</t>
  </si>
  <si>
    <t xml:space="preserve">2008-05-19</t>
  </si>
  <si>
    <t xml:space="preserve">2008-05-30</t>
  </si>
  <si>
    <t xml:space="preserve">2008-05-31</t>
  </si>
  <si>
    <t xml:space="preserve">2008-06-02</t>
  </si>
  <si>
    <t xml:space="preserve">2008-06-06</t>
  </si>
  <si>
    <t xml:space="preserve">2008-07-18</t>
  </si>
  <si>
    <t xml:space="preserve">2008-07-31</t>
  </si>
  <si>
    <t xml:space="preserve">2008-08-08</t>
  </si>
  <si>
    <t xml:space="preserve">2008-08-11</t>
  </si>
  <si>
    <t xml:space="preserve">2008-08-12</t>
  </si>
  <si>
    <t xml:space="preserve">2008-08-14</t>
  </si>
  <si>
    <t xml:space="preserve">2008-08-18</t>
  </si>
  <si>
    <t xml:space="preserve">2008-09-25</t>
  </si>
  <si>
    <t xml:space="preserve">2008-09-29</t>
  </si>
  <si>
    <t xml:space="preserve">2008-10-02</t>
  </si>
  <si>
    <t xml:space="preserve">2008-10-03</t>
  </si>
  <si>
    <t xml:space="preserve">2008-10-17</t>
  </si>
  <si>
    <t xml:space="preserve">2008-10-22</t>
  </si>
  <si>
    <t xml:space="preserve">2008-10-23</t>
  </si>
  <si>
    <t xml:space="preserve">2008-10-24</t>
  </si>
  <si>
    <t xml:space="preserve">2008-10-31</t>
  </si>
  <si>
    <t xml:space="preserve">2008-11-12</t>
  </si>
  <si>
    <t xml:space="preserve">2008-11-17</t>
  </si>
  <si>
    <t xml:space="preserve">2008-11-19</t>
  </si>
  <si>
    <t xml:space="preserve">2008-12-23</t>
  </si>
  <si>
    <t xml:space="preserve">2008-12-31</t>
  </si>
  <si>
    <t xml:space="preserve">2009-03-05</t>
  </si>
  <si>
    <t xml:space="preserve">2009-03-31</t>
  </si>
  <si>
    <t xml:space="preserve">2009-04-13</t>
  </si>
  <si>
    <t xml:space="preserve">2009-05-04</t>
  </si>
  <si>
    <t xml:space="preserve">2009-05-07</t>
  </si>
  <si>
    <t xml:space="preserve">2009-05-18</t>
  </si>
  <si>
    <t xml:space="preserve">2009-05-21</t>
  </si>
  <si>
    <t xml:space="preserve">2009-05-26</t>
  </si>
  <si>
    <t xml:space="preserve">2009-05-29</t>
  </si>
  <si>
    <t xml:space="preserve">2009-05-31</t>
  </si>
  <si>
    <t xml:space="preserve">2009-06-22</t>
  </si>
  <si>
    <t xml:space="preserve">2009-07-15</t>
  </si>
  <si>
    <t xml:space="preserve">2009-07-16</t>
  </si>
  <si>
    <t xml:space="preserve">2009-07-17</t>
  </si>
  <si>
    <t xml:space="preserve">2009-08-21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</si>
  <si>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</si>
  <si>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</si>
  <si>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</si>
  <si>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</si>
  <si>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</si>
  <si>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2009-09-28</t>
  </si>
  <si>
    <t xml:space="preserve">2009-10-01</t>
  </si>
  <si>
    <t xml:space="preserve">2009-10-14</t>
  </si>
  <si>
    <t xml:space="preserve">2009-10-15</t>
  </si>
  <si>
    <t xml:space="preserve">2009-10-19</t>
  </si>
  <si>
    <t xml:space="preserve">2009-10-21</t>
  </si>
  <si>
    <t xml:space="preserve">2009-10-26</t>
  </si>
  <si>
    <t xml:space="preserve">2009-10-27</t>
  </si>
  <si>
    <t xml:space="preserve">2009-10-29</t>
  </si>
  <si>
    <t xml:space="preserve">2009-10-30</t>
  </si>
  <si>
    <t xml:space="preserve">2009-11-05</t>
  </si>
  <si>
    <t xml:space="preserve">2009-11-06</t>
  </si>
  <si>
    <t xml:space="preserve">2009-11-16</t>
  </si>
  <si>
    <t xml:space="preserve">2009-11-17</t>
  </si>
  <si>
    <t xml:space="preserve">2009-11-24</t>
  </si>
  <si>
    <t xml:space="preserve">2009-12-14</t>
  </si>
  <si>
    <t xml:space="preserve">2009-12-15</t>
  </si>
  <si>
    <t xml:space="preserve">2009-12-22</t>
  </si>
  <si>
    <t xml:space="preserve">2010-01-15</t>
  </si>
  <si>
    <t xml:space="preserve">2010-01-19</t>
  </si>
  <si>
    <t xml:space="preserve">2010-01-21</t>
  </si>
  <si>
    <t xml:space="preserve">2010-01-22</t>
  </si>
  <si>
    <t xml:space="preserve">2010-01-27</t>
  </si>
  <si>
    <t xml:space="preserve">2010-01-28</t>
  </si>
  <si>
    <t xml:space="preserve">2010-02-04</t>
  </si>
  <si>
    <t xml:space="preserve">2010-02-05</t>
  </si>
  <si>
    <t xml:space="preserve">2010-02-09</t>
  </si>
  <si>
    <t xml:space="preserve">2010-02-16</t>
  </si>
  <si>
    <t xml:space="preserve">2010-04-05</t>
  </si>
  <si>
    <t xml:space="preserve">2010-04-16</t>
  </si>
  <si>
    <t xml:space="preserve">2010-04-27</t>
  </si>
  <si>
    <t xml:space="preserve">2010-04-30</t>
  </si>
  <si>
    <t xml:space="preserve">2010-05-06</t>
  </si>
  <si>
    <t xml:space="preserve">2010-05-10</t>
  </si>
  <si>
    <t xml:space="preserve">2010-05-11</t>
  </si>
  <si>
    <t xml:space="preserve">volume_climax_reversal_1p5x</t>
  </si>
  <si>
    <t xml:space="preserve">2010-05-12</t>
  </si>
  <si>
    <t xml:space="preserve">2010-05-14</t>
  </si>
  <si>
    <t xml:space="preserve">2010-05-20</t>
  </si>
  <si>
    <t xml:space="preserve">2010-05-21</t>
  </si>
  <si>
    <t xml:space="preserve">2010-05-24</t>
  </si>
  <si>
    <t xml:space="preserve">2010-05-27</t>
  </si>
  <si>
    <t xml:space="preserve">2010-06-01</t>
  </si>
  <si>
    <t xml:space="preserve">2010-06-02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</si>
  <si>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</si>
  <si>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</si>
  <si>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</si>
  <si>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</si>
  <si>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2010-06-11</t>
  </si>
  <si>
    <t xml:space="preserve">2010-06-24</t>
  </si>
  <si>
    <t xml:space="preserve">2010-06-29</t>
  </si>
  <si>
    <t xml:space="preserve">2010-06-30</t>
  </si>
  <si>
    <t xml:space="preserve">2010-07-09</t>
  </si>
  <si>
    <t xml:space="preserve">2010-07-23</t>
  </si>
  <si>
    <t xml:space="preserve">2010-07-29</t>
  </si>
  <si>
    <t xml:space="preserve">2010-07-31</t>
  </si>
  <si>
    <t xml:space="preserve">2010-08-02</t>
  </si>
  <si>
    <t xml:space="preserve">2010-08-11</t>
  </si>
  <si>
    <t xml:space="preserve">2010-08-31</t>
  </si>
  <si>
    <t xml:space="preserve">2010-09-02</t>
  </si>
  <si>
    <t xml:space="preserve">2010-09-13</t>
  </si>
  <si>
    <t xml:space="preserve">2010-09-17</t>
  </si>
  <si>
    <t xml:space="preserve">2010-09-22</t>
  </si>
  <si>
    <t xml:space="preserve">2010-09-27</t>
  </si>
  <si>
    <t xml:space="preserve">2010-09-29</t>
  </si>
  <si>
    <t xml:space="preserve">2010-10-05</t>
  </si>
  <si>
    <t xml:space="preserve">2010-10-08</t>
  </si>
  <si>
    <t xml:space="preserve">2010-10-11</t>
  </si>
  <si>
    <t xml:space="preserve">2010-10-12</t>
  </si>
  <si>
    <t xml:space="preserve">2010-10-15</t>
  </si>
  <si>
    <t xml:space="preserve">2010-10-31</t>
  </si>
  <si>
    <t xml:space="preserve">2010-11-15</t>
  </si>
  <si>
    <t xml:space="preserve">2010-11-18</t>
  </si>
  <si>
    <t xml:space="preserve">2010-11-30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</si>
  <si>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</si>
  <si>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</si>
  <si>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</si>
  <si>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</si>
  <si>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</si>
  <si>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</si>
  <si>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2010-12-22</t>
  </si>
  <si>
    <t xml:space="preserve">2011-01-03</t>
  </si>
  <si>
    <t xml:space="preserve">2011-01-24</t>
  </si>
  <si>
    <t xml:space="preserve">2011-02-04</t>
  </si>
  <si>
    <t xml:space="preserve">2011-02-07</t>
  </si>
  <si>
    <t xml:space="preserve">2011-02-08</t>
  </si>
  <si>
    <t xml:space="preserve">2011-02-11</t>
  </si>
  <si>
    <t xml:space="preserve">2011-02-14</t>
  </si>
  <si>
    <t xml:space="preserve">2011-02-16</t>
  </si>
  <si>
    <t xml:space="preserve">2011-02-17</t>
  </si>
  <si>
    <t xml:space="preserve">2011-02-22</t>
  </si>
  <si>
    <t xml:space="preserve">2011-02-23</t>
  </si>
  <si>
    <t xml:space="preserve">2011-03-01</t>
  </si>
  <si>
    <t xml:space="preserve">2011-03-10</t>
  </si>
  <si>
    <t xml:space="preserve">2011-03-11</t>
  </si>
  <si>
    <t xml:space="preserve">2011-03-16</t>
  </si>
  <si>
    <t xml:space="preserve">2011-03-23</t>
  </si>
  <si>
    <t xml:space="preserve">2011-04-12</t>
  </si>
  <si>
    <t xml:space="preserve">2011-04-26</t>
  </si>
  <si>
    <t xml:space="preserve">2011-05-05</t>
  </si>
  <si>
    <t xml:space="preserve">2011-05-13</t>
  </si>
  <si>
    <t xml:space="preserve">2011-05-16</t>
  </si>
  <si>
    <t xml:space="preserve">2011-05-17</t>
  </si>
  <si>
    <t xml:space="preserve">2011-05-20</t>
  </si>
  <si>
    <t xml:space="preserve">2011-06-08</t>
  </si>
  <si>
    <t xml:space="preserve">2011-06-14</t>
  </si>
  <si>
    <t xml:space="preserve">2011-06-15</t>
  </si>
  <si>
    <t xml:space="preserve">2011-06-17</t>
  </si>
  <si>
    <t xml:space="preserve">2011-06-21</t>
  </si>
  <si>
    <t xml:space="preserve">2011-06-29</t>
  </si>
  <si>
    <t xml:space="preserve">2011-07-14</t>
  </si>
  <si>
    <t xml:space="preserve">2011-07-29</t>
  </si>
  <si>
    <t xml:space="preserve">2011-08-02</t>
  </si>
  <si>
    <t xml:space="preserve">2011-08-04</t>
  </si>
  <si>
    <t xml:space="preserve">2011-08-12</t>
  </si>
  <si>
    <t xml:space="preserve">2011-08-15</t>
  </si>
  <si>
    <t xml:space="preserve">2011-08-19</t>
  </si>
  <si>
    <t xml:space="preserve">2011-08-26</t>
  </si>
  <si>
    <t xml:space="preserve">2011-08-31</t>
  </si>
  <si>
    <t xml:space="preserve">2011-10-10</t>
  </si>
  <si>
    <t xml:space="preserve">2011-10-18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</si>
  <si>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</si>
  <si>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</si>
  <si>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</si>
  <si>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</si>
  <si>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</si>
  <si>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2011-10-31</t>
  </si>
  <si>
    <t xml:space="preserve">2011-11-03</t>
  </si>
  <si>
    <t xml:space="preserve">2011-11-04</t>
  </si>
  <si>
    <t xml:space="preserve">2011-11-07</t>
  </si>
  <si>
    <t xml:space="preserve">2011-11-09</t>
  </si>
  <si>
    <t xml:space="preserve">2012-01-03</t>
  </si>
  <si>
    <t xml:space="preserve">2012-01-05</t>
  </si>
  <si>
    <t xml:space="preserve">2012-02-03</t>
  </si>
  <si>
    <t xml:space="preserve">2012-02-22</t>
  </si>
  <si>
    <t xml:space="preserve">2012-02-24</t>
  </si>
  <si>
    <t xml:space="preserve">2012-02-27</t>
  </si>
  <si>
    <t xml:space="preserve">2012-02-29</t>
  </si>
  <si>
    <t xml:space="preserve">2012-03-01</t>
  </si>
  <si>
    <t xml:space="preserve">2012-03-06</t>
  </si>
  <si>
    <t xml:space="preserve">2012-03-13</t>
  </si>
  <si>
    <t xml:space="preserve">2012-03-14</t>
  </si>
  <si>
    <t xml:space="preserve">2012-04-05</t>
  </si>
  <si>
    <t xml:space="preserve">2012-04-18</t>
  </si>
  <si>
    <t xml:space="preserve">2012-04-25</t>
  </si>
  <si>
    <t xml:space="preserve">2012-05-04</t>
  </si>
  <si>
    <t xml:space="preserve">2012-05-09</t>
  </si>
  <si>
    <t xml:space="preserve">2012-06-01</t>
  </si>
  <si>
    <t xml:space="preserve">2012-06-04</t>
  </si>
  <si>
    <t xml:space="preserve">2012-06-15</t>
  </si>
  <si>
    <t xml:space="preserve">2012-06-22</t>
  </si>
  <si>
    <t xml:space="preserve">2012-06-29</t>
  </si>
  <si>
    <t xml:space="preserve">2012-07-03</t>
  </si>
  <si>
    <t xml:space="preserve">2012-07-09</t>
  </si>
  <si>
    <t xml:space="preserve">2012-07-10</t>
  </si>
  <si>
    <t xml:space="preserve">2012-07-13</t>
  </si>
  <si>
    <t xml:space="preserve">2012-07-20</t>
  </si>
  <si>
    <t xml:space="preserve">2012-07-26</t>
  </si>
  <si>
    <t xml:space="preserve">2012-08-01</t>
  </si>
  <si>
    <t xml:space="preserve">2012-08-13</t>
  </si>
  <si>
    <t xml:space="preserve">2012-08-21</t>
  </si>
  <si>
    <t xml:space="preserve">2012-08-28</t>
  </si>
  <si>
    <t xml:space="preserve">2012-08-29</t>
  </si>
  <si>
    <t xml:space="preserve">2012-09-05</t>
  </si>
  <si>
    <t xml:space="preserve">2012-09-06</t>
  </si>
  <si>
    <t xml:space="preserve">2012-09-26</t>
  </si>
  <si>
    <t xml:space="preserve">2012-09-30</t>
  </si>
  <si>
    <t xml:space="preserve">2012-10-10</t>
  </si>
  <si>
    <t xml:space="preserve">2012-10-18</t>
  </si>
  <si>
    <t xml:space="preserve">2012-10-19</t>
  </si>
  <si>
    <t xml:space="preserve">2012-10-23</t>
  </si>
  <si>
    <t xml:space="preserve">2012-11-02</t>
  </si>
  <si>
    <t xml:space="preserve">2012-11-07</t>
  </si>
  <si>
    <t xml:space="preserve">2012-11-23</t>
  </si>
  <si>
    <t xml:space="preserve">2012-11-28</t>
  </si>
  <si>
    <t xml:space="preserve">2012-12-05</t>
  </si>
  <si>
    <t xml:space="preserve">2012-12-06</t>
  </si>
  <si>
    <t xml:space="preserve">2012-12-07</t>
  </si>
  <si>
    <t xml:space="preserve">2012-12-11</t>
  </si>
  <si>
    <t xml:space="preserve">2012-12-13</t>
  </si>
  <si>
    <t xml:space="preserve">2012-12-14</t>
  </si>
  <si>
    <t xml:space="preserve">2012-12-17</t>
  </si>
  <si>
    <t xml:space="preserve">2012-12-26</t>
  </si>
  <si>
    <t xml:space="preserve">2012-12-31</t>
  </si>
  <si>
    <t xml:space="preserve">2013-01-02</t>
  </si>
  <si>
    <t xml:space="preserve">2013-01-11</t>
  </si>
  <si>
    <t xml:space="preserve">2013-01-24</t>
  </si>
  <si>
    <t xml:space="preserve">2013-02-01</t>
  </si>
  <si>
    <t xml:space="preserve">2013-02-04</t>
  </si>
  <si>
    <t xml:space="preserve">2013-02-08</t>
  </si>
  <si>
    <t xml:space="preserve">2013-02-19</t>
  </si>
  <si>
    <t xml:space="preserve">2013-02-21</t>
  </si>
  <si>
    <t xml:space="preserve">2013-03-05</t>
  </si>
  <si>
    <t xml:space="preserve">2013-03-07</t>
  </si>
  <si>
    <t xml:space="preserve">2013-03-19</t>
  </si>
  <si>
    <t xml:space="preserve">2013-03-21</t>
  </si>
  <si>
    <t xml:space="preserve">2013-03-28</t>
  </si>
  <si>
    <t xml:space="preserve">2013-04-04</t>
  </si>
  <si>
    <t xml:space="preserve">2013-04-05</t>
  </si>
  <si>
    <t xml:space="preserve">2013-04-10</t>
  </si>
  <si>
    <t xml:space="preserve">2013-04-11</t>
  </si>
  <si>
    <t xml:space="preserve">2013-04-18</t>
  </si>
  <si>
    <t xml:space="preserve">2013-04-29</t>
  </si>
  <si>
    <t xml:space="preserve">2013-05-02</t>
  </si>
  <si>
    <t xml:space="preserve">2013-05-28</t>
  </si>
  <si>
    <t xml:space="preserve">2013-05-29</t>
  </si>
  <si>
    <t xml:space="preserve">2013-06-05</t>
  </si>
  <si>
    <t xml:space="preserve">2013-06-14</t>
  </si>
  <si>
    <t xml:space="preserve">2013-06-20</t>
  </si>
  <si>
    <t xml:space="preserve">2013-06-25</t>
  </si>
  <si>
    <t xml:space="preserve">2013-06-28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</si>
  <si>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</si>
  <si>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</si>
  <si>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</si>
  <si>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</si>
  <si>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</si>
  <si>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2013-07-17</t>
  </si>
  <si>
    <t xml:space="preserve">2013-07-18</t>
  </si>
  <si>
    <t xml:space="preserve">2013-07-24</t>
  </si>
  <si>
    <t xml:space="preserve">2013-07-26</t>
  </si>
  <si>
    <t xml:space="preserve">2013-07-30</t>
  </si>
  <si>
    <t xml:space="preserve">2013-07-31</t>
  </si>
  <si>
    <t xml:space="preserve">2013-08-05</t>
  </si>
  <si>
    <t xml:space="preserve">2013-08-13</t>
  </si>
  <si>
    <t xml:space="preserve">2013-08-15</t>
  </si>
  <si>
    <t xml:space="preserve">2013-08-30</t>
  </si>
  <si>
    <t xml:space="preserve">2013-09-09</t>
  </si>
  <si>
    <t xml:space="preserve">2013-09-10</t>
  </si>
  <si>
    <t xml:space="preserve">2013-09-17</t>
  </si>
  <si>
    <t xml:space="preserve">2013-09-18</t>
  </si>
  <si>
    <t xml:space="preserve">2013-09-19</t>
  </si>
  <si>
    <t xml:space="preserve">2013-10-01</t>
  </si>
  <si>
    <t xml:space="preserve">2013-10-08</t>
  </si>
  <si>
    <t xml:space="preserve">2013-10-15</t>
  </si>
  <si>
    <t xml:space="preserve">2013-10-16</t>
  </si>
  <si>
    <t xml:space="preserve">2013-10-17</t>
  </si>
  <si>
    <t xml:space="preserve">2013-11-05</t>
  </si>
  <si>
    <t xml:space="preserve">2013-11-13</t>
  </si>
  <si>
    <t xml:space="preserve">2013-11-14</t>
  </si>
  <si>
    <t xml:space="preserve">2013-11-15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</si>
  <si>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</si>
  <si>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</si>
  <si>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</si>
  <si>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</si>
  <si>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2013-12-11</t>
  </si>
  <si>
    <t xml:space="preserve">2013-12-12</t>
  </si>
  <si>
    <t xml:space="preserve">2013-12-18</t>
  </si>
  <si>
    <t xml:space="preserve">2013-12-24</t>
  </si>
  <si>
    <t xml:space="preserve">2014-01-06</t>
  </si>
  <si>
    <t xml:space="preserve">2014-01-07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</si>
  <si>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</si>
  <si>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</si>
  <si>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</si>
  <si>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</si>
  <si>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</si>
  <si>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</si>
  <si>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</si>
  <si>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</si>
  <si>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</si>
  <si>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2014-02-04</t>
  </si>
  <si>
    <t xml:space="preserve">2014-02-06</t>
  </si>
  <si>
    <t xml:space="preserve">2014-02-14</t>
  </si>
  <si>
    <t xml:space="preserve">VIX_price_rise_divergence</t>
  </si>
  <si>
    <t xml:space="preserve">2014-03-04</t>
  </si>
  <si>
    <t xml:space="preserve">2014-03-13</t>
  </si>
  <si>
    <t xml:space="preserve">2014-03-14</t>
  </si>
  <si>
    <t xml:space="preserve">2014-03-17</t>
  </si>
  <si>
    <t xml:space="preserve">2014-03-19</t>
  </si>
  <si>
    <t xml:space="preserve">2014-03-25</t>
  </si>
  <si>
    <t xml:space="preserve">2014-04-07</t>
  </si>
  <si>
    <t xml:space="preserve">2014-04-09</t>
  </si>
  <si>
    <t xml:space="preserve">2014-04-10</t>
  </si>
  <si>
    <t xml:space="preserve">2014-04-14</t>
  </si>
  <si>
    <t xml:space="preserve">2014-04-22</t>
  </si>
  <si>
    <t xml:space="preserve">2014-04-24</t>
  </si>
  <si>
    <t xml:space="preserve">2014-04-25</t>
  </si>
  <si>
    <t xml:space="preserve">2014-05-06</t>
  </si>
  <si>
    <t xml:space="preserve">2014-05-12</t>
  </si>
  <si>
    <t xml:space="preserve">2014-05-15</t>
  </si>
  <si>
    <t xml:space="preserve">2014-05-22</t>
  </si>
  <si>
    <t xml:space="preserve">2014-05-27</t>
  </si>
  <si>
    <t xml:space="preserve">2014-05-29</t>
  </si>
  <si>
    <t xml:space="preserve">2014-06-25</t>
  </si>
  <si>
    <t xml:space="preserve">2014-07-03</t>
  </si>
  <si>
    <t xml:space="preserve">2014-07-08</t>
  </si>
  <si>
    <t xml:space="preserve">2014-07-11</t>
  </si>
  <si>
    <t xml:space="preserve">2014-07-30</t>
  </si>
  <si>
    <t xml:space="preserve">2014-07-31</t>
  </si>
  <si>
    <t xml:space="preserve">2014-08-01</t>
  </si>
  <si>
    <t xml:space="preserve">VIX_squeeze_break</t>
  </si>
  <si>
    <t xml:space="preserve">2014-08-07</t>
  </si>
  <si>
    <t xml:space="preserve">2014-08-18</t>
  </si>
  <si>
    <t xml:space="preserve">2014-08-19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</si>
  <si>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</si>
  <si>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</si>
  <si>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</si>
  <si>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</si>
  <si>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2014-08-29</t>
  </si>
  <si>
    <t xml:space="preserve">2014-09-09</t>
  </si>
  <si>
    <t xml:space="preserve">2014-09-12</t>
  </si>
  <si>
    <t xml:space="preserve">2014-09-15</t>
  </si>
  <si>
    <t xml:space="preserve">2014-09-18</t>
  </si>
  <si>
    <t xml:space="preserve">2014-09-25</t>
  </si>
  <si>
    <t xml:space="preserve">2014-10-03</t>
  </si>
  <si>
    <t xml:space="preserve">2014-10-07</t>
  </si>
  <si>
    <t xml:space="preserve">2014-10-10</t>
  </si>
  <si>
    <t xml:space="preserve">2014-10-17</t>
  </si>
  <si>
    <t xml:space="preserve">2014-10-20</t>
  </si>
  <si>
    <t xml:space="preserve">2014-10-21</t>
  </si>
  <si>
    <t xml:space="preserve">2014-10-31</t>
  </si>
  <si>
    <t xml:space="preserve">2014-11-03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</si>
  <si>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</si>
  <si>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</si>
  <si>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</si>
  <si>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</si>
  <si>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2014-11-26</t>
  </si>
  <si>
    <t xml:space="preserve">2014-11-30</t>
  </si>
  <si>
    <t xml:space="preserve">2014-12-10</t>
  </si>
  <si>
    <t xml:space="preserve">2014-12-12</t>
  </si>
  <si>
    <t xml:space="preserve">2014-12-17</t>
  </si>
  <si>
    <t xml:space="preserve">2014-12-26</t>
  </si>
  <si>
    <t xml:space="preserve">2014-12-29</t>
  </si>
  <si>
    <t xml:space="preserve">2014-12-30</t>
  </si>
  <si>
    <t xml:space="preserve">2015-01-05</t>
  </si>
  <si>
    <t xml:space="preserve">2015-01-15</t>
  </si>
  <si>
    <t xml:space="preserve">2015-01-16</t>
  </si>
  <si>
    <t xml:space="preserve">2015-01-27</t>
  </si>
  <si>
    <t xml:space="preserve">2015-01-30</t>
  </si>
  <si>
    <t xml:space="preserve">2015-01-31</t>
  </si>
  <si>
    <t xml:space="preserve">2015-02-12</t>
  </si>
  <si>
    <t xml:space="preserve">2015-02-19</t>
  </si>
  <si>
    <t xml:space="preserve">2015-02-27</t>
  </si>
  <si>
    <t xml:space="preserve">2015-02-28</t>
  </si>
  <si>
    <t xml:space="preserve">2015-03-03</t>
  </si>
  <si>
    <t xml:space="preserve">2015-03-09</t>
  </si>
  <si>
    <t xml:space="preserve">2015-03-10</t>
  </si>
  <si>
    <t xml:space="preserve">2015-03-18</t>
  </si>
  <si>
    <t xml:space="preserve">2015-03-20</t>
  </si>
  <si>
    <t xml:space="preserve">2015-03-25</t>
  </si>
  <si>
    <t xml:space="preserve">2015-03-27</t>
  </si>
  <si>
    <t xml:space="preserve">2015-04-02</t>
  </si>
  <si>
    <t xml:space="preserve">2015-04-14</t>
  </si>
  <si>
    <t xml:space="preserve">2015-04-17</t>
  </si>
  <si>
    <t xml:space="preserve">2015-04-22</t>
  </si>
  <si>
    <t xml:space="preserve">2015-04-23</t>
  </si>
  <si>
    <t xml:space="preserve">2015-04-27</t>
  </si>
  <si>
    <t xml:space="preserve">2015-04-30</t>
  </si>
  <si>
    <t xml:space="preserve">2015-05-01</t>
  </si>
  <si>
    <t xml:space="preserve">2015-05-08</t>
  </si>
  <si>
    <t xml:space="preserve">2015-05-27</t>
  </si>
  <si>
    <t xml:space="preserve">2015-05-29</t>
  </si>
  <si>
    <t xml:space="preserve">2015-06-01</t>
  </si>
  <si>
    <t xml:space="preserve">2015-06-04</t>
  </si>
  <si>
    <t xml:space="preserve">2015-06-05</t>
  </si>
  <si>
    <t xml:space="preserve">2015-06-22</t>
  </si>
  <si>
    <t xml:space="preserve">2015-06-26</t>
  </si>
  <si>
    <t xml:space="preserve">2015-06-29</t>
  </si>
  <si>
    <t xml:space="preserve">2015-07-02</t>
  </si>
  <si>
    <t xml:space="preserve">2015-07-16</t>
  </si>
  <si>
    <t xml:space="preserve">2015-07-24</t>
  </si>
  <si>
    <t xml:space="preserve">2015-07-27</t>
  </si>
  <si>
    <t xml:space="preserve">2015-07-31</t>
  </si>
  <si>
    <t xml:space="preserve">2015-08-06</t>
  </si>
  <si>
    <t xml:space="preserve">2015-08-07</t>
  </si>
  <si>
    <t xml:space="preserve">2015-08-11</t>
  </si>
  <si>
    <t xml:space="preserve">2015-08-20</t>
  </si>
  <si>
    <t xml:space="preserve">2015-08-26</t>
  </si>
  <si>
    <t xml:space="preserve">VIX_spike_reversal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</si>
  <si>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</si>
  <si>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</si>
  <si>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</si>
  <si>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</si>
  <si>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2015-09-08</t>
  </si>
  <si>
    <t xml:space="preserve">2015-09-11</t>
  </si>
  <si>
    <t xml:space="preserve">2015-09-25</t>
  </si>
  <si>
    <t xml:space="preserve">2015-10-08</t>
  </si>
  <si>
    <t xml:space="preserve">2015-10-15</t>
  </si>
  <si>
    <t xml:space="preserve">2015-10-23</t>
  </si>
  <si>
    <t xml:space="preserve">2015-10-30</t>
  </si>
  <si>
    <t xml:space="preserve">2015-11-11</t>
  </si>
  <si>
    <t xml:space="preserve">2015-11-13</t>
  </si>
  <si>
    <t xml:space="preserve">2015-11-16</t>
  </si>
  <si>
    <t xml:space="preserve">2015-12-01</t>
  </si>
  <si>
    <t xml:space="preserve">2015-12-02</t>
  </si>
  <si>
    <t xml:space="preserve">2015-12-04</t>
  </si>
  <si>
    <t xml:space="preserve">2015-12-08</t>
  </si>
  <si>
    <t xml:space="preserve">2015-12-11</t>
  </si>
  <si>
    <t xml:space="preserve">2015-12-15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</si>
  <si>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</si>
  <si>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</si>
  <si>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</si>
  <si>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</si>
  <si>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2015-12-31</t>
  </si>
  <si>
    <t xml:space="preserve">2016-01-04</t>
  </si>
  <si>
    <t xml:space="preserve">2016-01-11</t>
  </si>
  <si>
    <t xml:space="preserve">2016-01-15</t>
  </si>
  <si>
    <t xml:space="preserve">2016-01-19</t>
  </si>
  <si>
    <t xml:space="preserve">2016-01-20</t>
  </si>
  <si>
    <t xml:space="preserve">2016-01-27</t>
  </si>
  <si>
    <t xml:space="preserve">2016-02-05</t>
  </si>
  <si>
    <t xml:space="preserve">2016-02-18</t>
  </si>
  <si>
    <t xml:space="preserve">2016-03-15</t>
  </si>
  <si>
    <t xml:space="preserve">2016-03-18</t>
  </si>
  <si>
    <t xml:space="preserve">2016-03-30</t>
  </si>
  <si>
    <t xml:space="preserve">2016-03-31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</si>
  <si>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</si>
  <si>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</si>
  <si>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</si>
  <si>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</si>
  <si>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2016-04-12</t>
  </si>
  <si>
    <t xml:space="preserve">2016-04-25</t>
  </si>
  <si>
    <t xml:space="preserve">2016-04-27</t>
  </si>
  <si>
    <t xml:space="preserve">2016-04-28</t>
  </si>
  <si>
    <t xml:space="preserve">2016-05-02</t>
  </si>
  <si>
    <t xml:space="preserve">2016-05-10</t>
  </si>
  <si>
    <t xml:space="preserve">2016-05-13</t>
  </si>
  <si>
    <t xml:space="preserve">2016-05-24</t>
  </si>
  <si>
    <t xml:space="preserve">2016-06-02</t>
  </si>
  <si>
    <t xml:space="preserve">2016-06-06</t>
  </si>
  <si>
    <t xml:space="preserve">2016-06-10</t>
  </si>
  <si>
    <t xml:space="preserve">2016-06-17</t>
  </si>
  <si>
    <t xml:space="preserve">2016-06-20</t>
  </si>
  <si>
    <t xml:space="preserve">2016-06-24</t>
  </si>
  <si>
    <t xml:space="preserve">2016-06-30</t>
  </si>
  <si>
    <t xml:space="preserve">2016-07-01</t>
  </si>
  <si>
    <t xml:space="preserve">2016-07-08</t>
  </si>
  <si>
    <t xml:space="preserve">2016-07-11</t>
  </si>
  <si>
    <t xml:space="preserve">2016-07-12</t>
  </si>
  <si>
    <t xml:space="preserve">2016-08-15</t>
  </si>
  <si>
    <t xml:space="preserve">hyoas_peak_falloff</t>
  </si>
  <si>
    <t xml:space="preserve">信用廣度</t>
  </si>
  <si>
    <t xml:space="preserve">2016-08-24</t>
  </si>
  <si>
    <t xml:space="preserve">2016-09-06</t>
  </si>
  <si>
    <t xml:space="preserve">2016-09-07</t>
  </si>
  <si>
    <t xml:space="preserve">2016-09-09</t>
  </si>
  <si>
    <t xml:space="preserve">2016-09-12</t>
  </si>
  <si>
    <t xml:space="preserve">2016-09-13</t>
  </si>
  <si>
    <t xml:space="preserve">score_break70</t>
  </si>
  <si>
    <t xml:space="preserve">2016-09-21</t>
  </si>
  <si>
    <t xml:space="preserve">2016-09-22</t>
  </si>
  <si>
    <t xml:space="preserve">2016-10-05</t>
  </si>
  <si>
    <t xml:space="preserve">2016-10-10</t>
  </si>
  <si>
    <t xml:space="preserve">2016-10-12</t>
  </si>
  <si>
    <t xml:space="preserve">2016-10-13</t>
  </si>
  <si>
    <t xml:space="preserve">2016-10-28</t>
  </si>
  <si>
    <t xml:space="preserve">2016-10-31</t>
  </si>
  <si>
    <t xml:space="preserve">2016-11-01</t>
  </si>
  <si>
    <t xml:space="preserve">breadth_break_first</t>
  </si>
  <si>
    <t xml:space="preserve">2016-11-02</t>
  </si>
  <si>
    <t xml:space="preserve">vix_hyoas_double</t>
  </si>
  <si>
    <t xml:space="preserve">2016-11-07</t>
  </si>
  <si>
    <t xml:space="preserve">2016-11-18</t>
  </si>
  <si>
    <t xml:space="preserve">2016-11-21</t>
  </si>
  <si>
    <t xml:space="preserve">2016-12-01</t>
  </si>
  <si>
    <t xml:space="preserve">2016-12-28</t>
  </si>
  <si>
    <t xml:space="preserve">2016-12-29</t>
  </si>
  <si>
    <t xml:space="preserve">2016-12-31</t>
  </si>
  <si>
    <t xml:space="preserve">2017-01-04</t>
  </si>
  <si>
    <t xml:space="preserve">2017-02-08</t>
  </si>
  <si>
    <t xml:space="preserve">2017-03-06</t>
  </si>
  <si>
    <t xml:space="preserve">2017-03-13</t>
  </si>
  <si>
    <t xml:space="preserve">2017-03-15</t>
  </si>
  <si>
    <t xml:space="preserve">2017-03-22</t>
  </si>
  <si>
    <t xml:space="preserve">2017-03-24</t>
  </si>
  <si>
    <t xml:space="preserve">2017-03-29</t>
  </si>
  <si>
    <t xml:space="preserve">2017-03-30</t>
  </si>
  <si>
    <t xml:space="preserve">2017-04-04</t>
  </si>
  <si>
    <t xml:space="preserve">2017-04-10</t>
  </si>
  <si>
    <t xml:space="preserve">2017-04-12</t>
  </si>
  <si>
    <t xml:space="preserve">2017-04-13</t>
  </si>
  <si>
    <t xml:space="preserve">2017-04-20</t>
  </si>
  <si>
    <t xml:space="preserve">2017-04-24</t>
  </si>
  <si>
    <t xml:space="preserve">2017-05-17</t>
  </si>
  <si>
    <t xml:space="preserve">2017-05-18</t>
  </si>
  <si>
    <t xml:space="preserve">2017-05-24</t>
  </si>
  <si>
    <t xml:space="preserve">2017-05-25</t>
  </si>
  <si>
    <t xml:space="preserve">2017-05-26</t>
  </si>
  <si>
    <t xml:space="preserve">2017-05-30</t>
  </si>
  <si>
    <t xml:space="preserve">2017-06-01</t>
  </si>
  <si>
    <t xml:space="preserve">2017-06-02</t>
  </si>
  <si>
    <t xml:space="preserve">2017-06-12</t>
  </si>
  <si>
    <t xml:space="preserve">2017-06-29</t>
  </si>
  <si>
    <t xml:space="preserve">2017-06-30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</si>
  <si>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</si>
  <si>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</si>
  <si>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</si>
  <si>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</si>
  <si>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2017-07-26</t>
  </si>
  <si>
    <t xml:space="preserve">2017-08-01</t>
  </si>
  <si>
    <t xml:space="preserve">2017-08-10</t>
  </si>
  <si>
    <t xml:space="preserve">2017-08-15</t>
  </si>
  <si>
    <t xml:space="preserve">2017-08-17</t>
  </si>
  <si>
    <t xml:space="preserve">2017-08-31</t>
  </si>
  <si>
    <t xml:space="preserve">2017-09-12</t>
  </si>
  <si>
    <t xml:space="preserve">2017-09-13</t>
  </si>
  <si>
    <t xml:space="preserve">2017-09-22</t>
  </si>
  <si>
    <t xml:space="preserve">2017-10-24</t>
  </si>
  <si>
    <t xml:space="preserve">2017-10-27</t>
  </si>
  <si>
    <t xml:space="preserve">2017-10-31</t>
  </si>
  <si>
    <t xml:space="preserve">breadth_top_divergence</t>
  </si>
  <si>
    <t xml:space="preserve">2017-11-15</t>
  </si>
  <si>
    <t xml:space="preserve">hyoas_widen50</t>
  </si>
  <si>
    <t xml:space="preserve">2017-11-17</t>
  </si>
  <si>
    <t xml:space="preserve">2017-11-21</t>
  </si>
  <si>
    <t xml:space="preserve">2017-11-22</t>
  </si>
  <si>
    <t xml:space="preserve">2017-11-24</t>
  </si>
  <si>
    <t xml:space="preserve">2017-11-28</t>
  </si>
  <si>
    <t xml:space="preserve">2017-12-04</t>
  </si>
  <si>
    <t xml:space="preserve">2017-12-15</t>
  </si>
  <si>
    <t xml:space="preserve">2017-12-28</t>
  </si>
  <si>
    <t xml:space="preserve">2018-01-23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</si>
  <si>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</si>
  <si>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</si>
  <si>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</si>
  <si>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</si>
  <si>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</si>
  <si>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</si>
  <si>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2018-02-14</t>
  </si>
  <si>
    <t xml:space="preserve">2018-03-01</t>
  </si>
  <si>
    <t xml:space="preserve">2018-03-02</t>
  </si>
  <si>
    <t xml:space="preserve">2018-03-06</t>
  </si>
  <si>
    <t xml:space="preserve">2018-03-09</t>
  </si>
  <si>
    <t xml:space="preserve">2018-03-12</t>
  </si>
  <si>
    <t xml:space="preserve">2018-03-19</t>
  </si>
  <si>
    <t xml:space="preserve">2018-03-20</t>
  </si>
  <si>
    <t xml:space="preserve">2018-03-22</t>
  </si>
  <si>
    <t xml:space="preserve">2018-03-27</t>
  </si>
  <si>
    <t xml:space="preserve">2018-04-02</t>
  </si>
  <si>
    <t xml:space="preserve">2018-04-17</t>
  </si>
  <si>
    <t xml:space="preserve">2018-04-20</t>
  </si>
  <si>
    <t xml:space="preserve">2018-04-24</t>
  </si>
  <si>
    <t xml:space="preserve">2018-04-30</t>
  </si>
  <si>
    <t xml:space="preserve">2018-05-03</t>
  </si>
  <si>
    <t xml:space="preserve">2018-05-07</t>
  </si>
  <si>
    <t xml:space="preserve">2018-05-14</t>
  </si>
  <si>
    <t xml:space="preserve">2018-05-21</t>
  </si>
  <si>
    <t xml:space="preserve">2018-06-04</t>
  </si>
  <si>
    <t xml:space="preserve">2018-06-20</t>
  </si>
  <si>
    <t xml:space="preserve">2018-06-25</t>
  </si>
  <si>
    <t xml:space="preserve">2018-06-26</t>
  </si>
  <si>
    <t xml:space="preserve">2018-07-02</t>
  </si>
  <si>
    <t xml:space="preserve">2018-07-03</t>
  </si>
  <si>
    <t xml:space="preserve">2018-07-10</t>
  </si>
  <si>
    <t xml:space="preserve">2018-07-12</t>
  </si>
  <si>
    <t xml:space="preserve">2018-07-13</t>
  </si>
  <si>
    <t xml:space="preserve">2018-07-17</t>
  </si>
  <si>
    <t xml:space="preserve">2018-07-30</t>
  </si>
  <si>
    <t xml:space="preserve">2018-07-31</t>
  </si>
  <si>
    <t xml:space="preserve">2018-08-15</t>
  </si>
  <si>
    <t xml:space="preserve">2018-08-27</t>
  </si>
  <si>
    <t xml:space="preserve">2018-08-28</t>
  </si>
  <si>
    <t xml:space="preserve">2018-09-07</t>
  </si>
  <si>
    <t xml:space="preserve">2018-09-10</t>
  </si>
  <si>
    <t xml:space="preserve">2018-09-11</t>
  </si>
  <si>
    <t xml:space="preserve">2018-09-14</t>
  </si>
  <si>
    <t xml:space="preserve">2018-09-17</t>
  </si>
  <si>
    <t xml:space="preserve">2018-09-21</t>
  </si>
  <si>
    <t xml:space="preserve">2018-10-04</t>
  </si>
  <si>
    <t xml:space="preserve">2018-10-05</t>
  </si>
  <si>
    <t xml:space="preserve">2018-10-10</t>
  </si>
  <si>
    <t xml:space="preserve">2018-10-11</t>
  </si>
  <si>
    <t xml:space="preserve">2018-10-12</t>
  </si>
  <si>
    <t xml:space="preserve">2018-10-17</t>
  </si>
  <si>
    <t xml:space="preserve">2018-10-18</t>
  </si>
  <si>
    <t xml:space="preserve">2018-10-23</t>
  </si>
  <si>
    <t xml:space="preserve">2018-10-24</t>
  </si>
  <si>
    <t xml:space="preserve">2018-10-29</t>
  </si>
  <si>
    <t xml:space="preserve">2018-11-01</t>
  </si>
  <si>
    <t xml:space="preserve">score_recover45</t>
  </si>
  <si>
    <t xml:space="preserve">2018-11-02</t>
  </si>
  <si>
    <t xml:space="preserve">2018-11-05</t>
  </si>
  <si>
    <t xml:space="preserve">2018-11-07</t>
  </si>
  <si>
    <t xml:space="preserve">2018-11-08</t>
  </si>
  <si>
    <t xml:space="preserve">2018-11-09</t>
  </si>
  <si>
    <t xml:space="preserve">2018-11-14</t>
  </si>
  <si>
    <t xml:space="preserve">2018-11-19</t>
  </si>
  <si>
    <t xml:space="preserve">2018-11-29</t>
  </si>
  <si>
    <t xml:space="preserve">2018-11-30</t>
  </si>
  <si>
    <t xml:space="preserve">2018-12-07</t>
  </si>
  <si>
    <t xml:space="preserve">2018-12-17</t>
  </si>
  <si>
    <t xml:space="preserve">2018-12-19</t>
  </si>
  <si>
    <t xml:space="preserve">2018-12-26</t>
  </si>
  <si>
    <t xml:space="preserve">2019-01-02</t>
  </si>
  <si>
    <t xml:space="preserve">2019-01-07</t>
  </si>
  <si>
    <t xml:space="preserve">2019-01-15</t>
  </si>
  <si>
    <t xml:space="preserve">breadth_washout_recovery</t>
  </si>
  <si>
    <t xml:space="preserve">2019-01-17</t>
  </si>
  <si>
    <t xml:space="preserve">2019-01-30</t>
  </si>
  <si>
    <t xml:space="preserve">2019-02-12</t>
  </si>
  <si>
    <t xml:space="preserve">2019-02-15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</si>
  <si>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</si>
  <si>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</si>
  <si>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</si>
  <si>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</si>
  <si>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2019-02-26</t>
  </si>
  <si>
    <t xml:space="preserve">2019-03-07</t>
  </si>
  <si>
    <t xml:space="preserve">2019-03-11</t>
  </si>
  <si>
    <t xml:space="preserve">2019-03-21</t>
  </si>
  <si>
    <t xml:space="preserve">2019-03-28</t>
  </si>
  <si>
    <t xml:space="preserve">2019-03-29</t>
  </si>
  <si>
    <t xml:space="preserve">2019-04-02</t>
  </si>
  <si>
    <t xml:space="preserve">2019-04-03</t>
  </si>
  <si>
    <t xml:space="preserve">2019-04-05</t>
  </si>
  <si>
    <t xml:space="preserve">2019-04-08</t>
  </si>
  <si>
    <t xml:space="preserve">2019-04-10</t>
  </si>
  <si>
    <t xml:space="preserve">2019-04-12</t>
  </si>
  <si>
    <t xml:space="preserve">2019-04-15</t>
  </si>
  <si>
    <t xml:space="preserve">2019-05-03</t>
  </si>
  <si>
    <t xml:space="preserve">2019-05-09</t>
  </si>
  <si>
    <t xml:space="preserve">2019-05-13</t>
  </si>
  <si>
    <t xml:space="preserve">2019-05-15</t>
  </si>
  <si>
    <t xml:space="preserve">2019-05-23</t>
  </si>
  <si>
    <t xml:space="preserve">2019-05-30</t>
  </si>
  <si>
    <t xml:space="preserve">2019-05-31</t>
  </si>
  <si>
    <t xml:space="preserve">2019-06-04</t>
  </si>
  <si>
    <t xml:space="preserve">2019-06-05</t>
  </si>
  <si>
    <t xml:space="preserve">2019-06-10</t>
  </si>
  <si>
    <t xml:space="preserve">2019-06-25</t>
  </si>
  <si>
    <t xml:space="preserve">2019-06-28</t>
  </si>
  <si>
    <t xml:space="preserve">2019-06-30</t>
  </si>
  <si>
    <t xml:space="preserve">2019-07-02</t>
  </si>
  <si>
    <t xml:space="preserve">2019-07-03</t>
  </si>
  <si>
    <t xml:space="preserve">2019-07-10</t>
  </si>
  <si>
    <t xml:space="preserve">2019-07-22</t>
  </si>
  <si>
    <t xml:space="preserve">2019-07-26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</si>
  <si>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</si>
  <si>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</si>
  <si>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</si>
  <si>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</si>
  <si>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</si>
  <si>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</si>
  <si>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</si>
  <si>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</si>
  <si>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</si>
  <si>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</si>
  <si>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2019-08-16</t>
  </si>
  <si>
    <t xml:space="preserve">2019-08-19</t>
  </si>
  <si>
    <t xml:space="preserve">2019-08-20</t>
  </si>
  <si>
    <t xml:space="preserve">2019-08-22</t>
  </si>
  <si>
    <t xml:space="preserve">2019-08-23</t>
  </si>
  <si>
    <t xml:space="preserve">2019-08-29</t>
  </si>
  <si>
    <t xml:space="preserve">2019-08-31</t>
  </si>
  <si>
    <t xml:space="preserve">2019-09-04</t>
  </si>
  <si>
    <t xml:space="preserve">2019-09-05</t>
  </si>
  <si>
    <t xml:space="preserve">2019-09-23</t>
  </si>
  <si>
    <t xml:space="preserve">2019-10-03</t>
  </si>
  <si>
    <t xml:space="preserve">2019-10-08</t>
  </si>
  <si>
    <t xml:space="preserve">2019-10-09</t>
  </si>
  <si>
    <t xml:space="preserve">2019-10-15</t>
  </si>
  <si>
    <t xml:space="preserve">2019-10-18</t>
  </si>
  <si>
    <t xml:space="preserve">2019-10-25</t>
  </si>
  <si>
    <t xml:space="preserve">2019-12-04</t>
  </si>
  <si>
    <t xml:space="preserve">2019-12-05</t>
  </si>
  <si>
    <t xml:space="preserve">2019-12-06</t>
  </si>
  <si>
    <t xml:space="preserve">2019-12-10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</si>
  <si>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</si>
  <si>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</si>
  <si>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</si>
  <si>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</si>
  <si>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</si>
  <si>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2020-02-29</t>
  </si>
  <si>
    <t xml:space="preserve">2020-05-31</t>
  </si>
  <si>
    <t xml:space="preserve">2021-10-31</t>
  </si>
  <si>
    <t xml:space="preserve">2023-04-30</t>
  </si>
  <si>
    <t xml:space="preserve">2023-09-30</t>
  </si>
  <si>
    <t xml:space="preserve">2026-05-31</t>
  </si>
  <si>
    <r>
      <rPr>
        <b val="true"/>
        <sz val="12"/>
        <rFont val="Arial"/>
        <family val="0"/>
        <charset val="1"/>
      </rPr>
      <t xml:space="preserve">34</t>
    </r>
    <r>
      <rPr>
        <b val="true"/>
        <sz val="12"/>
        <rFont val="WenQuanYi Zen Hei"/>
        <family val="2"/>
      </rPr>
      <t xml:space="preserve">指標領先性排行 </t>
    </r>
    <r>
      <rPr>
        <b val="true"/>
        <sz val="12"/>
        <rFont val="Arial"/>
        <family val="0"/>
        <charset val="1"/>
      </rPr>
      <t xml:space="preserve">(45</t>
    </r>
    <r>
      <rPr>
        <b val="true"/>
        <sz val="12"/>
        <rFont val="WenQuanYi Zen Hei"/>
        <family val="2"/>
      </rPr>
      <t xml:space="preserve">轉折</t>
    </r>
    <r>
      <rPr>
        <b val="true"/>
        <sz val="12"/>
        <rFont val="Arial"/>
        <family val="0"/>
        <charset val="1"/>
      </rPr>
      <t xml:space="preserve">×5</t>
    </r>
    <r>
      <rPr>
        <b val="true"/>
        <sz val="12"/>
        <rFont val="WenQuanYi Zen Hei"/>
        <family val="2"/>
      </rPr>
      <t xml:space="preserve">族</t>
    </r>
    <r>
      <rPr>
        <b val="true"/>
        <sz val="12"/>
        <rFont val="Arial"/>
        <family val="0"/>
        <charset val="1"/>
      </rPr>
      <t xml:space="preserve">×</t>
    </r>
    <r>
      <rPr>
        <b val="true"/>
        <sz val="12"/>
        <rFont val="WenQuanYi Zen Hei"/>
        <family val="2"/>
      </rPr>
      <t xml:space="preserve">對抗性驗證</t>
    </r>
    <r>
      <rPr>
        <b val="true"/>
        <sz val="12"/>
        <rFont val="Arial"/>
        <family val="0"/>
        <charset val="1"/>
      </rPr>
      <t xml:space="preserve">) | </t>
    </r>
    <r>
      <rPr>
        <b val="true"/>
        <sz val="12"/>
        <rFont val="WenQuanYi Zen Hei"/>
        <family val="2"/>
      </rPr>
      <t xml:space="preserve">中位</t>
    </r>
    <r>
      <rPr>
        <b val="true"/>
        <sz val="12"/>
        <rFont val="Arial"/>
        <family val="0"/>
        <charset val="1"/>
      </rPr>
      <t xml:space="preserve">lead</t>
    </r>
    <r>
      <rPr>
        <b val="true"/>
        <sz val="12"/>
        <rFont val="WenQuanYi Zen Hei"/>
        <family val="2"/>
      </rPr>
      <t xml:space="preserve">越負越領先 </t>
    </r>
    <r>
      <rPr>
        <b val="true"/>
        <sz val="12"/>
        <rFont val="Arial"/>
        <family val="0"/>
        <charset val="1"/>
      </rPr>
      <t xml:space="preserve">| ⭐=A3.1 raster</t>
    </r>
    <r>
      <rPr>
        <b val="true"/>
        <sz val="12"/>
        <rFont val="WenQuanYi Zen Hei"/>
        <family val="2"/>
      </rPr>
      <t xml:space="preserve">入選</t>
    </r>
  </si>
  <si>
    <t xml:space="preserve">排名</t>
  </si>
  <si>
    <t xml:space="preserve">判定</t>
  </si>
  <si>
    <r>
      <rPr>
        <b val="true"/>
        <sz val="9"/>
        <rFont val="WenQuanYi Zen Hei"/>
        <family val="2"/>
      </rPr>
      <t xml:space="preserve">中位</t>
    </r>
    <r>
      <rPr>
        <b val="true"/>
        <sz val="9"/>
        <rFont val="Arial"/>
        <family val="0"/>
        <charset val="1"/>
      </rPr>
      <t xml:space="preserve">lead</t>
    </r>
  </si>
  <si>
    <t xml:space="preserve">命中</t>
  </si>
  <si>
    <r>
      <rPr>
        <b val="true"/>
        <sz val="9"/>
        <rFont val="Arial"/>
        <family val="0"/>
        <charset val="1"/>
      </rPr>
      <t xml:space="preserve">FP</t>
    </r>
    <r>
      <rPr>
        <b val="true"/>
        <sz val="9"/>
        <rFont val="WenQuanYi Zen Hei"/>
        <family val="2"/>
      </rPr>
      <t xml:space="preserve">率</t>
    </r>
  </si>
  <si>
    <t xml:space="preserve">⭐</t>
  </si>
  <si>
    <t xml:space="preserve">WEAK</t>
  </si>
  <si>
    <t xml:space="preserve">-83d</t>
  </si>
  <si>
    <t xml:space="preserve">T7/16 B0/0</t>
  </si>
  <si>
    <t xml:space="preserve">LEADING</t>
  </si>
  <si>
    <t xml:space="preserve">-82d</t>
  </si>
  <si>
    <t xml:space="preserve">T4/6 B0/0</t>
  </si>
  <si>
    <t xml:space="preserve">-80d</t>
  </si>
  <si>
    <t xml:space="preserve">T13/22 B0/0</t>
  </si>
  <si>
    <t xml:space="preserve">T5/16 B0/0</t>
  </si>
  <si>
    <t xml:space="preserve">-74d</t>
  </si>
  <si>
    <t xml:space="preserve">T4/22 B0/0</t>
  </si>
  <si>
    <t xml:space="preserve">-73d</t>
  </si>
  <si>
    <t xml:space="preserve">T14/22 B0/0</t>
  </si>
  <si>
    <t xml:space="preserve">-69d</t>
  </si>
  <si>
    <t xml:space="preserve">T6/6 B0/0</t>
  </si>
  <si>
    <t xml:space="preserve">-64d</t>
  </si>
  <si>
    <t xml:space="preserve">T2/6 B0/0</t>
  </si>
  <si>
    <t xml:space="preserve">T6/16 B0/0</t>
  </si>
  <si>
    <t xml:space="preserve">BOTH</t>
  </si>
  <si>
    <t xml:space="preserve">-60d</t>
  </si>
  <si>
    <t xml:space="preserve">T10/22 B16/22</t>
  </si>
  <si>
    <t xml:space="preserve">-56d</t>
  </si>
  <si>
    <t xml:space="preserve">T9/22 B15/22</t>
  </si>
  <si>
    <t xml:space="preserve">-55d</t>
  </si>
  <si>
    <t xml:space="preserve">T8/22 B5/22</t>
  </si>
  <si>
    <t xml:space="preserve">-51d</t>
  </si>
  <si>
    <t xml:space="preserve">T11/22 B0/0</t>
  </si>
  <si>
    <t xml:space="preserve">-44d</t>
  </si>
  <si>
    <t xml:space="preserve">T6/7 B0/0</t>
  </si>
  <si>
    <t xml:space="preserve">T0/0 B4/6</t>
  </si>
  <si>
    <t xml:space="preserve">T5/6 B0/0</t>
  </si>
  <si>
    <t xml:space="preserve">-43d</t>
  </si>
  <si>
    <t xml:space="preserve">T0/0 B5/6</t>
  </si>
  <si>
    <t xml:space="preserve">-36d</t>
  </si>
  <si>
    <t xml:space="preserve">T0/0 B2/16</t>
  </si>
  <si>
    <t xml:space="preserve">-34d</t>
  </si>
  <si>
    <t xml:space="preserve">T0/0 B12/16</t>
  </si>
  <si>
    <t xml:space="preserve">-32d</t>
  </si>
  <si>
    <t xml:space="preserve">T0/0 B18/22</t>
  </si>
  <si>
    <t xml:space="preserve">-29d</t>
  </si>
  <si>
    <t xml:space="preserve">-28d</t>
  </si>
  <si>
    <t xml:space="preserve">T0/0 B4/22</t>
  </si>
  <si>
    <t xml:space="preserve">-25d</t>
  </si>
  <si>
    <t xml:space="preserve">T2/22 B1/22</t>
  </si>
  <si>
    <t xml:space="preserve">-16d</t>
  </si>
  <si>
    <t xml:space="preserve">T1/7 B0/0</t>
  </si>
  <si>
    <r>
      <rPr>
        <sz val="9"/>
        <rFont val="Arial"/>
        <family val="0"/>
        <charset val="1"/>
      </rPr>
      <t xml:space="preserve">-12</t>
    </r>
    <r>
      <rPr>
        <sz val="9"/>
        <rFont val="WenQuanYi Zen Hei"/>
        <family val="2"/>
      </rPr>
      <t xml:space="preserve">月</t>
    </r>
  </si>
  <si>
    <t xml:space="preserve">T3/9 B5/9</t>
  </si>
  <si>
    <r>
      <rPr>
        <sz val="9"/>
        <rFont val="Arial"/>
        <family val="0"/>
        <charset val="1"/>
      </rPr>
      <t xml:space="preserve">-8</t>
    </r>
    <r>
      <rPr>
        <sz val="9"/>
        <rFont val="WenQuanYi Zen Hei"/>
        <family val="2"/>
      </rPr>
      <t xml:space="preserve">月</t>
    </r>
  </si>
  <si>
    <t xml:space="preserve">T8/9 B5/9</t>
  </si>
  <si>
    <r>
      <rPr>
        <sz val="9"/>
        <rFont val="Arial"/>
        <family val="0"/>
        <charset val="1"/>
      </rPr>
      <t xml:space="preserve">-7</t>
    </r>
    <r>
      <rPr>
        <sz val="9"/>
        <rFont val="WenQuanYi Zen Hei"/>
        <family val="2"/>
      </rPr>
      <t xml:space="preserve">月</t>
    </r>
  </si>
  <si>
    <t xml:space="preserve">T3/9 B6/9</t>
  </si>
  <si>
    <t xml:space="preserve">T5/9 B0/0</t>
  </si>
  <si>
    <t xml:space="preserve">T3/9 B0/0</t>
  </si>
  <si>
    <t xml:space="preserve">CONFIRMING</t>
  </si>
  <si>
    <r>
      <rPr>
        <sz val="9"/>
        <rFont val="Arial"/>
        <family val="0"/>
        <charset val="1"/>
      </rPr>
      <t xml:space="preserve">-6</t>
    </r>
    <r>
      <rPr>
        <sz val="9"/>
        <rFont val="WenQuanYi Zen Hei"/>
        <family val="2"/>
      </rPr>
      <t xml:space="preserve">月</t>
    </r>
  </si>
  <si>
    <t xml:space="preserve">T4/9 B0/0</t>
  </si>
  <si>
    <t xml:space="preserve">COINCIDENT</t>
  </si>
  <si>
    <t xml:space="preserve">-2d</t>
  </si>
  <si>
    <t xml:space="preserve">T0/0 B5/7</t>
  </si>
  <si>
    <t xml:space="preserve">volume_climax_reversal_spec</t>
  </si>
  <si>
    <t xml:space="preserve">+0d</t>
  </si>
  <si>
    <t xml:space="preserve">T0/0 B0/16</t>
  </si>
  <si>
    <r>
      <rPr>
        <b val="true"/>
        <sz val="12"/>
        <rFont val="WenQuanYi Zen Hei"/>
        <family val="2"/>
      </rPr>
      <t xml:space="preserve">主要轉折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WenQuanYi Zen Hei"/>
        <family val="2"/>
      </rPr>
      <t xml:space="preserve">指標 </t>
    </r>
    <r>
      <rPr>
        <b val="true"/>
        <sz val="12"/>
        <rFont val="Arial"/>
        <family val="0"/>
        <charset val="1"/>
      </rPr>
      <t xml:space="preserve">lead (</t>
    </r>
    <r>
      <rPr>
        <b val="true"/>
        <sz val="12"/>
        <rFont val="WenQuanYi Zen Hei"/>
        <family val="2"/>
      </rPr>
      <t xml:space="preserve">交易日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WenQuanYi Zen Hei"/>
        <family val="2"/>
      </rPr>
      <t xml:space="preserve">月度族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WenQuanYi Zen Hei"/>
        <family val="2"/>
      </rPr>
      <t xml:space="preserve">月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WenQuanYi Zen Hei"/>
        <family val="2"/>
      </rPr>
      <t xml:space="preserve">負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WenQuanYi Zen Hei"/>
        <family val="2"/>
      </rPr>
      <t xml:space="preserve">領先</t>
    </r>
    <r>
      <rPr>
        <b val="true"/>
        <sz val="12"/>
        <rFont val="Arial"/>
        <family val="0"/>
        <charset val="1"/>
      </rPr>
      <t xml:space="preserve">, </t>
    </r>
    <r>
      <rPr>
        <b val="true"/>
        <sz val="12"/>
        <rFont val="WenQuanYi Zen Hei"/>
        <family val="2"/>
      </rPr>
      <t xml:space="preserve">空</t>
    </r>
    <r>
      <rPr>
        <b val="true"/>
        <sz val="12"/>
        <rFont val="Arial"/>
        <family val="0"/>
        <charset val="1"/>
      </rPr>
      <t xml:space="preserve">=</t>
    </r>
    <r>
      <rPr>
        <b val="true"/>
        <sz val="12"/>
        <rFont val="WenQuanYi Zen Hei"/>
        <family val="2"/>
      </rPr>
      <t xml:space="preserve">無訊號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WenQuanYi Zen Hei"/>
        <family val="2"/>
      </rPr>
      <t xml:space="preserve">不在覆蓋期</t>
    </r>
    <r>
      <rPr>
        <b val="true"/>
        <sz val="12"/>
        <rFont val="Arial"/>
        <family val="0"/>
        <charset val="1"/>
      </rPr>
      <t xml:space="preserve">)</t>
    </r>
  </si>
  <si>
    <t xml:space="preserve">轉折日期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</si>
</sst>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\+0.0%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WenQuanYi Zen Hei"/>
      <family val="2"/>
    </font>
    <font>
      <sz val="9"/>
      <name val="Arial"/>
      <family val="0"/>
      <charset val="1"/>
    </font>
    <font>
      <b val="true"/>
      <sz val="9"/>
      <name val="WenQuanYi Zen Hei"/>
      <family val="2"/>
    </font>
    <font>
      <sz val="9"/>
      <name val="WenQuanYi Zen Hei"/>
      <family val="2"/>
    </font>
    <font>
      <b val="true"/>
      <sz val="9"/>
      <name val="Arial"/>
      <family val="0"/>
      <charset val="1"/>
    </font>
    <font>
      <sz val="9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0"/>
  </cols>
  <sheetData>
    <row r="1" customFormat="false" ht="16.4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5.35" hidden="false" customHeight="false" outlineLevel="0" collapsed="false">
      <c r="A3" s="4" t="s">
        <v>3</v>
      </c>
      <c r="B3" s="2" t="s">
        <v>4</v>
      </c>
    </row>
    <row r="4" customFormat="false" ht="15" hidden="false" customHeight="false" outlineLevel="0" collapsed="false">
      <c r="A4" s="4" t="s">
        <v>5</v>
      </c>
      <c r="B4" s="2" t="s">
        <v>6</v>
      </c>
    </row>
    <row r="5" customFormat="false" ht="15" hidden="false" customHeight="false" outlineLevel="0" collapsed="false">
      <c r="A5" s="3" t="s">
        <v>7</v>
      </c>
      <c r="B5" s="2" t="s">
        <v>8</v>
      </c>
    </row>
    <row r="6" customFormat="false" ht="15" hidden="false" customHeight="false" outlineLevel="0" collapsed="false">
      <c r="A6" s="3" t="s">
        <v>9</v>
      </c>
      <c r="B6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6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5" min="2" style="0" width="9"/>
    <col collapsed="false" customWidth="true" hidden="false" outlineLevel="0" max="26" min="26" style="0" width="11"/>
    <col collapsed="false" customWidth="true" hidden="false" outlineLevel="0" max="27" min="27" style="0" width="8"/>
    <col collapsed="false" customWidth="true" hidden="false" outlineLevel="0" max="29" min="28" style="0" width="7"/>
  </cols>
  <sheetData>
    <row r="1" customFormat="false" ht="16.4" hidden="false" customHeight="false" outlineLevel="0" collapsed="false">
      <c r="A1" s="1" t="s">
        <v>11</v>
      </c>
    </row>
    <row r="2" customFormat="false" ht="15" hidden="false" customHeight="false" outlineLevel="0" collapsed="false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  <c r="O2" s="6" t="s">
        <v>26</v>
      </c>
      <c r="P2" s="5" t="s">
        <v>27</v>
      </c>
      <c r="Q2" s="5" t="s">
        <v>28</v>
      </c>
      <c r="R2" s="6" t="s">
        <v>29</v>
      </c>
      <c r="S2" s="6" t="s">
        <v>30</v>
      </c>
      <c r="T2" s="6" t="s">
        <v>31</v>
      </c>
      <c r="U2" s="6" t="s">
        <v>32</v>
      </c>
      <c r="V2" s="6" t="s">
        <v>33</v>
      </c>
      <c r="W2" s="6" t="s">
        <v>34</v>
      </c>
      <c r="X2" s="6" t="s">
        <v>35</v>
      </c>
      <c r="Y2" s="6" t="s">
        <v>36</v>
      </c>
      <c r="Z2" s="5" t="s">
        <v>37</v>
      </c>
      <c r="AA2" s="5" t="s">
        <v>38</v>
      </c>
      <c r="AB2" s="5" t="s">
        <v>39</v>
      </c>
      <c r="AC2" s="5" t="s">
        <v>40</v>
      </c>
    </row>
    <row r="3" customFormat="false" ht="15" hidden="false" customHeight="false" outlineLevel="0" collapsed="false">
      <c r="A3" s="7" t="s">
        <v>41</v>
      </c>
      <c r="B3" s="7" t="n">
        <v>8802.22</v>
      </c>
      <c r="C3" s="7" t="n">
        <v>8873.63</v>
      </c>
      <c r="D3" s="7" t="n">
        <v>8786.9</v>
      </c>
      <c r="E3" s="7" t="n">
        <v>8872.22</v>
      </c>
      <c r="F3" s="7" t="n">
        <v>2863</v>
      </c>
      <c r="Z3" s="8" t="s">
        <v>42</v>
      </c>
      <c r="AA3" s="7" t="str">
        <f aca="false">IFERROR(INDEX(02_轉折點45!B:B,MATCH(A3,02_轉折點45!A:A,0)),"")</f>
        <v/>
      </c>
      <c r="AB3" s="7" t="n">
        <f aca="false">COUNTIFS(05_訊號明細!A:A,A3,05_訊號明細!C:C,"TOP")</f>
        <v>1</v>
      </c>
      <c r="AC3" s="7" t="n">
        <f aca="false">COUNTIFS(05_訊號明細!A:A,A3,05_訊號明細!C:C,"BOTTOM")</f>
        <v>0</v>
      </c>
    </row>
    <row r="4" customFormat="false" ht="15" hidden="false" customHeight="false" outlineLevel="0" collapsed="false">
      <c r="A4" s="7" t="s">
        <v>43</v>
      </c>
      <c r="B4" s="7" t="n">
        <v>8755.17</v>
      </c>
      <c r="C4" s="7" t="n">
        <v>8843.65</v>
      </c>
      <c r="D4" s="7" t="n">
        <v>8755.17</v>
      </c>
      <c r="E4" s="7" t="n">
        <v>8793.9</v>
      </c>
      <c r="F4" s="7" t="n">
        <v>2587</v>
      </c>
      <c r="P4" s="7" t="n">
        <f aca="false">MAX(E4-E3,0)</f>
        <v>0</v>
      </c>
      <c r="Q4" s="7" t="n">
        <f aca="false">MAX(E3-E4,0)</f>
        <v>78.3199999999997</v>
      </c>
      <c r="Z4" s="8" t="s">
        <v>42</v>
      </c>
      <c r="AA4" s="7" t="str">
        <f aca="false">IFERROR(INDEX(02_轉折點45!B:B,MATCH(A4,02_轉折點45!A:A,0)),"")</f>
        <v/>
      </c>
      <c r="AB4" s="7" t="n">
        <f aca="false">COUNTIFS(05_訊號明細!A:A,A4,05_訊號明細!C:C,"TOP")</f>
        <v>0</v>
      </c>
      <c r="AC4" s="7" t="n">
        <f aca="false">COUNTIFS(05_訊號明細!A:A,A4,05_訊號明細!C:C,"BOTTOM")</f>
        <v>0</v>
      </c>
    </row>
    <row r="5" customFormat="false" ht="15" hidden="false" customHeight="false" outlineLevel="0" collapsed="false">
      <c r="A5" s="7" t="s">
        <v>44</v>
      </c>
      <c r="B5" s="7" t="n">
        <v>8713.89</v>
      </c>
      <c r="C5" s="7" t="n">
        <v>8849.98</v>
      </c>
      <c r="D5" s="7" t="n">
        <v>8713.89</v>
      </c>
      <c r="E5" s="7" t="n">
        <v>8848.52</v>
      </c>
      <c r="F5" s="7" t="n">
        <v>2810</v>
      </c>
      <c r="P5" s="7" t="n">
        <f aca="false">MAX(E5-E4,0)</f>
        <v>54.6200000000008</v>
      </c>
      <c r="Q5" s="7" t="n">
        <f aca="false">MAX(E4-E5,0)</f>
        <v>0</v>
      </c>
      <c r="Z5" s="8" t="s">
        <v>42</v>
      </c>
      <c r="AA5" s="7" t="str">
        <f aca="false">IFERROR(INDEX(02_轉折點45!B:B,MATCH(A5,02_轉折點45!A:A,0)),"")</f>
        <v/>
      </c>
      <c r="AB5" s="7" t="n">
        <f aca="false">COUNTIFS(05_訊號明細!A:A,A5,05_訊號明細!C:C,"TOP")</f>
        <v>0</v>
      </c>
      <c r="AC5" s="7" t="n">
        <f aca="false">COUNTIFS(05_訊號明細!A:A,A5,05_訊號明細!C:C,"BOTTOM")</f>
        <v>0</v>
      </c>
    </row>
    <row r="6" customFormat="false" ht="15" hidden="false" customHeight="false" outlineLevel="0" collapsed="false">
      <c r="A6" s="7" t="s">
        <v>45</v>
      </c>
      <c r="B6" s="7" t="n">
        <v>8857.14</v>
      </c>
      <c r="C6" s="7" t="n">
        <v>8872.47</v>
      </c>
      <c r="D6" s="7" t="n">
        <v>8821.68</v>
      </c>
      <c r="E6" s="7" t="n">
        <v>8846.45</v>
      </c>
      <c r="F6" s="7" t="n">
        <v>2382</v>
      </c>
      <c r="P6" s="7" t="n">
        <f aca="false">MAX(E6-E5,0)</f>
        <v>0</v>
      </c>
      <c r="Q6" s="7" t="n">
        <f aca="false">MAX(E5-E6,0)</f>
        <v>2.06999999999971</v>
      </c>
      <c r="Z6" s="8" t="s">
        <v>42</v>
      </c>
      <c r="AA6" s="7" t="str">
        <f aca="false">IFERROR(INDEX(02_轉折點45!B:B,MATCH(A6,02_轉折點45!A:A,0)),"")</f>
        <v/>
      </c>
      <c r="AB6" s="7" t="n">
        <f aca="false">COUNTIFS(05_訊號明細!A:A,A6,05_訊號明細!C:C,"TOP")</f>
        <v>0</v>
      </c>
      <c r="AC6" s="7" t="n">
        <f aca="false">COUNTIFS(05_訊號明細!A:A,A6,05_訊號明細!C:C,"BOTTOM")</f>
        <v>0</v>
      </c>
    </row>
    <row r="7" customFormat="false" ht="15" hidden="false" customHeight="false" outlineLevel="0" collapsed="false">
      <c r="A7" s="7" t="s">
        <v>46</v>
      </c>
      <c r="B7" s="7" t="n">
        <v>8845.45</v>
      </c>
      <c r="C7" s="7" t="n">
        <v>8953.55</v>
      </c>
      <c r="D7" s="7" t="n">
        <v>8834.94</v>
      </c>
      <c r="E7" s="7" t="n">
        <v>8912.37</v>
      </c>
      <c r="F7" s="7" t="n">
        <v>2473</v>
      </c>
      <c r="G7" s="7" t="n">
        <f aca="false">AVERAGE(E3:E7)</f>
        <v>8854.692</v>
      </c>
      <c r="P7" s="7" t="n">
        <f aca="false">MAX(E7-E6,0)</f>
        <v>65.9200000000001</v>
      </c>
      <c r="Q7" s="7" t="n">
        <f aca="false">MAX(E6-E7,0)</f>
        <v>0</v>
      </c>
      <c r="Z7" s="8" t="s">
        <v>42</v>
      </c>
      <c r="AA7" s="7" t="str">
        <f aca="false">IFERROR(INDEX(02_轉折點45!B:B,MATCH(A7,02_轉折點45!A:A,0)),"")</f>
        <v/>
      </c>
      <c r="AB7" s="7" t="n">
        <f aca="false">COUNTIFS(05_訊號明細!A:A,A7,05_訊號明細!C:C,"TOP")</f>
        <v>1</v>
      </c>
      <c r="AC7" s="7" t="n">
        <f aca="false">COUNTIFS(05_訊號明細!A:A,A7,05_訊號明細!C:C,"BOTTOM")</f>
        <v>0</v>
      </c>
    </row>
    <row r="8" customFormat="false" ht="15" hidden="false" customHeight="false" outlineLevel="0" collapsed="false">
      <c r="A8" s="7" t="s">
        <v>47</v>
      </c>
      <c r="B8" s="7" t="n">
        <v>8990.04</v>
      </c>
      <c r="C8" s="7" t="n">
        <v>9004.55</v>
      </c>
      <c r="D8" s="7" t="n">
        <v>8938.53</v>
      </c>
      <c r="E8" s="7" t="n">
        <v>8989.63</v>
      </c>
      <c r="F8" s="7" t="n">
        <v>2541</v>
      </c>
      <c r="G8" s="7" t="n">
        <f aca="false">AVERAGE(E4:E8)</f>
        <v>8878.174</v>
      </c>
      <c r="P8" s="7" t="n">
        <f aca="false">MAX(E8-E7,0)</f>
        <v>77.2599999999984</v>
      </c>
      <c r="Q8" s="7" t="n">
        <f aca="false">MAX(E7-E8,0)</f>
        <v>0</v>
      </c>
      <c r="Z8" s="8" t="s">
        <v>42</v>
      </c>
      <c r="AA8" s="7" t="str">
        <f aca="false">IFERROR(INDEX(02_轉折點45!B:B,MATCH(A8,02_轉折點45!A:A,0)),"")</f>
        <v/>
      </c>
      <c r="AB8" s="7" t="n">
        <f aca="false">COUNTIFS(05_訊號明細!A:A,A8,05_訊號明細!C:C,"TOP")</f>
        <v>0</v>
      </c>
      <c r="AC8" s="7" t="n">
        <f aca="false">COUNTIFS(05_訊號明細!A:A,A8,05_訊號明細!C:C,"BOTTOM")</f>
        <v>0</v>
      </c>
    </row>
    <row r="9" customFormat="false" ht="15" hidden="false" customHeight="false" outlineLevel="0" collapsed="false">
      <c r="A9" s="7" t="s">
        <v>48</v>
      </c>
      <c r="B9" s="7" t="n">
        <v>9021.88</v>
      </c>
      <c r="C9" s="7" t="n">
        <v>9024.87</v>
      </c>
      <c r="D9" s="7" t="n">
        <v>8951.83</v>
      </c>
      <c r="E9" s="7" t="n">
        <v>8966.64</v>
      </c>
      <c r="F9" s="7" t="n">
        <v>2383</v>
      </c>
      <c r="G9" s="7" t="n">
        <f aca="false">AVERAGE(E5:E9)</f>
        <v>8912.722</v>
      </c>
      <c r="P9" s="7" t="n">
        <f aca="false">MAX(E9-E8,0)</f>
        <v>0</v>
      </c>
      <c r="Q9" s="7" t="n">
        <f aca="false">MAX(E8-E9,0)</f>
        <v>22.9899999999998</v>
      </c>
      <c r="Z9" s="8" t="s">
        <v>42</v>
      </c>
      <c r="AA9" s="7" t="str">
        <f aca="false">IFERROR(INDEX(02_轉折點45!B:B,MATCH(A9,02_轉折點45!A:A,0)),"")</f>
        <v/>
      </c>
      <c r="AB9" s="7" t="n">
        <f aca="false">COUNTIFS(05_訊號明細!A:A,A9,05_訊號明細!C:C,"TOP")</f>
        <v>0</v>
      </c>
      <c r="AC9" s="7" t="n">
        <f aca="false">COUNTIFS(05_訊號明細!A:A,A9,05_訊號明細!C:C,"BOTTOM")</f>
        <v>0</v>
      </c>
    </row>
    <row r="10" customFormat="false" ht="15" hidden="false" customHeight="false" outlineLevel="0" collapsed="false">
      <c r="A10" s="7" t="s">
        <v>49</v>
      </c>
      <c r="B10" s="7" t="n">
        <v>9007.94</v>
      </c>
      <c r="C10" s="7" t="n">
        <v>9071.53</v>
      </c>
      <c r="D10" s="7" t="n">
        <v>8991.35</v>
      </c>
      <c r="E10" s="7" t="n">
        <v>9070.65</v>
      </c>
      <c r="F10" s="7" t="n">
        <v>2537</v>
      </c>
      <c r="G10" s="7" t="n">
        <f aca="false">AVERAGE(E6:E10)</f>
        <v>8957.148</v>
      </c>
      <c r="P10" s="7" t="n">
        <f aca="false">MAX(E10-E9,0)</f>
        <v>104.01</v>
      </c>
      <c r="Q10" s="7" t="n">
        <f aca="false">MAX(E9-E10,0)</f>
        <v>0</v>
      </c>
      <c r="Z10" s="8" t="s">
        <v>42</v>
      </c>
      <c r="AA10" s="7" t="str">
        <f aca="false">IFERROR(INDEX(02_轉折點45!B:B,MATCH(A10,02_轉折點45!A:A,0)),"")</f>
        <v/>
      </c>
      <c r="AB10" s="7" t="n">
        <f aca="false">COUNTIFS(05_訊號明細!A:A,A10,05_訊號明細!C:C,"TOP")</f>
        <v>1</v>
      </c>
      <c r="AC10" s="7" t="n">
        <f aca="false">COUNTIFS(05_訊號明細!A:A,A10,05_訊號明細!C:C,"BOTTOM")</f>
        <v>0</v>
      </c>
    </row>
    <row r="11" customFormat="false" ht="15" hidden="false" customHeight="false" outlineLevel="0" collapsed="false">
      <c r="A11" s="7" t="s">
        <v>50</v>
      </c>
      <c r="B11" s="7" t="n">
        <v>9068.02</v>
      </c>
      <c r="C11" s="7" t="n">
        <v>9080.16</v>
      </c>
      <c r="D11" s="7" t="n">
        <v>9020.92</v>
      </c>
      <c r="E11" s="7" t="n">
        <v>9033.42</v>
      </c>
      <c r="F11" s="7" t="n">
        <v>2553</v>
      </c>
      <c r="G11" s="7" t="n">
        <f aca="false">AVERAGE(E7:E11)</f>
        <v>8994.542</v>
      </c>
      <c r="P11" s="7" t="n">
        <f aca="false">MAX(E11-E10,0)</f>
        <v>0</v>
      </c>
      <c r="Q11" s="7" t="n">
        <f aca="false">MAX(E10-E11,0)</f>
        <v>37.2299999999996</v>
      </c>
      <c r="Z11" s="8" t="s">
        <v>42</v>
      </c>
      <c r="AA11" s="7" t="str">
        <f aca="false">IFERROR(INDEX(02_轉折點45!B:B,MATCH(A11,02_轉折點45!A:A,0)),"")</f>
        <v/>
      </c>
      <c r="AB11" s="7" t="n">
        <f aca="false">COUNTIFS(05_訊號明細!A:A,A11,05_訊號明細!C:C,"TOP")</f>
        <v>0</v>
      </c>
      <c r="AC11" s="7" t="n">
        <f aca="false">COUNTIFS(05_訊號明細!A:A,A11,05_訊號明細!C:C,"BOTTOM")</f>
        <v>0</v>
      </c>
    </row>
    <row r="12" customFormat="false" ht="15" hidden="false" customHeight="false" outlineLevel="0" collapsed="false">
      <c r="A12" s="7" t="s">
        <v>51</v>
      </c>
      <c r="B12" s="7" t="n">
        <v>9039.31</v>
      </c>
      <c r="C12" s="7" t="n">
        <v>9078.87</v>
      </c>
      <c r="D12" s="7" t="n">
        <v>9008.95</v>
      </c>
      <c r="E12" s="7" t="n">
        <v>9035.67</v>
      </c>
      <c r="F12" s="7" t="n">
        <v>2443</v>
      </c>
      <c r="G12" s="7" t="n">
        <f aca="false">AVERAGE(E8:E12)</f>
        <v>9019.202</v>
      </c>
      <c r="H12" s="7" t="n">
        <f aca="false">AVERAGE(E3:E12)</f>
        <v>8936.947</v>
      </c>
      <c r="P12" s="7" t="n">
        <f aca="false">MAX(E12-E11,0)</f>
        <v>2.25</v>
      </c>
      <c r="Q12" s="7" t="n">
        <f aca="false">MAX(E11-E12,0)</f>
        <v>0</v>
      </c>
      <c r="Z12" s="8" t="s">
        <v>42</v>
      </c>
      <c r="AA12" s="7" t="str">
        <f aca="false">IFERROR(INDEX(02_轉折點45!B:B,MATCH(A12,02_轉折點45!A:A,0)),"")</f>
        <v/>
      </c>
      <c r="AB12" s="7" t="n">
        <f aca="false">COUNTIFS(05_訊號明細!A:A,A12,05_訊號明細!C:C,"TOP")</f>
        <v>0</v>
      </c>
      <c r="AC12" s="7" t="n">
        <f aca="false">COUNTIFS(05_訊號明細!A:A,A12,05_訊號明細!C:C,"BOTTOM")</f>
        <v>0</v>
      </c>
    </row>
    <row r="13" customFormat="false" ht="15" hidden="false" customHeight="false" outlineLevel="0" collapsed="false">
      <c r="A13" s="7" t="s">
        <v>52</v>
      </c>
      <c r="B13" s="7" t="n">
        <v>9088.08</v>
      </c>
      <c r="C13" s="7" t="n">
        <v>9126.07</v>
      </c>
      <c r="D13" s="7" t="n">
        <v>9066.31</v>
      </c>
      <c r="E13" s="7" t="n">
        <v>9125</v>
      </c>
      <c r="F13" s="7" t="n">
        <v>2312</v>
      </c>
      <c r="G13" s="7" t="n">
        <f aca="false">AVERAGE(E9:E13)</f>
        <v>9046.276</v>
      </c>
      <c r="H13" s="7" t="n">
        <f aca="false">AVERAGE(E4:E13)</f>
        <v>8962.225</v>
      </c>
      <c r="P13" s="7" t="n">
        <f aca="false">MAX(E13-E12,0)</f>
        <v>89.3299999999999</v>
      </c>
      <c r="Q13" s="7" t="n">
        <f aca="false">MAX(E12-E13,0)</f>
        <v>0</v>
      </c>
      <c r="Z13" s="8" t="s">
        <v>42</v>
      </c>
      <c r="AA13" s="7" t="str">
        <f aca="false">IFERROR(INDEX(02_轉折點45!B:B,MATCH(A13,02_轉折點45!A:A,0)),"")</f>
        <v/>
      </c>
      <c r="AB13" s="7" t="n">
        <f aca="false">COUNTIFS(05_訊號明細!A:A,A13,05_訊號明細!C:C,"TOP")</f>
        <v>0</v>
      </c>
      <c r="AC13" s="7" t="n">
        <f aca="false">COUNTIFS(05_訊號明細!A:A,A13,05_訊號明細!C:C,"BOTTOM")</f>
        <v>0</v>
      </c>
    </row>
    <row r="14" customFormat="false" ht="15" hidden="false" customHeight="false" outlineLevel="0" collapsed="false">
      <c r="A14" s="7" t="s">
        <v>53</v>
      </c>
      <c r="B14" s="7" t="n">
        <v>9159.48</v>
      </c>
      <c r="C14" s="7" t="n">
        <v>9176.47</v>
      </c>
      <c r="D14" s="7" t="n">
        <v>9118.98</v>
      </c>
      <c r="E14" s="7" t="n">
        <v>9173.73</v>
      </c>
      <c r="F14" s="7" t="n">
        <v>2543</v>
      </c>
      <c r="G14" s="7" t="n">
        <f aca="false">AVERAGE(E10:E14)</f>
        <v>9087.694</v>
      </c>
      <c r="H14" s="7" t="n">
        <f aca="false">AVERAGE(E5:E14)</f>
        <v>9000.208</v>
      </c>
      <c r="P14" s="7" t="n">
        <f aca="false">MAX(E14-E13,0)</f>
        <v>48.7299999999996</v>
      </c>
      <c r="Q14" s="7" t="n">
        <f aca="false">MAX(E13-E14,0)</f>
        <v>0</v>
      </c>
      <c r="U14" s="7" t="n">
        <f aca="false">AVERAGE(E3:E14)</f>
        <v>8972.35</v>
      </c>
      <c r="Z14" s="8" t="s">
        <v>42</v>
      </c>
      <c r="AA14" s="7" t="str">
        <f aca="false">IFERROR(INDEX(02_轉折點45!B:B,MATCH(A14,02_轉折點45!A:A,0)),"")</f>
        <v/>
      </c>
      <c r="AB14" s="7" t="n">
        <f aca="false">COUNTIFS(05_訊號明細!A:A,A14,05_訊號明細!C:C,"TOP")</f>
        <v>0</v>
      </c>
      <c r="AC14" s="7" t="n">
        <f aca="false">COUNTIFS(05_訊號明細!A:A,A14,05_訊號明細!C:C,"BOTTOM")</f>
        <v>0</v>
      </c>
    </row>
    <row r="15" customFormat="false" ht="15" hidden="false" customHeight="false" outlineLevel="0" collapsed="false">
      <c r="A15" s="7" t="s">
        <v>54</v>
      </c>
      <c r="B15" s="7" t="n">
        <v>9145.64</v>
      </c>
      <c r="C15" s="7" t="n">
        <v>9187.42</v>
      </c>
      <c r="D15" s="7" t="n">
        <v>9141.78</v>
      </c>
      <c r="E15" s="7" t="n">
        <v>9166.63</v>
      </c>
      <c r="F15" s="7" t="n">
        <v>2687</v>
      </c>
      <c r="G15" s="7" t="n">
        <f aca="false">AVERAGE(E11:E15)</f>
        <v>9106.89</v>
      </c>
      <c r="H15" s="7" t="n">
        <f aca="false">AVERAGE(E6:E15)</f>
        <v>9032.019</v>
      </c>
      <c r="P15" s="7" t="n">
        <f aca="false">MAX(E15-E14,0)</f>
        <v>0</v>
      </c>
      <c r="Q15" s="7" t="n">
        <f aca="false">MAX(E14-E15,0)</f>
        <v>7.10000000000036</v>
      </c>
      <c r="U15" s="7" t="n">
        <f aca="false">E15*2/13+U14*11/13</f>
        <v>9002.23923076923</v>
      </c>
      <c r="Z15" s="8" t="s">
        <v>42</v>
      </c>
      <c r="AA15" s="7" t="str">
        <f aca="false">IFERROR(INDEX(02_轉折點45!B:B,MATCH(A15,02_轉折點45!A:A,0)),"")</f>
        <v/>
      </c>
      <c r="AB15" s="7" t="n">
        <f aca="false">COUNTIFS(05_訊號明細!A:A,A15,05_訊號明細!C:C,"TOP")</f>
        <v>0</v>
      </c>
      <c r="AC15" s="7" t="n">
        <f aca="false">COUNTIFS(05_訊號明細!A:A,A15,05_訊號明細!C:C,"BOTTOM")</f>
        <v>0</v>
      </c>
    </row>
    <row r="16" customFormat="false" ht="15" hidden="false" customHeight="false" outlineLevel="0" collapsed="false">
      <c r="A16" s="7" t="s">
        <v>55</v>
      </c>
      <c r="B16" s="7" t="n">
        <v>9212.35</v>
      </c>
      <c r="C16" s="7" t="n">
        <v>9242.48</v>
      </c>
      <c r="D16" s="7" t="n">
        <v>9179.27</v>
      </c>
      <c r="E16" s="7" t="n">
        <v>9188.58</v>
      </c>
      <c r="F16" s="7" t="n">
        <v>2455</v>
      </c>
      <c r="G16" s="7" t="n">
        <f aca="false">AVERAGE(E12:E16)</f>
        <v>9137.922</v>
      </c>
      <c r="H16" s="7" t="n">
        <f aca="false">AVERAGE(E7:E16)</f>
        <v>9066.232</v>
      </c>
      <c r="P16" s="7" t="n">
        <f aca="false">MAX(E16-E15,0)</f>
        <v>21.9500000000007</v>
      </c>
      <c r="Q16" s="7" t="n">
        <f aca="false">MAX(E15-E16,0)</f>
        <v>0</v>
      </c>
      <c r="U16" s="7" t="n">
        <f aca="false">E16*2/13+U15*11/13</f>
        <v>9030.90704142012</v>
      </c>
      <c r="Z16" s="8" t="s">
        <v>42</v>
      </c>
      <c r="AA16" s="7" t="str">
        <f aca="false">IFERROR(INDEX(02_轉折點45!B:B,MATCH(A16,02_轉折點45!A:A,0)),"")</f>
        <v/>
      </c>
      <c r="AB16" s="7" t="n">
        <f aca="false">COUNTIFS(05_訊號明細!A:A,A16,05_訊號明細!C:C,"TOP")</f>
        <v>0</v>
      </c>
      <c r="AC16" s="7" t="n">
        <f aca="false">COUNTIFS(05_訊號明細!A:A,A16,05_訊號明細!C:C,"BOTTOM")</f>
        <v>0</v>
      </c>
    </row>
    <row r="17" customFormat="false" ht="15" hidden="false" customHeight="false" outlineLevel="0" collapsed="false">
      <c r="A17" s="7" t="s">
        <v>56</v>
      </c>
      <c r="B17" s="7" t="n">
        <v>9186.14</v>
      </c>
      <c r="C17" s="7" t="n">
        <v>9221.13</v>
      </c>
      <c r="D17" s="7" t="n">
        <v>9145.23</v>
      </c>
      <c r="E17" s="7" t="n">
        <v>9216.98</v>
      </c>
      <c r="F17" s="7" t="n">
        <v>2466</v>
      </c>
      <c r="G17" s="7" t="n">
        <f aca="false">AVERAGE(E13:E17)</f>
        <v>9174.184</v>
      </c>
      <c r="H17" s="7" t="n">
        <f aca="false">AVERAGE(E8:E17)</f>
        <v>9096.693</v>
      </c>
      <c r="P17" s="7" t="n">
        <f aca="false">MAX(E17-E16,0)</f>
        <v>28.3999999999996</v>
      </c>
      <c r="Q17" s="7" t="n">
        <f aca="false">MAX(E16-E17,0)</f>
        <v>0</v>
      </c>
      <c r="R17" s="7" t="n">
        <f aca="false">AVERAGE(P4:P17)</f>
        <v>35.1764285714285</v>
      </c>
      <c r="S17" s="7" t="n">
        <f aca="false">AVERAGE(Q4:Q17)</f>
        <v>10.5507142857142</v>
      </c>
      <c r="T17" s="7" t="n">
        <f aca="false">IF(S17=0,100,100-100/(1+R17/S17))</f>
        <v>76.9268018369834</v>
      </c>
      <c r="U17" s="7" t="n">
        <f aca="false">E17*2/13+U16*11/13</f>
        <v>9059.53365043241</v>
      </c>
      <c r="Z17" s="8" t="s">
        <v>42</v>
      </c>
      <c r="AA17" s="7" t="str">
        <f aca="false">IFERROR(INDEX(02_轉折點45!B:B,MATCH(A17,02_轉折點45!A:A,0)),"")</f>
        <v/>
      </c>
      <c r="AB17" s="7" t="n">
        <f aca="false">COUNTIFS(05_訊號明細!A:A,A17,05_訊號明細!C:C,"TOP")</f>
        <v>0</v>
      </c>
      <c r="AC17" s="7" t="n">
        <f aca="false">COUNTIFS(05_訊號明細!A:A,A17,05_訊號明細!C:C,"BOTTOM")</f>
        <v>0</v>
      </c>
    </row>
    <row r="18" customFormat="false" ht="15" hidden="false" customHeight="false" outlineLevel="0" collapsed="false">
      <c r="A18" s="7" t="s">
        <v>57</v>
      </c>
      <c r="B18" s="7" t="n">
        <v>9266.35</v>
      </c>
      <c r="C18" s="7" t="n">
        <v>9272.37</v>
      </c>
      <c r="D18" s="7" t="n">
        <v>9101.44</v>
      </c>
      <c r="E18" s="7" t="n">
        <v>9141.47</v>
      </c>
      <c r="F18" s="7" t="n">
        <v>2623</v>
      </c>
      <c r="G18" s="7" t="n">
        <f aca="false">AVERAGE(E14:E18)</f>
        <v>9177.478</v>
      </c>
      <c r="H18" s="7" t="n">
        <f aca="false">AVERAGE(E9:E18)</f>
        <v>9111.877</v>
      </c>
      <c r="P18" s="7" t="n">
        <f aca="false">MAX(E18-E17,0)</f>
        <v>0</v>
      </c>
      <c r="Q18" s="7" t="n">
        <f aca="false">MAX(E17-E18,0)</f>
        <v>75.5100000000002</v>
      </c>
      <c r="R18" s="7" t="n">
        <f aca="false">(R17*13+P18)/14</f>
        <v>32.6638265306122</v>
      </c>
      <c r="S18" s="7" t="n">
        <f aca="false">(S17*13+Q18)/14</f>
        <v>15.1906632653061</v>
      </c>
      <c r="T18" s="7" t="n">
        <f aca="false">IF(S18=0,100,100-100/(1+R18/S18))</f>
        <v>68.2565558005348</v>
      </c>
      <c r="U18" s="7" t="n">
        <f aca="false">E18*2/13+U17*11/13</f>
        <v>9072.13924267358</v>
      </c>
      <c r="Z18" s="8" t="s">
        <v>42</v>
      </c>
      <c r="AA18" s="7" t="str">
        <f aca="false">IFERROR(INDEX(02_轉折點45!B:B,MATCH(A18,02_轉折點45!A:A,0)),"")</f>
        <v/>
      </c>
      <c r="AB18" s="7" t="n">
        <f aca="false">COUNTIFS(05_訊號明細!A:A,A18,05_訊號明細!C:C,"TOP")</f>
        <v>0</v>
      </c>
      <c r="AC18" s="7" t="n">
        <f aca="false">COUNTIFS(05_訊號明細!A:A,A18,05_訊號明細!C:C,"BOTTOM")</f>
        <v>0</v>
      </c>
    </row>
    <row r="19" customFormat="false" ht="15" hidden="false" customHeight="false" outlineLevel="0" collapsed="false">
      <c r="A19" s="7" t="s">
        <v>58</v>
      </c>
      <c r="B19" s="7" t="n">
        <v>8913.16</v>
      </c>
      <c r="C19" s="7" t="n">
        <v>9001.44</v>
      </c>
      <c r="D19" s="7" t="n">
        <v>8910.97</v>
      </c>
      <c r="E19" s="7" t="n">
        <v>8952.18</v>
      </c>
      <c r="F19" s="7" t="n">
        <v>2594</v>
      </c>
      <c r="G19" s="7" t="n">
        <f aca="false">AVERAGE(E15:E19)</f>
        <v>9133.168</v>
      </c>
      <c r="H19" s="7" t="n">
        <f aca="false">AVERAGE(E10:E19)</f>
        <v>9110.431</v>
      </c>
      <c r="P19" s="7" t="n">
        <f aca="false">MAX(E19-E18,0)</f>
        <v>0</v>
      </c>
      <c r="Q19" s="7" t="n">
        <f aca="false">MAX(E18-E19,0)</f>
        <v>189.289999999999</v>
      </c>
      <c r="R19" s="7" t="n">
        <f aca="false">(R18*13+P19)/14</f>
        <v>30.3306960641399</v>
      </c>
      <c r="S19" s="7" t="n">
        <f aca="false">(S18*13+Q19)/14</f>
        <v>27.626330174927</v>
      </c>
      <c r="T19" s="7" t="n">
        <f aca="false">IF(S19=0,100,100-100/(1+R19/S19))</f>
        <v>52.3330785451773</v>
      </c>
      <c r="U19" s="7" t="n">
        <f aca="false">E19*2/13+U18*11/13</f>
        <v>9053.68397456995</v>
      </c>
      <c r="Z19" s="8" t="s">
        <v>42</v>
      </c>
      <c r="AA19" s="7" t="str">
        <f aca="false">IFERROR(INDEX(02_轉折點45!B:B,MATCH(A19,02_轉折點45!A:A,0)),"")</f>
        <v/>
      </c>
      <c r="AB19" s="7" t="n">
        <f aca="false">COUNTIFS(05_訊號明細!A:A,A19,05_訊號明細!C:C,"TOP")</f>
        <v>2</v>
      </c>
      <c r="AC19" s="7" t="n">
        <f aca="false">COUNTIFS(05_訊號明細!A:A,A19,05_訊號明細!C:C,"BOTTOM")</f>
        <v>0</v>
      </c>
    </row>
    <row r="20" customFormat="false" ht="15" hidden="false" customHeight="false" outlineLevel="0" collapsed="false">
      <c r="A20" s="7" t="s">
        <v>59</v>
      </c>
      <c r="B20" s="7" t="n">
        <v>9013.23</v>
      </c>
      <c r="C20" s="7" t="n">
        <v>9111.32</v>
      </c>
      <c r="D20" s="7" t="n">
        <v>8994.28</v>
      </c>
      <c r="E20" s="7" t="n">
        <v>9090.93</v>
      </c>
      <c r="F20" s="7" t="n">
        <v>2169</v>
      </c>
      <c r="G20" s="7" t="n">
        <f aca="false">AVERAGE(E16:E20)</f>
        <v>9118.028</v>
      </c>
      <c r="H20" s="7" t="n">
        <f aca="false">AVERAGE(E11:E20)</f>
        <v>9112.459</v>
      </c>
      <c r="P20" s="7" t="n">
        <f aca="false">MAX(E20-E19,0)</f>
        <v>138.75</v>
      </c>
      <c r="Q20" s="7" t="n">
        <f aca="false">MAX(E19-E20,0)</f>
        <v>0</v>
      </c>
      <c r="R20" s="7" t="n">
        <f aca="false">(R19*13+P20)/14</f>
        <v>38.0749320595585</v>
      </c>
      <c r="S20" s="7" t="n">
        <f aca="false">(S19*13+Q20)/14</f>
        <v>25.6530208767179</v>
      </c>
      <c r="T20" s="7" t="n">
        <f aca="false">IF(S20=0,100,100-100/(1+R20/S20))</f>
        <v>59.7460459739399</v>
      </c>
      <c r="U20" s="7" t="n">
        <f aca="false">E20*2/13+U19*11/13</f>
        <v>9059.41413232842</v>
      </c>
      <c r="Z20" s="8" t="s">
        <v>42</v>
      </c>
      <c r="AA20" s="7" t="str">
        <f aca="false">IFERROR(INDEX(02_轉折點45!B:B,MATCH(A20,02_轉折點45!A:A,0)),"")</f>
        <v/>
      </c>
      <c r="AB20" s="7" t="n">
        <f aca="false">COUNTIFS(05_訊號明細!A:A,A20,05_訊號明細!C:C,"TOP")</f>
        <v>0</v>
      </c>
      <c r="AC20" s="7" t="n">
        <f aca="false">COUNTIFS(05_訊號明細!A:A,A20,05_訊號明細!C:C,"BOTTOM")</f>
        <v>0</v>
      </c>
    </row>
    <row r="21" customFormat="false" ht="15" hidden="false" customHeight="false" outlineLevel="0" collapsed="false">
      <c r="A21" s="7" t="s">
        <v>60</v>
      </c>
      <c r="B21" s="7" t="n">
        <v>9141.52</v>
      </c>
      <c r="C21" s="7" t="n">
        <v>9153.08</v>
      </c>
      <c r="D21" s="7" t="n">
        <v>9067.29</v>
      </c>
      <c r="E21" s="7" t="n">
        <v>9101.61</v>
      </c>
      <c r="F21" s="7" t="n">
        <v>2235</v>
      </c>
      <c r="G21" s="7" t="n">
        <f aca="false">AVERAGE(E17:E21)</f>
        <v>9100.634</v>
      </c>
      <c r="H21" s="7" t="n">
        <f aca="false">AVERAGE(E12:E21)</f>
        <v>9119.278</v>
      </c>
      <c r="P21" s="7" t="n">
        <f aca="false">MAX(E21-E20,0)</f>
        <v>10.6800000000003</v>
      </c>
      <c r="Q21" s="7" t="n">
        <f aca="false">MAX(E20-E21,0)</f>
        <v>0</v>
      </c>
      <c r="R21" s="7" t="n">
        <f aca="false">(R20*13+P21)/14</f>
        <v>36.1181511981615</v>
      </c>
      <c r="S21" s="7" t="n">
        <f aca="false">(S20*13+Q21)/14</f>
        <v>23.8206622426667</v>
      </c>
      <c r="T21" s="7" t="n">
        <f aca="false">IF(S21=0,100,100-100/(1+R21/S21))</f>
        <v>60.2583687009712</v>
      </c>
      <c r="U21" s="7" t="n">
        <f aca="false">E21*2/13+U20*11/13</f>
        <v>9065.90580427789</v>
      </c>
      <c r="Z21" s="8" t="s">
        <v>42</v>
      </c>
      <c r="AA21" s="7" t="str">
        <f aca="false">IFERROR(INDEX(02_轉折點45!B:B,MATCH(A21,02_轉折點45!A:A,0)),"")</f>
        <v/>
      </c>
      <c r="AB21" s="7" t="n">
        <f aca="false">COUNTIFS(05_訊號明細!A:A,A21,05_訊號明細!C:C,"TOP")</f>
        <v>2</v>
      </c>
      <c r="AC21" s="7" t="n">
        <f aca="false">COUNTIFS(05_訊號明細!A:A,A21,05_訊號明細!C:C,"BOTTOM")</f>
        <v>0</v>
      </c>
    </row>
    <row r="22" customFormat="false" ht="15" hidden="false" customHeight="false" outlineLevel="0" collapsed="false">
      <c r="A22" s="7" t="s">
        <v>61</v>
      </c>
      <c r="B22" s="7" t="n">
        <v>9038.92</v>
      </c>
      <c r="C22" s="7" t="n">
        <v>9140.69</v>
      </c>
      <c r="D22" s="7" t="n">
        <v>9019.72</v>
      </c>
      <c r="E22" s="7" t="n">
        <v>9136.09</v>
      </c>
      <c r="F22" s="7" t="n">
        <v>2345</v>
      </c>
      <c r="G22" s="7" t="n">
        <f aca="false">AVERAGE(E18:E22)</f>
        <v>9084.456</v>
      </c>
      <c r="H22" s="7" t="n">
        <f aca="false">AVERAGE(E13:E22)</f>
        <v>9129.32</v>
      </c>
      <c r="I22" s="7" t="n">
        <f aca="false">AVERAGE(E3:E22)</f>
        <v>9033.1335</v>
      </c>
      <c r="M22" s="7" t="n">
        <f aca="false">I22</f>
        <v>9033.1335</v>
      </c>
      <c r="N22" s="7" t="n">
        <f aca="false">I22+2*STDEV(E3:E22)</f>
        <v>9290.7670753924</v>
      </c>
      <c r="O22" s="7" t="n">
        <f aca="false">I22-2*STDEV(E3:E22)</f>
        <v>8775.4999246076</v>
      </c>
      <c r="P22" s="7" t="n">
        <f aca="false">MAX(E22-E21,0)</f>
        <v>34.4799999999996</v>
      </c>
      <c r="Q22" s="7" t="n">
        <f aca="false">MAX(E21-E22,0)</f>
        <v>0</v>
      </c>
      <c r="R22" s="7" t="n">
        <f aca="false">(R21*13+P22)/14</f>
        <v>36.0011403982928</v>
      </c>
      <c r="S22" s="7" t="n">
        <f aca="false">(S21*13+Q22)/14</f>
        <v>22.1191863681905</v>
      </c>
      <c r="T22" s="7" t="n">
        <f aca="false">IF(S22=0,100,100-100/(1+R22/S22))</f>
        <v>61.9424260000098</v>
      </c>
      <c r="U22" s="7" t="n">
        <f aca="false">E22*2/13+U21*11/13</f>
        <v>9076.70337285053</v>
      </c>
      <c r="Z22" s="8" t="s">
        <v>42</v>
      </c>
      <c r="AA22" s="7" t="str">
        <f aca="false">IFERROR(INDEX(02_轉折點45!B:B,MATCH(A22,02_轉折點45!A:A,0)),"")</f>
        <v/>
      </c>
      <c r="AB22" s="7" t="n">
        <f aca="false">COUNTIFS(05_訊號明細!A:A,A22,05_訊號明細!C:C,"TOP")</f>
        <v>0</v>
      </c>
      <c r="AC22" s="7" t="n">
        <f aca="false">COUNTIFS(05_訊號明細!A:A,A22,05_訊號明細!C:C,"BOTTOM")</f>
        <v>0</v>
      </c>
    </row>
    <row r="23" customFormat="false" ht="15" hidden="false" customHeight="false" outlineLevel="0" collapsed="false">
      <c r="A23" s="7" t="s">
        <v>62</v>
      </c>
      <c r="B23" s="7" t="n">
        <v>9169.91</v>
      </c>
      <c r="C23" s="7" t="n">
        <v>9170.22</v>
      </c>
      <c r="D23" s="7" t="n">
        <v>8961.59</v>
      </c>
      <c r="E23" s="7" t="n">
        <v>8991.51</v>
      </c>
      <c r="F23" s="7" t="n">
        <v>2696</v>
      </c>
      <c r="G23" s="7" t="n">
        <f aca="false">AVERAGE(E19:E23)</f>
        <v>9054.464</v>
      </c>
      <c r="H23" s="7" t="n">
        <f aca="false">AVERAGE(E14:E23)</f>
        <v>9115.971</v>
      </c>
      <c r="I23" s="7" t="n">
        <f aca="false">AVERAGE(E4:E23)</f>
        <v>9039.098</v>
      </c>
      <c r="M23" s="7" t="n">
        <f aca="false">I23</f>
        <v>9039.098</v>
      </c>
      <c r="N23" s="7" t="n">
        <f aca="false">I23+2*STDEV(E4:E23)</f>
        <v>9286.36065051773</v>
      </c>
      <c r="O23" s="7" t="n">
        <f aca="false">I23-2*STDEV(E4:E23)</f>
        <v>8791.83534948227</v>
      </c>
      <c r="P23" s="7" t="n">
        <f aca="false">MAX(E23-E22,0)</f>
        <v>0</v>
      </c>
      <c r="Q23" s="7" t="n">
        <f aca="false">MAX(E22-E23,0)</f>
        <v>144.58</v>
      </c>
      <c r="R23" s="7" t="n">
        <f aca="false">(R22*13+P23)/14</f>
        <v>33.4296303698433</v>
      </c>
      <c r="S23" s="7" t="n">
        <f aca="false">(S22*13+Q23)/14</f>
        <v>30.8663873418911</v>
      </c>
      <c r="T23" s="7" t="n">
        <f aca="false">IF(S23=0,100,100-100/(1+R23/S23))</f>
        <v>51.9933139867575</v>
      </c>
      <c r="U23" s="7" t="n">
        <f aca="false">E23*2/13+U22*11/13</f>
        <v>9063.59670010429</v>
      </c>
      <c r="Z23" s="8" t="s">
        <v>42</v>
      </c>
      <c r="AA23" s="7" t="str">
        <f aca="false">IFERROR(INDEX(02_轉折點45!B:B,MATCH(A23,02_轉折點45!A:A,0)),"")</f>
        <v/>
      </c>
      <c r="AB23" s="7" t="n">
        <f aca="false">COUNTIFS(05_訊號明細!A:A,A23,05_訊號明細!C:C,"TOP")</f>
        <v>1</v>
      </c>
      <c r="AC23" s="7" t="n">
        <f aca="false">COUNTIFS(05_訊號明細!A:A,A23,05_訊號明細!C:C,"BOTTOM")</f>
        <v>0</v>
      </c>
    </row>
    <row r="24" customFormat="false" ht="15" hidden="false" customHeight="false" outlineLevel="0" collapsed="false">
      <c r="A24" s="7" t="s">
        <v>63</v>
      </c>
      <c r="B24" s="7" t="n">
        <v>9033.52</v>
      </c>
      <c r="C24" s="7" t="n">
        <v>9148.5</v>
      </c>
      <c r="D24" s="7" t="n">
        <v>9031.07</v>
      </c>
      <c r="E24" s="7" t="n">
        <v>9126.23</v>
      </c>
      <c r="F24" s="7" t="n">
        <v>2427</v>
      </c>
      <c r="G24" s="7" t="n">
        <f aca="false">AVERAGE(E20:E24)</f>
        <v>9089.274</v>
      </c>
      <c r="H24" s="7" t="n">
        <f aca="false">AVERAGE(E15:E24)</f>
        <v>9111.221</v>
      </c>
      <c r="I24" s="7" t="n">
        <f aca="false">AVERAGE(E5:E24)</f>
        <v>9055.7145</v>
      </c>
      <c r="M24" s="7" t="n">
        <f aca="false">I24</f>
        <v>9055.7145</v>
      </c>
      <c r="N24" s="7" t="n">
        <f aca="false">I24+2*STDEV(E5:E24)</f>
        <v>9276.88704607159</v>
      </c>
      <c r="O24" s="7" t="n">
        <f aca="false">I24-2*STDEV(E5:E24)</f>
        <v>8834.54195392841</v>
      </c>
      <c r="P24" s="7" t="n">
        <f aca="false">MAX(E24-E23,0)</f>
        <v>134.719999999999</v>
      </c>
      <c r="Q24" s="7" t="n">
        <f aca="false">MAX(E23-E24,0)</f>
        <v>0</v>
      </c>
      <c r="R24" s="7" t="n">
        <f aca="false">(R23*13+P24)/14</f>
        <v>40.6646567719973</v>
      </c>
      <c r="S24" s="7" t="n">
        <f aca="false">(S23*13+Q24)/14</f>
        <v>28.6616453888989</v>
      </c>
      <c r="T24" s="7" t="n">
        <f aca="false">IF(S24=0,100,100-100/(1+R24/S24))</f>
        <v>58.6568957300226</v>
      </c>
      <c r="U24" s="7" t="n">
        <f aca="false">E24*2/13+U23*11/13</f>
        <v>9073.23259239594</v>
      </c>
      <c r="Z24" s="8" t="s">
        <v>42</v>
      </c>
      <c r="AA24" s="7" t="str">
        <f aca="false">IFERROR(INDEX(02_轉折點45!B:B,MATCH(A24,02_轉折點45!A:A,0)),"")</f>
        <v/>
      </c>
      <c r="AB24" s="7" t="n">
        <f aca="false">COUNTIFS(05_訊號明細!A:A,A24,05_訊號明細!C:C,"TOP")</f>
        <v>0</v>
      </c>
      <c r="AC24" s="7" t="n">
        <f aca="false">COUNTIFS(05_訊號明細!A:A,A24,05_訊號明細!C:C,"BOTTOM")</f>
        <v>0</v>
      </c>
    </row>
    <row r="25" customFormat="false" ht="15" hidden="false" customHeight="false" outlineLevel="0" collapsed="false">
      <c r="A25" s="7" t="s">
        <v>64</v>
      </c>
      <c r="B25" s="7" t="n">
        <v>9256.94</v>
      </c>
      <c r="C25" s="7" t="n">
        <v>9352.96</v>
      </c>
      <c r="D25" s="7" t="n">
        <v>9224.86</v>
      </c>
      <c r="E25" s="7" t="n">
        <v>9334.06</v>
      </c>
      <c r="F25" s="7" t="n">
        <v>2447</v>
      </c>
      <c r="G25" s="7" t="n">
        <f aca="false">AVERAGE(E21:E25)</f>
        <v>9137.9</v>
      </c>
      <c r="H25" s="7" t="n">
        <f aca="false">AVERAGE(E16:E25)</f>
        <v>9127.964</v>
      </c>
      <c r="I25" s="7" t="n">
        <f aca="false">AVERAGE(E6:E25)</f>
        <v>9079.9915</v>
      </c>
      <c r="M25" s="7" t="n">
        <f aca="false">I25</f>
        <v>9079.9915</v>
      </c>
      <c r="N25" s="7" t="n">
        <f aca="false">I25+2*STDEV(E6:E25)</f>
        <v>9311.7428885066</v>
      </c>
      <c r="O25" s="7" t="n">
        <f aca="false">I25-2*STDEV(E6:E25)</f>
        <v>8848.2401114934</v>
      </c>
      <c r="P25" s="7" t="n">
        <f aca="false">MAX(E25-E24,0)</f>
        <v>207.83</v>
      </c>
      <c r="Q25" s="7" t="n">
        <f aca="false">MAX(E24-E25,0)</f>
        <v>0</v>
      </c>
      <c r="R25" s="7" t="n">
        <f aca="false">(R24*13+P25)/14</f>
        <v>52.6050384311403</v>
      </c>
      <c r="S25" s="7" t="n">
        <f aca="false">(S24*13+Q25)/14</f>
        <v>26.6143850039776</v>
      </c>
      <c r="T25" s="7" t="n">
        <f aca="false">IF(S25=0,100,100-100/(1+R25/S25))</f>
        <v>66.4042177411513</v>
      </c>
      <c r="U25" s="7" t="n">
        <f aca="false">E25*2/13+U24*11/13</f>
        <v>9113.35988587349</v>
      </c>
      <c r="Z25" s="8" t="s">
        <v>42</v>
      </c>
      <c r="AA25" s="7" t="str">
        <f aca="false">IFERROR(INDEX(02_轉折點45!B:B,MATCH(A25,02_轉折點45!A:A,0)),"")</f>
        <v/>
      </c>
      <c r="AB25" s="7" t="n">
        <f aca="false">COUNTIFS(05_訊號明細!A:A,A25,05_訊號明細!C:C,"TOP")</f>
        <v>1</v>
      </c>
      <c r="AC25" s="7" t="n">
        <f aca="false">COUNTIFS(05_訊號明細!A:A,A25,05_訊號明細!C:C,"BOTTOM")</f>
        <v>0</v>
      </c>
    </row>
    <row r="26" customFormat="false" ht="15" hidden="false" customHeight="false" outlineLevel="0" collapsed="false">
      <c r="A26" s="7" t="s">
        <v>65</v>
      </c>
      <c r="B26" s="7" t="n">
        <v>9441.34</v>
      </c>
      <c r="C26" s="7" t="n">
        <v>9442.75</v>
      </c>
      <c r="D26" s="7" t="n">
        <v>9311.88</v>
      </c>
      <c r="E26" s="7" t="n">
        <v>9367.48</v>
      </c>
      <c r="F26" s="7" t="n">
        <v>2470</v>
      </c>
      <c r="G26" s="7" t="n">
        <f aca="false">AVERAGE(E22:E26)</f>
        <v>9191.074</v>
      </c>
      <c r="H26" s="7" t="n">
        <f aca="false">AVERAGE(E17:E26)</f>
        <v>9145.854</v>
      </c>
      <c r="I26" s="7" t="n">
        <f aca="false">AVERAGE(E7:E26)</f>
        <v>9106.043</v>
      </c>
      <c r="M26" s="7" t="n">
        <f aca="false">I26</f>
        <v>9106.043</v>
      </c>
      <c r="N26" s="7" t="n">
        <f aca="false">I26+2*STDEV(E7:E26)</f>
        <v>9344.30457506316</v>
      </c>
      <c r="O26" s="7" t="n">
        <f aca="false">I26-2*STDEV(E7:E26)</f>
        <v>8867.78142493684</v>
      </c>
      <c r="P26" s="7" t="n">
        <f aca="false">MAX(E26-E25,0)</f>
        <v>33.4200000000001</v>
      </c>
      <c r="Q26" s="7" t="n">
        <f aca="false">MAX(E25-E26,0)</f>
        <v>0</v>
      </c>
      <c r="R26" s="7" t="n">
        <f aca="false">(R25*13+P26)/14</f>
        <v>51.2346785432017</v>
      </c>
      <c r="S26" s="7" t="n">
        <f aca="false">(S25*13+Q26)/14</f>
        <v>24.7133575036935</v>
      </c>
      <c r="T26" s="7" t="n">
        <f aca="false">IF(S26=0,100,100-100/(1+R26/S26))</f>
        <v>67.4601756806011</v>
      </c>
      <c r="U26" s="7" t="n">
        <f aca="false">E26*2/13+U25*11/13</f>
        <v>9152.4552880468</v>
      </c>
      <c r="Z26" s="8" t="s">
        <v>42</v>
      </c>
      <c r="AA26" s="7" t="str">
        <f aca="false">IFERROR(INDEX(02_轉折點45!B:B,MATCH(A26,02_轉折點45!A:A,0)),"")</f>
        <v/>
      </c>
      <c r="AB26" s="7" t="n">
        <f aca="false">COUNTIFS(05_訊號明細!A:A,A26,05_訊號明細!C:C,"TOP")</f>
        <v>1</v>
      </c>
      <c r="AC26" s="7" t="n">
        <f aca="false">COUNTIFS(05_訊號明細!A:A,A26,05_訊號明細!C:C,"BOTTOM")</f>
        <v>0</v>
      </c>
    </row>
    <row r="27" customFormat="false" ht="15" hidden="false" customHeight="false" outlineLevel="0" collapsed="false">
      <c r="A27" s="7" t="s">
        <v>66</v>
      </c>
      <c r="B27" s="7" t="n">
        <v>9395.69</v>
      </c>
      <c r="C27" s="7" t="n">
        <v>9448.72</v>
      </c>
      <c r="D27" s="7" t="n">
        <v>9357.86</v>
      </c>
      <c r="E27" s="7" t="n">
        <v>9445.92</v>
      </c>
      <c r="F27" s="7" t="n">
        <v>2314</v>
      </c>
      <c r="G27" s="7" t="n">
        <f aca="false">AVERAGE(E23:E27)</f>
        <v>9253.04</v>
      </c>
      <c r="H27" s="7" t="n">
        <f aca="false">AVERAGE(E18:E27)</f>
        <v>9168.748</v>
      </c>
      <c r="I27" s="7" t="n">
        <f aca="false">AVERAGE(E8:E27)</f>
        <v>9132.7205</v>
      </c>
      <c r="M27" s="7" t="n">
        <f aca="false">I27</f>
        <v>9132.7205</v>
      </c>
      <c r="N27" s="7" t="n">
        <f aca="false">I27+2*STDEV(E8:E27)</f>
        <v>9397.66304006442</v>
      </c>
      <c r="O27" s="7" t="n">
        <f aca="false">I27-2*STDEV(E8:E27)</f>
        <v>8867.77795993557</v>
      </c>
      <c r="P27" s="7" t="n">
        <f aca="false">MAX(E27-E26,0)</f>
        <v>78.4400000000005</v>
      </c>
      <c r="Q27" s="7" t="n">
        <f aca="false">MAX(E26-E27,0)</f>
        <v>0</v>
      </c>
      <c r="R27" s="7" t="n">
        <f aca="false">(R26*13+P27)/14</f>
        <v>53.1779157901159</v>
      </c>
      <c r="S27" s="7" t="n">
        <f aca="false">(S26*13+Q27)/14</f>
        <v>22.9481176820011</v>
      </c>
      <c r="T27" s="7" t="n">
        <f aca="false">IF(S27=0,100,100-100/(1+R27/S27))</f>
        <v>69.8550986629215</v>
      </c>
      <c r="U27" s="7" t="n">
        <f aca="false">E27*2/13+U26*11/13</f>
        <v>9197.60370527037</v>
      </c>
      <c r="Z27" s="8" t="s">
        <v>42</v>
      </c>
      <c r="AA27" s="7" t="str">
        <f aca="false">IFERROR(INDEX(02_轉折點45!B:B,MATCH(A27,02_轉折點45!A:A,0)),"")</f>
        <v/>
      </c>
      <c r="AB27" s="7" t="n">
        <f aca="false">COUNTIFS(05_訊號明細!A:A,A27,05_訊號明細!C:C,"TOP")</f>
        <v>1</v>
      </c>
      <c r="AC27" s="7" t="n">
        <f aca="false">COUNTIFS(05_訊號明細!A:A,A27,05_訊號明細!C:C,"BOTTOM")</f>
        <v>0</v>
      </c>
    </row>
    <row r="28" customFormat="false" ht="15" hidden="false" customHeight="false" outlineLevel="0" collapsed="false">
      <c r="A28" s="7" t="s">
        <v>67</v>
      </c>
      <c r="B28" s="7" t="n">
        <v>9397.77</v>
      </c>
      <c r="C28" s="7" t="n">
        <v>9453.24</v>
      </c>
      <c r="D28" s="7" t="n">
        <v>9376.91</v>
      </c>
      <c r="E28" s="7" t="n">
        <v>9401.1</v>
      </c>
      <c r="F28" s="7" t="n">
        <v>2244</v>
      </c>
      <c r="G28" s="7" t="n">
        <f aca="false">AVERAGE(E24:E28)</f>
        <v>9334.958</v>
      </c>
      <c r="H28" s="7" t="n">
        <f aca="false">AVERAGE(E19:E28)</f>
        <v>9194.711</v>
      </c>
      <c r="I28" s="7" t="n">
        <f aca="false">AVERAGE(E9:E28)</f>
        <v>9153.294</v>
      </c>
      <c r="M28" s="7" t="n">
        <f aca="false">I28</f>
        <v>9153.294</v>
      </c>
      <c r="N28" s="7" t="n">
        <f aca="false">I28+2*STDEV(E9:E28)</f>
        <v>9434.83539532225</v>
      </c>
      <c r="O28" s="7" t="n">
        <f aca="false">I28-2*STDEV(E9:E28)</f>
        <v>8871.75260467775</v>
      </c>
      <c r="P28" s="7" t="n">
        <f aca="false">MAX(E28-E27,0)</f>
        <v>0</v>
      </c>
      <c r="Q28" s="7" t="n">
        <f aca="false">MAX(E27-E28,0)</f>
        <v>44.8199999999997</v>
      </c>
      <c r="R28" s="7" t="n">
        <f aca="false">(R27*13+P28)/14</f>
        <v>49.3794932336791</v>
      </c>
      <c r="S28" s="7" t="n">
        <f aca="false">(S27*13+Q28)/14</f>
        <v>24.5103949904295</v>
      </c>
      <c r="T28" s="7" t="n">
        <f aca="false">IF(S28=0,100,100-100/(1+R28/S28))</f>
        <v>66.8284854944031</v>
      </c>
      <c r="U28" s="7" t="n">
        <f aca="false">E28*2/13+U27*11/13</f>
        <v>9228.91082753647</v>
      </c>
      <c r="V28" s="7" t="n">
        <f aca="false">AVERAGE(E3:E28)</f>
        <v>9089.57576923077</v>
      </c>
      <c r="W28" s="7" t="n">
        <f aca="false">U28-V28</f>
        <v>139.335058305696</v>
      </c>
      <c r="Z28" s="8" t="s">
        <v>42</v>
      </c>
      <c r="AA28" s="7" t="str">
        <f aca="false">IFERROR(INDEX(02_轉折點45!B:B,MATCH(A28,02_轉折點45!A:A,0)),"")</f>
        <v/>
      </c>
      <c r="AB28" s="7" t="n">
        <f aca="false">COUNTIFS(05_訊號明細!A:A,A28,05_訊號明細!C:C,"TOP")</f>
        <v>0</v>
      </c>
      <c r="AC28" s="7" t="n">
        <f aca="false">COUNTIFS(05_訊號明細!A:A,A28,05_訊號明細!C:C,"BOTTOM")</f>
        <v>0</v>
      </c>
    </row>
    <row r="29" customFormat="false" ht="15" hidden="false" customHeight="false" outlineLevel="0" collapsed="false">
      <c r="A29" s="7" t="s">
        <v>68</v>
      </c>
      <c r="B29" s="7" t="n">
        <v>9373.2</v>
      </c>
      <c r="C29" s="7" t="n">
        <v>9517.74</v>
      </c>
      <c r="D29" s="7" t="n">
        <v>9373.2</v>
      </c>
      <c r="E29" s="7" t="n">
        <v>9516.84</v>
      </c>
      <c r="F29" s="7" t="n">
        <v>2188</v>
      </c>
      <c r="G29" s="7" t="n">
        <f aca="false">AVERAGE(E25:E29)</f>
        <v>9413.08</v>
      </c>
      <c r="H29" s="7" t="n">
        <f aca="false">AVERAGE(E20:E29)</f>
        <v>9251.177</v>
      </c>
      <c r="I29" s="7" t="n">
        <f aca="false">AVERAGE(E10:E29)</f>
        <v>9180.804</v>
      </c>
      <c r="M29" s="7" t="n">
        <f aca="false">I29</f>
        <v>9180.804</v>
      </c>
      <c r="N29" s="7" t="n">
        <f aca="false">I29+2*STDEV(E10:E29)</f>
        <v>9491.55906465111</v>
      </c>
      <c r="O29" s="7" t="n">
        <f aca="false">I29-2*STDEV(E10:E29)</f>
        <v>8870.04893534889</v>
      </c>
      <c r="P29" s="7" t="n">
        <f aca="false">MAX(E29-E28,0)</f>
        <v>115.74</v>
      </c>
      <c r="Q29" s="7" t="n">
        <f aca="false">MAX(E28-E29,0)</f>
        <v>0</v>
      </c>
      <c r="R29" s="7" t="n">
        <f aca="false">(R28*13+P29)/14</f>
        <v>54.1195294312734</v>
      </c>
      <c r="S29" s="7" t="n">
        <f aca="false">(S28*13+Q29)/14</f>
        <v>22.7596524911131</v>
      </c>
      <c r="T29" s="7" t="n">
        <f aca="false">IF(S29=0,100,100-100/(1+R29/S29))</f>
        <v>70.3955584307724</v>
      </c>
      <c r="U29" s="7" t="n">
        <f aca="false">E29*2/13+U28*11/13</f>
        <v>9273.20762330009</v>
      </c>
      <c r="V29" s="7" t="n">
        <f aca="false">E29*2/27+V28*25/27</f>
        <v>9121.22497150997</v>
      </c>
      <c r="W29" s="7" t="n">
        <f aca="false">U29-V29</f>
        <v>151.982651790115</v>
      </c>
      <c r="Z29" s="8" t="s">
        <v>42</v>
      </c>
      <c r="AA29" s="7" t="str">
        <f aca="false">IFERROR(INDEX(02_轉折點45!B:B,MATCH(A29,02_轉折點45!A:A,0)),"")</f>
        <v/>
      </c>
      <c r="AB29" s="7" t="n">
        <f aca="false">COUNTIFS(05_訊號明細!A:A,A29,05_訊號明細!C:C,"TOP")</f>
        <v>1</v>
      </c>
      <c r="AC29" s="7" t="n">
        <f aca="false">COUNTIFS(05_訊號明細!A:A,A29,05_訊號明細!C:C,"BOTTOM")</f>
        <v>0</v>
      </c>
    </row>
    <row r="30" customFormat="false" ht="15" hidden="false" customHeight="false" outlineLevel="0" collapsed="false">
      <c r="A30" s="7" t="s">
        <v>69</v>
      </c>
      <c r="B30" s="7" t="n">
        <v>9567.81</v>
      </c>
      <c r="C30" s="7" t="n">
        <v>9600.05</v>
      </c>
      <c r="D30" s="7" t="n">
        <v>9493.63</v>
      </c>
      <c r="E30" s="7" t="n">
        <v>9517.86</v>
      </c>
      <c r="F30" s="7" t="n">
        <v>2450</v>
      </c>
      <c r="G30" s="7" t="n">
        <f aca="false">AVERAGE(E26:E30)</f>
        <v>9449.84</v>
      </c>
      <c r="H30" s="7" t="n">
        <f aca="false">AVERAGE(E21:E30)</f>
        <v>9293.87</v>
      </c>
      <c r="I30" s="7" t="n">
        <f aca="false">AVERAGE(E11:E30)</f>
        <v>9203.1645</v>
      </c>
      <c r="M30" s="7" t="n">
        <f aca="false">I30</f>
        <v>9203.1645</v>
      </c>
      <c r="N30" s="7" t="n">
        <f aca="false">I30+2*STDEV(E11:E30)</f>
        <v>9543.49696212769</v>
      </c>
      <c r="O30" s="7" t="n">
        <f aca="false">I30-2*STDEV(E11:E30)</f>
        <v>8862.83203787231</v>
      </c>
      <c r="P30" s="7" t="n">
        <f aca="false">MAX(E30-E29,0)</f>
        <v>1.02000000000044</v>
      </c>
      <c r="Q30" s="7" t="n">
        <f aca="false">MAX(E29-E30,0)</f>
        <v>0</v>
      </c>
      <c r="R30" s="7" t="n">
        <f aca="false">(R29*13+P30)/14</f>
        <v>50.3267059004682</v>
      </c>
      <c r="S30" s="7" t="n">
        <f aca="false">(S29*13+Q30)/14</f>
        <v>21.1339630274622</v>
      </c>
      <c r="T30" s="7" t="n">
        <f aca="false">IF(S30=0,100,100-100/(1+R30/S30))</f>
        <v>70.4257413980042</v>
      </c>
      <c r="U30" s="7" t="n">
        <f aca="false">E30*2/13+U29*11/13</f>
        <v>9310.84645048469</v>
      </c>
      <c r="V30" s="7" t="n">
        <f aca="false">E30*2/27+V29*25/27</f>
        <v>9150.60534399071</v>
      </c>
      <c r="W30" s="7" t="n">
        <f aca="false">U30-V30</f>
        <v>160.241106493975</v>
      </c>
      <c r="Z30" s="8" t="s">
        <v>42</v>
      </c>
      <c r="AA30" s="7" t="str">
        <f aca="false">IFERROR(INDEX(02_轉折點45!B:B,MATCH(A30,02_轉折點45!A:A,0)),"")</f>
        <v/>
      </c>
      <c r="AB30" s="7" t="n">
        <f aca="false">COUNTIFS(05_訊號明細!A:A,A30,05_訊號明細!C:C,"TOP")</f>
        <v>1</v>
      </c>
      <c r="AC30" s="7" t="n">
        <f aca="false">COUNTIFS(05_訊號明細!A:A,A30,05_訊號明細!C:C,"BOTTOM")</f>
        <v>0</v>
      </c>
    </row>
    <row r="31" customFormat="false" ht="15" hidden="false" customHeight="false" outlineLevel="0" collapsed="false">
      <c r="A31" s="7" t="s">
        <v>70</v>
      </c>
      <c r="B31" s="7" t="n">
        <v>9569.82</v>
      </c>
      <c r="C31" s="7" t="n">
        <v>9615.91</v>
      </c>
      <c r="D31" s="7" t="n">
        <v>9552.03</v>
      </c>
      <c r="E31" s="7" t="n">
        <v>9613.2</v>
      </c>
      <c r="F31" s="7" t="n">
        <v>2367</v>
      </c>
      <c r="G31" s="7" t="n">
        <f aca="false">AVERAGE(E27:E31)</f>
        <v>9498.984</v>
      </c>
      <c r="H31" s="7" t="n">
        <f aca="false">AVERAGE(E22:E31)</f>
        <v>9345.029</v>
      </c>
      <c r="I31" s="7" t="n">
        <f aca="false">AVERAGE(E12:E31)</f>
        <v>9232.1535</v>
      </c>
      <c r="M31" s="7" t="n">
        <f aca="false">I31</f>
        <v>9232.1535</v>
      </c>
      <c r="N31" s="7" t="n">
        <f aca="false">I31+2*STDEV(E12:E31)</f>
        <v>9608.4744859611</v>
      </c>
      <c r="O31" s="7" t="n">
        <f aca="false">I31-2*STDEV(E12:E31)</f>
        <v>8855.8325140389</v>
      </c>
      <c r="P31" s="7" t="n">
        <f aca="false">MAX(E31-E30,0)</f>
        <v>95.3400000000002</v>
      </c>
      <c r="Q31" s="7" t="n">
        <f aca="false">MAX(E30-E31,0)</f>
        <v>0</v>
      </c>
      <c r="R31" s="7" t="n">
        <f aca="false">(R30*13+P31)/14</f>
        <v>53.5419411932919</v>
      </c>
      <c r="S31" s="7" t="n">
        <f aca="false">(S30*13+Q31)/14</f>
        <v>19.6243942397863</v>
      </c>
      <c r="T31" s="7" t="n">
        <f aca="false">IF(S31=0,100,100-100/(1+R31/S31))</f>
        <v>73.1783830314478</v>
      </c>
      <c r="U31" s="7" t="n">
        <f aca="false">E31*2/13+U30*11/13</f>
        <v>9357.36238117935</v>
      </c>
      <c r="V31" s="7" t="n">
        <f aca="false">E31*2/27+V30*25/27</f>
        <v>9184.87161480622</v>
      </c>
      <c r="W31" s="7" t="n">
        <f aca="false">U31-V31</f>
        <v>172.490766373134</v>
      </c>
      <c r="Z31" s="8" t="s">
        <v>42</v>
      </c>
      <c r="AA31" s="7" t="str">
        <f aca="false">IFERROR(INDEX(02_轉折點45!B:B,MATCH(A31,02_轉折點45!A:A,0)),"")</f>
        <v/>
      </c>
      <c r="AB31" s="7" t="n">
        <f aca="false">COUNTIFS(05_訊號明細!A:A,A31,05_訊號明細!C:C,"TOP")</f>
        <v>1</v>
      </c>
      <c r="AC31" s="7" t="n">
        <f aca="false">COUNTIFS(05_訊號明細!A:A,A31,05_訊號明細!C:C,"BOTTOM")</f>
        <v>0</v>
      </c>
    </row>
    <row r="32" customFormat="false" ht="15" hidden="false" customHeight="false" outlineLevel="0" collapsed="false">
      <c r="A32" s="7" t="s">
        <v>71</v>
      </c>
      <c r="B32" s="7" t="n">
        <v>9540.67</v>
      </c>
      <c r="C32" s="7" t="n">
        <v>9636.41</v>
      </c>
      <c r="D32" s="7" t="n">
        <v>9532.74</v>
      </c>
      <c r="E32" s="7" t="n">
        <v>9595.7</v>
      </c>
      <c r="F32" s="7" t="n">
        <v>2255</v>
      </c>
      <c r="G32" s="7" t="n">
        <f aca="false">AVERAGE(E28:E32)</f>
        <v>9528.94</v>
      </c>
      <c r="H32" s="7" t="n">
        <f aca="false">AVERAGE(E23:E32)</f>
        <v>9390.99</v>
      </c>
      <c r="I32" s="7" t="n">
        <f aca="false">AVERAGE(E13:E32)</f>
        <v>9260.155</v>
      </c>
      <c r="M32" s="7" t="n">
        <f aca="false">I32</f>
        <v>9260.155</v>
      </c>
      <c r="N32" s="7" t="n">
        <f aca="false">I32+2*STDEV(E13:E32)</f>
        <v>9657.6634674636</v>
      </c>
      <c r="O32" s="7" t="n">
        <f aca="false">I32-2*STDEV(E13:E32)</f>
        <v>8862.6465325364</v>
      </c>
      <c r="P32" s="7" t="n">
        <f aca="false">MAX(E32-E31,0)</f>
        <v>0</v>
      </c>
      <c r="Q32" s="7" t="n">
        <f aca="false">MAX(E31-E32,0)</f>
        <v>17.5</v>
      </c>
      <c r="R32" s="7" t="n">
        <f aca="false">(R31*13+P32)/14</f>
        <v>49.7175168223425</v>
      </c>
      <c r="S32" s="7" t="n">
        <f aca="false">(S31*13+Q32)/14</f>
        <v>19.4726517940873</v>
      </c>
      <c r="T32" s="7" t="n">
        <f aca="false">IF(S32=0,100,100-100/(1+R32/S32))</f>
        <v>71.856331349562</v>
      </c>
      <c r="U32" s="7" t="n">
        <f aca="false">E32*2/13+U31*11/13</f>
        <v>9394.02970715176</v>
      </c>
      <c r="V32" s="7" t="n">
        <f aca="false">E32*2/27+V31*25/27</f>
        <v>9215.30334704279</v>
      </c>
      <c r="W32" s="7" t="n">
        <f aca="false">U32-V32</f>
        <v>178.726360108965</v>
      </c>
      <c r="Z32" s="8" t="s">
        <v>42</v>
      </c>
      <c r="AA32" s="7" t="str">
        <f aca="false">IFERROR(INDEX(02_轉折點45!B:B,MATCH(A32,02_轉折點45!A:A,0)),"")</f>
        <v/>
      </c>
      <c r="AB32" s="7" t="n">
        <f aca="false">COUNTIFS(05_訊號明細!A:A,A32,05_訊號明細!C:C,"TOP")</f>
        <v>0</v>
      </c>
      <c r="AC32" s="7" t="n">
        <f aca="false">COUNTIFS(05_訊號明細!A:A,A32,05_訊號明細!C:C,"BOTTOM")</f>
        <v>0</v>
      </c>
    </row>
    <row r="33" customFormat="false" ht="15" hidden="false" customHeight="false" outlineLevel="0" collapsed="false">
      <c r="A33" s="7" t="s">
        <v>72</v>
      </c>
      <c r="B33" s="7" t="n">
        <v>9613.88</v>
      </c>
      <c r="C33" s="7" t="n">
        <v>9634.75</v>
      </c>
      <c r="D33" s="7" t="n">
        <v>9583.08</v>
      </c>
      <c r="E33" s="7" t="n">
        <v>9623.58</v>
      </c>
      <c r="F33" s="7" t="n">
        <v>2227</v>
      </c>
      <c r="G33" s="7" t="n">
        <f aca="false">AVERAGE(E29:E33)</f>
        <v>9573.436</v>
      </c>
      <c r="H33" s="7" t="n">
        <f aca="false">AVERAGE(E24:E33)</f>
        <v>9454.197</v>
      </c>
      <c r="I33" s="7" t="n">
        <f aca="false">AVERAGE(E14:E33)</f>
        <v>9285.084</v>
      </c>
      <c r="M33" s="7" t="n">
        <f aca="false">I33</f>
        <v>9285.084</v>
      </c>
      <c r="N33" s="7" t="n">
        <f aca="false">I33+2*STDEV(E14:E33)</f>
        <v>9708.58902858631</v>
      </c>
      <c r="O33" s="7" t="n">
        <f aca="false">I33-2*STDEV(E14:E33)</f>
        <v>8861.57897141368</v>
      </c>
      <c r="P33" s="7" t="n">
        <f aca="false">MAX(E33-E32,0)</f>
        <v>27.8799999999992</v>
      </c>
      <c r="Q33" s="7" t="n">
        <f aca="false">MAX(E32-E33,0)</f>
        <v>0</v>
      </c>
      <c r="R33" s="7" t="n">
        <f aca="false">(R32*13+P33)/14</f>
        <v>48.1576941921751</v>
      </c>
      <c r="S33" s="7" t="n">
        <f aca="false">(S32*13+Q33)/14</f>
        <v>18.0817480945096</v>
      </c>
      <c r="T33" s="7" t="n">
        <f aca="false">IF(S33=0,100,100-100/(1+R33/S33))</f>
        <v>72.7024451440099</v>
      </c>
      <c r="U33" s="7" t="n">
        <f aca="false">E33*2/13+U32*11/13</f>
        <v>9429.34513682072</v>
      </c>
      <c r="V33" s="7" t="n">
        <f aca="false">E33*2/27+V32*25/27</f>
        <v>9245.54606207666</v>
      </c>
      <c r="W33" s="7" t="n">
        <f aca="false">U33-V33</f>
        <v>183.79907474406</v>
      </c>
      <c r="Z33" s="8" t="s">
        <v>42</v>
      </c>
      <c r="AA33" s="7" t="str">
        <f aca="false">IFERROR(INDEX(02_轉折點45!B:B,MATCH(A33,02_轉折點45!A:A,0)),"")</f>
        <v/>
      </c>
      <c r="AB33" s="7" t="n">
        <f aca="false">COUNTIFS(05_訊號明細!A:A,A33,05_訊號明細!C:C,"TOP")</f>
        <v>1</v>
      </c>
      <c r="AC33" s="7" t="n">
        <f aca="false">COUNTIFS(05_訊號明細!A:A,A33,05_訊號明細!C:C,"BOTTOM")</f>
        <v>0</v>
      </c>
    </row>
    <row r="34" customFormat="false" ht="15" hidden="false" customHeight="false" outlineLevel="0" collapsed="false">
      <c r="A34" s="7" t="s">
        <v>73</v>
      </c>
      <c r="B34" s="7" t="n">
        <v>9567.28</v>
      </c>
      <c r="C34" s="7" t="n">
        <v>9647.72</v>
      </c>
      <c r="D34" s="7" t="n">
        <v>9567.28</v>
      </c>
      <c r="E34" s="7" t="n">
        <v>9629.8</v>
      </c>
      <c r="F34" s="7" t="n">
        <v>2279</v>
      </c>
      <c r="G34" s="7" t="n">
        <f aca="false">AVERAGE(E30:E34)</f>
        <v>9596.028</v>
      </c>
      <c r="H34" s="7" t="n">
        <f aca="false">AVERAGE(E25:E34)</f>
        <v>9504.554</v>
      </c>
      <c r="I34" s="7" t="n">
        <f aca="false">AVERAGE(E15:E34)</f>
        <v>9307.8875</v>
      </c>
      <c r="M34" s="7" t="n">
        <f aca="false">I34</f>
        <v>9307.8875</v>
      </c>
      <c r="N34" s="7" t="n">
        <f aca="false">I34+2*STDEV(E15:E34)</f>
        <v>9754.62369531583</v>
      </c>
      <c r="O34" s="7" t="n">
        <f aca="false">I34-2*STDEV(E15:E34)</f>
        <v>8861.15130468417</v>
      </c>
      <c r="P34" s="7" t="n">
        <f aca="false">MAX(E34-E33,0)</f>
        <v>6.21999999999935</v>
      </c>
      <c r="Q34" s="7" t="n">
        <f aca="false">MAX(E33-E34,0)</f>
        <v>0</v>
      </c>
      <c r="R34" s="7" t="n">
        <f aca="false">(R33*13+P34)/14</f>
        <v>45.1621446070197</v>
      </c>
      <c r="S34" s="7" t="n">
        <f aca="false">(S33*13+Q34)/14</f>
        <v>16.7901946591875</v>
      </c>
      <c r="T34" s="7" t="n">
        <f aca="false">IF(S34=0,100,100-100/(1+R34/S34))</f>
        <v>72.8982071410724</v>
      </c>
      <c r="U34" s="7" t="n">
        <f aca="false">E34*2/13+U33*11/13</f>
        <v>9460.18434654061</v>
      </c>
      <c r="V34" s="7" t="n">
        <f aca="false">E34*2/27+V33*25/27</f>
        <v>9274.00931673765</v>
      </c>
      <c r="W34" s="7" t="n">
        <f aca="false">U34-V34</f>
        <v>186.175029802958</v>
      </c>
      <c r="Z34" s="8" t="s">
        <v>42</v>
      </c>
      <c r="AA34" s="7" t="str">
        <f aca="false">IFERROR(INDEX(02_轉折點45!B:B,MATCH(A34,02_轉折點45!A:A,0)),"")</f>
        <v/>
      </c>
      <c r="AB34" s="7" t="n">
        <f aca="false">COUNTIFS(05_訊號明細!A:A,A34,05_訊號明細!C:C,"TOP")</f>
        <v>1</v>
      </c>
      <c r="AC34" s="7" t="n">
        <f aca="false">COUNTIFS(05_訊號明細!A:A,A34,05_訊號明細!C:C,"BOTTOM")</f>
        <v>0</v>
      </c>
    </row>
    <row r="35" customFormat="false" ht="15" hidden="false" customHeight="false" outlineLevel="0" collapsed="false">
      <c r="A35" s="7" t="s">
        <v>74</v>
      </c>
      <c r="B35" s="7" t="n">
        <v>9683.94</v>
      </c>
      <c r="C35" s="7" t="n">
        <v>9736.57</v>
      </c>
      <c r="D35" s="7" t="n">
        <v>9676.07</v>
      </c>
      <c r="E35" s="7" t="n">
        <v>9718.73</v>
      </c>
      <c r="F35" s="7" t="n">
        <v>2471</v>
      </c>
      <c r="G35" s="7" t="n">
        <f aca="false">AVERAGE(E31:E35)</f>
        <v>9636.202</v>
      </c>
      <c r="H35" s="7" t="n">
        <f aca="false">AVERAGE(E26:E35)</f>
        <v>9543.021</v>
      </c>
      <c r="I35" s="7" t="n">
        <f aca="false">AVERAGE(E16:E35)</f>
        <v>9335.4925</v>
      </c>
      <c r="M35" s="7" t="n">
        <f aca="false">I35</f>
        <v>9335.4925</v>
      </c>
      <c r="N35" s="7" t="n">
        <f aca="false">I35+2*STDEV(E16:E35)</f>
        <v>9812.67060687305</v>
      </c>
      <c r="O35" s="7" t="n">
        <f aca="false">I35-2*STDEV(E16:E35)</f>
        <v>8858.31439312695</v>
      </c>
      <c r="P35" s="7" t="n">
        <f aca="false">MAX(E35-E34,0)</f>
        <v>88.9300000000003</v>
      </c>
      <c r="Q35" s="7" t="n">
        <f aca="false">MAX(E34-E35,0)</f>
        <v>0</v>
      </c>
      <c r="R35" s="7" t="n">
        <f aca="false">(R34*13+P35)/14</f>
        <v>48.2884199922326</v>
      </c>
      <c r="S35" s="7" t="n">
        <f aca="false">(S34*13+Q35)/14</f>
        <v>15.5908950406741</v>
      </c>
      <c r="T35" s="7" t="n">
        <f aca="false">IF(S35=0,100,100-100/(1+R35/S35))</f>
        <v>75.5932025372491</v>
      </c>
      <c r="U35" s="7" t="n">
        <f aca="false">E35*2/13+U34*11/13</f>
        <v>9499.96060091898</v>
      </c>
      <c r="V35" s="7" t="n">
        <f aca="false">E35*2/27+V34*25/27</f>
        <v>9306.9515895719</v>
      </c>
      <c r="W35" s="7" t="n">
        <f aca="false">U35-V35</f>
        <v>193.009011347078</v>
      </c>
      <c r="Z35" s="8" t="s">
        <v>42</v>
      </c>
      <c r="AA35" s="7" t="str">
        <f aca="false">IFERROR(INDEX(02_轉折點45!B:B,MATCH(A35,02_轉折點45!A:A,0)),"")</f>
        <v>TOP</v>
      </c>
      <c r="AB35" s="7" t="n">
        <f aca="false">COUNTIFS(05_訊號明細!A:A,A35,05_訊號明細!C:C,"TOP")</f>
        <v>0</v>
      </c>
      <c r="AC35" s="7" t="n">
        <f aca="false">COUNTIFS(05_訊號明細!A:A,A35,05_訊號明細!C:C,"BOTTOM")</f>
        <v>0</v>
      </c>
    </row>
    <row r="36" customFormat="false" ht="15" hidden="false" customHeight="false" outlineLevel="0" collapsed="false">
      <c r="A36" s="7" t="s">
        <v>75</v>
      </c>
      <c r="B36" s="7" t="n">
        <v>9696.66</v>
      </c>
      <c r="C36" s="7" t="n">
        <v>9714.23</v>
      </c>
      <c r="D36" s="7" t="n">
        <v>9513.23</v>
      </c>
      <c r="E36" s="7" t="n">
        <v>9627.83</v>
      </c>
      <c r="F36" s="7" t="n">
        <v>2746</v>
      </c>
      <c r="G36" s="7" t="n">
        <f aca="false">AVERAGE(E32:E36)</f>
        <v>9639.128</v>
      </c>
      <c r="H36" s="7" t="n">
        <f aca="false">AVERAGE(E27:E36)</f>
        <v>9569.056</v>
      </c>
      <c r="I36" s="7" t="n">
        <f aca="false">AVERAGE(E17:E36)</f>
        <v>9357.455</v>
      </c>
      <c r="M36" s="7" t="n">
        <f aca="false">I36</f>
        <v>9357.455</v>
      </c>
      <c r="N36" s="7" t="n">
        <f aca="false">I36+2*STDEV(E17:E36)</f>
        <v>9846.44986491761</v>
      </c>
      <c r="O36" s="7" t="n">
        <f aca="false">I36-2*STDEV(E17:E36)</f>
        <v>8868.46013508239</v>
      </c>
      <c r="P36" s="7" t="n">
        <f aca="false">MAX(E36-E35,0)</f>
        <v>0</v>
      </c>
      <c r="Q36" s="7" t="n">
        <f aca="false">MAX(E35-E36,0)</f>
        <v>90.8999999999996</v>
      </c>
      <c r="R36" s="7" t="n">
        <f aca="false">(R35*13+P36)/14</f>
        <v>44.8392471356446</v>
      </c>
      <c r="S36" s="7" t="n">
        <f aca="false">(S35*13+Q36)/14</f>
        <v>20.9701168234831</v>
      </c>
      <c r="T36" s="7" t="n">
        <f aca="false">IF(S36=0,100,100-100/(1+R36/S36))</f>
        <v>68.1350562261823</v>
      </c>
      <c r="U36" s="7" t="n">
        <f aca="false">E36*2/13+U35*11/13</f>
        <v>9519.63281616221</v>
      </c>
      <c r="V36" s="7" t="n">
        <f aca="false">E36*2/27+V35*25/27</f>
        <v>9330.72036071472</v>
      </c>
      <c r="W36" s="7" t="n">
        <f aca="false">U36-V36</f>
        <v>188.912455447489</v>
      </c>
      <c r="X36" s="7" t="n">
        <f aca="false">AVERAGE(W28:W36)</f>
        <v>172.741279379275</v>
      </c>
      <c r="Y36" s="7" t="n">
        <f aca="false">W36-X36</f>
        <v>16.1711760682148</v>
      </c>
      <c r="Z36" s="8" t="s">
        <v>42</v>
      </c>
      <c r="AA36" s="7" t="str">
        <f aca="false">IFERROR(INDEX(02_轉折點45!B:B,MATCH(A36,02_轉折點45!A:A,0)),"")</f>
        <v/>
      </c>
      <c r="AB36" s="7" t="n">
        <f aca="false">COUNTIFS(05_訊號明細!A:A,A36,05_訊號明細!C:C,"TOP")</f>
        <v>0</v>
      </c>
      <c r="AC36" s="7" t="n">
        <f aca="false">COUNTIFS(05_訊號明細!A:A,A36,05_訊號明細!C:C,"BOTTOM")</f>
        <v>0</v>
      </c>
    </row>
    <row r="37" customFormat="false" ht="15" hidden="false" customHeight="false" outlineLevel="0" collapsed="false">
      <c r="A37" s="7" t="s">
        <v>76</v>
      </c>
      <c r="B37" s="7" t="n">
        <v>9582.54</v>
      </c>
      <c r="C37" s="7" t="n">
        <v>9594</v>
      </c>
      <c r="D37" s="7" t="n">
        <v>9406.38</v>
      </c>
      <c r="E37" s="7" t="n">
        <v>9446.69</v>
      </c>
      <c r="F37" s="7" t="n">
        <v>2750</v>
      </c>
      <c r="G37" s="7" t="n">
        <f aca="false">AVERAGE(E33:E37)</f>
        <v>9609.326</v>
      </c>
      <c r="H37" s="7" t="n">
        <f aca="false">AVERAGE(E28:E37)</f>
        <v>9569.133</v>
      </c>
      <c r="I37" s="7" t="n">
        <f aca="false">AVERAGE(E18:E37)</f>
        <v>9368.9405</v>
      </c>
      <c r="M37" s="7" t="n">
        <f aca="false">I37</f>
        <v>9368.9405</v>
      </c>
      <c r="N37" s="7" t="n">
        <f aca="false">I37+2*STDEV(E18:E37)</f>
        <v>9854.82379127044</v>
      </c>
      <c r="O37" s="7" t="n">
        <f aca="false">I37-2*STDEV(E18:E37)</f>
        <v>8883.05720872957</v>
      </c>
      <c r="P37" s="7" t="n">
        <f aca="false">MAX(E37-E36,0)</f>
        <v>0</v>
      </c>
      <c r="Q37" s="7" t="n">
        <f aca="false">MAX(E36-E37,0)</f>
        <v>181.139999999999</v>
      </c>
      <c r="R37" s="7" t="n">
        <f aca="false">(R36*13+P37)/14</f>
        <v>41.6364437688128</v>
      </c>
      <c r="S37" s="7" t="n">
        <f aca="false">(S36*13+Q37)/14</f>
        <v>32.4108227646628</v>
      </c>
      <c r="T37" s="7" t="n">
        <f aca="false">IF(S37=0,100,100-100/(1+R37/S37))</f>
        <v>56.2295486626635</v>
      </c>
      <c r="U37" s="7" t="n">
        <f aca="false">E37*2/13+U36*11/13</f>
        <v>9508.41084444495</v>
      </c>
      <c r="V37" s="7" t="n">
        <f aca="false">E37*2/27+V36*25/27</f>
        <v>9339.31070436548</v>
      </c>
      <c r="W37" s="7" t="n">
        <f aca="false">U37-V37</f>
        <v>169.100140079465</v>
      </c>
      <c r="X37" s="7" t="n">
        <f aca="false">W37*2/10+X36*8/10</f>
        <v>172.013051519313</v>
      </c>
      <c r="Y37" s="7" t="n">
        <f aca="false">W37-X37</f>
        <v>-2.91291143984773</v>
      </c>
      <c r="Z37" s="8" t="s">
        <v>42</v>
      </c>
      <c r="AA37" s="7" t="str">
        <f aca="false">IFERROR(INDEX(02_轉折點45!B:B,MATCH(A37,02_轉折點45!A:A,0)),"")</f>
        <v/>
      </c>
      <c r="AB37" s="7" t="n">
        <f aca="false">COUNTIFS(05_訊號明細!A:A,A37,05_訊號明細!C:C,"TOP")</f>
        <v>0</v>
      </c>
      <c r="AC37" s="7" t="n">
        <f aca="false">COUNTIFS(05_訊號明細!A:A,A37,05_訊號明細!C:C,"BOTTOM")</f>
        <v>0</v>
      </c>
    </row>
    <row r="38" customFormat="false" ht="15" hidden="false" customHeight="false" outlineLevel="0" collapsed="false">
      <c r="A38" s="7" t="s">
        <v>77</v>
      </c>
      <c r="B38" s="7" t="n">
        <v>9055.3</v>
      </c>
      <c r="C38" s="7" t="n">
        <v>9194.91</v>
      </c>
      <c r="D38" s="7" t="n">
        <v>9028.87</v>
      </c>
      <c r="E38" s="7" t="n">
        <v>9079.63</v>
      </c>
      <c r="F38" s="7" t="n">
        <v>3189</v>
      </c>
      <c r="G38" s="7" t="n">
        <f aca="false">AVERAGE(E34:E38)</f>
        <v>9500.536</v>
      </c>
      <c r="H38" s="7" t="n">
        <f aca="false">AVERAGE(E29:E38)</f>
        <v>9536.986</v>
      </c>
      <c r="I38" s="7" t="n">
        <f aca="false">AVERAGE(E19:E38)</f>
        <v>9365.8485</v>
      </c>
      <c r="M38" s="7" t="n">
        <f aca="false">I38</f>
        <v>9365.8485</v>
      </c>
      <c r="N38" s="7" t="n">
        <f aca="false">I38+2*STDEV(E19:E38)</f>
        <v>9858.56572396373</v>
      </c>
      <c r="O38" s="7" t="n">
        <f aca="false">I38-2*STDEV(E19:E38)</f>
        <v>8873.13127603627</v>
      </c>
      <c r="P38" s="7" t="n">
        <f aca="false">MAX(E38-E37,0)</f>
        <v>0</v>
      </c>
      <c r="Q38" s="7" t="n">
        <f aca="false">MAX(E37-E38,0)</f>
        <v>367.060000000001</v>
      </c>
      <c r="R38" s="7" t="n">
        <f aca="false">(R37*13+P38)/14</f>
        <v>38.6624120710405</v>
      </c>
      <c r="S38" s="7" t="n">
        <f aca="false">(S37*13+Q38)/14</f>
        <v>56.3143354243299</v>
      </c>
      <c r="T38" s="7" t="n">
        <f aca="false">IF(S38=0,100,100-100/(1+R38/S38))</f>
        <v>40.7072394987258</v>
      </c>
      <c r="U38" s="7" t="n">
        <f aca="false">E38*2/13+U37*11/13</f>
        <v>9442.44456068419</v>
      </c>
      <c r="V38" s="7" t="n">
        <f aca="false">E38*2/27+V37*25/27</f>
        <v>9320.07509663471</v>
      </c>
      <c r="W38" s="7" t="n">
        <f aca="false">U38-V38</f>
        <v>122.36946404948</v>
      </c>
      <c r="X38" s="7" t="n">
        <f aca="false">W38*2/10+X37*8/10</f>
        <v>162.084334025346</v>
      </c>
      <c r="Y38" s="7" t="n">
        <f aca="false">W38-X38</f>
        <v>-39.7148699758664</v>
      </c>
      <c r="Z38" s="7" t="s">
        <v>78</v>
      </c>
      <c r="AA38" s="7" t="str">
        <f aca="false">IFERROR(INDEX(02_轉折點45!B:B,MATCH(A38,02_轉折點45!A:A,0)),"")</f>
        <v/>
      </c>
      <c r="AB38" s="7" t="n">
        <f aca="false">COUNTIFS(05_訊號明細!A:A,A38,05_訊號明細!C:C,"TOP")</f>
        <v>3</v>
      </c>
      <c r="AC38" s="7" t="n">
        <f aca="false">COUNTIFS(05_訊號明細!A:A,A38,05_訊號明細!C:C,"BOTTOM")</f>
        <v>0</v>
      </c>
    </row>
    <row r="39" customFormat="false" ht="15" hidden="false" customHeight="false" outlineLevel="0" collapsed="false">
      <c r="A39" s="7" t="s">
        <v>79</v>
      </c>
      <c r="B39" s="7" t="n">
        <v>9167.33</v>
      </c>
      <c r="C39" s="7" t="n">
        <v>9183.78</v>
      </c>
      <c r="D39" s="7" t="n">
        <v>8807.11</v>
      </c>
      <c r="E39" s="7" t="n">
        <v>8834.87</v>
      </c>
      <c r="F39" s="7" t="n">
        <v>3596</v>
      </c>
      <c r="G39" s="7" t="n">
        <f aca="false">AVERAGE(E35:E39)</f>
        <v>9341.55</v>
      </c>
      <c r="H39" s="7" t="n">
        <f aca="false">AVERAGE(E30:E39)</f>
        <v>9468.789</v>
      </c>
      <c r="I39" s="7" t="n">
        <f aca="false">AVERAGE(E20:E39)</f>
        <v>9359.983</v>
      </c>
      <c r="M39" s="7" t="n">
        <f aca="false">I39</f>
        <v>9359.983</v>
      </c>
      <c r="N39" s="7" t="n">
        <f aca="false">I39+2*STDEV(E20:E39)</f>
        <v>9875.69144599189</v>
      </c>
      <c r="O39" s="7" t="n">
        <f aca="false">I39-2*STDEV(E20:E39)</f>
        <v>8844.27455400811</v>
      </c>
      <c r="P39" s="7" t="n">
        <f aca="false">MAX(E39-E38,0)</f>
        <v>0</v>
      </c>
      <c r="Q39" s="7" t="n">
        <f aca="false">MAX(E38-E39,0)</f>
        <v>244.759999999998</v>
      </c>
      <c r="R39" s="7" t="n">
        <f aca="false">(R38*13+P39)/14</f>
        <v>35.9008112088233</v>
      </c>
      <c r="S39" s="7" t="n">
        <f aca="false">(S38*13+Q39)/14</f>
        <v>69.7747400368776</v>
      </c>
      <c r="T39" s="7" t="n">
        <f aca="false">IF(S39=0,100,100-100/(1+R39/S39))</f>
        <v>33.9726746495527</v>
      </c>
      <c r="U39" s="7" t="n">
        <f aca="false">E39*2/13+U38*11/13</f>
        <v>9348.97155134816</v>
      </c>
      <c r="V39" s="7" t="n">
        <f aca="false">E39*2/27+V38*25/27</f>
        <v>9284.13397836547</v>
      </c>
      <c r="W39" s="7" t="n">
        <f aca="false">U39-V39</f>
        <v>64.8375729826894</v>
      </c>
      <c r="X39" s="7" t="n">
        <f aca="false">W39*2/10+X38*8/10</f>
        <v>142.634981816815</v>
      </c>
      <c r="Y39" s="7" t="n">
        <f aca="false">W39-X39</f>
        <v>-77.7974088341253</v>
      </c>
      <c r="Z39" s="7" t="s">
        <v>78</v>
      </c>
      <c r="AA39" s="7" t="str">
        <f aca="false">IFERROR(INDEX(02_轉折點45!B:B,MATCH(A39,02_轉折點45!A:A,0)),"")</f>
        <v/>
      </c>
      <c r="AB39" s="7" t="n">
        <f aca="false">COUNTIFS(05_訊號明細!A:A,A39,05_訊號明細!C:C,"TOP")</f>
        <v>0</v>
      </c>
      <c r="AC39" s="7" t="n">
        <f aca="false">COUNTIFS(05_訊號明細!A:A,A39,05_訊號明細!C:C,"BOTTOM")</f>
        <v>0</v>
      </c>
    </row>
    <row r="40" customFormat="false" ht="15" hidden="false" customHeight="false" outlineLevel="0" collapsed="false">
      <c r="A40" s="7" t="s">
        <v>80</v>
      </c>
      <c r="B40" s="7" t="n">
        <v>8883.01</v>
      </c>
      <c r="C40" s="7" t="n">
        <v>9032.88</v>
      </c>
      <c r="D40" s="7" t="n">
        <v>8813.92</v>
      </c>
      <c r="E40" s="7" t="n">
        <v>8873.76</v>
      </c>
      <c r="F40" s="7" t="n">
        <v>3588</v>
      </c>
      <c r="G40" s="7" t="n">
        <f aca="false">AVERAGE(E36:E40)</f>
        <v>9172.556</v>
      </c>
      <c r="H40" s="7" t="n">
        <f aca="false">AVERAGE(E31:E40)</f>
        <v>9404.379</v>
      </c>
      <c r="I40" s="7" t="n">
        <f aca="false">AVERAGE(E21:E40)</f>
        <v>9349.1245</v>
      </c>
      <c r="M40" s="7" t="n">
        <f aca="false">I40</f>
        <v>9349.1245</v>
      </c>
      <c r="N40" s="7" t="n">
        <f aca="false">I40+2*STDEV(E21:E40)</f>
        <v>9896.83790075569</v>
      </c>
      <c r="O40" s="7" t="n">
        <f aca="false">I40-2*STDEV(E21:E40)</f>
        <v>8801.41109924431</v>
      </c>
      <c r="P40" s="7" t="n">
        <f aca="false">MAX(E40-E39,0)</f>
        <v>38.8899999999994</v>
      </c>
      <c r="Q40" s="7" t="n">
        <f aca="false">MAX(E39-E40,0)</f>
        <v>0</v>
      </c>
      <c r="R40" s="7" t="n">
        <f aca="false">(R39*13+P40)/14</f>
        <v>36.1143246939073</v>
      </c>
      <c r="S40" s="7" t="n">
        <f aca="false">(S39*13+Q40)/14</f>
        <v>64.7908300342435</v>
      </c>
      <c r="T40" s="7" t="n">
        <f aca="false">IF(S40=0,100,100-100/(1+R40/S40))</f>
        <v>35.7903664993162</v>
      </c>
      <c r="U40" s="7" t="n">
        <f aca="false">E40*2/13+U39*11/13</f>
        <v>9275.86208190998</v>
      </c>
      <c r="V40" s="7" t="n">
        <f aca="false">E40*2/27+V39*25/27</f>
        <v>9253.73590589395</v>
      </c>
      <c r="W40" s="7" t="n">
        <f aca="false">U40-V40</f>
        <v>22.1261760160287</v>
      </c>
      <c r="X40" s="7" t="n">
        <f aca="false">W40*2/10+X39*8/10</f>
        <v>118.533220656657</v>
      </c>
      <c r="Y40" s="7" t="n">
        <f aca="false">W40-X40</f>
        <v>-96.4070446406288</v>
      </c>
      <c r="Z40" s="7" t="s">
        <v>78</v>
      </c>
      <c r="AA40" s="7" t="str">
        <f aca="false">IFERROR(INDEX(02_轉折點45!B:B,MATCH(A40,02_轉折點45!A:A,0)),"")</f>
        <v/>
      </c>
      <c r="AB40" s="7" t="n">
        <f aca="false">COUNTIFS(05_訊號明細!A:A,A40,05_訊號明細!C:C,"TOP")</f>
        <v>1</v>
      </c>
      <c r="AC40" s="7" t="n">
        <f aca="false">COUNTIFS(05_訊號明細!A:A,A40,05_訊號明細!C:C,"BOTTOM")</f>
        <v>0</v>
      </c>
    </row>
    <row r="41" customFormat="false" ht="15" hidden="false" customHeight="false" outlineLevel="0" collapsed="false">
      <c r="A41" s="7" t="s">
        <v>81</v>
      </c>
      <c r="B41" s="7" t="n">
        <v>8632.54</v>
      </c>
      <c r="C41" s="7" t="n">
        <v>8786.68</v>
      </c>
      <c r="D41" s="7" t="n">
        <v>8430.53</v>
      </c>
      <c r="E41" s="7" t="n">
        <v>8436.67</v>
      </c>
      <c r="F41" s="7" t="n">
        <v>4560</v>
      </c>
      <c r="G41" s="7" t="n">
        <f aca="false">AVERAGE(E37:E41)</f>
        <v>8934.324</v>
      </c>
      <c r="H41" s="7" t="n">
        <f aca="false">AVERAGE(E32:E41)</f>
        <v>9286.726</v>
      </c>
      <c r="I41" s="7" t="n">
        <f aca="false">AVERAGE(E22:E41)</f>
        <v>9315.8775</v>
      </c>
      <c r="M41" s="7" t="n">
        <f aca="false">I41</f>
        <v>9315.8775</v>
      </c>
      <c r="N41" s="7" t="n">
        <f aca="false">I41+2*STDEV(E22:E41)</f>
        <v>9992.42521974301</v>
      </c>
      <c r="O41" s="7" t="n">
        <f aca="false">I41-2*STDEV(E22:E41)</f>
        <v>8639.32978025698</v>
      </c>
      <c r="P41" s="7" t="n">
        <f aca="false">MAX(E41-E40,0)</f>
        <v>0</v>
      </c>
      <c r="Q41" s="7" t="n">
        <f aca="false">MAX(E40-E41,0)</f>
        <v>437.09</v>
      </c>
      <c r="R41" s="7" t="n">
        <f aca="false">(R40*13+P41)/14</f>
        <v>33.5347300729139</v>
      </c>
      <c r="S41" s="7" t="n">
        <f aca="false">(S40*13+Q41)/14</f>
        <v>91.3836278889404</v>
      </c>
      <c r="T41" s="7" t="n">
        <f aca="false">IF(S41=0,100,100-100/(1+R41/S41))</f>
        <v>26.8453177099512</v>
      </c>
      <c r="U41" s="7" t="n">
        <f aca="false">E41*2/13+U40*11/13</f>
        <v>9146.75560776999</v>
      </c>
      <c r="V41" s="7" t="n">
        <f aca="false">E41*2/27+V40*25/27</f>
        <v>9193.21250545736</v>
      </c>
      <c r="W41" s="7" t="n">
        <f aca="false">U41-V41</f>
        <v>-46.4568976873779</v>
      </c>
      <c r="X41" s="7" t="n">
        <f aca="false">W41*2/10+X40*8/10</f>
        <v>85.5351969878504</v>
      </c>
      <c r="Y41" s="7" t="n">
        <f aca="false">W41-X41</f>
        <v>-131.992094675228</v>
      </c>
      <c r="Z41" s="7" t="s">
        <v>78</v>
      </c>
      <c r="AA41" s="7" t="str">
        <f aca="false">IFERROR(INDEX(02_轉折點45!B:B,MATCH(A41,02_轉折點45!A:A,0)),"")</f>
        <v/>
      </c>
      <c r="AB41" s="7" t="n">
        <f aca="false">COUNTIFS(05_訊號明細!A:A,A41,05_訊號明細!C:C,"TOP")</f>
        <v>1</v>
      </c>
      <c r="AC41" s="7" t="n">
        <f aca="false">COUNTIFS(05_訊號明細!A:A,A41,05_訊號明細!C:C,"BOTTOM")</f>
        <v>0</v>
      </c>
    </row>
    <row r="42" customFormat="false" ht="15" hidden="false" customHeight="false" outlineLevel="0" collapsed="false">
      <c r="A42" s="7" t="s">
        <v>82</v>
      </c>
      <c r="B42" s="7" t="n">
        <v>8133.85</v>
      </c>
      <c r="C42" s="7" t="n">
        <v>8490.47</v>
      </c>
      <c r="D42" s="7" t="n">
        <v>8133.85</v>
      </c>
      <c r="E42" s="7" t="n">
        <v>8461.83</v>
      </c>
      <c r="F42" s="7" t="n">
        <v>5320</v>
      </c>
      <c r="G42" s="7" t="n">
        <f aca="false">AVERAGE(E38:E42)</f>
        <v>8737.352</v>
      </c>
      <c r="H42" s="7" t="n">
        <f aca="false">AVERAGE(E33:E42)</f>
        <v>9173.339</v>
      </c>
      <c r="I42" s="7" t="n">
        <f aca="false">AVERAGE(E23:E42)</f>
        <v>9282.1645</v>
      </c>
      <c r="M42" s="7" t="n">
        <f aca="false">I42</f>
        <v>9282.1645</v>
      </c>
      <c r="N42" s="7" t="n">
        <f aca="false">I42+2*STDEV(E23:E42)</f>
        <v>10056.5569125464</v>
      </c>
      <c r="O42" s="7" t="n">
        <f aca="false">I42-2*STDEV(E23:E42)</f>
        <v>8507.77208745358</v>
      </c>
      <c r="P42" s="7" t="n">
        <f aca="false">MAX(E42-E41,0)</f>
        <v>25.1599999999999</v>
      </c>
      <c r="Q42" s="7" t="n">
        <f aca="false">MAX(E41-E42,0)</f>
        <v>0</v>
      </c>
      <c r="R42" s="7" t="n">
        <f aca="false">(R41*13+P42)/14</f>
        <v>32.9365350677058</v>
      </c>
      <c r="S42" s="7" t="n">
        <f aca="false">(S41*13+Q42)/14</f>
        <v>84.8562258968732</v>
      </c>
      <c r="T42" s="7" t="n">
        <f aca="false">IF(S42=0,100,100-100/(1+R42/S42))</f>
        <v>27.9614254713072</v>
      </c>
      <c r="U42" s="7" t="n">
        <f aca="false">E42*2/13+U41*11/13</f>
        <v>9041.38243734383</v>
      </c>
      <c r="V42" s="7" t="n">
        <f aca="false">E42*2/27+V41*25/27</f>
        <v>9139.03602357163</v>
      </c>
      <c r="W42" s="7" t="n">
        <f aca="false">U42-V42</f>
        <v>-97.6535862277997</v>
      </c>
      <c r="X42" s="7" t="n">
        <f aca="false">W42*2/10+X41*8/10</f>
        <v>48.8974403447204</v>
      </c>
      <c r="Y42" s="7" t="n">
        <f aca="false">W42-X42</f>
        <v>-146.55102657252</v>
      </c>
      <c r="Z42" s="7" t="s">
        <v>78</v>
      </c>
      <c r="AA42" s="7" t="str">
        <f aca="false">IFERROR(INDEX(02_轉折點45!B:B,MATCH(A42,02_轉折點45!A:A,0)),"")</f>
        <v/>
      </c>
      <c r="AB42" s="7" t="n">
        <f aca="false">COUNTIFS(05_訊號明細!A:A,A42,05_訊號明細!C:C,"TOP")</f>
        <v>0</v>
      </c>
      <c r="AC42" s="7" t="n">
        <f aca="false">COUNTIFS(05_訊號明細!A:A,A42,05_訊號明細!C:C,"BOTTOM")</f>
        <v>0</v>
      </c>
    </row>
    <row r="43" customFormat="false" ht="15" hidden="false" customHeight="false" outlineLevel="0" collapsed="false">
      <c r="A43" s="7" t="s">
        <v>83</v>
      </c>
      <c r="B43" s="7" t="n">
        <v>8569.91</v>
      </c>
      <c r="C43" s="7" t="n">
        <v>8879.39</v>
      </c>
      <c r="D43" s="7" t="n">
        <v>8446.5</v>
      </c>
      <c r="E43" s="7" t="n">
        <v>8877.98</v>
      </c>
      <c r="F43" s="7" t="n">
        <v>4249</v>
      </c>
      <c r="G43" s="7" t="n">
        <f aca="false">AVERAGE(E39:E43)</f>
        <v>8697.022</v>
      </c>
      <c r="H43" s="7" t="n">
        <f aca="false">AVERAGE(E34:E43)</f>
        <v>9098.779</v>
      </c>
      <c r="I43" s="7" t="n">
        <f aca="false">AVERAGE(E24:E43)</f>
        <v>9276.488</v>
      </c>
      <c r="M43" s="7" t="n">
        <f aca="false">I43</f>
        <v>9276.488</v>
      </c>
      <c r="N43" s="7" t="n">
        <f aca="false">I43+2*STDEV(E24:E43)</f>
        <v>10061.4436151743</v>
      </c>
      <c r="O43" s="7" t="n">
        <f aca="false">I43-2*STDEV(E24:E43)</f>
        <v>8491.53238482569</v>
      </c>
      <c r="P43" s="7" t="n">
        <f aca="false">MAX(E43-E42,0)</f>
        <v>416.15</v>
      </c>
      <c r="Q43" s="7" t="n">
        <f aca="false">MAX(E42-E43,0)</f>
        <v>0</v>
      </c>
      <c r="R43" s="7" t="n">
        <f aca="false">(R42*13+P43)/14</f>
        <v>60.3089254200125</v>
      </c>
      <c r="S43" s="7" t="n">
        <f aca="false">(S42*13+Q43)/14</f>
        <v>78.7950669042394</v>
      </c>
      <c r="T43" s="7" t="n">
        <f aca="false">IF(S43=0,100,100-100/(1+R43/S43))</f>
        <v>43.3552800407282</v>
      </c>
      <c r="U43" s="7" t="n">
        <f aca="false">E43*2/13+U42*11/13</f>
        <v>9016.2436008294</v>
      </c>
      <c r="V43" s="7" t="n">
        <f aca="false">E43*2/27+V42*25/27</f>
        <v>9119.6985403441</v>
      </c>
      <c r="W43" s="7" t="n">
        <f aca="false">U43-V43</f>
        <v>-103.454939514706</v>
      </c>
      <c r="X43" s="7" t="n">
        <f aca="false">W43*2/10+X42*8/10</f>
        <v>18.4269643728351</v>
      </c>
      <c r="Y43" s="7" t="n">
        <f aca="false">W43-X43</f>
        <v>-121.881903887541</v>
      </c>
      <c r="Z43" s="7" t="s">
        <v>78</v>
      </c>
      <c r="AA43" s="7" t="str">
        <f aca="false">IFERROR(INDEX(02_轉折點45!B:B,MATCH(A43,02_轉折點45!A:A,0)),"")</f>
        <v/>
      </c>
      <c r="AB43" s="7" t="n">
        <f aca="false">COUNTIFS(05_訊號明細!A:A,A43,05_訊號明細!C:C,"TOP")</f>
        <v>0</v>
      </c>
      <c r="AC43" s="7" t="n">
        <f aca="false">COUNTIFS(05_訊號明細!A:A,A43,05_訊號明細!C:C,"BOTTOM")</f>
        <v>1</v>
      </c>
    </row>
    <row r="44" customFormat="false" ht="15" hidden="false" customHeight="false" outlineLevel="0" collapsed="false">
      <c r="A44" s="7" t="s">
        <v>84</v>
      </c>
      <c r="B44" s="7" t="n">
        <v>8892.68</v>
      </c>
      <c r="C44" s="7" t="n">
        <v>9000.46</v>
      </c>
      <c r="D44" s="7" t="n">
        <v>8516.58</v>
      </c>
      <c r="E44" s="7" t="n">
        <v>8594.49</v>
      </c>
      <c r="F44" s="7" t="n">
        <v>4337</v>
      </c>
      <c r="G44" s="7" t="n">
        <f aca="false">AVERAGE(E40:E44)</f>
        <v>8648.946</v>
      </c>
      <c r="H44" s="7" t="n">
        <f aca="false">AVERAGE(E35:E44)</f>
        <v>8995.248</v>
      </c>
      <c r="I44" s="7" t="n">
        <f aca="false">AVERAGE(E25:E44)</f>
        <v>9249.901</v>
      </c>
      <c r="M44" s="7" t="n">
        <f aca="false">I44</f>
        <v>9249.901</v>
      </c>
      <c r="N44" s="7" t="n">
        <f aca="false">I44+2*STDEV(E25:E44)</f>
        <v>10090.3450171819</v>
      </c>
      <c r="O44" s="7" t="n">
        <f aca="false">I44-2*STDEV(E25:E44)</f>
        <v>8409.45698281811</v>
      </c>
      <c r="P44" s="7" t="n">
        <f aca="false">MAX(E44-E43,0)</f>
        <v>0</v>
      </c>
      <c r="Q44" s="7" t="n">
        <f aca="false">MAX(E43-E44,0)</f>
        <v>283.49</v>
      </c>
      <c r="R44" s="7" t="n">
        <f aca="false">(R43*13+P44)/14</f>
        <v>56.0011450328687</v>
      </c>
      <c r="S44" s="7" t="n">
        <f aca="false">(S43*13+Q44)/14</f>
        <v>93.4161335539366</v>
      </c>
      <c r="T44" s="7" t="n">
        <f aca="false">IF(S44=0,100,100-100/(1+R44/S44))</f>
        <v>37.4796981731496</v>
      </c>
      <c r="U44" s="7" t="n">
        <f aca="false">E44*2/13+U43*11/13</f>
        <v>8951.35843147103</v>
      </c>
      <c r="V44" s="7" t="n">
        <f aca="false">E44*2/27+V43*25/27</f>
        <v>9080.79420402232</v>
      </c>
      <c r="W44" s="7" t="n">
        <f aca="false">U44-V44</f>
        <v>-129.435772551289</v>
      </c>
      <c r="X44" s="7" t="n">
        <f aca="false">W44*2/10+X43*8/10</f>
        <v>-11.1455830119897</v>
      </c>
      <c r="Y44" s="7" t="n">
        <f aca="false">W44-X44</f>
        <v>-118.290189539299</v>
      </c>
      <c r="Z44" s="7" t="s">
        <v>78</v>
      </c>
      <c r="AA44" s="7" t="str">
        <f aca="false">IFERROR(INDEX(02_轉折點45!B:B,MATCH(A44,02_轉折點45!A:A,0)),"")</f>
        <v/>
      </c>
      <c r="AB44" s="7" t="n">
        <f aca="false">COUNTIFS(05_訊號明細!A:A,A44,05_訊號明細!C:C,"TOP")</f>
        <v>0</v>
      </c>
      <c r="AC44" s="7" t="n">
        <f aca="false">COUNTIFS(05_訊號明細!A:A,A44,05_訊號明細!C:C,"BOTTOM")</f>
        <v>0</v>
      </c>
    </row>
    <row r="45" customFormat="false" ht="15" hidden="false" customHeight="false" outlineLevel="0" collapsed="false">
      <c r="A45" s="7" t="s">
        <v>85</v>
      </c>
      <c r="B45" s="7" t="n">
        <v>8745.64</v>
      </c>
      <c r="C45" s="7" t="n">
        <v>8952.11</v>
      </c>
      <c r="D45" s="7" t="n">
        <v>8669.76</v>
      </c>
      <c r="E45" s="7" t="n">
        <v>8949.28</v>
      </c>
      <c r="F45" s="7" t="n">
        <v>3635</v>
      </c>
      <c r="G45" s="7" t="n">
        <f aca="false">AVERAGE(E41:E45)</f>
        <v>8664.05</v>
      </c>
      <c r="H45" s="7" t="n">
        <f aca="false">AVERAGE(E36:E45)</f>
        <v>8918.303</v>
      </c>
      <c r="I45" s="7" t="n">
        <f aca="false">AVERAGE(E26:E45)</f>
        <v>9230.662</v>
      </c>
      <c r="M45" s="7" t="n">
        <f aca="false">I45</f>
        <v>9230.662</v>
      </c>
      <c r="N45" s="7" t="n">
        <f aca="false">I45+2*STDEV(E26:E45)</f>
        <v>10080.5575551336</v>
      </c>
      <c r="O45" s="7" t="n">
        <f aca="false">I45-2*STDEV(E26:E45)</f>
        <v>8380.76644486644</v>
      </c>
      <c r="P45" s="7" t="n">
        <f aca="false">MAX(E45-E44,0)</f>
        <v>354.790000000001</v>
      </c>
      <c r="Q45" s="7" t="n">
        <f aca="false">MAX(E44-E45,0)</f>
        <v>0</v>
      </c>
      <c r="R45" s="7" t="n">
        <f aca="false">(R44*13+P45)/14</f>
        <v>77.3432061019496</v>
      </c>
      <c r="S45" s="7" t="n">
        <f aca="false">(S44*13+Q45)/14</f>
        <v>86.7435525857983</v>
      </c>
      <c r="T45" s="7" t="n">
        <f aca="false">IF(S45=0,100,100-100/(1+R45/S45))</f>
        <v>47.135556043941</v>
      </c>
      <c r="U45" s="7" t="n">
        <f aca="false">E45*2/13+U44*11/13</f>
        <v>8951.03867278318</v>
      </c>
      <c r="V45" s="7" t="n">
        <f aca="false">E45*2/27+V44*25/27</f>
        <v>9071.05241113178</v>
      </c>
      <c r="W45" s="7" t="n">
        <f aca="false">U45-V45</f>
        <v>-120.013738348598</v>
      </c>
      <c r="X45" s="7" t="n">
        <f aca="false">W45*2/10+X44*8/10</f>
        <v>-32.9192140793114</v>
      </c>
      <c r="Y45" s="7" t="n">
        <f aca="false">W45-X45</f>
        <v>-87.0945242692867</v>
      </c>
      <c r="Z45" s="7" t="s">
        <v>78</v>
      </c>
      <c r="AA45" s="7" t="str">
        <f aca="false">IFERROR(INDEX(02_轉折點45!B:B,MATCH(A45,02_轉折點45!A:A,0)),"")</f>
        <v/>
      </c>
      <c r="AB45" s="7" t="n">
        <f aca="false">COUNTIFS(05_訊號明細!A:A,A45,05_訊號明細!C:C,"TOP")</f>
        <v>1</v>
      </c>
      <c r="AC45" s="7" t="n">
        <f aca="false">COUNTIFS(05_訊號明細!A:A,A45,05_訊號明細!C:C,"BOTTOM")</f>
        <v>1</v>
      </c>
    </row>
    <row r="46" customFormat="false" ht="15" hidden="false" customHeight="false" outlineLevel="0" collapsed="false">
      <c r="A46" s="7" t="s">
        <v>86</v>
      </c>
      <c r="B46" s="7" t="n">
        <v>8713.19</v>
      </c>
      <c r="C46" s="7" t="n">
        <v>8864.19</v>
      </c>
      <c r="D46" s="7" t="n">
        <v>8613.91</v>
      </c>
      <c r="E46" s="7" t="n">
        <v>8671.66</v>
      </c>
      <c r="F46" s="7" t="n">
        <v>3764</v>
      </c>
      <c r="G46" s="7" t="n">
        <f aca="false">AVERAGE(E42:E46)</f>
        <v>8711.048</v>
      </c>
      <c r="H46" s="7" t="n">
        <f aca="false">AVERAGE(E37:E46)</f>
        <v>8822.686</v>
      </c>
      <c r="I46" s="7" t="n">
        <f aca="false">AVERAGE(E27:E46)</f>
        <v>9195.871</v>
      </c>
      <c r="M46" s="7" t="n">
        <f aca="false">I46</f>
        <v>9195.871</v>
      </c>
      <c r="N46" s="7" t="n">
        <f aca="false">I46+2*STDEV(E27:E46)</f>
        <v>10078.5210119145</v>
      </c>
      <c r="O46" s="7" t="n">
        <f aca="false">I46-2*STDEV(E27:E46)</f>
        <v>8313.22098808552</v>
      </c>
      <c r="P46" s="7" t="n">
        <f aca="false">MAX(E46-E45,0)</f>
        <v>0</v>
      </c>
      <c r="Q46" s="7" t="n">
        <f aca="false">MAX(E45-E46,0)</f>
        <v>277.620000000001</v>
      </c>
      <c r="R46" s="7" t="n">
        <f aca="false">(R45*13+P46)/14</f>
        <v>71.8186913803818</v>
      </c>
      <c r="S46" s="7" t="n">
        <f aca="false">(S45*13+Q46)/14</f>
        <v>100.377584543956</v>
      </c>
      <c r="T46" s="7" t="n">
        <f aca="false">IF(S46=0,100,100-100/(1+R46/S46))</f>
        <v>41.7074591159792</v>
      </c>
      <c r="U46" s="7" t="n">
        <f aca="false">E46*2/13+U45*11/13</f>
        <v>8908.05733850884</v>
      </c>
      <c r="V46" s="7" t="n">
        <f aca="false">E46*2/27+V45*25/27</f>
        <v>9041.46778808498</v>
      </c>
      <c r="W46" s="7" t="n">
        <f aca="false">U46-V46</f>
        <v>-133.410449576135</v>
      </c>
      <c r="X46" s="7" t="n">
        <f aca="false">W46*2/10+X45*8/10</f>
        <v>-53.0174611786761</v>
      </c>
      <c r="Y46" s="7" t="n">
        <f aca="false">W46-X46</f>
        <v>-80.3929883974588</v>
      </c>
      <c r="Z46" s="7" t="s">
        <v>78</v>
      </c>
      <c r="AA46" s="7" t="str">
        <f aca="false">IFERROR(INDEX(02_轉折點45!B:B,MATCH(A46,02_轉折點45!A:A,0)),"")</f>
        <v/>
      </c>
      <c r="AB46" s="7" t="n">
        <f aca="false">COUNTIFS(05_訊號明細!A:A,A46,05_訊號明細!C:C,"TOP")</f>
        <v>0</v>
      </c>
      <c r="AC46" s="7" t="n">
        <f aca="false">COUNTIFS(05_訊號明細!A:A,A46,05_訊號明細!C:C,"BOTTOM")</f>
        <v>0</v>
      </c>
    </row>
    <row r="47" customFormat="false" ht="15" hidden="false" customHeight="false" outlineLevel="0" collapsed="false">
      <c r="A47" s="7" t="s">
        <v>87</v>
      </c>
      <c r="B47" s="7" t="n">
        <v>8395.95</v>
      </c>
      <c r="C47" s="7" t="n">
        <v>8571.88</v>
      </c>
      <c r="D47" s="7" t="n">
        <v>8319.9</v>
      </c>
      <c r="E47" s="7" t="n">
        <v>8530.34</v>
      </c>
      <c r="F47" s="7" t="n">
        <v>4293</v>
      </c>
      <c r="G47" s="7" t="n">
        <f aca="false">AVERAGE(E43:E47)</f>
        <v>8724.75</v>
      </c>
      <c r="H47" s="7" t="n">
        <f aca="false">AVERAGE(E38:E47)</f>
        <v>8731.051</v>
      </c>
      <c r="I47" s="7" t="n">
        <f aca="false">AVERAGE(E28:E47)</f>
        <v>9150.092</v>
      </c>
      <c r="M47" s="7" t="n">
        <f aca="false">I47</f>
        <v>9150.092</v>
      </c>
      <c r="N47" s="7" t="n">
        <f aca="false">I47+2*STDEV(E28:E47)</f>
        <v>10072.2268376709</v>
      </c>
      <c r="O47" s="7" t="n">
        <f aca="false">I47-2*STDEV(E28:E47)</f>
        <v>8227.95716232911</v>
      </c>
      <c r="P47" s="7" t="n">
        <f aca="false">MAX(E47-E46,0)</f>
        <v>0</v>
      </c>
      <c r="Q47" s="7" t="n">
        <f aca="false">MAX(E46-E47,0)</f>
        <v>141.32</v>
      </c>
      <c r="R47" s="7" t="n">
        <f aca="false">(R46*13+P47)/14</f>
        <v>66.6887848532116</v>
      </c>
      <c r="S47" s="7" t="n">
        <f aca="false">(S46*13+Q47)/14</f>
        <v>103.302042790816</v>
      </c>
      <c r="T47" s="7" t="n">
        <f aca="false">IF(S47=0,100,100-100/(1+R47/S47))</f>
        <v>39.2308136724074</v>
      </c>
      <c r="U47" s="7" t="n">
        <f aca="false">E47*2/13+U46*11/13</f>
        <v>8849.94697873825</v>
      </c>
      <c r="V47" s="7" t="n">
        <f aca="false">E47*2/27+V46*25/27</f>
        <v>9003.60647044905</v>
      </c>
      <c r="W47" s="7" t="n">
        <f aca="false">U47-V47</f>
        <v>-153.6594917108</v>
      </c>
      <c r="X47" s="7" t="n">
        <f aca="false">W47*2/10+X46*8/10</f>
        <v>-73.1458672851008</v>
      </c>
      <c r="Y47" s="7" t="n">
        <f aca="false">W47-X47</f>
        <v>-80.5136244256988</v>
      </c>
      <c r="Z47" s="7" t="s">
        <v>78</v>
      </c>
      <c r="AA47" s="7" t="str">
        <f aca="false">IFERROR(INDEX(02_轉折點45!B:B,MATCH(A47,02_轉折點45!A:A,0)),"")</f>
        <v/>
      </c>
      <c r="AB47" s="7" t="n">
        <f aca="false">COUNTIFS(05_訊號明細!A:A,A47,05_訊號明細!C:C,"TOP")</f>
        <v>0</v>
      </c>
      <c r="AC47" s="7" t="n">
        <f aca="false">COUNTIFS(05_訊號明細!A:A,A47,05_訊號明細!C:C,"BOTTOM")</f>
        <v>0</v>
      </c>
    </row>
    <row r="48" customFormat="false" ht="15" hidden="false" customHeight="false" outlineLevel="0" collapsed="false">
      <c r="A48" s="7" t="s">
        <v>88</v>
      </c>
      <c r="B48" s="7" t="n">
        <v>7912.14</v>
      </c>
      <c r="C48" s="7" t="n">
        <v>8241.77</v>
      </c>
      <c r="D48" s="7" t="n">
        <v>7912.14</v>
      </c>
      <c r="E48" s="7" t="n">
        <v>7948.03</v>
      </c>
      <c r="F48" s="7" t="n">
        <v>4554</v>
      </c>
      <c r="G48" s="7" t="n">
        <f aca="false">AVERAGE(E44:E48)</f>
        <v>8538.76</v>
      </c>
      <c r="H48" s="7" t="n">
        <f aca="false">AVERAGE(E39:E48)</f>
        <v>8617.891</v>
      </c>
      <c r="I48" s="7" t="n">
        <f aca="false">AVERAGE(E29:E48)</f>
        <v>9077.4385</v>
      </c>
      <c r="M48" s="7" t="n">
        <f aca="false">I48</f>
        <v>9077.4385</v>
      </c>
      <c r="N48" s="7" t="n">
        <f aca="false">I48+2*STDEV(E29:E48)</f>
        <v>10135.2871155804</v>
      </c>
      <c r="O48" s="7" t="n">
        <f aca="false">I48-2*STDEV(E29:E48)</f>
        <v>8019.58988441965</v>
      </c>
      <c r="P48" s="7" t="n">
        <f aca="false">MAX(E48-E47,0)</f>
        <v>0</v>
      </c>
      <c r="Q48" s="7" t="n">
        <f aca="false">MAX(E47-E48,0)</f>
        <v>582.31</v>
      </c>
      <c r="R48" s="7" t="n">
        <f aca="false">(R47*13+P48)/14</f>
        <v>61.9253002208394</v>
      </c>
      <c r="S48" s="7" t="n">
        <f aca="false">(S47*13+Q48)/14</f>
        <v>137.516896877186</v>
      </c>
      <c r="T48" s="7" t="n">
        <f aca="false">IF(S48=0,100,100-100/(1+R48/S48))</f>
        <v>31.0492469105739</v>
      </c>
      <c r="U48" s="7" t="n">
        <f aca="false">E48*2/13+U47*11/13</f>
        <v>8711.19052047083</v>
      </c>
      <c r="V48" s="7" t="n">
        <f aca="false">E48*2/27+V47*25/27</f>
        <v>8925.41562078616</v>
      </c>
      <c r="W48" s="7" t="n">
        <f aca="false">U48-V48</f>
        <v>-214.225100315331</v>
      </c>
      <c r="X48" s="7" t="n">
        <f aca="false">W48*2/10+X47*8/10</f>
        <v>-101.361713891147</v>
      </c>
      <c r="Y48" s="7" t="n">
        <f aca="false">W48-X48</f>
        <v>-112.863386424184</v>
      </c>
      <c r="Z48" s="9" t="s">
        <v>89</v>
      </c>
      <c r="AA48" s="7" t="str">
        <f aca="false">IFERROR(INDEX(02_轉折點45!B:B,MATCH(A48,02_轉折點45!A:A,0)),"")</f>
        <v/>
      </c>
      <c r="AB48" s="7" t="n">
        <f aca="false">COUNTIFS(05_訊號明細!A:A,A48,05_訊號明細!C:C,"TOP")</f>
        <v>1</v>
      </c>
      <c r="AC48" s="7" t="n">
        <f aca="false">COUNTIFS(05_訊號明細!A:A,A48,05_訊號明細!C:C,"BOTTOM")</f>
        <v>0</v>
      </c>
    </row>
    <row r="49" customFormat="false" ht="15" hidden="false" customHeight="false" outlineLevel="0" collapsed="false">
      <c r="A49" s="7" t="s">
        <v>90</v>
      </c>
      <c r="B49" s="7" t="n">
        <v>8213.97</v>
      </c>
      <c r="C49" s="7" t="n">
        <v>8376.44</v>
      </c>
      <c r="D49" s="7" t="n">
        <v>7942.13</v>
      </c>
      <c r="E49" s="7" t="n">
        <v>8372.27</v>
      </c>
      <c r="F49" s="7" t="n">
        <v>4447</v>
      </c>
      <c r="G49" s="7" t="n">
        <f aca="false">AVERAGE(E45:E49)</f>
        <v>8494.316</v>
      </c>
      <c r="H49" s="7" t="n">
        <f aca="false">AVERAGE(E40:E49)</f>
        <v>8571.631</v>
      </c>
      <c r="I49" s="7" t="n">
        <f aca="false">AVERAGE(E30:E49)</f>
        <v>9020.21</v>
      </c>
      <c r="M49" s="7" t="n">
        <f aca="false">I49</f>
        <v>9020.21</v>
      </c>
      <c r="N49" s="7" t="n">
        <f aca="false">I49+2*STDEV(E30:E49)</f>
        <v>10101.5487857067</v>
      </c>
      <c r="O49" s="7" t="n">
        <f aca="false">I49-2*STDEV(E30:E49)</f>
        <v>7938.87121429328</v>
      </c>
      <c r="P49" s="7" t="n">
        <f aca="false">MAX(E49-E48,0)</f>
        <v>424.240000000001</v>
      </c>
      <c r="Q49" s="7" t="n">
        <f aca="false">MAX(E48-E49,0)</f>
        <v>0</v>
      </c>
      <c r="R49" s="7" t="n">
        <f aca="false">(R48*13+P49)/14</f>
        <v>87.8049216336366</v>
      </c>
      <c r="S49" s="7" t="n">
        <f aca="false">(S48*13+Q49)/14</f>
        <v>127.694261385959</v>
      </c>
      <c r="T49" s="7" t="n">
        <f aca="false">IF(S49=0,100,100-100/(1+R49/S49))</f>
        <v>40.7448976851353</v>
      </c>
      <c r="U49" s="7" t="n">
        <f aca="false">E49*2/13+U48*11/13</f>
        <v>8659.04890193686</v>
      </c>
      <c r="V49" s="7" t="n">
        <f aca="false">E49*2/27+V48*25/27</f>
        <v>8884.4418710983</v>
      </c>
      <c r="W49" s="7" t="n">
        <f aca="false">U49-V49</f>
        <v>-225.392969161441</v>
      </c>
      <c r="X49" s="7" t="n">
        <f aca="false">W49*2/10+X48*8/10</f>
        <v>-126.167964945206</v>
      </c>
      <c r="Y49" s="7" t="n">
        <f aca="false">W49-X49</f>
        <v>-99.2250042162356</v>
      </c>
      <c r="Z49" s="7" t="s">
        <v>78</v>
      </c>
      <c r="AA49" s="7" t="str">
        <f aca="false">IFERROR(INDEX(02_轉折點45!B:B,MATCH(A49,02_轉折點45!A:A,0)),"")</f>
        <v/>
      </c>
      <c r="AB49" s="7" t="n">
        <f aca="false">COUNTIFS(05_訊號明細!A:A,A49,05_訊號明細!C:C,"TOP")</f>
        <v>0</v>
      </c>
      <c r="AC49" s="7" t="n">
        <f aca="false">COUNTIFS(05_訊號明細!A:A,A49,05_訊號明細!C:C,"BOTTOM")</f>
        <v>2</v>
      </c>
    </row>
    <row r="50" customFormat="false" ht="15" hidden="false" customHeight="false" outlineLevel="0" collapsed="false">
      <c r="A50" s="7" t="s">
        <v>91</v>
      </c>
      <c r="B50" s="7" t="n">
        <v>8166.26</v>
      </c>
      <c r="C50" s="7" t="n">
        <v>8224.73</v>
      </c>
      <c r="D50" s="7" t="n">
        <v>7900.99</v>
      </c>
      <c r="E50" s="7" t="n">
        <v>8006.12</v>
      </c>
      <c r="F50" s="7" t="n">
        <v>4303</v>
      </c>
      <c r="G50" s="7" t="n">
        <f aca="false">AVERAGE(E46:E50)</f>
        <v>8305.684</v>
      </c>
      <c r="H50" s="7" t="n">
        <f aca="false">AVERAGE(E41:E50)</f>
        <v>8484.867</v>
      </c>
      <c r="I50" s="7" t="n">
        <f aca="false">AVERAGE(E31:E50)</f>
        <v>8944.623</v>
      </c>
      <c r="M50" s="7" t="n">
        <f aca="false">I50</f>
        <v>8944.623</v>
      </c>
      <c r="N50" s="7" t="n">
        <f aca="false">I50+2*STDEV(E31:E50)</f>
        <v>10089.0005204492</v>
      </c>
      <c r="O50" s="7" t="n">
        <f aca="false">I50-2*STDEV(E31:E50)</f>
        <v>7800.24547955079</v>
      </c>
      <c r="P50" s="7" t="n">
        <f aca="false">MAX(E50-E49,0)</f>
        <v>0</v>
      </c>
      <c r="Q50" s="7" t="n">
        <f aca="false">MAX(E49-E50,0)</f>
        <v>366.150000000001</v>
      </c>
      <c r="R50" s="7" t="n">
        <f aca="false">(R49*13+P50)/14</f>
        <v>81.5331415169483</v>
      </c>
      <c r="S50" s="7" t="n">
        <f aca="false">(S49*13+Q50)/14</f>
        <v>144.726814144104</v>
      </c>
      <c r="T50" s="7" t="n">
        <f aca="false">IF(S50=0,100,100-100/(1+R50/S50))</f>
        <v>36.0351619793864</v>
      </c>
      <c r="U50" s="7" t="n">
        <f aca="false">E50*2/13+U49*11/13</f>
        <v>8558.59830163888</v>
      </c>
      <c r="V50" s="7" t="n">
        <f aca="false">E50*2/27+V49*25/27</f>
        <v>8819.38099175768</v>
      </c>
      <c r="W50" s="7" t="n">
        <f aca="false">U50-V50</f>
        <v>-260.782690118806</v>
      </c>
      <c r="X50" s="7" t="n">
        <f aca="false">W50*2/10+X49*8/10</f>
        <v>-153.090909979926</v>
      </c>
      <c r="Y50" s="7" t="n">
        <f aca="false">W50-X50</f>
        <v>-107.69178013888</v>
      </c>
      <c r="Z50" s="9" t="s">
        <v>89</v>
      </c>
      <c r="AA50" s="7" t="str">
        <f aca="false">IFERROR(INDEX(02_轉折點45!B:B,MATCH(A50,02_轉折點45!A:A,0)),"")</f>
        <v/>
      </c>
      <c r="AB50" s="7" t="n">
        <f aca="false">COUNTIFS(05_訊號明細!A:A,A50,05_訊號明細!C:C,"TOP")</f>
        <v>1</v>
      </c>
      <c r="AC50" s="7" t="n">
        <f aca="false">COUNTIFS(05_訊號明細!A:A,A50,05_訊號明細!C:C,"BOTTOM")</f>
        <v>0</v>
      </c>
    </row>
    <row r="51" customFormat="false" ht="15" hidden="false" customHeight="false" outlineLevel="0" collapsed="false">
      <c r="A51" s="7" t="s">
        <v>92</v>
      </c>
      <c r="B51" s="7" t="n">
        <v>7452.76</v>
      </c>
      <c r="C51" s="7" t="n">
        <v>7808.31</v>
      </c>
      <c r="D51" s="7" t="n">
        <v>7255.62</v>
      </c>
      <c r="E51" s="7" t="n">
        <v>7263.65</v>
      </c>
      <c r="F51" s="7" t="n">
        <v>5099</v>
      </c>
      <c r="G51" s="7" t="n">
        <f aca="false">AVERAGE(E47:E51)</f>
        <v>8024.082</v>
      </c>
      <c r="H51" s="7" t="n">
        <f aca="false">AVERAGE(E42:E51)</f>
        <v>8367.565</v>
      </c>
      <c r="I51" s="7" t="n">
        <f aca="false">AVERAGE(E32:E51)</f>
        <v>8827.1455</v>
      </c>
      <c r="M51" s="7" t="n">
        <f aca="false">I51</f>
        <v>8827.1455</v>
      </c>
      <c r="N51" s="7" t="n">
        <f aca="false">I51+2*STDEV(E32:E51)</f>
        <v>10150.8766963493</v>
      </c>
      <c r="O51" s="7" t="n">
        <f aca="false">I51-2*STDEV(E32:E51)</f>
        <v>7503.41430365067</v>
      </c>
      <c r="P51" s="7" t="n">
        <f aca="false">MAX(E51-E50,0)</f>
        <v>0</v>
      </c>
      <c r="Q51" s="7" t="n">
        <f aca="false">MAX(E50-E51,0)</f>
        <v>742.47</v>
      </c>
      <c r="R51" s="7" t="n">
        <f aca="false">(R50*13+P51)/14</f>
        <v>75.7093456943091</v>
      </c>
      <c r="S51" s="7" t="n">
        <f aca="false">(S50*13+Q51)/14</f>
        <v>187.422755990954</v>
      </c>
      <c r="T51" s="7" t="n">
        <f aca="false">IF(S51=0,100,100-100/(1+R51/S51))</f>
        <v>28.7723714474285</v>
      </c>
      <c r="U51" s="7" t="n">
        <f aca="false">E51*2/13+U50*11/13</f>
        <v>8359.37548600213</v>
      </c>
      <c r="V51" s="7" t="n">
        <f aca="false">E51*2/27+V50*25/27</f>
        <v>8704.14165903489</v>
      </c>
      <c r="W51" s="7" t="n">
        <f aca="false">U51-V51</f>
        <v>-344.766173032764</v>
      </c>
      <c r="X51" s="7" t="n">
        <f aca="false">W51*2/10+X50*8/10</f>
        <v>-191.425962590493</v>
      </c>
      <c r="Y51" s="7" t="n">
        <f aca="false">W51-X51</f>
        <v>-153.34021044227</v>
      </c>
      <c r="Z51" s="9" t="s">
        <v>89</v>
      </c>
      <c r="AA51" s="7" t="str">
        <f aca="false">IFERROR(INDEX(02_轉折點45!B:B,MATCH(A51,02_轉折點45!A:A,0)),"")</f>
        <v/>
      </c>
      <c r="AB51" s="7" t="n">
        <f aca="false">COUNTIFS(05_訊號明細!A:A,A51,05_訊號明細!C:C,"TOP")</f>
        <v>0</v>
      </c>
      <c r="AC51" s="7" t="n">
        <f aca="false">COUNTIFS(05_訊號明細!A:A,A51,05_訊號明細!C:C,"BOTTOM")</f>
        <v>0</v>
      </c>
    </row>
    <row r="52" customFormat="false" ht="15" hidden="false" customHeight="false" outlineLevel="0" collapsed="false">
      <c r="A52" s="7" t="s">
        <v>93</v>
      </c>
      <c r="B52" s="7" t="n">
        <v>7683.04</v>
      </c>
      <c r="C52" s="7" t="n">
        <v>7998.51</v>
      </c>
      <c r="D52" s="7" t="n">
        <v>7301.88</v>
      </c>
      <c r="E52" s="7" t="n">
        <v>7995.26</v>
      </c>
      <c r="F52" s="7" t="n">
        <v>4701</v>
      </c>
      <c r="G52" s="7" t="n">
        <f aca="false">AVERAGE(E48:E52)</f>
        <v>7917.066</v>
      </c>
      <c r="H52" s="7" t="n">
        <f aca="false">AVERAGE(E43:E52)</f>
        <v>8320.908</v>
      </c>
      <c r="I52" s="7" t="n">
        <f aca="false">AVERAGE(E33:E52)</f>
        <v>8747.1235</v>
      </c>
      <c r="J52" s="7" t="n">
        <f aca="false">AVERAGE(E3:E52)</f>
        <v>8990.3008</v>
      </c>
      <c r="M52" s="7" t="n">
        <f aca="false">I52</f>
        <v>8747.1235</v>
      </c>
      <c r="N52" s="7" t="n">
        <f aca="false">I52+2*STDEV(E33:E52)</f>
        <v>10068.7287748441</v>
      </c>
      <c r="O52" s="7" t="n">
        <f aca="false">I52-2*STDEV(E33:E52)</f>
        <v>7425.51822515588</v>
      </c>
      <c r="P52" s="7" t="n">
        <f aca="false">MAX(E52-E51,0)</f>
        <v>731.610000000001</v>
      </c>
      <c r="Q52" s="7" t="n">
        <f aca="false">MAX(E51-E52,0)</f>
        <v>0</v>
      </c>
      <c r="R52" s="7" t="n">
        <f aca="false">(R51*13+P52)/14</f>
        <v>122.55939243043</v>
      </c>
      <c r="S52" s="7" t="n">
        <f aca="false">(S51*13+Q52)/14</f>
        <v>174.035416277315</v>
      </c>
      <c r="T52" s="7" t="n">
        <f aca="false">IF(S52=0,100,100-100/(1+R52/S52))</f>
        <v>41.3221637170313</v>
      </c>
      <c r="U52" s="7" t="n">
        <f aca="false">E52*2/13+U51*11/13</f>
        <v>8303.35771892488</v>
      </c>
      <c r="V52" s="7" t="n">
        <f aca="false">E52*2/27+V51*25/27</f>
        <v>8651.63190651379</v>
      </c>
      <c r="W52" s="7" t="n">
        <f aca="false">U52-V52</f>
        <v>-348.274187588911</v>
      </c>
      <c r="X52" s="7" t="n">
        <f aca="false">W52*2/10+X51*8/10</f>
        <v>-222.795607590177</v>
      </c>
      <c r="Y52" s="7" t="n">
        <f aca="false">W52-X52</f>
        <v>-125.478579998735</v>
      </c>
      <c r="Z52" s="9" t="s">
        <v>89</v>
      </c>
      <c r="AA52" s="7" t="str">
        <f aca="false">IFERROR(INDEX(02_轉折點45!B:B,MATCH(A52,02_轉折點45!A:A,0)),"")</f>
        <v/>
      </c>
      <c r="AB52" s="7" t="n">
        <f aca="false">COUNTIFS(05_訊號明細!A:A,A52,05_訊號明細!C:C,"TOP")</f>
        <v>0</v>
      </c>
      <c r="AC52" s="7" t="n">
        <f aca="false">COUNTIFS(05_訊號明細!A:A,A52,05_訊號明細!C:C,"BOTTOM")</f>
        <v>1</v>
      </c>
    </row>
    <row r="53" customFormat="false" ht="15" hidden="false" customHeight="false" outlineLevel="0" collapsed="false">
      <c r="A53" s="7" t="s">
        <v>94</v>
      </c>
      <c r="B53" s="7" t="n">
        <v>7502.26</v>
      </c>
      <c r="C53" s="7" t="n">
        <v>7563.45</v>
      </c>
      <c r="D53" s="7" t="n">
        <v>6993.61</v>
      </c>
      <c r="E53" s="7" t="n">
        <v>7020.38</v>
      </c>
      <c r="F53" s="7" t="n">
        <v>4618</v>
      </c>
      <c r="G53" s="7" t="n">
        <f aca="false">AVERAGE(E49:E53)</f>
        <v>7731.536</v>
      </c>
      <c r="H53" s="7" t="n">
        <f aca="false">AVERAGE(E44:E53)</f>
        <v>8135.148</v>
      </c>
      <c r="I53" s="7" t="n">
        <f aca="false">AVERAGE(E34:E53)</f>
        <v>8616.9635</v>
      </c>
      <c r="J53" s="7" t="n">
        <f aca="false">AVERAGE(E4:E53)</f>
        <v>8953.264</v>
      </c>
      <c r="M53" s="7" t="n">
        <f aca="false">I53</f>
        <v>8616.9635</v>
      </c>
      <c r="N53" s="7" t="n">
        <f aca="false">I53+2*STDEV(E34:E53)</f>
        <v>10080.2817906096</v>
      </c>
      <c r="O53" s="7" t="n">
        <f aca="false">I53-2*STDEV(E34:E53)</f>
        <v>7153.64520939039</v>
      </c>
      <c r="P53" s="7" t="n">
        <f aca="false">MAX(E53-E52,0)</f>
        <v>0</v>
      </c>
      <c r="Q53" s="7" t="n">
        <f aca="false">MAX(E52-E53,0)</f>
        <v>974.88</v>
      </c>
      <c r="R53" s="7" t="n">
        <f aca="false">(R52*13+P53)/14</f>
        <v>113.805150113971</v>
      </c>
      <c r="S53" s="7" t="n">
        <f aca="false">(S52*13+Q53)/14</f>
        <v>231.238600828935</v>
      </c>
      <c r="T53" s="7" t="n">
        <f aca="false">IF(S53=0,100,100-100/(1+R53/S53))</f>
        <v>32.9828173392429</v>
      </c>
      <c r="U53" s="7" t="n">
        <f aca="false">E53*2/13+U52*11/13</f>
        <v>8105.97653139797</v>
      </c>
      <c r="V53" s="7" t="n">
        <f aca="false">E53*2/27+V52*25/27</f>
        <v>8530.79843195721</v>
      </c>
      <c r="W53" s="7" t="n">
        <f aca="false">U53-V53</f>
        <v>-424.821900559239</v>
      </c>
      <c r="X53" s="7" t="n">
        <f aca="false">W53*2/10+X52*8/10</f>
        <v>-263.200866183989</v>
      </c>
      <c r="Y53" s="7" t="n">
        <f aca="false">W53-X53</f>
        <v>-161.62103437525</v>
      </c>
      <c r="Z53" s="9" t="s">
        <v>89</v>
      </c>
      <c r="AA53" s="7" t="str">
        <f aca="false">IFERROR(INDEX(02_轉折點45!B:B,MATCH(A53,02_轉折點45!A:A,0)),"")</f>
        <v/>
      </c>
      <c r="AB53" s="7" t="n">
        <f aca="false">COUNTIFS(05_訊號明細!A:A,A53,05_訊號明細!C:C,"TOP")</f>
        <v>0</v>
      </c>
      <c r="AC53" s="7" t="n">
        <f aca="false">COUNTIFS(05_訊號明細!A:A,A53,05_訊號明細!C:C,"BOTTOM")</f>
        <v>0</v>
      </c>
    </row>
    <row r="54" customFormat="false" ht="15" hidden="false" customHeight="false" outlineLevel="0" collapsed="false">
      <c r="A54" s="7" t="s">
        <v>95</v>
      </c>
      <c r="B54" s="7" t="n">
        <v>7198.53</v>
      </c>
      <c r="C54" s="7" t="n">
        <v>7550.13</v>
      </c>
      <c r="D54" s="7" t="n">
        <v>6959.15</v>
      </c>
      <c r="E54" s="7" t="n">
        <v>7473.95</v>
      </c>
      <c r="F54" s="7" t="n">
        <v>4920</v>
      </c>
      <c r="G54" s="7" t="n">
        <f aca="false">AVERAGE(E50:E54)</f>
        <v>7551.872</v>
      </c>
      <c r="H54" s="7" t="n">
        <f aca="false">AVERAGE(E45:E54)</f>
        <v>8023.094</v>
      </c>
      <c r="I54" s="7" t="n">
        <f aca="false">AVERAGE(E35:E54)</f>
        <v>8509.171</v>
      </c>
      <c r="J54" s="7" t="n">
        <f aca="false">AVERAGE(E5:E54)</f>
        <v>8926.865</v>
      </c>
      <c r="M54" s="7" t="n">
        <f aca="false">I54</f>
        <v>8509.171</v>
      </c>
      <c r="N54" s="7" t="n">
        <f aca="false">I54+2*STDEV(E35:E54)</f>
        <v>9975.95657379411</v>
      </c>
      <c r="O54" s="7" t="n">
        <f aca="false">I54-2*STDEV(E35:E54)</f>
        <v>7042.38542620589</v>
      </c>
      <c r="P54" s="7" t="n">
        <f aca="false">MAX(E54-E53,0)</f>
        <v>453.57</v>
      </c>
      <c r="Q54" s="7" t="n">
        <f aca="false">MAX(E53-E54,0)</f>
        <v>0</v>
      </c>
      <c r="R54" s="7" t="n">
        <f aca="false">(R53*13+P54)/14</f>
        <v>138.074067962973</v>
      </c>
      <c r="S54" s="7" t="n">
        <f aca="false">(S53*13+Q54)/14</f>
        <v>214.721557912582</v>
      </c>
      <c r="T54" s="7" t="n">
        <f aca="false">IF(S54=0,100,100-100/(1+R54/S54))</f>
        <v>39.1371258133673</v>
      </c>
      <c r="U54" s="7" t="n">
        <f aca="false">E54*2/13+U53*11/13</f>
        <v>8008.74168041367</v>
      </c>
      <c r="V54" s="7" t="n">
        <f aca="false">E54*2/27+V53*25/27</f>
        <v>8452.51336292334</v>
      </c>
      <c r="W54" s="7" t="n">
        <f aca="false">U54-V54</f>
        <v>-443.771682509676</v>
      </c>
      <c r="X54" s="7" t="n">
        <f aca="false">W54*2/10+X53*8/10</f>
        <v>-299.315029449127</v>
      </c>
      <c r="Y54" s="7" t="n">
        <f aca="false">W54-X54</f>
        <v>-144.456653060549</v>
      </c>
      <c r="Z54" s="9" t="s">
        <v>89</v>
      </c>
      <c r="AA54" s="7" t="str">
        <f aca="false">IFERROR(INDEX(02_轉折點45!B:B,MATCH(A54,02_轉折點45!A:A,0)),"")</f>
        <v/>
      </c>
      <c r="AB54" s="7" t="n">
        <f aca="false">COUNTIFS(05_訊號明細!A:A,A54,05_訊號明細!C:C,"TOP")</f>
        <v>0</v>
      </c>
      <c r="AC54" s="7" t="n">
        <f aca="false">COUNTIFS(05_訊號明細!A:A,A54,05_訊號明細!C:C,"BOTTOM")</f>
        <v>0</v>
      </c>
    </row>
    <row r="55" customFormat="false" ht="15" hidden="false" customHeight="false" outlineLevel="0" collapsed="false">
      <c r="A55" s="7" t="s">
        <v>96</v>
      </c>
      <c r="B55" s="7" t="n">
        <v>7023.86</v>
      </c>
      <c r="C55" s="7" t="n">
        <v>7336.88</v>
      </c>
      <c r="D55" s="7" t="n">
        <v>6837.53</v>
      </c>
      <c r="E55" s="7" t="n">
        <v>7175.18</v>
      </c>
      <c r="F55" s="7" t="n">
        <v>4935</v>
      </c>
      <c r="G55" s="7" t="n">
        <f aca="false">AVERAGE(E51:E55)</f>
        <v>7385.684</v>
      </c>
      <c r="H55" s="7" t="n">
        <f aca="false">AVERAGE(E46:E55)</f>
        <v>7845.684</v>
      </c>
      <c r="I55" s="7" t="n">
        <f aca="false">AVERAGE(E36:E55)</f>
        <v>8381.9935</v>
      </c>
      <c r="J55" s="7" t="n">
        <f aca="false">AVERAGE(E6:E55)</f>
        <v>8893.3982</v>
      </c>
      <c r="M55" s="7" t="n">
        <f aca="false">I55</f>
        <v>8381.9935</v>
      </c>
      <c r="N55" s="7" t="n">
        <f aca="false">I55+2*STDEV(E36:E55)</f>
        <v>9848.27783381474</v>
      </c>
      <c r="O55" s="7" t="n">
        <f aca="false">I55-2*STDEV(E36:E55)</f>
        <v>6915.70916618526</v>
      </c>
      <c r="P55" s="7" t="n">
        <f aca="false">MAX(E55-E54,0)</f>
        <v>0</v>
      </c>
      <c r="Q55" s="7" t="n">
        <f aca="false">MAX(E54-E55,0)</f>
        <v>298.77</v>
      </c>
      <c r="R55" s="7" t="n">
        <f aca="false">(R54*13+P55)/14</f>
        <v>128.211634537046</v>
      </c>
      <c r="S55" s="7" t="n">
        <f aca="false">(S54*13+Q55)/14</f>
        <v>220.725018061684</v>
      </c>
      <c r="T55" s="7" t="n">
        <f aca="false">IF(S55=0,100,100-100/(1+R55/S55))</f>
        <v>36.7435273944944</v>
      </c>
      <c r="U55" s="7" t="n">
        <f aca="false">E55*2/13+U54*11/13</f>
        <v>7880.50142188849</v>
      </c>
      <c r="V55" s="7" t="n">
        <f aca="false">E55*2/27+V54*25/27</f>
        <v>8357.89607678087</v>
      </c>
      <c r="W55" s="7" t="n">
        <f aca="false">U55-V55</f>
        <v>-477.394654892384</v>
      </c>
      <c r="X55" s="7" t="n">
        <f aca="false">W55*2/10+X54*8/10</f>
        <v>-334.930954537778</v>
      </c>
      <c r="Y55" s="7" t="n">
        <f aca="false">W55-X55</f>
        <v>-142.463700354606</v>
      </c>
      <c r="Z55" s="9" t="s">
        <v>89</v>
      </c>
      <c r="AA55" s="7" t="str">
        <f aca="false">IFERROR(INDEX(02_轉折點45!B:B,MATCH(A55,02_轉折點45!A:A,0)),"")</f>
        <v/>
      </c>
      <c r="AB55" s="7" t="n">
        <f aca="false">COUNTIFS(05_訊號明細!A:A,A55,05_訊號明細!C:C,"TOP")</f>
        <v>0</v>
      </c>
      <c r="AC55" s="7" t="n">
        <f aca="false">COUNTIFS(05_訊號明細!A:A,A55,05_訊號明細!C:C,"BOTTOM")</f>
        <v>0</v>
      </c>
    </row>
    <row r="56" customFormat="false" ht="15" hidden="false" customHeight="false" outlineLevel="0" collapsed="false">
      <c r="A56" s="7" t="s">
        <v>97</v>
      </c>
      <c r="B56" s="7" t="n">
        <v>7190.21</v>
      </c>
      <c r="C56" s="7" t="n">
        <v>7514.14</v>
      </c>
      <c r="D56" s="7" t="n">
        <v>7037.47</v>
      </c>
      <c r="E56" s="7" t="n">
        <v>7288.52</v>
      </c>
      <c r="F56" s="7" t="n">
        <v>4778</v>
      </c>
      <c r="G56" s="7" t="n">
        <f aca="false">AVERAGE(E52:E56)</f>
        <v>7390.658</v>
      </c>
      <c r="H56" s="7" t="n">
        <f aca="false">AVERAGE(E47:E56)</f>
        <v>7707.37</v>
      </c>
      <c r="I56" s="7" t="n">
        <f aca="false">AVERAGE(E37:E56)</f>
        <v>8265.028</v>
      </c>
      <c r="J56" s="7" t="n">
        <f aca="false">AVERAGE(E7:E56)</f>
        <v>8862.2396</v>
      </c>
      <c r="M56" s="7" t="n">
        <f aca="false">I56</f>
        <v>8265.028</v>
      </c>
      <c r="N56" s="7" t="n">
        <f aca="false">I56+2*STDEV(E37:E56)</f>
        <v>9685.3621673312</v>
      </c>
      <c r="O56" s="7" t="n">
        <f aca="false">I56-2*STDEV(E37:E56)</f>
        <v>6844.6938326688</v>
      </c>
      <c r="P56" s="7" t="n">
        <f aca="false">MAX(E56-E55,0)</f>
        <v>113.34</v>
      </c>
      <c r="Q56" s="7" t="n">
        <f aca="false">MAX(E55-E56,0)</f>
        <v>0</v>
      </c>
      <c r="R56" s="7" t="n">
        <f aca="false">(R55*13+P56)/14</f>
        <v>127.149374927257</v>
      </c>
      <c r="S56" s="7" t="n">
        <f aca="false">(S55*13+Q56)/14</f>
        <v>204.958945342992</v>
      </c>
      <c r="T56" s="7" t="n">
        <f aca="false">IF(S56=0,100,100-100/(1+R56/S56))</f>
        <v>38.2855132397137</v>
      </c>
      <c r="U56" s="7" t="n">
        <f aca="false">E56*2/13+U55*11/13</f>
        <v>7789.42735698257</v>
      </c>
      <c r="V56" s="7" t="n">
        <f aca="false">E56*2/27+V55*25/27</f>
        <v>8278.68303405637</v>
      </c>
      <c r="W56" s="7" t="n">
        <f aca="false">U56-V56</f>
        <v>-489.255677073797</v>
      </c>
      <c r="X56" s="7" t="n">
        <f aca="false">W56*2/10+X55*8/10</f>
        <v>-365.795899044982</v>
      </c>
      <c r="Y56" s="7" t="n">
        <f aca="false">W56-X56</f>
        <v>-123.459778028815</v>
      </c>
      <c r="Z56" s="9" t="s">
        <v>89</v>
      </c>
      <c r="AA56" s="7" t="str">
        <f aca="false">IFERROR(INDEX(02_轉折點45!B:B,MATCH(A56,02_轉折點45!A:A,0)),"")</f>
        <v/>
      </c>
      <c r="AB56" s="7" t="n">
        <f aca="false">COUNTIFS(05_訊號明細!A:A,A56,05_訊號明細!C:C,"TOP")</f>
        <v>0</v>
      </c>
      <c r="AC56" s="7" t="n">
        <f aca="false">COUNTIFS(05_訊號明細!A:A,A56,05_訊號明細!C:C,"BOTTOM")</f>
        <v>0</v>
      </c>
    </row>
    <row r="57" customFormat="false" ht="15" hidden="false" customHeight="false" outlineLevel="0" collapsed="false">
      <c r="A57" s="7" t="s">
        <v>98</v>
      </c>
      <c r="B57" s="7" t="n">
        <v>7391.22</v>
      </c>
      <c r="C57" s="7" t="n">
        <v>7487.83</v>
      </c>
      <c r="D57" s="7" t="n">
        <v>6969.77</v>
      </c>
      <c r="E57" s="7" t="n">
        <v>6994.29</v>
      </c>
      <c r="F57" s="7" t="n">
        <v>5260</v>
      </c>
      <c r="G57" s="7" t="n">
        <f aca="false">AVERAGE(E53:E57)</f>
        <v>7190.464</v>
      </c>
      <c r="H57" s="7" t="n">
        <f aca="false">AVERAGE(E48:E57)</f>
        <v>7553.765</v>
      </c>
      <c r="I57" s="7" t="n">
        <f aca="false">AVERAGE(E38:E57)</f>
        <v>8142.408</v>
      </c>
      <c r="J57" s="7" t="n">
        <f aca="false">AVERAGE(E8:E57)</f>
        <v>8823.878</v>
      </c>
      <c r="M57" s="7" t="n">
        <f aca="false">I57</f>
        <v>8142.408</v>
      </c>
      <c r="N57" s="7" t="n">
        <f aca="false">I57+2*STDEV(E38:E57)</f>
        <v>9556.6323655926</v>
      </c>
      <c r="O57" s="7" t="n">
        <f aca="false">I57-2*STDEV(E38:E57)</f>
        <v>6728.1836344074</v>
      </c>
      <c r="P57" s="7" t="n">
        <f aca="false">MAX(E57-E56,0)</f>
        <v>0</v>
      </c>
      <c r="Q57" s="7" t="n">
        <f aca="false">MAX(E56-E57,0)</f>
        <v>294.230000000001</v>
      </c>
      <c r="R57" s="7" t="n">
        <f aca="false">(R56*13+P57)/14</f>
        <v>118.067276718167</v>
      </c>
      <c r="S57" s="7" t="n">
        <f aca="false">(S56*13+Q57)/14</f>
        <v>211.335449247064</v>
      </c>
      <c r="T57" s="7" t="n">
        <f aca="false">IF(S57=0,100,100-100/(1+R57/S57))</f>
        <v>35.8428353536544</v>
      </c>
      <c r="U57" s="7" t="n">
        <f aca="false">E57*2/13+U56*11/13</f>
        <v>7667.0985328314</v>
      </c>
      <c r="V57" s="7" t="n">
        <f aca="false">E57*2/27+V56*25/27</f>
        <v>8183.54280931145</v>
      </c>
      <c r="W57" s="7" t="n">
        <f aca="false">U57-V57</f>
        <v>-516.444276480047</v>
      </c>
      <c r="X57" s="7" t="n">
        <f aca="false">W57*2/10+X56*8/10</f>
        <v>-395.925574531995</v>
      </c>
      <c r="Y57" s="7" t="n">
        <f aca="false">W57-X57</f>
        <v>-120.518701948052</v>
      </c>
      <c r="Z57" s="9" t="s">
        <v>89</v>
      </c>
      <c r="AA57" s="7" t="str">
        <f aca="false">IFERROR(INDEX(02_轉折點45!B:B,MATCH(A57,02_轉折點45!A:A,0)),"")</f>
        <v>BOTTOM</v>
      </c>
      <c r="AB57" s="7" t="n">
        <f aca="false">COUNTIFS(05_訊號明細!A:A,A57,05_訊號明細!C:C,"TOP")</f>
        <v>0</v>
      </c>
      <c r="AC57" s="7" t="n">
        <f aca="false">COUNTIFS(05_訊號明細!A:A,A57,05_訊號明細!C:C,"BOTTOM")</f>
        <v>0</v>
      </c>
    </row>
    <row r="58" customFormat="false" ht="15" hidden="false" customHeight="false" outlineLevel="0" collapsed="false">
      <c r="A58" s="7" t="s">
        <v>99</v>
      </c>
      <c r="B58" s="7" t="n">
        <v>6952.71</v>
      </c>
      <c r="C58" s="7" t="n">
        <v>7145.29</v>
      </c>
      <c r="D58" s="7" t="n">
        <v>6771.91</v>
      </c>
      <c r="E58" s="7" t="n">
        <v>7006.92</v>
      </c>
      <c r="F58" s="7" t="n">
        <v>4348</v>
      </c>
      <c r="G58" s="7" t="n">
        <f aca="false">AVERAGE(E54:E58)</f>
        <v>7187.772</v>
      </c>
      <c r="H58" s="7" t="n">
        <f aca="false">AVERAGE(E49:E58)</f>
        <v>7459.654</v>
      </c>
      <c r="I58" s="7" t="n">
        <f aca="false">AVERAGE(E39:E58)</f>
        <v>8038.7725</v>
      </c>
      <c r="J58" s="7" t="n">
        <f aca="false">AVERAGE(E9:E58)</f>
        <v>8784.2238</v>
      </c>
      <c r="M58" s="7" t="n">
        <f aca="false">I58</f>
        <v>8038.7725</v>
      </c>
      <c r="N58" s="7" t="n">
        <f aca="false">I58+2*STDEV(E39:E58)</f>
        <v>9467.52143568317</v>
      </c>
      <c r="O58" s="7" t="n">
        <f aca="false">I58-2*STDEV(E39:E58)</f>
        <v>6610.02356431683</v>
      </c>
      <c r="P58" s="7" t="n">
        <f aca="false">MAX(E58-E57,0)</f>
        <v>12.6300000000001</v>
      </c>
      <c r="Q58" s="7" t="n">
        <f aca="false">MAX(E57-E58,0)</f>
        <v>0</v>
      </c>
      <c r="R58" s="7" t="n">
        <f aca="false">(R57*13+P58)/14</f>
        <v>110.53604266687</v>
      </c>
      <c r="S58" s="7" t="n">
        <f aca="false">(S57*13+Q58)/14</f>
        <v>196.240060015131</v>
      </c>
      <c r="T58" s="7" t="n">
        <f aca="false">IF(S58=0,100,100-100/(1+R58/S58))</f>
        <v>36.0315036603257</v>
      </c>
      <c r="U58" s="7" t="n">
        <f aca="false">E58*2/13+U57*11/13</f>
        <v>7565.53260470349</v>
      </c>
      <c r="V58" s="7" t="n">
        <f aca="false">E58*2/27+V57*25/27</f>
        <v>8096.38556417727</v>
      </c>
      <c r="W58" s="7" t="n">
        <f aca="false">U58-V58</f>
        <v>-530.852959473773</v>
      </c>
      <c r="X58" s="7" t="n">
        <f aca="false">W58*2/10+X57*8/10</f>
        <v>-422.911051520351</v>
      </c>
      <c r="Y58" s="7" t="n">
        <f aca="false">W58-X58</f>
        <v>-107.941907953422</v>
      </c>
      <c r="Z58" s="9" t="s">
        <v>89</v>
      </c>
      <c r="AA58" s="7" t="str">
        <f aca="false">IFERROR(INDEX(02_轉折點45!B:B,MATCH(A58,02_轉折點45!A:A,0)),"")</f>
        <v/>
      </c>
      <c r="AB58" s="7" t="n">
        <f aca="false">COUNTIFS(05_訊號明細!A:A,A58,05_訊號明細!C:C,"TOP")</f>
        <v>0</v>
      </c>
      <c r="AC58" s="7" t="n">
        <f aca="false">COUNTIFS(05_訊號明細!A:A,A58,05_訊號明細!C:C,"BOTTOM")</f>
        <v>1</v>
      </c>
    </row>
    <row r="59" customFormat="false" ht="15" hidden="false" customHeight="false" outlineLevel="0" collapsed="false">
      <c r="A59" s="7" t="s">
        <v>100</v>
      </c>
      <c r="B59" s="7" t="n">
        <v>7349</v>
      </c>
      <c r="C59" s="7" t="n">
        <v>7555.91</v>
      </c>
      <c r="D59" s="7" t="n">
        <v>7304.39</v>
      </c>
      <c r="E59" s="7" t="n">
        <v>7553.83</v>
      </c>
      <c r="F59" s="7" t="n">
        <v>4441</v>
      </c>
      <c r="G59" s="7" t="n">
        <f aca="false">AVERAGE(E55:E59)</f>
        <v>7203.748</v>
      </c>
      <c r="H59" s="7" t="n">
        <f aca="false">AVERAGE(E50:E59)</f>
        <v>7377.81</v>
      </c>
      <c r="I59" s="7" t="n">
        <f aca="false">AVERAGE(E40:E59)</f>
        <v>7974.7205</v>
      </c>
      <c r="J59" s="7" t="n">
        <f aca="false">AVERAGE(E10:E59)</f>
        <v>8755.9676</v>
      </c>
      <c r="M59" s="7" t="n">
        <f aca="false">I59</f>
        <v>7974.7205</v>
      </c>
      <c r="N59" s="7" t="n">
        <f aca="false">I59+2*STDEV(E40:E59)</f>
        <v>9367.60705604071</v>
      </c>
      <c r="O59" s="7" t="n">
        <f aca="false">I59-2*STDEV(E40:E59)</f>
        <v>6581.83394395929</v>
      </c>
      <c r="P59" s="7" t="n">
        <f aca="false">MAX(E59-E58,0)</f>
        <v>546.91</v>
      </c>
      <c r="Q59" s="7" t="n">
        <f aca="false">MAX(E58-E59,0)</f>
        <v>0</v>
      </c>
      <c r="R59" s="7" t="n">
        <f aca="false">(R58*13+P59)/14</f>
        <v>141.705611047808</v>
      </c>
      <c r="S59" s="7" t="n">
        <f aca="false">(S58*13+Q59)/14</f>
        <v>182.222912871193</v>
      </c>
      <c r="T59" s="7" t="n">
        <f aca="false">IF(S59=0,100,100-100/(1+R59/S59))</f>
        <v>43.7459502897132</v>
      </c>
      <c r="U59" s="7" t="n">
        <f aca="false">E59*2/13+U58*11/13</f>
        <v>7563.73220397988</v>
      </c>
      <c r="V59" s="7" t="n">
        <f aca="false">E59*2/27+V58*25/27</f>
        <v>8056.1962631271</v>
      </c>
      <c r="W59" s="7" t="n">
        <f aca="false">U59-V59</f>
        <v>-492.464059147218</v>
      </c>
      <c r="X59" s="7" t="n">
        <f aca="false">W59*2/10+X58*8/10</f>
        <v>-436.821653045724</v>
      </c>
      <c r="Y59" s="7" t="n">
        <f aca="false">W59-X59</f>
        <v>-55.6424061014939</v>
      </c>
      <c r="Z59" s="9" t="s">
        <v>89</v>
      </c>
      <c r="AA59" s="7" t="str">
        <f aca="false">IFERROR(INDEX(02_轉折點45!B:B,MATCH(A59,02_轉折點45!A:A,0)),"")</f>
        <v/>
      </c>
      <c r="AB59" s="7" t="n">
        <f aca="false">COUNTIFS(05_訊號明細!A:A,A59,05_訊號明細!C:C,"TOP")</f>
        <v>0</v>
      </c>
      <c r="AC59" s="7" t="n">
        <f aca="false">COUNTIFS(05_訊號明細!A:A,A59,05_訊號明細!C:C,"BOTTOM")</f>
        <v>0</v>
      </c>
    </row>
    <row r="60" customFormat="false" ht="15" hidden="false" customHeight="false" outlineLevel="0" collapsed="false">
      <c r="A60" s="7" t="s">
        <v>101</v>
      </c>
      <c r="B60" s="7" t="n">
        <v>7543.96</v>
      </c>
      <c r="C60" s="7" t="n">
        <v>7777.61</v>
      </c>
      <c r="D60" s="7" t="n">
        <v>7390.41</v>
      </c>
      <c r="E60" s="7" t="n">
        <v>7469.62</v>
      </c>
      <c r="F60" s="7" t="n">
        <v>4684</v>
      </c>
      <c r="G60" s="7" t="n">
        <f aca="false">AVERAGE(E56:E60)</f>
        <v>7262.636</v>
      </c>
      <c r="H60" s="7" t="n">
        <f aca="false">AVERAGE(E51:E60)</f>
        <v>7324.16</v>
      </c>
      <c r="I60" s="7" t="n">
        <f aca="false">AVERAGE(E41:E60)</f>
        <v>7904.5135</v>
      </c>
      <c r="J60" s="7" t="n">
        <f aca="false">AVERAGE(E11:E60)</f>
        <v>8723.947</v>
      </c>
      <c r="M60" s="7" t="n">
        <f aca="false">I60</f>
        <v>7904.5135</v>
      </c>
      <c r="N60" s="7" t="n">
        <f aca="false">I60+2*STDEV(E41:E60)</f>
        <v>9247.24485503758</v>
      </c>
      <c r="O60" s="7" t="n">
        <f aca="false">I60-2*STDEV(E41:E60)</f>
        <v>6561.78214496242</v>
      </c>
      <c r="P60" s="7" t="n">
        <f aca="false">MAX(E60-E59,0)</f>
        <v>0</v>
      </c>
      <c r="Q60" s="7" t="n">
        <f aca="false">MAX(E59-E60,0)</f>
        <v>84.21</v>
      </c>
      <c r="R60" s="7" t="n">
        <f aca="false">(R59*13+P60)/14</f>
        <v>131.58378168725</v>
      </c>
      <c r="S60" s="7" t="n">
        <f aca="false">(S59*13+Q60)/14</f>
        <v>175.221990523251</v>
      </c>
      <c r="T60" s="7" t="n">
        <f aca="false">IF(S60=0,100,100-100/(1+R60/S60))</f>
        <v>42.8883005489772</v>
      </c>
      <c r="U60" s="7" t="n">
        <f aca="false">E60*2/13+U59*11/13</f>
        <v>7549.25340336759</v>
      </c>
      <c r="V60" s="7" t="n">
        <f aca="false">E60*2/27+V59*25/27</f>
        <v>8012.74616956213</v>
      </c>
      <c r="W60" s="7" t="n">
        <f aca="false">U60-V60</f>
        <v>-463.492766194537</v>
      </c>
      <c r="X60" s="7" t="n">
        <f aca="false">W60*2/10+X59*8/10</f>
        <v>-442.155875675487</v>
      </c>
      <c r="Y60" s="7" t="n">
        <f aca="false">W60-X60</f>
        <v>-21.3368905190501</v>
      </c>
      <c r="Z60" s="9" t="s">
        <v>89</v>
      </c>
      <c r="AA60" s="7" t="str">
        <f aca="false">IFERROR(INDEX(02_轉折點45!B:B,MATCH(A60,02_轉折點45!A:A,0)),"")</f>
        <v/>
      </c>
      <c r="AB60" s="7" t="n">
        <f aca="false">COUNTIFS(05_訊號明細!A:A,A60,05_訊號明細!C:C,"TOP")</f>
        <v>0</v>
      </c>
      <c r="AC60" s="7" t="n">
        <f aca="false">COUNTIFS(05_訊號明細!A:A,A60,05_訊號明細!C:C,"BOTTOM")</f>
        <v>0</v>
      </c>
    </row>
    <row r="61" customFormat="false" ht="15" hidden="false" customHeight="false" outlineLevel="0" collapsed="false">
      <c r="A61" s="7" t="s">
        <v>102</v>
      </c>
      <c r="B61" s="7" t="n">
        <v>7549.83</v>
      </c>
      <c r="C61" s="7" t="n">
        <v>7913.11</v>
      </c>
      <c r="D61" s="7" t="n">
        <v>7549.83</v>
      </c>
      <c r="E61" s="7" t="n">
        <v>7897.13</v>
      </c>
      <c r="F61" s="7" t="n">
        <v>4015</v>
      </c>
      <c r="G61" s="7" t="n">
        <f aca="false">AVERAGE(E57:E61)</f>
        <v>7384.358</v>
      </c>
      <c r="H61" s="7" t="n">
        <f aca="false">AVERAGE(E52:E61)</f>
        <v>7387.508</v>
      </c>
      <c r="I61" s="7" t="n">
        <f aca="false">AVERAGE(E42:E61)</f>
        <v>7877.5365</v>
      </c>
      <c r="J61" s="7" t="n">
        <f aca="false">AVERAGE(E12:E61)</f>
        <v>8701.2212</v>
      </c>
      <c r="M61" s="7" t="n">
        <f aca="false">I61</f>
        <v>7877.5365</v>
      </c>
      <c r="N61" s="7" t="n">
        <f aca="false">I61+2*STDEV(E42:E61)</f>
        <v>9196.72400042393</v>
      </c>
      <c r="O61" s="7" t="n">
        <f aca="false">I61-2*STDEV(E42:E61)</f>
        <v>6558.34899957607</v>
      </c>
      <c r="P61" s="7" t="n">
        <f aca="false">MAX(E61-E60,0)</f>
        <v>427.51</v>
      </c>
      <c r="Q61" s="7" t="n">
        <f aca="false">MAX(E60-E61,0)</f>
        <v>0</v>
      </c>
      <c r="R61" s="7" t="n">
        <f aca="false">(R60*13+P61)/14</f>
        <v>152.721368709589</v>
      </c>
      <c r="S61" s="7" t="n">
        <f aca="false">(S60*13+Q61)/14</f>
        <v>162.706134057304</v>
      </c>
      <c r="T61" s="7" t="n">
        <f aca="false">IF(S61=0,100,100-100/(1+R61/S61))</f>
        <v>48.4172646233874</v>
      </c>
      <c r="U61" s="7" t="n">
        <f aca="false">E61*2/13+U60*11/13</f>
        <v>7602.77287977258</v>
      </c>
      <c r="V61" s="7" t="n">
        <f aca="false">E61*2/27+V60*25/27</f>
        <v>8004.18200885382</v>
      </c>
      <c r="W61" s="7" t="n">
        <f aca="false">U61-V61</f>
        <v>-401.409129081245</v>
      </c>
      <c r="X61" s="7" t="n">
        <f aca="false">W61*2/10+X60*8/10</f>
        <v>-434.006526356638</v>
      </c>
      <c r="Y61" s="7" t="n">
        <f aca="false">W61-X61</f>
        <v>32.5973972753934</v>
      </c>
      <c r="Z61" s="9" t="s">
        <v>89</v>
      </c>
      <c r="AA61" s="7" t="str">
        <f aca="false">IFERROR(INDEX(02_轉折點45!B:B,MATCH(A61,02_轉折點45!A:A,0)),"")</f>
        <v/>
      </c>
      <c r="AB61" s="7" t="n">
        <f aca="false">COUNTIFS(05_訊號明細!A:A,A61,05_訊號明細!C:C,"TOP")</f>
        <v>0</v>
      </c>
      <c r="AC61" s="7" t="n">
        <f aca="false">COUNTIFS(05_訊號明細!A:A,A61,05_訊號明細!C:C,"BOTTOM")</f>
        <v>1</v>
      </c>
    </row>
    <row r="62" customFormat="false" ht="15" hidden="false" customHeight="false" outlineLevel="0" collapsed="false">
      <c r="A62" s="7" t="s">
        <v>103</v>
      </c>
      <c r="B62" s="7" t="n">
        <v>7657.44</v>
      </c>
      <c r="C62" s="7" t="n">
        <v>7817.74</v>
      </c>
      <c r="D62" s="7" t="n">
        <v>7580.22</v>
      </c>
      <c r="E62" s="7" t="n">
        <v>7588.37</v>
      </c>
      <c r="F62" s="7" t="n">
        <v>3989</v>
      </c>
      <c r="G62" s="7" t="n">
        <f aca="false">AVERAGE(E58:E62)</f>
        <v>7503.174</v>
      </c>
      <c r="H62" s="7" t="n">
        <f aca="false">AVERAGE(E53:E62)</f>
        <v>7346.819</v>
      </c>
      <c r="I62" s="7" t="n">
        <f aca="false">AVERAGE(E43:E62)</f>
        <v>7833.8635</v>
      </c>
      <c r="J62" s="7" t="n">
        <f aca="false">AVERAGE(E13:E62)</f>
        <v>8672.2752</v>
      </c>
      <c r="M62" s="7" t="n">
        <f aca="false">I62</f>
        <v>7833.8635</v>
      </c>
      <c r="N62" s="7" t="n">
        <f aca="false">I62+2*STDEV(E43:E62)</f>
        <v>9129.22251490099</v>
      </c>
      <c r="O62" s="7" t="n">
        <f aca="false">I62-2*STDEV(E43:E62)</f>
        <v>6538.50448509901</v>
      </c>
      <c r="P62" s="7" t="n">
        <f aca="false">MAX(E62-E61,0)</f>
        <v>0</v>
      </c>
      <c r="Q62" s="7" t="n">
        <f aca="false">MAX(E61-E62,0)</f>
        <v>308.76</v>
      </c>
      <c r="R62" s="7" t="n">
        <f aca="false">(R61*13+P62)/14</f>
        <v>141.812699516047</v>
      </c>
      <c r="S62" s="7" t="n">
        <f aca="false">(S61*13+Q62)/14</f>
        <v>173.138553053211</v>
      </c>
      <c r="T62" s="7" t="n">
        <f aca="false">IF(S62=0,100,100-100/(1+R62/S62))</f>
        <v>45.0268726855952</v>
      </c>
      <c r="U62" s="7" t="n">
        <f aca="false">E62*2/13+U61*11/13</f>
        <v>7600.55705211526</v>
      </c>
      <c r="V62" s="7" t="n">
        <f aca="false">E62*2/27+V61*25/27</f>
        <v>7973.38111930909</v>
      </c>
      <c r="W62" s="7" t="n">
        <f aca="false">U62-V62</f>
        <v>-372.824067193837</v>
      </c>
      <c r="X62" s="7" t="n">
        <f aca="false">W62*2/10+X61*8/10</f>
        <v>-421.770034524078</v>
      </c>
      <c r="Y62" s="7" t="n">
        <f aca="false">W62-X62</f>
        <v>48.9459673302407</v>
      </c>
      <c r="Z62" s="9" t="s">
        <v>89</v>
      </c>
      <c r="AA62" s="7" t="str">
        <f aca="false">IFERROR(INDEX(02_轉折點45!B:B,MATCH(A62,02_轉折點45!A:A,0)),"")</f>
        <v/>
      </c>
      <c r="AB62" s="7" t="n">
        <f aca="false">COUNTIFS(05_訊號明細!A:A,A62,05_訊號明細!C:C,"TOP")</f>
        <v>0</v>
      </c>
      <c r="AC62" s="7" t="n">
        <f aca="false">COUNTIFS(05_訊號明細!A:A,A62,05_訊號明細!C:C,"BOTTOM")</f>
        <v>1</v>
      </c>
    </row>
    <row r="63" customFormat="false" ht="15" hidden="false" customHeight="false" outlineLevel="0" collapsed="false">
      <c r="A63" s="7" t="s">
        <v>104</v>
      </c>
      <c r="B63" s="7" t="n">
        <v>7678.83</v>
      </c>
      <c r="C63" s="7" t="n">
        <v>7902.09</v>
      </c>
      <c r="D63" s="7" t="n">
        <v>7651.43</v>
      </c>
      <c r="E63" s="7" t="n">
        <v>7889.01</v>
      </c>
      <c r="F63" s="7" t="n">
        <v>3871</v>
      </c>
      <c r="G63" s="7" t="n">
        <f aca="false">AVERAGE(E59:E63)</f>
        <v>7679.592</v>
      </c>
      <c r="H63" s="7" t="n">
        <f aca="false">AVERAGE(E54:E63)</f>
        <v>7433.682</v>
      </c>
      <c r="I63" s="7" t="n">
        <f aca="false">AVERAGE(E44:E63)</f>
        <v>7784.415</v>
      </c>
      <c r="J63" s="7" t="n">
        <f aca="false">AVERAGE(E14:E63)</f>
        <v>8647.5554</v>
      </c>
      <c r="M63" s="7" t="n">
        <f aca="false">I63</f>
        <v>7784.415</v>
      </c>
      <c r="N63" s="7" t="n">
        <f aca="false">I63+2*STDEV(E44:E63)</f>
        <v>8983.91006314335</v>
      </c>
      <c r="O63" s="7" t="n">
        <f aca="false">I63-2*STDEV(E44:E63)</f>
        <v>6584.91993685665</v>
      </c>
      <c r="P63" s="7" t="n">
        <f aca="false">MAX(E63-E62,0)</f>
        <v>300.64</v>
      </c>
      <c r="Q63" s="7" t="n">
        <f aca="false">MAX(E62-E63,0)</f>
        <v>0</v>
      </c>
      <c r="R63" s="7" t="n">
        <f aca="false">(R62*13+P63)/14</f>
        <v>153.157506693472</v>
      </c>
      <c r="S63" s="7" t="n">
        <f aca="false">(S62*13+Q63)/14</f>
        <v>160.77151354941</v>
      </c>
      <c r="T63" s="7" t="n">
        <f aca="false">IF(S63=0,100,100-100/(1+R63/S63))</f>
        <v>48.7873043960627</v>
      </c>
      <c r="U63" s="7" t="n">
        <f aca="false">E63*2/13+U62*11/13</f>
        <v>7644.93442871291</v>
      </c>
      <c r="V63" s="7" t="n">
        <f aca="false">E63*2/27+V62*25/27</f>
        <v>7967.13140676768</v>
      </c>
      <c r="W63" s="7" t="n">
        <f aca="false">U63-V63</f>
        <v>-322.19697805477</v>
      </c>
      <c r="X63" s="7" t="n">
        <f aca="false">W63*2/10+X62*8/10</f>
        <v>-401.855423230216</v>
      </c>
      <c r="Y63" s="7" t="n">
        <f aca="false">W63-X63</f>
        <v>79.6584451754467</v>
      </c>
      <c r="Z63" s="9" t="s">
        <v>89</v>
      </c>
      <c r="AA63" s="7" t="str">
        <f aca="false">IFERROR(INDEX(02_轉折點45!B:B,MATCH(A63,02_轉折點45!A:A,0)),"")</f>
        <v/>
      </c>
      <c r="AB63" s="7" t="n">
        <f aca="false">COUNTIFS(05_訊號明細!A:A,A63,05_訊號明細!C:C,"TOP")</f>
        <v>0</v>
      </c>
      <c r="AC63" s="7" t="n">
        <f aca="false">COUNTIFS(05_訊號明細!A:A,A63,05_訊號明細!C:C,"BOTTOM")</f>
        <v>0</v>
      </c>
    </row>
    <row r="64" customFormat="false" ht="15" hidden="false" customHeight="false" outlineLevel="0" collapsed="false">
      <c r="A64" s="7" t="s">
        <v>105</v>
      </c>
      <c r="B64" s="7" t="n">
        <v>7855.74</v>
      </c>
      <c r="C64" s="7" t="n">
        <v>8011.6</v>
      </c>
      <c r="D64" s="7" t="n">
        <v>7765.46</v>
      </c>
      <c r="E64" s="7" t="n">
        <v>7813.5</v>
      </c>
      <c r="F64" s="7" t="n">
        <v>4079</v>
      </c>
      <c r="G64" s="7" t="n">
        <f aca="false">AVERAGE(E60:E64)</f>
        <v>7731.526</v>
      </c>
      <c r="H64" s="7" t="n">
        <f aca="false">AVERAGE(E55:E64)</f>
        <v>7467.637</v>
      </c>
      <c r="I64" s="7" t="n">
        <f aca="false">AVERAGE(E45:E64)</f>
        <v>7745.3655</v>
      </c>
      <c r="J64" s="7" t="n">
        <f aca="false">AVERAGE(E15:E64)</f>
        <v>8620.3508</v>
      </c>
      <c r="M64" s="7" t="n">
        <f aca="false">I64</f>
        <v>7745.3655</v>
      </c>
      <c r="N64" s="7" t="n">
        <f aca="false">I64+2*STDEV(E45:E64)</f>
        <v>8883.07993031471</v>
      </c>
      <c r="O64" s="7" t="n">
        <f aca="false">I64-2*STDEV(E45:E64)</f>
        <v>6607.65106968529</v>
      </c>
      <c r="P64" s="7" t="n">
        <f aca="false">MAX(E64-E63,0)</f>
        <v>0</v>
      </c>
      <c r="Q64" s="7" t="n">
        <f aca="false">MAX(E63-E64,0)</f>
        <v>75.5100000000002</v>
      </c>
      <c r="R64" s="7" t="n">
        <f aca="false">(R63*13+P64)/14</f>
        <v>142.217684786796</v>
      </c>
      <c r="S64" s="7" t="n">
        <f aca="false">(S63*13+Q64)/14</f>
        <v>154.681405438738</v>
      </c>
      <c r="T64" s="7" t="n">
        <f aca="false">IF(S64=0,100,100-100/(1+R64/S64))</f>
        <v>47.9010173721862</v>
      </c>
      <c r="U64" s="7" t="n">
        <f aca="false">E64*2/13+U63*11/13</f>
        <v>7670.86759352631</v>
      </c>
      <c r="V64" s="7" t="n">
        <f aca="false">E64*2/27+V63*25/27</f>
        <v>7955.75130256267</v>
      </c>
      <c r="W64" s="7" t="n">
        <f aca="false">U64-V64</f>
        <v>-284.883709036359</v>
      </c>
      <c r="X64" s="7" t="n">
        <f aca="false">W64*2/10+X63*8/10</f>
        <v>-378.461080391445</v>
      </c>
      <c r="Y64" s="7" t="n">
        <f aca="false">W64-X64</f>
        <v>93.5773713550862</v>
      </c>
      <c r="Z64" s="9" t="s">
        <v>89</v>
      </c>
      <c r="AA64" s="7" t="str">
        <f aca="false">IFERROR(INDEX(02_轉折點45!B:B,MATCH(A64,02_轉折點45!A:A,0)),"")</f>
        <v/>
      </c>
      <c r="AB64" s="7" t="n">
        <f aca="false">COUNTIFS(05_訊號明細!A:A,A64,05_訊號明細!C:C,"TOP")</f>
        <v>0</v>
      </c>
      <c r="AC64" s="7" t="n">
        <f aca="false">COUNTIFS(05_訊號明細!A:A,A64,05_訊號明細!C:C,"BOTTOM")</f>
        <v>1</v>
      </c>
    </row>
    <row r="65" customFormat="false" ht="15" hidden="false" customHeight="false" outlineLevel="0" collapsed="false">
      <c r="A65" s="7" t="s">
        <v>106</v>
      </c>
      <c r="B65" s="7" t="n">
        <v>7582.78</v>
      </c>
      <c r="C65" s="7" t="n">
        <v>7701.68</v>
      </c>
      <c r="D65" s="7" t="n">
        <v>7423.97</v>
      </c>
      <c r="E65" s="7" t="n">
        <v>7486.29</v>
      </c>
      <c r="F65" s="7" t="n">
        <v>3700</v>
      </c>
      <c r="G65" s="7" t="n">
        <f aca="false">AVERAGE(E61:E65)</f>
        <v>7734.86</v>
      </c>
      <c r="H65" s="7" t="n">
        <f aca="false">AVERAGE(E56:E65)</f>
        <v>7498.748</v>
      </c>
      <c r="I65" s="7" t="n">
        <f aca="false">AVERAGE(E46:E65)</f>
        <v>7672.216</v>
      </c>
      <c r="J65" s="7" t="n">
        <f aca="false">AVERAGE(E16:E65)</f>
        <v>8586.744</v>
      </c>
      <c r="M65" s="7" t="n">
        <f aca="false">I65</f>
        <v>7672.216</v>
      </c>
      <c r="N65" s="7" t="n">
        <f aca="false">I65+2*STDEV(E46:E65)</f>
        <v>8662.59764869913</v>
      </c>
      <c r="O65" s="7" t="n">
        <f aca="false">I65-2*STDEV(E46:E65)</f>
        <v>6681.83435130087</v>
      </c>
      <c r="P65" s="7" t="n">
        <f aca="false">MAX(E65-E64,0)</f>
        <v>0</v>
      </c>
      <c r="Q65" s="7" t="n">
        <f aca="false">MAX(E64-E65,0)</f>
        <v>327.21</v>
      </c>
      <c r="R65" s="7" t="n">
        <f aca="false">(R64*13+P65)/14</f>
        <v>132.059278730596</v>
      </c>
      <c r="S65" s="7" t="n">
        <f aca="false">(S64*13+Q65)/14</f>
        <v>167.004876478828</v>
      </c>
      <c r="T65" s="7" t="n">
        <f aca="false">IF(S65=0,100,100-100/(1+R65/S65))</f>
        <v>44.1575081567764</v>
      </c>
      <c r="U65" s="7" t="n">
        <f aca="false">E65*2/13+U64*11/13</f>
        <v>7642.47104067611</v>
      </c>
      <c r="V65" s="7" t="n">
        <f aca="false">E65*2/27+V64*25/27</f>
        <v>7920.97639126173</v>
      </c>
      <c r="W65" s="7" t="n">
        <f aca="false">U65-V65</f>
        <v>-278.50535058562</v>
      </c>
      <c r="X65" s="7" t="n">
        <f aca="false">W65*2/10+X64*8/10</f>
        <v>-358.46993443028</v>
      </c>
      <c r="Y65" s="7" t="n">
        <f aca="false">W65-X65</f>
        <v>79.9645838446596</v>
      </c>
      <c r="Z65" s="9" t="s">
        <v>89</v>
      </c>
      <c r="AA65" s="7" t="str">
        <f aca="false">IFERROR(INDEX(02_轉折點45!B:B,MATCH(A65,02_轉折點45!A:A,0)),"")</f>
        <v/>
      </c>
      <c r="AB65" s="7" t="n">
        <f aca="false">COUNTIFS(05_訊號明細!A:A,A65,05_訊號明細!C:C,"TOP")</f>
        <v>0</v>
      </c>
      <c r="AC65" s="7" t="n">
        <f aca="false">COUNTIFS(05_訊號明細!A:A,A65,05_訊號明細!C:C,"BOTTOM")</f>
        <v>0</v>
      </c>
    </row>
    <row r="66" customFormat="false" ht="15" hidden="false" customHeight="false" outlineLevel="0" collapsed="false">
      <c r="A66" s="7" t="s">
        <v>107</v>
      </c>
      <c r="B66" s="7" t="n">
        <v>7445.88</v>
      </c>
      <c r="C66" s="7" t="n">
        <v>7641.87</v>
      </c>
      <c r="D66" s="7" t="n">
        <v>7432.28</v>
      </c>
      <c r="E66" s="7" t="n">
        <v>7635.66</v>
      </c>
      <c r="F66" s="7" t="n">
        <v>3622</v>
      </c>
      <c r="G66" s="7" t="n">
        <f aca="false">AVERAGE(E62:E66)</f>
        <v>7682.566</v>
      </c>
      <c r="H66" s="7" t="n">
        <f aca="false">AVERAGE(E57:E66)</f>
        <v>7533.462</v>
      </c>
      <c r="I66" s="7" t="n">
        <f aca="false">AVERAGE(E47:E66)</f>
        <v>7620.416</v>
      </c>
      <c r="J66" s="7" t="n">
        <f aca="false">AVERAGE(E17:E66)</f>
        <v>8555.6856</v>
      </c>
      <c r="M66" s="7" t="n">
        <f aca="false">I66</f>
        <v>7620.416</v>
      </c>
      <c r="N66" s="7" t="n">
        <f aca="false">I66+2*STDEV(E47:E66)</f>
        <v>8491.93594631038</v>
      </c>
      <c r="O66" s="7" t="n">
        <f aca="false">I66-2*STDEV(E47:E66)</f>
        <v>6748.89605368962</v>
      </c>
      <c r="P66" s="7" t="n">
        <f aca="false">MAX(E66-E65,0)</f>
        <v>149.37</v>
      </c>
      <c r="Q66" s="7" t="n">
        <f aca="false">MAX(E65-E66,0)</f>
        <v>0</v>
      </c>
      <c r="R66" s="7" t="n">
        <f aca="false">(R65*13+P66)/14</f>
        <v>133.295758821268</v>
      </c>
      <c r="S66" s="7" t="n">
        <f aca="false">(S65*13+Q66)/14</f>
        <v>155.075956730341</v>
      </c>
      <c r="T66" s="7" t="n">
        <f aca="false">IF(S66=0,100,100-100/(1+R66/S66))</f>
        <v>46.2235897741547</v>
      </c>
      <c r="U66" s="7" t="n">
        <f aca="false">E66*2/13+U65*11/13</f>
        <v>7641.4231882644</v>
      </c>
      <c r="V66" s="7" t="n">
        <f aca="false">E66*2/27+V65*25/27</f>
        <v>7899.84184376086</v>
      </c>
      <c r="W66" s="7" t="n">
        <f aca="false">U66-V66</f>
        <v>-258.418655496462</v>
      </c>
      <c r="X66" s="7" t="n">
        <f aca="false">W66*2/10+X65*8/10</f>
        <v>-338.459678643516</v>
      </c>
      <c r="Y66" s="7" t="n">
        <f aca="false">W66-X66</f>
        <v>80.0410231470546</v>
      </c>
      <c r="Z66" s="9" t="s">
        <v>89</v>
      </c>
      <c r="AA66" s="7" t="str">
        <f aca="false">IFERROR(INDEX(02_轉折點45!B:B,MATCH(A66,02_轉折點45!A:A,0)),"")</f>
        <v/>
      </c>
      <c r="AB66" s="7" t="n">
        <f aca="false">COUNTIFS(05_訊號明細!A:A,A66,05_訊號明細!C:C,"TOP")</f>
        <v>0</v>
      </c>
      <c r="AC66" s="7" t="n">
        <f aca="false">COUNTIFS(05_訊號明細!A:A,A66,05_訊號明細!C:C,"BOTTOM")</f>
        <v>0</v>
      </c>
    </row>
    <row r="67" customFormat="false" ht="15" hidden="false" customHeight="false" outlineLevel="0" collapsed="false">
      <c r="A67" s="7" t="s">
        <v>108</v>
      </c>
      <c r="B67" s="7" t="n">
        <v>7631.57</v>
      </c>
      <c r="C67" s="7" t="n">
        <v>7673.49</v>
      </c>
      <c r="D67" s="7" t="n">
        <v>7439.78</v>
      </c>
      <c r="E67" s="7" t="n">
        <v>7528.11</v>
      </c>
      <c r="F67" s="7" t="n">
        <v>3294</v>
      </c>
      <c r="G67" s="7" t="n">
        <f aca="false">AVERAGE(E63:E67)</f>
        <v>7670.514</v>
      </c>
      <c r="H67" s="7" t="n">
        <f aca="false">AVERAGE(E58:E67)</f>
        <v>7586.844</v>
      </c>
      <c r="I67" s="7" t="n">
        <f aca="false">AVERAGE(E48:E67)</f>
        <v>7570.3045</v>
      </c>
      <c r="J67" s="7" t="n">
        <f aca="false">AVERAGE(E18:E67)</f>
        <v>8521.9082</v>
      </c>
      <c r="M67" s="7" t="n">
        <f aca="false">I67</f>
        <v>7570.3045</v>
      </c>
      <c r="N67" s="7" t="n">
        <f aca="false">I67+2*STDEV(E48:E67)</f>
        <v>8329.55396224198</v>
      </c>
      <c r="O67" s="7" t="n">
        <f aca="false">I67-2*STDEV(E48:E67)</f>
        <v>6811.05503775802</v>
      </c>
      <c r="P67" s="7" t="n">
        <f aca="false">MAX(E67-E66,0)</f>
        <v>0</v>
      </c>
      <c r="Q67" s="7" t="n">
        <f aca="false">MAX(E66-E67,0)</f>
        <v>107.55</v>
      </c>
      <c r="R67" s="7" t="n">
        <f aca="false">(R66*13+P67)/14</f>
        <v>123.774633191177</v>
      </c>
      <c r="S67" s="7" t="n">
        <f aca="false">(S66*13+Q67)/14</f>
        <v>151.681245535316</v>
      </c>
      <c r="T67" s="7" t="n">
        <f aca="false">IF(S67=0,100,100-100/(1+R67/S67))</f>
        <v>44.934467822368</v>
      </c>
      <c r="U67" s="7" t="n">
        <f aca="false">E67*2/13+U66*11/13</f>
        <v>7623.99039006988</v>
      </c>
      <c r="V67" s="7" t="n">
        <f aca="false">E67*2/27+V66*25/27</f>
        <v>7872.30615163043</v>
      </c>
      <c r="W67" s="7" t="n">
        <f aca="false">U67-V67</f>
        <v>-248.315761560551</v>
      </c>
      <c r="X67" s="7" t="n">
        <f aca="false">W67*2/10+X66*8/10</f>
        <v>-320.430895226923</v>
      </c>
      <c r="Y67" s="7" t="n">
        <f aca="false">W67-X67</f>
        <v>72.1151336663726</v>
      </c>
      <c r="Z67" s="9" t="s">
        <v>89</v>
      </c>
      <c r="AA67" s="7" t="str">
        <f aca="false">IFERROR(INDEX(02_轉折點45!B:B,MATCH(A67,02_轉折點45!A:A,0)),"")</f>
        <v/>
      </c>
      <c r="AB67" s="7" t="n">
        <f aca="false">COUNTIFS(05_訊號明細!A:A,A67,05_訊號明細!C:C,"TOP")</f>
        <v>0</v>
      </c>
      <c r="AC67" s="7" t="n">
        <f aca="false">COUNTIFS(05_訊號明細!A:A,A67,05_訊號明細!C:C,"BOTTOM")</f>
        <v>1</v>
      </c>
    </row>
    <row r="68" customFormat="false" ht="15" hidden="false" customHeight="false" outlineLevel="0" collapsed="false">
      <c r="A68" s="7" t="s">
        <v>109</v>
      </c>
      <c r="B68" s="7" t="n">
        <v>7819.06</v>
      </c>
      <c r="C68" s="7" t="n">
        <v>8110.66</v>
      </c>
      <c r="D68" s="7" t="n">
        <v>7763.09</v>
      </c>
      <c r="E68" s="7" t="n">
        <v>8081.66</v>
      </c>
      <c r="F68" s="7" t="n">
        <v>3849</v>
      </c>
      <c r="G68" s="7" t="n">
        <f aca="false">AVERAGE(E64:E68)</f>
        <v>7709.044</v>
      </c>
      <c r="H68" s="7" t="n">
        <f aca="false">AVERAGE(E59:E68)</f>
        <v>7694.318</v>
      </c>
      <c r="I68" s="7" t="n">
        <f aca="false">AVERAGE(E49:E68)</f>
        <v>7576.986</v>
      </c>
      <c r="J68" s="7" t="n">
        <f aca="false">AVERAGE(E19:E68)</f>
        <v>8500.712</v>
      </c>
      <c r="M68" s="7" t="n">
        <f aca="false">I68</f>
        <v>7576.986</v>
      </c>
      <c r="N68" s="7" t="n">
        <f aca="false">I68+2*STDEV(E49:E68)</f>
        <v>8352.41102278021</v>
      </c>
      <c r="O68" s="7" t="n">
        <f aca="false">I68-2*STDEV(E49:E68)</f>
        <v>6801.56097721979</v>
      </c>
      <c r="P68" s="7" t="n">
        <f aca="false">MAX(E68-E67,0)</f>
        <v>553.55</v>
      </c>
      <c r="Q68" s="7" t="n">
        <f aca="false">MAX(E67-E68,0)</f>
        <v>0</v>
      </c>
      <c r="R68" s="7" t="n">
        <f aca="false">(R67*13+P68)/14</f>
        <v>154.472873677522</v>
      </c>
      <c r="S68" s="7" t="n">
        <f aca="false">(S67*13+Q68)/14</f>
        <v>140.846870854222</v>
      </c>
      <c r="T68" s="7" t="n">
        <f aca="false">IF(S68=0,100,100-100/(1+R68/S68))</f>
        <v>52.3069915025331</v>
      </c>
      <c r="U68" s="7" t="n">
        <f aca="false">E68*2/13+U67*11/13</f>
        <v>7694.4010992899</v>
      </c>
      <c r="V68" s="7" t="n">
        <f aca="false">E68*2/27+V67*25/27</f>
        <v>7887.81384410225</v>
      </c>
      <c r="W68" s="7" t="n">
        <f aca="false">U68-V68</f>
        <v>-193.412744812351</v>
      </c>
      <c r="X68" s="7" t="n">
        <f aca="false">W68*2/10+X67*8/10</f>
        <v>-295.027265144009</v>
      </c>
      <c r="Y68" s="7" t="n">
        <f aca="false">W68-X68</f>
        <v>101.614520331658</v>
      </c>
      <c r="Z68" s="9" t="s">
        <v>89</v>
      </c>
      <c r="AA68" s="7" t="str">
        <f aca="false">IFERROR(INDEX(02_轉折點45!B:B,MATCH(A68,02_轉折點45!A:A,0)),"")</f>
        <v/>
      </c>
      <c r="AB68" s="7" t="n">
        <f aca="false">COUNTIFS(05_訊號明細!A:A,A68,05_訊號明細!C:C,"TOP")</f>
        <v>0</v>
      </c>
      <c r="AC68" s="7" t="n">
        <f aca="false">COUNTIFS(05_訊號明細!A:A,A68,05_訊號明細!C:C,"BOTTOM")</f>
        <v>1</v>
      </c>
    </row>
    <row r="69" customFormat="false" ht="15" hidden="false" customHeight="false" outlineLevel="0" collapsed="false">
      <c r="A69" s="7" t="s">
        <v>110</v>
      </c>
      <c r="B69" s="7" t="n">
        <v>8287.48</v>
      </c>
      <c r="C69" s="7" t="n">
        <v>8305.59</v>
      </c>
      <c r="D69" s="7" t="n">
        <v>8043.07</v>
      </c>
      <c r="E69" s="7" t="n">
        <v>8049.31</v>
      </c>
      <c r="F69" s="7" t="n">
        <v>4086</v>
      </c>
      <c r="G69" s="7" t="n">
        <f aca="false">AVERAGE(E65:E69)</f>
        <v>7756.206</v>
      </c>
      <c r="H69" s="7" t="n">
        <f aca="false">AVERAGE(E60:E69)</f>
        <v>7743.866</v>
      </c>
      <c r="I69" s="7" t="n">
        <f aca="false">AVERAGE(E50:E69)</f>
        <v>7560.838</v>
      </c>
      <c r="J69" s="7" t="n">
        <f aca="false">AVERAGE(E20:E69)</f>
        <v>8482.6546</v>
      </c>
      <c r="M69" s="7" t="n">
        <f aca="false">I69</f>
        <v>7560.838</v>
      </c>
      <c r="N69" s="7" t="n">
        <f aca="false">I69+2*STDEV(E50:E69)</f>
        <v>8277.77549276386</v>
      </c>
      <c r="O69" s="7" t="n">
        <f aca="false">I69-2*STDEV(E50:E69)</f>
        <v>6843.90050723614</v>
      </c>
      <c r="P69" s="7" t="n">
        <f aca="false">MAX(E69-E68,0)</f>
        <v>0</v>
      </c>
      <c r="Q69" s="7" t="n">
        <f aca="false">MAX(E68-E69,0)</f>
        <v>32.3499999999995</v>
      </c>
      <c r="R69" s="7" t="n">
        <f aca="false">(R68*13+P69)/14</f>
        <v>143.43909698627</v>
      </c>
      <c r="S69" s="7" t="n">
        <f aca="false">(S68*13+Q69)/14</f>
        <v>133.097094364635</v>
      </c>
      <c r="T69" s="7" t="n">
        <f aca="false">IF(S69=0,100,100-100/(1+R69/S69))</f>
        <v>51.8699184672924</v>
      </c>
      <c r="U69" s="7" t="n">
        <f aca="false">E69*2/13+U68*11/13</f>
        <v>7749.00246862991</v>
      </c>
      <c r="V69" s="7" t="n">
        <f aca="false">E69*2/27+V68*25/27</f>
        <v>7899.7765223169</v>
      </c>
      <c r="W69" s="7" t="n">
        <f aca="false">U69-V69</f>
        <v>-150.774053686985</v>
      </c>
      <c r="X69" s="7" t="n">
        <f aca="false">W69*2/10+X68*8/10</f>
        <v>-266.176622852604</v>
      </c>
      <c r="Y69" s="7" t="n">
        <f aca="false">W69-X69</f>
        <v>115.402569165619</v>
      </c>
      <c r="Z69" s="9" t="s">
        <v>89</v>
      </c>
      <c r="AA69" s="7" t="str">
        <f aca="false">IFERROR(INDEX(02_轉折點45!B:B,MATCH(A69,02_轉折點45!A:A,0)),"")</f>
        <v/>
      </c>
      <c r="AB69" s="7" t="n">
        <f aca="false">COUNTIFS(05_訊號明細!A:A,A69,05_訊號明細!C:C,"TOP")</f>
        <v>0</v>
      </c>
      <c r="AC69" s="7" t="n">
        <f aca="false">COUNTIFS(05_訊號明細!A:A,A69,05_訊號明細!C:C,"BOTTOM")</f>
        <v>0</v>
      </c>
    </row>
    <row r="70" customFormat="false" ht="15" hidden="false" customHeight="false" outlineLevel="0" collapsed="false">
      <c r="A70" s="7" t="s">
        <v>111</v>
      </c>
      <c r="B70" s="7" t="n">
        <v>8134.3</v>
      </c>
      <c r="C70" s="7" t="n">
        <v>8254.41</v>
      </c>
      <c r="D70" s="7" t="n">
        <v>8058.41</v>
      </c>
      <c r="E70" s="7" t="n">
        <v>8229.54</v>
      </c>
      <c r="F70" s="7" t="n">
        <v>3487</v>
      </c>
      <c r="G70" s="7" t="n">
        <f aca="false">AVERAGE(E66:E70)</f>
        <v>7904.856</v>
      </c>
      <c r="H70" s="7" t="n">
        <f aca="false">AVERAGE(E61:E70)</f>
        <v>7819.858</v>
      </c>
      <c r="I70" s="7" t="n">
        <f aca="false">AVERAGE(E51:E70)</f>
        <v>7572.009</v>
      </c>
      <c r="J70" s="7" t="n">
        <f aca="false">AVERAGE(E21:E70)</f>
        <v>8465.4268</v>
      </c>
      <c r="M70" s="7" t="n">
        <f aca="false">I70</f>
        <v>7572.009</v>
      </c>
      <c r="N70" s="7" t="n">
        <f aca="false">I70+2*STDEV(E51:E70)</f>
        <v>8324.25300870154</v>
      </c>
      <c r="O70" s="7" t="n">
        <f aca="false">I70-2*STDEV(E51:E70)</f>
        <v>6819.76499129846</v>
      </c>
      <c r="P70" s="7" t="n">
        <f aca="false">MAX(E70-E69,0)</f>
        <v>180.23</v>
      </c>
      <c r="Q70" s="7" t="n">
        <f aca="false">MAX(E69-E70,0)</f>
        <v>0</v>
      </c>
      <c r="R70" s="7" t="n">
        <f aca="false">(R69*13+P70)/14</f>
        <v>146.067018630108</v>
      </c>
      <c r="S70" s="7" t="n">
        <f aca="false">(S69*13+Q70)/14</f>
        <v>123.590159052875</v>
      </c>
      <c r="T70" s="7" t="n">
        <f aca="false">IF(S70=0,100,100-100/(1+R70/S70))</f>
        <v>54.1676731489894</v>
      </c>
      <c r="U70" s="7" t="n">
        <f aca="false">E70*2/13+U69*11/13</f>
        <v>7822.93131960993</v>
      </c>
      <c r="V70" s="7" t="n">
        <f aca="false">E70*2/27+V69*25/27</f>
        <v>7924.20344658972</v>
      </c>
      <c r="W70" s="7" t="n">
        <f aca="false">U70-V70</f>
        <v>-101.272126979793</v>
      </c>
      <c r="X70" s="7" t="n">
        <f aca="false">W70*2/10+X69*8/10</f>
        <v>-233.195723678042</v>
      </c>
      <c r="Y70" s="7" t="n">
        <f aca="false">W70-X70</f>
        <v>131.923596698249</v>
      </c>
      <c r="Z70" s="7" t="s">
        <v>78</v>
      </c>
      <c r="AA70" s="7" t="str">
        <f aca="false">IFERROR(INDEX(02_轉折點45!B:B,MATCH(A70,02_轉折點45!A:A,0)),"")</f>
        <v/>
      </c>
      <c r="AB70" s="7" t="n">
        <f aca="false">COUNTIFS(05_訊號明細!A:A,A70,05_訊號明細!C:C,"TOP")</f>
        <v>0</v>
      </c>
      <c r="AC70" s="7" t="n">
        <f aca="false">COUNTIFS(05_訊號明細!A:A,A70,05_訊號明細!C:C,"BOTTOM")</f>
        <v>2</v>
      </c>
    </row>
    <row r="71" customFormat="false" ht="15" hidden="false" customHeight="false" outlineLevel="0" collapsed="false">
      <c r="A71" s="7" t="s">
        <v>112</v>
      </c>
      <c r="B71" s="7" t="n">
        <v>8284.31</v>
      </c>
      <c r="C71" s="7" t="n">
        <v>8334.23</v>
      </c>
      <c r="D71" s="7" t="n">
        <v>8167.93</v>
      </c>
      <c r="E71" s="7" t="n">
        <v>8238.53</v>
      </c>
      <c r="F71" s="7" t="n">
        <v>4145</v>
      </c>
      <c r="G71" s="7" t="n">
        <f aca="false">AVERAGE(E67:E71)</f>
        <v>8025.43</v>
      </c>
      <c r="H71" s="7" t="n">
        <f aca="false">AVERAGE(E62:E71)</f>
        <v>7853.998</v>
      </c>
      <c r="I71" s="7" t="n">
        <f aca="false">AVERAGE(E52:E71)</f>
        <v>7620.753</v>
      </c>
      <c r="J71" s="7" t="n">
        <f aca="false">AVERAGE(E22:E71)</f>
        <v>8448.1652</v>
      </c>
      <c r="M71" s="7" t="n">
        <f aca="false">I71</f>
        <v>7620.753</v>
      </c>
      <c r="N71" s="7" t="n">
        <f aca="false">I71+2*STDEV(E52:E71)</f>
        <v>8414.08480167005</v>
      </c>
      <c r="O71" s="7" t="n">
        <f aca="false">I71-2*STDEV(E52:E71)</f>
        <v>6827.42119832995</v>
      </c>
      <c r="P71" s="7" t="n">
        <f aca="false">MAX(E71-E70,0)</f>
        <v>8.98999999999978</v>
      </c>
      <c r="Q71" s="7" t="n">
        <f aca="false">MAX(E70-E71,0)</f>
        <v>0</v>
      </c>
      <c r="R71" s="7" t="n">
        <f aca="false">(R70*13+P71)/14</f>
        <v>136.275803013672</v>
      </c>
      <c r="S71" s="7" t="n">
        <f aca="false">(S70*13+Q71)/14</f>
        <v>114.762290549098</v>
      </c>
      <c r="T71" s="7" t="n">
        <f aca="false">IF(S71=0,100,100-100/(1+R71/S71))</f>
        <v>54.2849099431983</v>
      </c>
      <c r="U71" s="7" t="n">
        <f aca="false">E71*2/13+U70*11/13</f>
        <v>7886.86957813148</v>
      </c>
      <c r="V71" s="7" t="n">
        <f aca="false">E71*2/27+V70*25/27</f>
        <v>7947.48689499048</v>
      </c>
      <c r="W71" s="7" t="n">
        <f aca="false">U71-V71</f>
        <v>-60.617316859004</v>
      </c>
      <c r="X71" s="7" t="n">
        <f aca="false">W71*2/10+X70*8/10</f>
        <v>-198.680042314234</v>
      </c>
      <c r="Y71" s="7" t="n">
        <f aca="false">W71-X71</f>
        <v>138.06272545523</v>
      </c>
      <c r="Z71" s="7" t="s">
        <v>78</v>
      </c>
      <c r="AA71" s="7" t="str">
        <f aca="false">IFERROR(INDEX(02_轉折點45!B:B,MATCH(A71,02_轉折點45!A:A,0)),"")</f>
        <v/>
      </c>
      <c r="AB71" s="7" t="n">
        <f aca="false">COUNTIFS(05_訊號明細!A:A,A71,05_訊號明細!C:C,"TOP")</f>
        <v>0</v>
      </c>
      <c r="AC71" s="7" t="n">
        <f aca="false">COUNTIFS(05_訊號明細!A:A,A71,05_訊號明細!C:C,"BOTTOM")</f>
        <v>0</v>
      </c>
    </row>
    <row r="72" customFormat="false" ht="15" hidden="false" customHeight="false" outlineLevel="0" collapsed="false">
      <c r="A72" s="7" t="s">
        <v>113</v>
      </c>
      <c r="B72" s="7" t="n">
        <v>8209.68</v>
      </c>
      <c r="C72" s="7" t="n">
        <v>8338.15</v>
      </c>
      <c r="D72" s="7" t="n">
        <v>8158.58</v>
      </c>
      <c r="E72" s="7" t="n">
        <v>8332.74</v>
      </c>
      <c r="F72" s="7" t="n">
        <v>3185</v>
      </c>
      <c r="G72" s="7" t="n">
        <f aca="false">AVERAGE(E68:E72)</f>
        <v>8186.356</v>
      </c>
      <c r="H72" s="7" t="n">
        <f aca="false">AVERAGE(E63:E72)</f>
        <v>7928.435</v>
      </c>
      <c r="I72" s="7" t="n">
        <f aca="false">AVERAGE(E53:E72)</f>
        <v>7637.627</v>
      </c>
      <c r="J72" s="7" t="n">
        <f aca="false">AVERAGE(E23:E72)</f>
        <v>8432.0982</v>
      </c>
      <c r="M72" s="7" t="n">
        <f aca="false">I72</f>
        <v>7637.627</v>
      </c>
      <c r="N72" s="7" t="n">
        <f aca="false">I72+2*STDEV(E53:E72)</f>
        <v>8477.49017913537</v>
      </c>
      <c r="O72" s="7" t="n">
        <f aca="false">I72-2*STDEV(E53:E72)</f>
        <v>6797.76382086463</v>
      </c>
      <c r="P72" s="7" t="n">
        <f aca="false">MAX(E72-E71,0)</f>
        <v>94.2099999999991</v>
      </c>
      <c r="Q72" s="7" t="n">
        <f aca="false">MAX(E71-E72,0)</f>
        <v>0</v>
      </c>
      <c r="R72" s="7" t="n">
        <f aca="false">(R71*13+P72)/14</f>
        <v>133.271102798409</v>
      </c>
      <c r="S72" s="7" t="n">
        <f aca="false">(S71*13+Q72)/14</f>
        <v>106.564984081306</v>
      </c>
      <c r="T72" s="7" t="n">
        <f aca="false">IF(S72=0,100,100-100/(1+R72/S72))</f>
        <v>55.5675772283796</v>
      </c>
      <c r="U72" s="7" t="n">
        <f aca="false">E72*2/13+U71*11/13</f>
        <v>7955.46502764971</v>
      </c>
      <c r="V72" s="7" t="n">
        <f aca="false">E72*2/27+V71*25/27</f>
        <v>7976.02416202822</v>
      </c>
      <c r="W72" s="7" t="n">
        <f aca="false">U72-V72</f>
        <v>-20.5591343785109</v>
      </c>
      <c r="X72" s="7" t="n">
        <f aca="false">W72*2/10+X71*8/10</f>
        <v>-163.05586072709</v>
      </c>
      <c r="Y72" s="7" t="n">
        <f aca="false">W72-X72</f>
        <v>142.496726348579</v>
      </c>
      <c r="Z72" s="7" t="s">
        <v>78</v>
      </c>
      <c r="AA72" s="7" t="str">
        <f aca="false">IFERROR(INDEX(02_轉折點45!B:B,MATCH(A72,02_轉折點45!A:A,0)),"")</f>
        <v/>
      </c>
      <c r="AB72" s="7" t="n">
        <f aca="false">COUNTIFS(05_訊號明細!A:A,A72,05_訊號明細!C:C,"TOP")</f>
        <v>0</v>
      </c>
      <c r="AC72" s="7" t="n">
        <f aca="false">COUNTIFS(05_訊號明細!A:A,A72,05_訊號明細!C:C,"BOTTOM")</f>
        <v>0</v>
      </c>
    </row>
    <row r="73" customFormat="false" ht="15" hidden="false" customHeight="false" outlineLevel="0" collapsed="false">
      <c r="A73" s="7" t="s">
        <v>114</v>
      </c>
      <c r="B73" s="7" t="n">
        <v>8489.27</v>
      </c>
      <c r="C73" s="7" t="n">
        <v>8708.55</v>
      </c>
      <c r="D73" s="7" t="n">
        <v>8470.74</v>
      </c>
      <c r="E73" s="7" t="n">
        <v>8692.16</v>
      </c>
      <c r="F73" s="7" t="n">
        <v>3767</v>
      </c>
      <c r="G73" s="7" t="n">
        <f aca="false">AVERAGE(E69:E73)</f>
        <v>8308.456</v>
      </c>
      <c r="H73" s="7" t="n">
        <f aca="false">AVERAGE(E64:E73)</f>
        <v>8008.75</v>
      </c>
      <c r="I73" s="7" t="n">
        <f aca="false">AVERAGE(E54:E73)</f>
        <v>7721.216</v>
      </c>
      <c r="J73" s="7" t="n">
        <f aca="false">AVERAGE(E24:E73)</f>
        <v>8426.1112</v>
      </c>
      <c r="M73" s="7" t="n">
        <f aca="false">I73</f>
        <v>7721.216</v>
      </c>
      <c r="N73" s="7" t="n">
        <f aca="false">I73+2*STDEV(E54:E73)</f>
        <v>8632.17984226356</v>
      </c>
      <c r="O73" s="7" t="n">
        <f aca="false">I73-2*STDEV(E54:E73)</f>
        <v>6810.25215773645</v>
      </c>
      <c r="P73" s="7" t="n">
        <f aca="false">MAX(E73-E72,0)</f>
        <v>359.42</v>
      </c>
      <c r="Q73" s="7" t="n">
        <f aca="false">MAX(E72-E73,0)</f>
        <v>0</v>
      </c>
      <c r="R73" s="7" t="n">
        <f aca="false">(R72*13+P73)/14</f>
        <v>149.424595455666</v>
      </c>
      <c r="S73" s="7" t="n">
        <f aca="false">(S72*13+Q73)/14</f>
        <v>98.9531995040696</v>
      </c>
      <c r="T73" s="7" t="n">
        <f aca="false">IF(S73=0,100,100-100/(1+R73/S73))</f>
        <v>60.1602069459909</v>
      </c>
      <c r="U73" s="7" t="n">
        <f aca="false">E73*2/13+U72*11/13</f>
        <v>8068.8027157036</v>
      </c>
      <c r="V73" s="7" t="n">
        <f aca="false">E73*2/27+V72*25/27</f>
        <v>8029.07126113724</v>
      </c>
      <c r="W73" s="7" t="n">
        <f aca="false">U73-V73</f>
        <v>39.7314545663594</v>
      </c>
      <c r="X73" s="7" t="n">
        <f aca="false">W73*2/10+X72*8/10</f>
        <v>-122.4983976684</v>
      </c>
      <c r="Y73" s="7" t="n">
        <f aca="false">W73-X73</f>
        <v>162.229852234759</v>
      </c>
      <c r="Z73" s="7" t="s">
        <v>78</v>
      </c>
      <c r="AA73" s="7" t="str">
        <f aca="false">IFERROR(INDEX(02_轉折點45!B:B,MATCH(A73,02_轉折點45!A:A,0)),"")</f>
        <v/>
      </c>
      <c r="AB73" s="7" t="n">
        <f aca="false">COUNTIFS(05_訊號明細!A:A,A73,05_訊號明細!C:C,"TOP")</f>
        <v>0</v>
      </c>
      <c r="AC73" s="7" t="n">
        <f aca="false">COUNTIFS(05_訊號明細!A:A,A73,05_訊號明細!C:C,"BOTTOM")</f>
        <v>1</v>
      </c>
    </row>
    <row r="74" customFormat="false" ht="15" hidden="false" customHeight="false" outlineLevel="0" collapsed="false">
      <c r="A74" s="7" t="s">
        <v>115</v>
      </c>
      <c r="B74" s="7" t="n">
        <v>8548.47</v>
      </c>
      <c r="C74" s="7" t="n">
        <v>8666.24</v>
      </c>
      <c r="D74" s="7" t="n">
        <v>8500.56</v>
      </c>
      <c r="E74" s="7" t="n">
        <v>8591.96</v>
      </c>
      <c r="F74" s="7" t="n">
        <v>3348</v>
      </c>
      <c r="G74" s="7" t="n">
        <f aca="false">AVERAGE(E70:E74)</f>
        <v>8416.986</v>
      </c>
      <c r="H74" s="7" t="n">
        <f aca="false">AVERAGE(E65:E74)</f>
        <v>8086.596</v>
      </c>
      <c r="I74" s="7" t="n">
        <f aca="false">AVERAGE(E55:E74)</f>
        <v>7777.1165</v>
      </c>
      <c r="J74" s="7" t="n">
        <f aca="false">AVERAGE(E25:E74)</f>
        <v>8415.4258</v>
      </c>
      <c r="M74" s="7" t="n">
        <f aca="false">I74</f>
        <v>7777.1165</v>
      </c>
      <c r="N74" s="7" t="n">
        <f aca="false">I74+2*STDEV(E55:E74)</f>
        <v>8758.6694210448</v>
      </c>
      <c r="O74" s="7" t="n">
        <f aca="false">I74-2*STDEV(E55:E74)</f>
        <v>6795.5635789552</v>
      </c>
      <c r="P74" s="7" t="n">
        <f aca="false">MAX(E74-E73,0)</f>
        <v>0</v>
      </c>
      <c r="Q74" s="7" t="n">
        <f aca="false">MAX(E73-E74,0)</f>
        <v>100.200000000001</v>
      </c>
      <c r="R74" s="7" t="n">
        <f aca="false">(R73*13+P74)/14</f>
        <v>138.751410065975</v>
      </c>
      <c r="S74" s="7" t="n">
        <f aca="false">(S73*13+Q74)/14</f>
        <v>99.0422566823504</v>
      </c>
      <c r="T74" s="7" t="n">
        <f aca="false">IF(S74=0,100,100-100/(1+R74/S74))</f>
        <v>58.349497681461</v>
      </c>
      <c r="U74" s="7" t="n">
        <f aca="false">E74*2/13+U73*11/13</f>
        <v>8149.2884517492</v>
      </c>
      <c r="V74" s="7" t="n">
        <f aca="false">E74*2/27+V73*25/27</f>
        <v>8070.76672327523</v>
      </c>
      <c r="W74" s="7" t="n">
        <f aca="false">U74-V74</f>
        <v>78.5217284739765</v>
      </c>
      <c r="X74" s="7" t="n">
        <f aca="false">W74*2/10+X73*8/10</f>
        <v>-82.2943724399245</v>
      </c>
      <c r="Y74" s="7" t="n">
        <f aca="false">W74-X74</f>
        <v>160.816100913901</v>
      </c>
      <c r="Z74" s="7" t="s">
        <v>78</v>
      </c>
      <c r="AA74" s="7" t="str">
        <f aca="false">IFERROR(INDEX(02_轉折點45!B:B,MATCH(A74,02_轉折點45!A:A,0)),"")</f>
        <v/>
      </c>
      <c r="AB74" s="7" t="n">
        <f aca="false">COUNTIFS(05_訊號明細!A:A,A74,05_訊號明細!C:C,"TOP")</f>
        <v>0</v>
      </c>
      <c r="AC74" s="7" t="n">
        <f aca="false">COUNTIFS(05_訊號明細!A:A,A74,05_訊號明細!C:C,"BOTTOM")</f>
        <v>0</v>
      </c>
    </row>
    <row r="75" customFormat="false" ht="15" hidden="false" customHeight="false" outlineLevel="0" collapsed="false">
      <c r="A75" s="7" t="s">
        <v>116</v>
      </c>
      <c r="B75" s="7" t="n">
        <v>8689.09</v>
      </c>
      <c r="C75" s="7" t="n">
        <v>8793.35</v>
      </c>
      <c r="D75" s="7" t="n">
        <v>8605.51</v>
      </c>
      <c r="E75" s="7" t="n">
        <v>8757.83</v>
      </c>
      <c r="F75" s="7" t="n">
        <v>4058</v>
      </c>
      <c r="G75" s="7" t="n">
        <f aca="false">AVERAGE(E71:E75)</f>
        <v>8522.644</v>
      </c>
      <c r="H75" s="7" t="n">
        <f aca="false">AVERAGE(E66:E75)</f>
        <v>8213.75</v>
      </c>
      <c r="I75" s="7" t="n">
        <f aca="false">AVERAGE(E56:E75)</f>
        <v>7856.249</v>
      </c>
      <c r="J75" s="7" t="n">
        <f aca="false">AVERAGE(E26:E75)</f>
        <v>8403.9012</v>
      </c>
      <c r="M75" s="7" t="n">
        <f aca="false">I75</f>
        <v>7856.249</v>
      </c>
      <c r="N75" s="7" t="n">
        <f aca="false">I75+2*STDEV(E56:E75)</f>
        <v>8887.40588915846</v>
      </c>
      <c r="O75" s="7" t="n">
        <f aca="false">I75-2*STDEV(E56:E75)</f>
        <v>6825.09211084154</v>
      </c>
      <c r="P75" s="7" t="n">
        <f aca="false">MAX(E75-E74,0)</f>
        <v>165.870000000001</v>
      </c>
      <c r="Q75" s="7" t="n">
        <f aca="false">MAX(E74-E75,0)</f>
        <v>0</v>
      </c>
      <c r="R75" s="7" t="n">
        <f aca="false">(R74*13+P75)/14</f>
        <v>140.68845220412</v>
      </c>
      <c r="S75" s="7" t="n">
        <f aca="false">(S74*13+Q75)/14</f>
        <v>91.9678097764682</v>
      </c>
      <c r="T75" s="7" t="n">
        <f aca="false">IF(S75=0,100,100-100/(1+R75/S75))</f>
        <v>60.4705203317753</v>
      </c>
      <c r="U75" s="7" t="n">
        <f aca="false">E75*2/13+U74*11/13</f>
        <v>8242.91022840317</v>
      </c>
      <c r="V75" s="7" t="n">
        <f aca="false">E75*2/27+V74*25/27</f>
        <v>8121.66029932891</v>
      </c>
      <c r="W75" s="7" t="n">
        <f aca="false">U75-V75</f>
        <v>121.24992907426</v>
      </c>
      <c r="X75" s="7" t="n">
        <f aca="false">W75*2/10+X74*8/10</f>
        <v>-41.5855121370876</v>
      </c>
      <c r="Y75" s="7" t="n">
        <f aca="false">W75-X75</f>
        <v>162.835441211347</v>
      </c>
      <c r="Z75" s="7" t="s">
        <v>78</v>
      </c>
      <c r="AA75" s="7" t="str">
        <f aca="false">IFERROR(INDEX(02_轉折點45!B:B,MATCH(A75,02_轉折點45!A:A,0)),"")</f>
        <v/>
      </c>
      <c r="AB75" s="7" t="n">
        <f aca="false">COUNTIFS(05_訊號明細!A:A,A75,05_訊號明細!C:C,"TOP")</f>
        <v>0</v>
      </c>
      <c r="AC75" s="7" t="n">
        <f aca="false">COUNTIFS(05_訊號明細!A:A,A75,05_訊號明細!C:C,"BOTTOM")</f>
        <v>0</v>
      </c>
    </row>
    <row r="76" customFormat="false" ht="15" hidden="false" customHeight="false" outlineLevel="0" collapsed="false">
      <c r="A76" s="7" t="s">
        <v>117</v>
      </c>
      <c r="B76" s="7" t="n">
        <v>8876.66</v>
      </c>
      <c r="C76" s="7" t="n">
        <v>8879.24</v>
      </c>
      <c r="D76" s="7" t="n">
        <v>8704.38</v>
      </c>
      <c r="E76" s="7" t="n">
        <v>8832.41</v>
      </c>
      <c r="F76" s="7" t="n">
        <v>4348</v>
      </c>
      <c r="G76" s="7" t="n">
        <f aca="false">AVERAGE(E72:E76)</f>
        <v>8641.42</v>
      </c>
      <c r="H76" s="7" t="n">
        <f aca="false">AVERAGE(E67:E76)</f>
        <v>8333.425</v>
      </c>
      <c r="I76" s="7" t="n">
        <f aca="false">AVERAGE(E57:E76)</f>
        <v>7933.4435</v>
      </c>
      <c r="J76" s="7" t="n">
        <f aca="false">AVERAGE(E27:E76)</f>
        <v>8393.1998</v>
      </c>
      <c r="M76" s="7" t="n">
        <f aca="false">I76</f>
        <v>7933.4435</v>
      </c>
      <c r="N76" s="7" t="n">
        <f aca="false">I76+2*STDEV(E57:E76)</f>
        <v>9015.5463048889</v>
      </c>
      <c r="O76" s="7" t="n">
        <f aca="false">I76-2*STDEV(E57:E76)</f>
        <v>6851.3406951111</v>
      </c>
      <c r="P76" s="7" t="n">
        <f aca="false">MAX(E76-E75,0)</f>
        <v>74.5799999999999</v>
      </c>
      <c r="Q76" s="7" t="n">
        <f aca="false">MAX(E75-E76,0)</f>
        <v>0</v>
      </c>
      <c r="R76" s="7" t="n">
        <f aca="false">(R75*13+P76)/14</f>
        <v>135.966419903826</v>
      </c>
      <c r="S76" s="7" t="n">
        <f aca="false">(S75*13+Q76)/14</f>
        <v>85.3986805067205</v>
      </c>
      <c r="T76" s="7" t="n">
        <f aca="false">IF(S76=0,100,100-100/(1+R76/S76))</f>
        <v>61.4217957806632</v>
      </c>
      <c r="U76" s="7" t="n">
        <f aca="false">E76*2/13+U75*11/13</f>
        <v>8333.60250095653</v>
      </c>
      <c r="V76" s="7" t="n">
        <f aca="false">E76*2/27+V75*25/27</f>
        <v>8174.30842530455</v>
      </c>
      <c r="W76" s="7" t="n">
        <f aca="false">U76-V76</f>
        <v>159.294075651982</v>
      </c>
      <c r="X76" s="7" t="n">
        <f aca="false">W76*2/10+X75*8/10</f>
        <v>-1.40959457927371</v>
      </c>
      <c r="Y76" s="7" t="n">
        <f aca="false">W76-X76</f>
        <v>160.703670231256</v>
      </c>
      <c r="Z76" s="7" t="s">
        <v>78</v>
      </c>
      <c r="AA76" s="7" t="str">
        <f aca="false">IFERROR(INDEX(02_轉折點45!B:B,MATCH(A76,02_轉折點45!A:A,0)),"")</f>
        <v/>
      </c>
      <c r="AB76" s="7" t="n">
        <f aca="false">COUNTIFS(05_訊號明細!A:A,A76,05_訊號明細!C:C,"TOP")</f>
        <v>0</v>
      </c>
      <c r="AC76" s="7" t="n">
        <f aca="false">COUNTIFS(05_訊號明細!A:A,A76,05_訊號明細!C:C,"BOTTOM")</f>
        <v>0</v>
      </c>
    </row>
    <row r="77" customFormat="false" ht="15" hidden="false" customHeight="false" outlineLevel="0" collapsed="false">
      <c r="A77" s="7" t="s">
        <v>118</v>
      </c>
      <c r="B77" s="7" t="n">
        <v>8742.54</v>
      </c>
      <c r="C77" s="7" t="n">
        <v>8855.18</v>
      </c>
      <c r="D77" s="7" t="n">
        <v>8725.33</v>
      </c>
      <c r="E77" s="7" t="n">
        <v>8726.51</v>
      </c>
      <c r="F77" s="7" t="n">
        <v>3827</v>
      </c>
      <c r="G77" s="7" t="n">
        <f aca="false">AVERAGE(E73:E77)</f>
        <v>8720.174</v>
      </c>
      <c r="H77" s="7" t="n">
        <f aca="false">AVERAGE(E68:E77)</f>
        <v>8453.265</v>
      </c>
      <c r="I77" s="7" t="n">
        <f aca="false">AVERAGE(E58:E77)</f>
        <v>8020.0545</v>
      </c>
      <c r="J77" s="7" t="n">
        <f aca="false">AVERAGE(E28:E77)</f>
        <v>8378.8116</v>
      </c>
      <c r="M77" s="7" t="n">
        <f aca="false">I77</f>
        <v>8020.0545</v>
      </c>
      <c r="N77" s="7" t="n">
        <f aca="false">I77+2*STDEV(E58:E77)</f>
        <v>9062.20931748104</v>
      </c>
      <c r="O77" s="7" t="n">
        <f aca="false">I77-2*STDEV(E58:E77)</f>
        <v>6977.89968251896</v>
      </c>
      <c r="P77" s="7" t="n">
        <f aca="false">MAX(E77-E76,0)</f>
        <v>0</v>
      </c>
      <c r="Q77" s="7" t="n">
        <f aca="false">MAX(E76-E77,0)</f>
        <v>105.9</v>
      </c>
      <c r="R77" s="7" t="n">
        <f aca="false">(R76*13+P77)/14</f>
        <v>126.254532767838</v>
      </c>
      <c r="S77" s="7" t="n">
        <f aca="false">(S76*13+Q77)/14</f>
        <v>86.8630604705261</v>
      </c>
      <c r="T77" s="7" t="n">
        <f aca="false">IF(S77=0,100,100-100/(1+R77/S77))</f>
        <v>59.2417223042807</v>
      </c>
      <c r="U77" s="7" t="n">
        <f aca="false">E77*2/13+U76*11/13</f>
        <v>8394.04980850168</v>
      </c>
      <c r="V77" s="7" t="n">
        <f aca="false">E77*2/27+V76*25/27</f>
        <v>8215.21224565236</v>
      </c>
      <c r="W77" s="7" t="n">
        <f aca="false">U77-V77</f>
        <v>178.83756284932</v>
      </c>
      <c r="X77" s="7" t="n">
        <f aca="false">W77*2/10+X76*8/10</f>
        <v>34.6398369064449</v>
      </c>
      <c r="Y77" s="7" t="n">
        <f aca="false">W77-X77</f>
        <v>144.197725942875</v>
      </c>
      <c r="Z77" s="7" t="s">
        <v>78</v>
      </c>
      <c r="AA77" s="7" t="str">
        <f aca="false">IFERROR(INDEX(02_轉折點45!B:B,MATCH(A77,02_轉折點45!A:A,0)),"")</f>
        <v/>
      </c>
      <c r="AB77" s="7" t="n">
        <f aca="false">COUNTIFS(05_訊號明細!A:A,A77,05_訊號明細!C:C,"TOP")</f>
        <v>0</v>
      </c>
      <c r="AC77" s="7" t="n">
        <f aca="false">COUNTIFS(05_訊號明細!A:A,A77,05_訊號明細!C:C,"BOTTOM")</f>
        <v>0</v>
      </c>
    </row>
    <row r="78" customFormat="false" ht="15" hidden="false" customHeight="false" outlineLevel="0" collapsed="false">
      <c r="A78" s="7" t="s">
        <v>119</v>
      </c>
      <c r="B78" s="7" t="n">
        <v>8639.74</v>
      </c>
      <c r="C78" s="7" t="n">
        <v>8663.09</v>
      </c>
      <c r="D78" s="7" t="n">
        <v>8359.84</v>
      </c>
      <c r="E78" s="7" t="n">
        <v>8403</v>
      </c>
      <c r="F78" s="7" t="n">
        <v>3788</v>
      </c>
      <c r="G78" s="7" t="n">
        <f aca="false">AVERAGE(E74:E78)</f>
        <v>8662.342</v>
      </c>
      <c r="H78" s="7" t="n">
        <f aca="false">AVERAGE(E69:E78)</f>
        <v>8485.399</v>
      </c>
      <c r="I78" s="7" t="n">
        <f aca="false">AVERAGE(E59:E78)</f>
        <v>8089.8585</v>
      </c>
      <c r="J78" s="7" t="n">
        <f aca="false">AVERAGE(E29:E78)</f>
        <v>8358.8496</v>
      </c>
      <c r="M78" s="7" t="n">
        <f aca="false">I78</f>
        <v>8089.8585</v>
      </c>
      <c r="N78" s="7" t="n">
        <f aca="false">I78+2*STDEV(E59:E78)</f>
        <v>9028.128512159</v>
      </c>
      <c r="O78" s="7" t="n">
        <f aca="false">I78-2*STDEV(E59:E78)</f>
        <v>7151.588487841</v>
      </c>
      <c r="P78" s="7" t="n">
        <f aca="false">MAX(E78-E77,0)</f>
        <v>0</v>
      </c>
      <c r="Q78" s="7" t="n">
        <f aca="false">MAX(E77-E78,0)</f>
        <v>323.51</v>
      </c>
      <c r="R78" s="7" t="n">
        <f aca="false">(R77*13+P78)/14</f>
        <v>117.23635185585</v>
      </c>
      <c r="S78" s="7" t="n">
        <f aca="false">(S77*13+Q78)/14</f>
        <v>103.76641329406</v>
      </c>
      <c r="T78" s="7" t="n">
        <f aca="false">IF(S78=0,100,100-100/(1+R78/S78))</f>
        <v>53.0474592823879</v>
      </c>
      <c r="U78" s="7" t="n">
        <f aca="false">E78*2/13+U77*11/13</f>
        <v>8395.42676103988</v>
      </c>
      <c r="V78" s="7" t="n">
        <f aca="false">E78*2/27+V77*25/27</f>
        <v>8229.12244967811</v>
      </c>
      <c r="W78" s="7" t="n">
        <f aca="false">U78-V78</f>
        <v>166.304311361771</v>
      </c>
      <c r="X78" s="7" t="n">
        <f aca="false">W78*2/10+X77*8/10</f>
        <v>60.9727317975102</v>
      </c>
      <c r="Y78" s="7" t="n">
        <f aca="false">W78-X78</f>
        <v>105.331579564261</v>
      </c>
      <c r="Z78" s="9" t="s">
        <v>89</v>
      </c>
      <c r="AA78" s="7" t="str">
        <f aca="false">IFERROR(INDEX(02_轉折點45!B:B,MATCH(A78,02_轉折點45!A:A,0)),"")</f>
        <v/>
      </c>
      <c r="AB78" s="7" t="n">
        <f aca="false">COUNTIFS(05_訊號明細!A:A,A78,05_訊號明細!C:C,"TOP")</f>
        <v>0</v>
      </c>
      <c r="AC78" s="7" t="n">
        <f aca="false">COUNTIFS(05_訊號明細!A:A,A78,05_訊號明細!C:C,"BOTTOM")</f>
        <v>0</v>
      </c>
    </row>
    <row r="79" customFormat="false" ht="15" hidden="false" customHeight="false" outlineLevel="0" collapsed="false">
      <c r="A79" s="7" t="s">
        <v>120</v>
      </c>
      <c r="B79" s="7" t="n">
        <v>8575.57</v>
      </c>
      <c r="C79" s="7" t="n">
        <v>8708.48</v>
      </c>
      <c r="D79" s="7" t="n">
        <v>8550.61</v>
      </c>
      <c r="E79" s="7" t="n">
        <v>8664.64</v>
      </c>
      <c r="F79" s="7" t="n">
        <v>3042</v>
      </c>
      <c r="G79" s="7" t="n">
        <f aca="false">AVERAGE(E75:E79)</f>
        <v>8676.878</v>
      </c>
      <c r="H79" s="7" t="n">
        <f aca="false">AVERAGE(E70:E79)</f>
        <v>8546.932</v>
      </c>
      <c r="I79" s="7" t="n">
        <f aca="false">AVERAGE(E60:E79)</f>
        <v>8145.399</v>
      </c>
      <c r="J79" s="7" t="n">
        <f aca="false">AVERAGE(E30:E79)</f>
        <v>8341.8056</v>
      </c>
      <c r="M79" s="7" t="n">
        <f aca="false">I79</f>
        <v>8145.399</v>
      </c>
      <c r="N79" s="7" t="n">
        <f aca="false">I79+2*STDEV(E60:E79)</f>
        <v>9081.57461350534</v>
      </c>
      <c r="O79" s="7" t="n">
        <f aca="false">I79-2*STDEV(E60:E79)</f>
        <v>7209.22338649466</v>
      </c>
      <c r="P79" s="7" t="n">
        <f aca="false">MAX(E79-E78,0)</f>
        <v>261.639999999999</v>
      </c>
      <c r="Q79" s="7" t="n">
        <f aca="false">MAX(E78-E79,0)</f>
        <v>0</v>
      </c>
      <c r="R79" s="7" t="n">
        <f aca="false">(R78*13+P79)/14</f>
        <v>127.55089815186</v>
      </c>
      <c r="S79" s="7" t="n">
        <f aca="false">(S78*13+Q79)/14</f>
        <v>96.3545266301985</v>
      </c>
      <c r="T79" s="7" t="n">
        <f aca="false">IF(S79=0,100,100-100/(1+R79/S79))</f>
        <v>56.9664170825757</v>
      </c>
      <c r="U79" s="7" t="n">
        <f aca="false">E79*2/13+U78*11/13</f>
        <v>8436.84418241836</v>
      </c>
      <c r="V79" s="7" t="n">
        <f aca="false">E79*2/27+V78*25/27</f>
        <v>8261.38300896121</v>
      </c>
      <c r="W79" s="7" t="n">
        <f aca="false">U79-V79</f>
        <v>175.461173457148</v>
      </c>
      <c r="X79" s="7" t="n">
        <f aca="false">W79*2/10+X78*8/10</f>
        <v>83.8704201294378</v>
      </c>
      <c r="Y79" s="7" t="n">
        <f aca="false">W79-X79</f>
        <v>91.5907533277103</v>
      </c>
      <c r="Z79" s="7" t="s">
        <v>78</v>
      </c>
      <c r="AA79" s="7" t="str">
        <f aca="false">IFERROR(INDEX(02_轉折點45!B:B,MATCH(A79,02_轉折點45!A:A,0)),"")</f>
        <v/>
      </c>
      <c r="AB79" s="7" t="n">
        <f aca="false">COUNTIFS(05_訊號明細!A:A,A79,05_訊號明細!C:C,"TOP")</f>
        <v>0</v>
      </c>
      <c r="AC79" s="7" t="n">
        <f aca="false">COUNTIFS(05_訊號明細!A:A,A79,05_訊號明細!C:C,"BOTTOM")</f>
        <v>1</v>
      </c>
    </row>
    <row r="80" customFormat="false" ht="15" hidden="false" customHeight="false" outlineLevel="0" collapsed="false">
      <c r="A80" s="7" t="s">
        <v>121</v>
      </c>
      <c r="B80" s="7" t="n">
        <v>8693.73</v>
      </c>
      <c r="C80" s="7" t="n">
        <v>8796.49</v>
      </c>
      <c r="D80" s="7" t="n">
        <v>8624.63</v>
      </c>
      <c r="E80" s="7" t="n">
        <v>8641.5</v>
      </c>
      <c r="F80" s="7" t="n">
        <v>3760</v>
      </c>
      <c r="G80" s="7" t="n">
        <f aca="false">AVERAGE(E76:E80)</f>
        <v>8653.612</v>
      </c>
      <c r="H80" s="7" t="n">
        <f aca="false">AVERAGE(E71:E80)</f>
        <v>8588.128</v>
      </c>
      <c r="I80" s="7" t="n">
        <f aca="false">AVERAGE(E61:E80)</f>
        <v>8203.993</v>
      </c>
      <c r="J80" s="7" t="n">
        <f aca="false">AVERAGE(E31:E80)</f>
        <v>8324.2784</v>
      </c>
      <c r="M80" s="7" t="n">
        <f aca="false">I80</f>
        <v>8203.993</v>
      </c>
      <c r="N80" s="7" t="n">
        <f aca="false">I80+2*STDEV(E61:E80)</f>
        <v>9108.22765869384</v>
      </c>
      <c r="O80" s="7" t="n">
        <f aca="false">I80-2*STDEV(E61:E80)</f>
        <v>7299.75834130616</v>
      </c>
      <c r="P80" s="7" t="n">
        <f aca="false">MAX(E80-E79,0)</f>
        <v>0</v>
      </c>
      <c r="Q80" s="7" t="n">
        <f aca="false">MAX(E79-E80,0)</f>
        <v>23.1399999999994</v>
      </c>
      <c r="R80" s="7" t="n">
        <f aca="false">(R79*13+P80)/14</f>
        <v>118.440119712442</v>
      </c>
      <c r="S80" s="7" t="n">
        <f aca="false">(S79*13+Q80)/14</f>
        <v>91.1249175851843</v>
      </c>
      <c r="T80" s="7" t="n">
        <f aca="false">IF(S80=0,100,100-100/(1+R80/S80))</f>
        <v>56.5171181413396</v>
      </c>
      <c r="U80" s="7" t="n">
        <f aca="false">E80*2/13+U79*11/13</f>
        <v>8468.32969281554</v>
      </c>
      <c r="V80" s="7" t="n">
        <f aca="false">E80*2/27+V79*25/27</f>
        <v>8289.53982311223</v>
      </c>
      <c r="W80" s="7" t="n">
        <f aca="false">U80-V80</f>
        <v>178.789869703302</v>
      </c>
      <c r="X80" s="7" t="n">
        <f aca="false">W80*2/10+X79*8/10</f>
        <v>102.854310044211</v>
      </c>
      <c r="Y80" s="7" t="n">
        <f aca="false">W80-X80</f>
        <v>75.935559659091</v>
      </c>
      <c r="Z80" s="7" t="s">
        <v>78</v>
      </c>
      <c r="AA80" s="7" t="str">
        <f aca="false">IFERROR(INDEX(02_轉折點45!B:B,MATCH(A80,02_轉折點45!A:A,0)),"")</f>
        <v/>
      </c>
      <c r="AB80" s="7" t="n">
        <f aca="false">COUNTIFS(05_訊號明細!A:A,A80,05_訊號明細!C:C,"TOP")</f>
        <v>0</v>
      </c>
      <c r="AC80" s="7" t="n">
        <f aca="false">COUNTIFS(05_訊號明細!A:A,A80,05_訊號明細!C:C,"BOTTOM")</f>
        <v>0</v>
      </c>
    </row>
    <row r="81" customFormat="false" ht="15" hidden="false" customHeight="false" outlineLevel="0" collapsed="false">
      <c r="A81" s="7" t="s">
        <v>122</v>
      </c>
      <c r="B81" s="7" t="n">
        <v>8666.57</v>
      </c>
      <c r="C81" s="7" t="n">
        <v>8791.36</v>
      </c>
      <c r="D81" s="7" t="n">
        <v>8599.99</v>
      </c>
      <c r="E81" s="7" t="n">
        <v>8786.6</v>
      </c>
      <c r="F81" s="7" t="n">
        <v>3696</v>
      </c>
      <c r="G81" s="7" t="n">
        <f aca="false">AVERAGE(E77:E81)</f>
        <v>8644.45</v>
      </c>
      <c r="H81" s="7" t="n">
        <f aca="false">AVERAGE(E72:E81)</f>
        <v>8642.935</v>
      </c>
      <c r="I81" s="7" t="n">
        <f aca="false">AVERAGE(E62:E81)</f>
        <v>8248.4665</v>
      </c>
      <c r="J81" s="7" t="n">
        <f aca="false">AVERAGE(E32:E81)</f>
        <v>8307.7464</v>
      </c>
      <c r="M81" s="7" t="n">
        <f aca="false">I81</f>
        <v>8248.4665</v>
      </c>
      <c r="N81" s="7" t="n">
        <f aca="false">I81+2*STDEV(E62:E81)</f>
        <v>9176.33895970837</v>
      </c>
      <c r="O81" s="7" t="n">
        <f aca="false">I81-2*STDEV(E62:E81)</f>
        <v>7320.59404029163</v>
      </c>
      <c r="P81" s="7" t="n">
        <f aca="false">MAX(E81-E80,0)</f>
        <v>145.1</v>
      </c>
      <c r="Q81" s="7" t="n">
        <f aca="false">MAX(E80-E81,0)</f>
        <v>0</v>
      </c>
      <c r="R81" s="7" t="n">
        <f aca="false">(R80*13+P81)/14</f>
        <v>120.344396875839</v>
      </c>
      <c r="S81" s="7" t="n">
        <f aca="false">(S80*13+Q81)/14</f>
        <v>84.6159949005283</v>
      </c>
      <c r="T81" s="7" t="n">
        <f aca="false">IF(S81=0,100,100-100/(1+R81/S81))</f>
        <v>58.7159283961298</v>
      </c>
      <c r="U81" s="7" t="n">
        <f aca="false">E81*2/13+U80*11/13</f>
        <v>8517.2943554593</v>
      </c>
      <c r="V81" s="7" t="n">
        <f aca="false">E81*2/27+V80*25/27</f>
        <v>8326.35909547429</v>
      </c>
      <c r="W81" s="7" t="n">
        <f aca="false">U81-V81</f>
        <v>190.93525998501</v>
      </c>
      <c r="X81" s="7" t="n">
        <f aca="false">W81*2/10+X80*8/10</f>
        <v>120.47050003237</v>
      </c>
      <c r="Y81" s="7" t="n">
        <f aca="false">W81-X81</f>
        <v>70.4647599526395</v>
      </c>
      <c r="Z81" s="7" t="s">
        <v>78</v>
      </c>
      <c r="AA81" s="7" t="str">
        <f aca="false">IFERROR(INDEX(02_轉折點45!B:B,MATCH(A81,02_轉折點45!A:A,0)),"")</f>
        <v/>
      </c>
      <c r="AB81" s="7" t="n">
        <f aca="false">COUNTIFS(05_訊號明細!A:A,A81,05_訊號明細!C:C,"TOP")</f>
        <v>1</v>
      </c>
      <c r="AC81" s="7" t="n">
        <f aca="false">COUNTIFS(05_訊號明細!A:A,A81,05_訊號明細!C:C,"BOTTOM")</f>
        <v>1</v>
      </c>
    </row>
    <row r="82" customFormat="false" ht="15" hidden="false" customHeight="false" outlineLevel="0" collapsed="false">
      <c r="A82" s="7" t="s">
        <v>123</v>
      </c>
      <c r="B82" s="7" t="n">
        <v>8865.58</v>
      </c>
      <c r="C82" s="7" t="n">
        <v>8887.62</v>
      </c>
      <c r="D82" s="7" t="n">
        <v>8803.89</v>
      </c>
      <c r="E82" s="7" t="n">
        <v>8837.66</v>
      </c>
      <c r="F82" s="7" t="n">
        <v>3695</v>
      </c>
      <c r="G82" s="7" t="n">
        <f aca="false">AVERAGE(E78:E82)</f>
        <v>8666.68</v>
      </c>
      <c r="H82" s="7" t="n">
        <f aca="false">AVERAGE(E73:E82)</f>
        <v>8693.427</v>
      </c>
      <c r="I82" s="7" t="n">
        <f aca="false">AVERAGE(E63:E82)</f>
        <v>8310.931</v>
      </c>
      <c r="J82" s="7" t="n">
        <f aca="false">AVERAGE(E33:E82)</f>
        <v>8292.5856</v>
      </c>
      <c r="M82" s="7" t="n">
        <f aca="false">I82</f>
        <v>8310.931</v>
      </c>
      <c r="N82" s="7" t="n">
        <f aca="false">I82+2*STDEV(E63:E82)</f>
        <v>9219.70518861372</v>
      </c>
      <c r="O82" s="7" t="n">
        <f aca="false">I82-2*STDEV(E63:E82)</f>
        <v>7402.15681138628</v>
      </c>
      <c r="P82" s="7" t="n">
        <f aca="false">MAX(E82-E81,0)</f>
        <v>51.0599999999995</v>
      </c>
      <c r="Q82" s="7" t="n">
        <f aca="false">MAX(E81-E82,0)</f>
        <v>0</v>
      </c>
      <c r="R82" s="7" t="n">
        <f aca="false">(R81*13+P82)/14</f>
        <v>115.395511384708</v>
      </c>
      <c r="S82" s="7" t="n">
        <f aca="false">(S81*13+Q82)/14</f>
        <v>78.5719952647763</v>
      </c>
      <c r="T82" s="7" t="n">
        <f aca="false">IF(S82=0,100,100-100/(1+R82/S82))</f>
        <v>59.4921867987081</v>
      </c>
      <c r="U82" s="7" t="n">
        <f aca="false">E82*2/13+U81*11/13</f>
        <v>8566.58137769633</v>
      </c>
      <c r="V82" s="7" t="n">
        <f aca="false">E82*2/27+V81*25/27</f>
        <v>8364.23323655027</v>
      </c>
      <c r="W82" s="7" t="n">
        <f aca="false">U82-V82</f>
        <v>202.348141146062</v>
      </c>
      <c r="X82" s="7" t="n">
        <f aca="false">W82*2/10+X81*8/10</f>
        <v>136.846028255109</v>
      </c>
      <c r="Y82" s="7" t="n">
        <f aca="false">W82-X82</f>
        <v>65.502112890953</v>
      </c>
      <c r="Z82" s="7" t="s">
        <v>78</v>
      </c>
      <c r="AA82" s="7" t="str">
        <f aca="false">IFERROR(INDEX(02_轉折點45!B:B,MATCH(A82,02_轉折點45!A:A,0)),"")</f>
        <v/>
      </c>
      <c r="AB82" s="7" t="n">
        <f aca="false">COUNTIFS(05_訊號明細!A:A,A82,05_訊號明細!C:C,"TOP")</f>
        <v>0</v>
      </c>
      <c r="AC82" s="7" t="n">
        <f aca="false">COUNTIFS(05_訊號明細!A:A,A82,05_訊號明細!C:C,"BOTTOM")</f>
        <v>0</v>
      </c>
    </row>
    <row r="83" customFormat="false" ht="15" hidden="false" customHeight="false" outlineLevel="0" collapsed="false">
      <c r="A83" s="7" t="s">
        <v>124</v>
      </c>
      <c r="B83" s="7" t="n">
        <v>8913.28</v>
      </c>
      <c r="C83" s="7" t="n">
        <v>8918.38</v>
      </c>
      <c r="D83" s="7" t="n">
        <v>8668.67</v>
      </c>
      <c r="E83" s="7" t="n">
        <v>8677.6</v>
      </c>
      <c r="F83" s="7" t="n">
        <v>3730</v>
      </c>
      <c r="G83" s="7" t="n">
        <f aca="false">AVERAGE(E79:E83)</f>
        <v>8721.6</v>
      </c>
      <c r="H83" s="7" t="n">
        <f aca="false">AVERAGE(E74:E83)</f>
        <v>8691.971</v>
      </c>
      <c r="I83" s="7" t="n">
        <f aca="false">AVERAGE(E64:E83)</f>
        <v>8350.3605</v>
      </c>
      <c r="J83" s="7" t="n">
        <f aca="false">AVERAGE(E34:E83)</f>
        <v>8273.666</v>
      </c>
      <c r="M83" s="7" t="n">
        <f aca="false">I83</f>
        <v>8350.3605</v>
      </c>
      <c r="N83" s="7" t="n">
        <f aca="false">I83+2*STDEV(E64:E83)</f>
        <v>9250.44471990682</v>
      </c>
      <c r="O83" s="7" t="n">
        <f aca="false">I83-2*STDEV(E64:E83)</f>
        <v>7450.27628009318</v>
      </c>
      <c r="P83" s="7" t="n">
        <f aca="false">MAX(E83-E82,0)</f>
        <v>0</v>
      </c>
      <c r="Q83" s="7" t="n">
        <f aca="false">MAX(E82-E83,0)</f>
        <v>160.06</v>
      </c>
      <c r="R83" s="7" t="n">
        <f aca="false">(R82*13+P83)/14</f>
        <v>107.152974857228</v>
      </c>
      <c r="S83" s="7" t="n">
        <f aca="false">(S82*13+Q83)/14</f>
        <v>84.392567031578</v>
      </c>
      <c r="T83" s="7" t="n">
        <f aca="false">IF(S83=0,100,100-100/(1+R83/S83))</f>
        <v>55.9412522999003</v>
      </c>
      <c r="U83" s="7" t="n">
        <f aca="false">E83*2/13+U82*11/13</f>
        <v>8583.66116574305</v>
      </c>
      <c r="V83" s="7" t="n">
        <f aca="false">E83*2/27+V82*25/27</f>
        <v>8387.4455893984</v>
      </c>
      <c r="W83" s="7" t="n">
        <f aca="false">U83-V83</f>
        <v>196.215576344652</v>
      </c>
      <c r="X83" s="7" t="n">
        <f aca="false">W83*2/10+X82*8/10</f>
        <v>148.719937873017</v>
      </c>
      <c r="Y83" s="7" t="n">
        <f aca="false">W83-X83</f>
        <v>47.4956384716344</v>
      </c>
      <c r="Z83" s="7" t="s">
        <v>78</v>
      </c>
      <c r="AA83" s="7" t="str">
        <f aca="false">IFERROR(INDEX(02_轉折點45!B:B,MATCH(A83,02_轉折點45!A:A,0)),"")</f>
        <v/>
      </c>
      <c r="AB83" s="7" t="n">
        <f aca="false">COUNTIFS(05_訊號明細!A:A,A83,05_訊號明細!C:C,"TOP")</f>
        <v>0</v>
      </c>
      <c r="AC83" s="7" t="n">
        <f aca="false">COUNTIFS(05_訊號明細!A:A,A83,05_訊號明細!C:C,"BOTTOM")</f>
        <v>0</v>
      </c>
    </row>
    <row r="84" customFormat="false" ht="15" hidden="false" customHeight="false" outlineLevel="0" collapsed="false">
      <c r="A84" s="7" t="s">
        <v>125</v>
      </c>
      <c r="B84" s="7" t="n">
        <v>8871.04</v>
      </c>
      <c r="C84" s="7" t="n">
        <v>9025.82</v>
      </c>
      <c r="D84" s="7" t="n">
        <v>8832</v>
      </c>
      <c r="E84" s="7" t="n">
        <v>8982.76</v>
      </c>
      <c r="F84" s="7" t="n">
        <v>4407</v>
      </c>
      <c r="G84" s="7" t="n">
        <f aca="false">AVERAGE(E80:E84)</f>
        <v>8785.224</v>
      </c>
      <c r="H84" s="7" t="n">
        <f aca="false">AVERAGE(E75:E84)</f>
        <v>8731.051</v>
      </c>
      <c r="I84" s="7" t="n">
        <f aca="false">AVERAGE(E65:E84)</f>
        <v>8408.8235</v>
      </c>
      <c r="J84" s="7" t="n">
        <f aca="false">AVERAGE(E35:E84)</f>
        <v>8260.7252</v>
      </c>
      <c r="M84" s="7" t="n">
        <f aca="false">I84</f>
        <v>8408.8235</v>
      </c>
      <c r="N84" s="7" t="n">
        <f aca="false">I84+2*STDEV(E65:E84)</f>
        <v>9313.96339586432</v>
      </c>
      <c r="O84" s="7" t="n">
        <f aca="false">I84-2*STDEV(E65:E84)</f>
        <v>7503.68360413569</v>
      </c>
      <c r="P84" s="7" t="n">
        <f aca="false">MAX(E84-E83,0)</f>
        <v>305.16</v>
      </c>
      <c r="Q84" s="7" t="n">
        <f aca="false">MAX(E83-E84,0)</f>
        <v>0</v>
      </c>
      <c r="R84" s="7" t="n">
        <f aca="false">(R83*13+P84)/14</f>
        <v>121.296333795998</v>
      </c>
      <c r="S84" s="7" t="n">
        <f aca="false">(S83*13+Q84)/14</f>
        <v>78.3645265293224</v>
      </c>
      <c r="T84" s="7" t="n">
        <f aca="false">IF(S84=0,100,100-100/(1+R84/S84))</f>
        <v>60.751182579481</v>
      </c>
      <c r="U84" s="7" t="n">
        <f aca="false">E84*2/13+U83*11/13</f>
        <v>8645.06098639796</v>
      </c>
      <c r="V84" s="7" t="n">
        <f aca="false">E84*2/27+V83*25/27</f>
        <v>8431.54295314666</v>
      </c>
      <c r="W84" s="7" t="n">
        <f aca="false">U84-V84</f>
        <v>213.518033251299</v>
      </c>
      <c r="X84" s="7" t="n">
        <f aca="false">W84*2/10+X83*8/10</f>
        <v>161.679556948674</v>
      </c>
      <c r="Y84" s="7" t="n">
        <f aca="false">W84-X84</f>
        <v>51.8384763026255</v>
      </c>
      <c r="Z84" s="7" t="s">
        <v>78</v>
      </c>
      <c r="AA84" s="7" t="str">
        <f aca="false">IFERROR(INDEX(02_轉折點45!B:B,MATCH(A84,02_轉折點45!A:A,0)),"")</f>
        <v/>
      </c>
      <c r="AB84" s="7" t="n">
        <f aca="false">COUNTIFS(05_訊號明細!A:A,A84,05_訊號明細!C:C,"TOP")</f>
        <v>0</v>
      </c>
      <c r="AC84" s="7" t="n">
        <f aca="false">COUNTIFS(05_訊號明細!A:A,A84,05_訊號明細!C:C,"BOTTOM")</f>
        <v>0</v>
      </c>
    </row>
    <row r="85" customFormat="false" ht="15" hidden="false" customHeight="false" outlineLevel="0" collapsed="false">
      <c r="A85" s="7" t="s">
        <v>126</v>
      </c>
      <c r="B85" s="7" t="n">
        <v>9005.24</v>
      </c>
      <c r="C85" s="7" t="n">
        <v>9023.03</v>
      </c>
      <c r="D85" s="7" t="n">
        <v>8920.42</v>
      </c>
      <c r="E85" s="7" t="n">
        <v>9000.51</v>
      </c>
      <c r="F85" s="7" t="n">
        <v>4336</v>
      </c>
      <c r="G85" s="7" t="n">
        <f aca="false">AVERAGE(E81:E85)</f>
        <v>8857.026</v>
      </c>
      <c r="H85" s="7" t="n">
        <f aca="false">AVERAGE(E76:E85)</f>
        <v>8755.319</v>
      </c>
      <c r="I85" s="7" t="n">
        <f aca="false">AVERAGE(E66:E85)</f>
        <v>8484.5345</v>
      </c>
      <c r="J85" s="7" t="n">
        <f aca="false">AVERAGE(E36:E85)</f>
        <v>8246.3608</v>
      </c>
      <c r="M85" s="7" t="n">
        <f aca="false">I85</f>
        <v>8484.5345</v>
      </c>
      <c r="N85" s="7" t="n">
        <f aca="false">I85+2*STDEV(E66:E85)</f>
        <v>9315.00086775844</v>
      </c>
      <c r="O85" s="7" t="n">
        <f aca="false">I85-2*STDEV(E66:E85)</f>
        <v>7654.06813224156</v>
      </c>
      <c r="P85" s="7" t="n">
        <f aca="false">MAX(E85-E84,0)</f>
        <v>17.75</v>
      </c>
      <c r="Q85" s="7" t="n">
        <f aca="false">MAX(E84-E85,0)</f>
        <v>0</v>
      </c>
      <c r="R85" s="7" t="n">
        <f aca="false">(R84*13+P85)/14</f>
        <v>113.900167096284</v>
      </c>
      <c r="S85" s="7" t="n">
        <f aca="false">(S84*13+Q85)/14</f>
        <v>72.7670603486565</v>
      </c>
      <c r="T85" s="7" t="n">
        <f aca="false">IF(S85=0,100,100-100/(1+R85/S85))</f>
        <v>61.0177633510306</v>
      </c>
      <c r="U85" s="7" t="n">
        <f aca="false">E85*2/13+U84*11/13</f>
        <v>8699.74545002905</v>
      </c>
      <c r="V85" s="7" t="n">
        <f aca="false">E85*2/27+V84*25/27</f>
        <v>8473.68866032098</v>
      </c>
      <c r="W85" s="7" t="n">
        <f aca="false">U85-V85</f>
        <v>226.056789708062</v>
      </c>
      <c r="X85" s="7" t="n">
        <f aca="false">W85*2/10+X84*8/10</f>
        <v>174.555003500551</v>
      </c>
      <c r="Y85" s="7" t="n">
        <f aca="false">W85-X85</f>
        <v>51.5017862075106</v>
      </c>
      <c r="Z85" s="7" t="s">
        <v>78</v>
      </c>
      <c r="AA85" s="7" t="str">
        <f aca="false">IFERROR(INDEX(02_轉折點45!B:B,MATCH(A85,02_轉折點45!A:A,0)),"")</f>
        <v/>
      </c>
      <c r="AB85" s="7" t="n">
        <f aca="false">COUNTIFS(05_訊號明細!A:A,A85,05_訊號明細!C:C,"TOP")</f>
        <v>1</v>
      </c>
      <c r="AC85" s="7" t="n">
        <f aca="false">COUNTIFS(05_訊號明細!A:A,A85,05_訊號明細!C:C,"BOTTOM")</f>
        <v>0</v>
      </c>
    </row>
    <row r="86" customFormat="false" ht="15" hidden="false" customHeight="false" outlineLevel="0" collapsed="false">
      <c r="A86" s="7" t="s">
        <v>127</v>
      </c>
      <c r="B86" s="7" t="n">
        <v>8791.88</v>
      </c>
      <c r="C86" s="7" t="n">
        <v>8887.58</v>
      </c>
      <c r="D86" s="7" t="n">
        <v>8688.58</v>
      </c>
      <c r="E86" s="7" t="n">
        <v>8718.18</v>
      </c>
      <c r="F86" s="7" t="n">
        <v>3741</v>
      </c>
      <c r="G86" s="7" t="n">
        <f aca="false">AVERAGE(E82:E86)</f>
        <v>8843.342</v>
      </c>
      <c r="H86" s="7" t="n">
        <f aca="false">AVERAGE(E77:E86)</f>
        <v>8743.896</v>
      </c>
      <c r="I86" s="7" t="n">
        <f aca="false">AVERAGE(E67:E86)</f>
        <v>8538.6605</v>
      </c>
      <c r="J86" s="7" t="n">
        <f aca="false">AVERAGE(E37:E86)</f>
        <v>8228.1678</v>
      </c>
      <c r="M86" s="7" t="n">
        <f aca="false">I86</f>
        <v>8538.6605</v>
      </c>
      <c r="N86" s="7" t="n">
        <f aca="false">I86+2*STDEV(E67:E86)</f>
        <v>9271.55141143369</v>
      </c>
      <c r="O86" s="7" t="n">
        <f aca="false">I86-2*STDEV(E67:E86)</f>
        <v>7805.76958856631</v>
      </c>
      <c r="P86" s="7" t="n">
        <f aca="false">MAX(E86-E85,0)</f>
        <v>0</v>
      </c>
      <c r="Q86" s="7" t="n">
        <f aca="false">MAX(E85-E86,0)</f>
        <v>282.33</v>
      </c>
      <c r="R86" s="7" t="n">
        <f aca="false">(R85*13+P86)/14</f>
        <v>105.764440875121</v>
      </c>
      <c r="S86" s="7" t="n">
        <f aca="false">(S85*13+Q86)/14</f>
        <v>87.7358417523239</v>
      </c>
      <c r="T86" s="7" t="n">
        <f aca="false">IF(S86=0,100,100-100/(1+R86/S86))</f>
        <v>54.6585459406041</v>
      </c>
      <c r="U86" s="7" t="n">
        <f aca="false">E86*2/13+U85*11/13</f>
        <v>8702.58153463996</v>
      </c>
      <c r="V86" s="7" t="n">
        <f aca="false">E86*2/27+V85*25/27</f>
        <v>8491.79912992684</v>
      </c>
      <c r="W86" s="7" t="n">
        <f aca="false">U86-V86</f>
        <v>210.782404713125</v>
      </c>
      <c r="X86" s="7" t="n">
        <f aca="false">W86*2/10+X85*8/10</f>
        <v>181.800483743066</v>
      </c>
      <c r="Y86" s="7" t="n">
        <f aca="false">W86-X86</f>
        <v>28.9819209700592</v>
      </c>
      <c r="Z86" s="7" t="s">
        <v>78</v>
      </c>
      <c r="AA86" s="7" t="str">
        <f aca="false">IFERROR(INDEX(02_轉折點45!B:B,MATCH(A86,02_轉折點45!A:A,0)),"")</f>
        <v/>
      </c>
      <c r="AB86" s="7" t="n">
        <f aca="false">COUNTIFS(05_訊號明細!A:A,A86,05_訊號明細!C:C,"TOP")</f>
        <v>0</v>
      </c>
      <c r="AC86" s="7" t="n">
        <f aca="false">COUNTIFS(05_訊號明細!A:A,A86,05_訊號明細!C:C,"BOTTOM")</f>
        <v>0</v>
      </c>
    </row>
    <row r="87" customFormat="false" ht="15" hidden="false" customHeight="false" outlineLevel="0" collapsed="false">
      <c r="A87" s="7" t="s">
        <v>128</v>
      </c>
      <c r="B87" s="7" t="n">
        <v>8683.94</v>
      </c>
      <c r="C87" s="7" t="n">
        <v>8840.33</v>
      </c>
      <c r="D87" s="7" t="n">
        <v>8665.4</v>
      </c>
      <c r="E87" s="7" t="n">
        <v>8834.11</v>
      </c>
      <c r="F87" s="7" t="n">
        <v>3443</v>
      </c>
      <c r="G87" s="7" t="n">
        <f aca="false">AVERAGE(E83:E87)</f>
        <v>8842.632</v>
      </c>
      <c r="H87" s="7" t="n">
        <f aca="false">AVERAGE(E78:E87)</f>
        <v>8754.656</v>
      </c>
      <c r="I87" s="7" t="n">
        <f aca="false">AVERAGE(E68:E87)</f>
        <v>8603.9605</v>
      </c>
      <c r="J87" s="7" t="n">
        <f aca="false">AVERAGE(E38:E87)</f>
        <v>8215.9162</v>
      </c>
      <c r="M87" s="7" t="n">
        <f aca="false">I87</f>
        <v>8603.9605</v>
      </c>
      <c r="N87" s="7" t="n">
        <f aca="false">I87+2*STDEV(E68:E87)</f>
        <v>9171.90405951885</v>
      </c>
      <c r="O87" s="7" t="n">
        <f aca="false">I87-2*STDEV(E68:E87)</f>
        <v>8036.01694048114</v>
      </c>
      <c r="P87" s="7" t="n">
        <f aca="false">MAX(E87-E86,0)</f>
        <v>115.93</v>
      </c>
      <c r="Q87" s="7" t="n">
        <f aca="false">MAX(E86-E87,0)</f>
        <v>0</v>
      </c>
      <c r="R87" s="7" t="n">
        <f aca="false">(R86*13+P87)/14</f>
        <v>106.490552241183</v>
      </c>
      <c r="S87" s="7" t="n">
        <f aca="false">(S86*13+Q87)/14</f>
        <v>81.4689959128722</v>
      </c>
      <c r="T87" s="7" t="n">
        <f aca="false">IF(S87=0,100,100-100/(1+R87/S87))</f>
        <v>56.6561014255586</v>
      </c>
      <c r="U87" s="7" t="n">
        <f aca="false">E87*2/13+U86*11/13</f>
        <v>8722.81668315689</v>
      </c>
      <c r="V87" s="7" t="n">
        <f aca="false">E87*2/27+V86*25/27</f>
        <v>8517.155490673</v>
      </c>
      <c r="W87" s="7" t="n">
        <f aca="false">U87-V87</f>
        <v>205.661192483894</v>
      </c>
      <c r="X87" s="7" t="n">
        <f aca="false">W87*2/10+X86*8/10</f>
        <v>186.572625491232</v>
      </c>
      <c r="Y87" s="7" t="n">
        <f aca="false">W87-X87</f>
        <v>19.0885669926627</v>
      </c>
      <c r="Z87" s="7" t="s">
        <v>78</v>
      </c>
      <c r="AA87" s="7" t="str">
        <f aca="false">IFERROR(INDEX(02_轉折點45!B:B,MATCH(A87,02_轉折點45!A:A,0)),"")</f>
        <v/>
      </c>
      <c r="AB87" s="7" t="n">
        <f aca="false">COUNTIFS(05_訊號明細!A:A,A87,05_訊號明細!C:C,"TOP")</f>
        <v>0</v>
      </c>
      <c r="AC87" s="7" t="n">
        <f aca="false">COUNTIFS(05_訊號明細!A:A,A87,05_訊號明細!C:C,"BOTTOM")</f>
        <v>0</v>
      </c>
    </row>
    <row r="88" customFormat="false" ht="15" hidden="false" customHeight="false" outlineLevel="0" collapsed="false">
      <c r="A88" s="7" t="s">
        <v>129</v>
      </c>
      <c r="B88" s="7" t="n">
        <v>8922.39</v>
      </c>
      <c r="C88" s="7" t="n">
        <v>9031</v>
      </c>
      <c r="D88" s="7" t="n">
        <v>8900.57</v>
      </c>
      <c r="E88" s="7" t="n">
        <v>8930.62</v>
      </c>
      <c r="F88" s="7" t="n">
        <v>3934</v>
      </c>
      <c r="G88" s="7" t="n">
        <f aca="false">AVERAGE(E84:E88)</f>
        <v>8893.236</v>
      </c>
      <c r="H88" s="7" t="n">
        <f aca="false">AVERAGE(E79:E88)</f>
        <v>8807.418</v>
      </c>
      <c r="I88" s="7" t="n">
        <f aca="false">AVERAGE(E69:E88)</f>
        <v>8646.4085</v>
      </c>
      <c r="J88" s="7" t="n">
        <f aca="false">AVERAGE(E39:E88)</f>
        <v>8212.936</v>
      </c>
      <c r="M88" s="7" t="n">
        <f aca="false">I88</f>
        <v>8646.4085</v>
      </c>
      <c r="N88" s="7" t="n">
        <f aca="false">I88+2*STDEV(E69:E88)</f>
        <v>9175.5650134806</v>
      </c>
      <c r="O88" s="7" t="n">
        <f aca="false">I88-2*STDEV(E69:E88)</f>
        <v>8117.2519865194</v>
      </c>
      <c r="P88" s="7" t="n">
        <f aca="false">MAX(E88-E87,0)</f>
        <v>96.5100000000002</v>
      </c>
      <c r="Q88" s="7" t="n">
        <f aca="false">MAX(E87-E88,0)</f>
        <v>0</v>
      </c>
      <c r="R88" s="7" t="n">
        <f aca="false">(R87*13+P88)/14</f>
        <v>105.777655652527</v>
      </c>
      <c r="S88" s="7" t="n">
        <f aca="false">(S87*13+Q88)/14</f>
        <v>75.6497819190956</v>
      </c>
      <c r="T88" s="7" t="n">
        <f aca="false">IF(S88=0,100,100-100/(1+R88/S88))</f>
        <v>58.303009218641</v>
      </c>
      <c r="U88" s="7" t="n">
        <f aca="false">E88*2/13+U87*11/13</f>
        <v>8754.78642420968</v>
      </c>
      <c r="V88" s="7" t="n">
        <f aca="false">E88*2/27+V87*25/27</f>
        <v>8547.78249136389</v>
      </c>
      <c r="W88" s="7" t="n">
        <f aca="false">U88-V88</f>
        <v>207.003932845792</v>
      </c>
      <c r="X88" s="7" t="n">
        <f aca="false">W88*2/10+X87*8/10</f>
        <v>190.658886962144</v>
      </c>
      <c r="Y88" s="7" t="n">
        <f aca="false">W88-X88</f>
        <v>16.3450458836478</v>
      </c>
      <c r="Z88" s="7" t="s">
        <v>78</v>
      </c>
      <c r="AA88" s="7" t="str">
        <f aca="false">IFERROR(INDEX(02_轉折點45!B:B,MATCH(A88,02_轉折點45!A:A,0)),"")</f>
        <v/>
      </c>
      <c r="AB88" s="7" t="n">
        <f aca="false">COUNTIFS(05_訊號明細!A:A,A88,05_訊號明細!C:C,"TOP")</f>
        <v>0</v>
      </c>
      <c r="AC88" s="7" t="n">
        <f aca="false">COUNTIFS(05_訊號明細!A:A,A88,05_訊號明細!C:C,"BOTTOM")</f>
        <v>0</v>
      </c>
    </row>
    <row r="89" customFormat="false" ht="15" hidden="false" customHeight="false" outlineLevel="0" collapsed="false">
      <c r="A89" s="7" t="s">
        <v>130</v>
      </c>
      <c r="B89" s="7" t="n">
        <v>8997.02</v>
      </c>
      <c r="C89" s="7" t="n">
        <v>9065.58</v>
      </c>
      <c r="D89" s="7" t="n">
        <v>8950.89</v>
      </c>
      <c r="E89" s="7" t="n">
        <v>8984.86</v>
      </c>
      <c r="F89" s="7" t="n">
        <v>3657</v>
      </c>
      <c r="G89" s="7" t="n">
        <f aca="false">AVERAGE(E85:E89)</f>
        <v>8893.656</v>
      </c>
      <c r="H89" s="7" t="n">
        <f aca="false">AVERAGE(E80:E89)</f>
        <v>8839.44</v>
      </c>
      <c r="I89" s="7" t="n">
        <f aca="false">AVERAGE(E70:E89)</f>
        <v>8693.186</v>
      </c>
      <c r="J89" s="7" t="n">
        <f aca="false">AVERAGE(E40:E89)</f>
        <v>8215.9358</v>
      </c>
      <c r="M89" s="7" t="n">
        <f aca="false">I89</f>
        <v>8693.186</v>
      </c>
      <c r="N89" s="7" t="n">
        <f aca="false">I89+2*STDEV(E70:E89)</f>
        <v>9162.06855377855</v>
      </c>
      <c r="O89" s="7" t="n">
        <f aca="false">I89-2*STDEV(E70:E89)</f>
        <v>8224.30344622145</v>
      </c>
      <c r="P89" s="7" t="n">
        <f aca="false">MAX(E89-E88,0)</f>
        <v>54.2399999999998</v>
      </c>
      <c r="Q89" s="7" t="n">
        <f aca="false">MAX(E88-E89,0)</f>
        <v>0</v>
      </c>
      <c r="R89" s="7" t="n">
        <f aca="false">(R88*13+P89)/14</f>
        <v>102.09639453449</v>
      </c>
      <c r="S89" s="7" t="n">
        <f aca="false">(S88*13+Q89)/14</f>
        <v>70.2462260677316</v>
      </c>
      <c r="T89" s="7" t="n">
        <f aca="false">IF(S89=0,100,100-100/(1+R89/S89))</f>
        <v>59.2403632820086</v>
      </c>
      <c r="U89" s="7" t="n">
        <f aca="false">E89*2/13+U88*11/13</f>
        <v>8790.18235894665</v>
      </c>
      <c r="V89" s="7" t="n">
        <f aca="false">E89*2/27+V88*25/27</f>
        <v>8580.15860311471</v>
      </c>
      <c r="W89" s="7" t="n">
        <f aca="false">U89-V89</f>
        <v>210.02375583194</v>
      </c>
      <c r="X89" s="7" t="n">
        <f aca="false">W89*2/10+X88*8/10</f>
        <v>194.531860736103</v>
      </c>
      <c r="Y89" s="7" t="n">
        <f aca="false">W89-X89</f>
        <v>15.4918950958374</v>
      </c>
      <c r="Z89" s="7" t="s">
        <v>78</v>
      </c>
      <c r="AA89" s="7" t="str">
        <f aca="false">IFERROR(INDEX(02_轉折點45!B:B,MATCH(A89,02_轉折點45!A:A,0)),"")</f>
        <v/>
      </c>
      <c r="AB89" s="7" t="n">
        <f aca="false">COUNTIFS(05_訊號明細!A:A,A89,05_訊號明細!C:C,"TOP")</f>
        <v>0</v>
      </c>
      <c r="AC89" s="7" t="n">
        <f aca="false">COUNTIFS(05_訊號明細!A:A,A89,05_訊號明細!C:C,"BOTTOM")</f>
        <v>0</v>
      </c>
    </row>
    <row r="90" customFormat="false" ht="15" hidden="false" customHeight="false" outlineLevel="0" collapsed="false">
      <c r="A90" s="7" t="s">
        <v>131</v>
      </c>
      <c r="B90" s="7" t="n">
        <v>9104.67</v>
      </c>
      <c r="C90" s="7" t="n">
        <v>9136.18</v>
      </c>
      <c r="D90" s="7" t="n">
        <v>9045.23</v>
      </c>
      <c r="E90" s="7" t="n">
        <v>9101.88</v>
      </c>
      <c r="F90" s="7" t="n">
        <v>3787</v>
      </c>
      <c r="G90" s="7" t="n">
        <f aca="false">AVERAGE(E86:E90)</f>
        <v>8913.93</v>
      </c>
      <c r="H90" s="7" t="n">
        <f aca="false">AVERAGE(E81:E90)</f>
        <v>8885.478</v>
      </c>
      <c r="I90" s="7" t="n">
        <f aca="false">AVERAGE(E71:E90)</f>
        <v>8736.803</v>
      </c>
      <c r="J90" s="7" t="n">
        <f aca="false">AVERAGE(E41:E90)</f>
        <v>8220.4982</v>
      </c>
      <c r="M90" s="7" t="n">
        <f aca="false">I90</f>
        <v>8736.803</v>
      </c>
      <c r="N90" s="7" t="n">
        <f aca="false">I90+2*STDEV(E71:E90)</f>
        <v>9185.96733574971</v>
      </c>
      <c r="O90" s="7" t="n">
        <f aca="false">I90-2*STDEV(E71:E90)</f>
        <v>8287.6386642503</v>
      </c>
      <c r="P90" s="7" t="n">
        <f aca="false">MAX(E90-E89,0)</f>
        <v>117.019999999999</v>
      </c>
      <c r="Q90" s="7" t="n">
        <f aca="false">MAX(E89-E90,0)</f>
        <v>0</v>
      </c>
      <c r="R90" s="7" t="n">
        <f aca="false">(R89*13+P90)/14</f>
        <v>103.162366353455</v>
      </c>
      <c r="S90" s="7" t="n">
        <f aca="false">(S89*13+Q90)/14</f>
        <v>65.2286384914651</v>
      </c>
      <c r="T90" s="7" t="n">
        <f aca="false">IF(S90=0,100,100-100/(1+R90/S90))</f>
        <v>61.2635849809569</v>
      </c>
      <c r="U90" s="7" t="n">
        <f aca="false">E90*2/13+U89*11/13</f>
        <v>8838.13584218563</v>
      </c>
      <c r="V90" s="7" t="n">
        <f aca="false">E90*2/27+V89*25/27</f>
        <v>8618.80463251362</v>
      </c>
      <c r="W90" s="7" t="n">
        <f aca="false">U90-V90</f>
        <v>219.331209672007</v>
      </c>
      <c r="X90" s="7" t="n">
        <f aca="false">W90*2/10+X89*8/10</f>
        <v>199.491730523284</v>
      </c>
      <c r="Y90" s="7" t="n">
        <f aca="false">W90-X90</f>
        <v>19.8394791487235</v>
      </c>
      <c r="Z90" s="7" t="s">
        <v>78</v>
      </c>
      <c r="AA90" s="7" t="str">
        <f aca="false">IFERROR(INDEX(02_轉折點45!B:B,MATCH(A90,02_轉折點45!A:A,0)),"")</f>
        <v/>
      </c>
      <c r="AB90" s="7" t="n">
        <f aca="false">COUNTIFS(05_訊號明細!A:A,A90,05_訊號明細!C:C,"TOP")</f>
        <v>0</v>
      </c>
      <c r="AC90" s="7" t="n">
        <f aca="false">COUNTIFS(05_訊號明細!A:A,A90,05_訊號明細!C:C,"BOTTOM")</f>
        <v>0</v>
      </c>
    </row>
    <row r="91" customFormat="false" ht="15" hidden="false" customHeight="false" outlineLevel="0" collapsed="false">
      <c r="A91" s="7" t="s">
        <v>132</v>
      </c>
      <c r="B91" s="7" t="n">
        <v>9165.7</v>
      </c>
      <c r="C91" s="7" t="n">
        <v>9224.49</v>
      </c>
      <c r="D91" s="7" t="n">
        <v>9126.97</v>
      </c>
      <c r="E91" s="7" t="n">
        <v>9220.35</v>
      </c>
      <c r="F91" s="7" t="n">
        <v>3814</v>
      </c>
      <c r="G91" s="7" t="n">
        <f aca="false">AVERAGE(E87:E91)</f>
        <v>9014.364</v>
      </c>
      <c r="H91" s="7" t="n">
        <f aca="false">AVERAGE(E82:E91)</f>
        <v>8928.853</v>
      </c>
      <c r="I91" s="7" t="n">
        <f aca="false">AVERAGE(E72:E91)</f>
        <v>8785.894</v>
      </c>
      <c r="J91" s="7" t="n">
        <f aca="false">AVERAGE(E42:E91)</f>
        <v>8236.1718</v>
      </c>
      <c r="M91" s="7" t="n">
        <f aca="false">I91</f>
        <v>8785.894</v>
      </c>
      <c r="N91" s="7" t="n">
        <f aca="false">I91+2*STDEV(E72:E91)</f>
        <v>9220.12630394026</v>
      </c>
      <c r="O91" s="7" t="n">
        <f aca="false">I91-2*STDEV(E72:E91)</f>
        <v>8351.66169605974</v>
      </c>
      <c r="P91" s="7" t="n">
        <f aca="false">MAX(E91-E90,0)</f>
        <v>118.470000000001</v>
      </c>
      <c r="Q91" s="7" t="n">
        <f aca="false">MAX(E90-E91,0)</f>
        <v>0</v>
      </c>
      <c r="R91" s="7" t="n">
        <f aca="false">(R90*13+P91)/14</f>
        <v>104.255768756779</v>
      </c>
      <c r="S91" s="7" t="n">
        <f aca="false">(S90*13+Q91)/14</f>
        <v>60.569450027789</v>
      </c>
      <c r="T91" s="7" t="n">
        <f aca="false">IF(S91=0,100,100-100/(1+R91/S91))</f>
        <v>63.2523163175927</v>
      </c>
      <c r="U91" s="7" t="n">
        <f aca="false">E91*2/13+U90*11/13</f>
        <v>8896.93802031092</v>
      </c>
      <c r="V91" s="7" t="n">
        <f aca="false">E91*2/27+V90*25/27</f>
        <v>8663.36354862372</v>
      </c>
      <c r="W91" s="7" t="n">
        <f aca="false">U91-V91</f>
        <v>233.574471687194</v>
      </c>
      <c r="X91" s="7" t="n">
        <f aca="false">W91*2/10+X90*8/10</f>
        <v>206.308278756066</v>
      </c>
      <c r="Y91" s="7" t="n">
        <f aca="false">W91-X91</f>
        <v>27.2661929311282</v>
      </c>
      <c r="Z91" s="7" t="s">
        <v>78</v>
      </c>
      <c r="AA91" s="7" t="str">
        <f aca="false">IFERROR(INDEX(02_轉折點45!B:B,MATCH(A91,02_轉折點45!A:A,0)),"")</f>
        <v/>
      </c>
      <c r="AB91" s="7" t="n">
        <f aca="false">COUNTIFS(05_訊號明細!A:A,A91,05_訊號明細!C:C,"TOP")</f>
        <v>0</v>
      </c>
      <c r="AC91" s="7" t="n">
        <f aca="false">COUNTIFS(05_訊號明細!A:A,A91,05_訊號明細!C:C,"BOTTOM")</f>
        <v>0</v>
      </c>
    </row>
    <row r="92" customFormat="false" ht="15" hidden="false" customHeight="false" outlineLevel="0" collapsed="false">
      <c r="A92" s="7" t="s">
        <v>133</v>
      </c>
      <c r="B92" s="7" t="n">
        <v>9155.21</v>
      </c>
      <c r="C92" s="7" t="n">
        <v>9346.27</v>
      </c>
      <c r="D92" s="7" t="n">
        <v>9155.21</v>
      </c>
      <c r="E92" s="7" t="n">
        <v>9298.92</v>
      </c>
      <c r="F92" s="7" t="n">
        <v>3925</v>
      </c>
      <c r="G92" s="7" t="n">
        <f aca="false">AVERAGE(E88:E92)</f>
        <v>9107.326</v>
      </c>
      <c r="H92" s="7" t="n">
        <f aca="false">AVERAGE(E83:E92)</f>
        <v>8974.979</v>
      </c>
      <c r="I92" s="7" t="n">
        <f aca="false">AVERAGE(E73:E92)</f>
        <v>8834.203</v>
      </c>
      <c r="J92" s="7" t="n">
        <f aca="false">AVERAGE(E43:E92)</f>
        <v>8252.9136</v>
      </c>
      <c r="M92" s="7" t="n">
        <f aca="false">I92</f>
        <v>8834.203</v>
      </c>
      <c r="N92" s="7" t="n">
        <f aca="false">I92+2*STDEV(E73:E92)</f>
        <v>9271.13512403614</v>
      </c>
      <c r="O92" s="7" t="n">
        <f aca="false">I92-2*STDEV(E73:E92)</f>
        <v>8397.27087596386</v>
      </c>
      <c r="P92" s="7" t="n">
        <f aca="false">MAX(E92-E91,0)</f>
        <v>78.5699999999997</v>
      </c>
      <c r="Q92" s="7" t="n">
        <f aca="false">MAX(E91-E92,0)</f>
        <v>0</v>
      </c>
      <c r="R92" s="7" t="n">
        <f aca="false">(R91*13+P92)/14</f>
        <v>102.421070988438</v>
      </c>
      <c r="S92" s="7" t="n">
        <f aca="false">(S91*13+Q92)/14</f>
        <v>56.2430607400898</v>
      </c>
      <c r="T92" s="7" t="n">
        <f aca="false">IF(S92=0,100,100-100/(1+R92/S92))</f>
        <v>64.5521264778854</v>
      </c>
      <c r="U92" s="7" t="n">
        <f aca="false">E92*2/13+U91*11/13</f>
        <v>8958.78140180155</v>
      </c>
      <c r="V92" s="7" t="n">
        <f aca="false">E92*2/27+V91*25/27</f>
        <v>8710.44180428123</v>
      </c>
      <c r="W92" s="7" t="n">
        <f aca="false">U92-V92</f>
        <v>248.33959752032</v>
      </c>
      <c r="X92" s="7" t="n">
        <f aca="false">W92*2/10+X91*8/10</f>
        <v>214.714542508917</v>
      </c>
      <c r="Y92" s="7" t="n">
        <f aca="false">W92-X92</f>
        <v>33.6250550114035</v>
      </c>
      <c r="Z92" s="8" t="s">
        <v>42</v>
      </c>
      <c r="AA92" s="7" t="str">
        <f aca="false">IFERROR(INDEX(02_轉折點45!B:B,MATCH(A92,02_轉折點45!A:A,0)),"")</f>
        <v/>
      </c>
      <c r="AB92" s="7" t="n">
        <f aca="false">COUNTIFS(05_訊號明細!A:A,A92,05_訊號明細!C:C,"TOP")</f>
        <v>2</v>
      </c>
      <c r="AC92" s="7" t="n">
        <f aca="false">COUNTIFS(05_訊號明細!A:A,A92,05_訊號明細!C:C,"BOTTOM")</f>
        <v>0</v>
      </c>
    </row>
    <row r="93" customFormat="false" ht="15" hidden="false" customHeight="false" outlineLevel="0" collapsed="false">
      <c r="A93" s="7" t="s">
        <v>134</v>
      </c>
      <c r="B93" s="7" t="n">
        <v>9326.06</v>
      </c>
      <c r="C93" s="7" t="n">
        <v>9354.45</v>
      </c>
      <c r="D93" s="7" t="n">
        <v>9109.09</v>
      </c>
      <c r="E93" s="7" t="n">
        <v>9112.45</v>
      </c>
      <c r="F93" s="7" t="n">
        <v>4337</v>
      </c>
      <c r="G93" s="7" t="n">
        <f aca="false">AVERAGE(E89:E93)</f>
        <v>9143.692</v>
      </c>
      <c r="H93" s="7" t="n">
        <f aca="false">AVERAGE(E84:E93)</f>
        <v>9018.464</v>
      </c>
      <c r="I93" s="7" t="n">
        <f aca="false">AVERAGE(E74:E93)</f>
        <v>8855.2175</v>
      </c>
      <c r="J93" s="7" t="n">
        <f aca="false">AVERAGE(E44:E93)</f>
        <v>8257.603</v>
      </c>
      <c r="M93" s="7" t="n">
        <f aca="false">I93</f>
        <v>8855.2175</v>
      </c>
      <c r="N93" s="7" t="n">
        <f aca="false">I93+2*STDEV(E74:E93)</f>
        <v>9303.66135432175</v>
      </c>
      <c r="O93" s="7" t="n">
        <f aca="false">I93-2*STDEV(E74:E93)</f>
        <v>8406.77364567825</v>
      </c>
      <c r="P93" s="7" t="n">
        <f aca="false">MAX(E93-E92,0)</f>
        <v>0</v>
      </c>
      <c r="Q93" s="7" t="n">
        <f aca="false">MAX(E92-E93,0)</f>
        <v>186.469999999999</v>
      </c>
      <c r="R93" s="7" t="n">
        <f aca="false">(R92*13+P93)/14</f>
        <v>95.1052802035496</v>
      </c>
      <c r="S93" s="7" t="n">
        <f aca="false">(S92*13+Q93)/14</f>
        <v>65.5449849729405</v>
      </c>
      <c r="T93" s="7" t="n">
        <f aca="false">IF(S93=0,100,100-100/(1+R93/S93))</f>
        <v>59.2002011942322</v>
      </c>
      <c r="U93" s="7" t="n">
        <f aca="false">E93*2/13+U92*11/13</f>
        <v>8982.42272460131</v>
      </c>
      <c r="V93" s="7" t="n">
        <f aca="false">E93*2/27+V92*25/27</f>
        <v>8740.22018914928</v>
      </c>
      <c r="W93" s="7" t="n">
        <f aca="false">U93-V93</f>
        <v>242.202535452025</v>
      </c>
      <c r="X93" s="7" t="n">
        <f aca="false">W93*2/10+X92*8/10</f>
        <v>220.212141097538</v>
      </c>
      <c r="Y93" s="7" t="n">
        <f aca="false">W93-X93</f>
        <v>21.9903943544863</v>
      </c>
      <c r="Z93" s="7" t="s">
        <v>78</v>
      </c>
      <c r="AA93" s="7" t="str">
        <f aca="false">IFERROR(INDEX(02_轉折點45!B:B,MATCH(A93,02_轉折點45!A:A,0)),"")</f>
        <v/>
      </c>
      <c r="AB93" s="7" t="n">
        <f aca="false">COUNTIFS(05_訊號明細!A:A,A93,05_訊號明細!C:C,"TOP")</f>
        <v>2</v>
      </c>
      <c r="AC93" s="7" t="n">
        <f aca="false">COUNTIFS(05_訊號明細!A:A,A93,05_訊號明細!C:C,"BOTTOM")</f>
        <v>0</v>
      </c>
    </row>
    <row r="94" customFormat="false" ht="15" hidden="false" customHeight="false" outlineLevel="0" collapsed="false">
      <c r="A94" s="7" t="s">
        <v>135</v>
      </c>
      <c r="B94" s="7" t="n">
        <v>9123.69</v>
      </c>
      <c r="C94" s="7" t="n">
        <v>9209.49</v>
      </c>
      <c r="D94" s="7" t="n">
        <v>8890.16</v>
      </c>
      <c r="E94" s="7" t="n">
        <v>9000.08</v>
      </c>
      <c r="F94" s="7" t="n">
        <v>4273</v>
      </c>
      <c r="G94" s="7" t="n">
        <f aca="false">AVERAGE(E90:E94)</f>
        <v>9146.736</v>
      </c>
      <c r="H94" s="7" t="n">
        <f aca="false">AVERAGE(E85:E94)</f>
        <v>9020.196</v>
      </c>
      <c r="I94" s="7" t="n">
        <f aca="false">AVERAGE(E75:E94)</f>
        <v>8875.6235</v>
      </c>
      <c r="J94" s="7" t="n">
        <f aca="false">AVERAGE(E45:E94)</f>
        <v>8265.7148</v>
      </c>
      <c r="M94" s="7" t="n">
        <f aca="false">I94</f>
        <v>8875.6235</v>
      </c>
      <c r="N94" s="7" t="n">
        <f aca="false">I94+2*STDEV(E75:E94)</f>
        <v>9310.56729931084</v>
      </c>
      <c r="O94" s="7" t="n">
        <f aca="false">I94-2*STDEV(E75:E94)</f>
        <v>8440.67970068916</v>
      </c>
      <c r="P94" s="7" t="n">
        <f aca="false">MAX(E94-E93,0)</f>
        <v>0</v>
      </c>
      <c r="Q94" s="7" t="n">
        <f aca="false">MAX(E93-E94,0)</f>
        <v>112.370000000001</v>
      </c>
      <c r="R94" s="7" t="n">
        <f aca="false">(R93*13+P94)/14</f>
        <v>88.312045903296</v>
      </c>
      <c r="S94" s="7" t="n">
        <f aca="false">(S93*13+Q94)/14</f>
        <v>68.8896289034448</v>
      </c>
      <c r="T94" s="7" t="n">
        <f aca="false">IF(S94=0,100,100-100/(1+R94/S94))</f>
        <v>56.1775477340584</v>
      </c>
      <c r="U94" s="7" t="n">
        <f aca="false">E94*2/13+U93*11/13</f>
        <v>8985.1392285088</v>
      </c>
      <c r="V94" s="7" t="n">
        <f aca="false">E94*2/27+V93*25/27</f>
        <v>8759.46906402711</v>
      </c>
      <c r="W94" s="7" t="n">
        <f aca="false">U94-V94</f>
        <v>225.670164481686</v>
      </c>
      <c r="X94" s="7" t="n">
        <f aca="false">W94*2/10+X93*8/10</f>
        <v>221.303745774368</v>
      </c>
      <c r="Y94" s="7" t="n">
        <f aca="false">W94-X94</f>
        <v>4.36641870731796</v>
      </c>
      <c r="Z94" s="7" t="s">
        <v>78</v>
      </c>
      <c r="AA94" s="7" t="str">
        <f aca="false">IFERROR(INDEX(02_轉折點45!B:B,MATCH(A94,02_轉折點45!A:A,0)),"")</f>
        <v/>
      </c>
      <c r="AB94" s="7" t="n">
        <f aca="false">COUNTIFS(05_訊號明細!A:A,A94,05_訊號明細!C:C,"TOP")</f>
        <v>0</v>
      </c>
      <c r="AC94" s="7" t="n">
        <f aca="false">COUNTIFS(05_訊號明細!A:A,A94,05_訊號明細!C:C,"BOTTOM")</f>
        <v>0</v>
      </c>
    </row>
    <row r="95" customFormat="false" ht="15" hidden="false" customHeight="false" outlineLevel="0" collapsed="false">
      <c r="A95" s="7" t="s">
        <v>136</v>
      </c>
      <c r="B95" s="7" t="n">
        <v>8946.45</v>
      </c>
      <c r="C95" s="7" t="n">
        <v>9097.75</v>
      </c>
      <c r="D95" s="7" t="n">
        <v>8860.77</v>
      </c>
      <c r="E95" s="7" t="n">
        <v>9094.42</v>
      </c>
      <c r="F95" s="7" t="n">
        <v>3966</v>
      </c>
      <c r="G95" s="7" t="n">
        <f aca="false">AVERAGE(E91:E95)</f>
        <v>9145.244</v>
      </c>
      <c r="H95" s="7" t="n">
        <f aca="false">AVERAGE(E86:E95)</f>
        <v>9029.587</v>
      </c>
      <c r="I95" s="7" t="n">
        <f aca="false">AVERAGE(E76:E95)</f>
        <v>8892.453</v>
      </c>
      <c r="J95" s="7" t="n">
        <f aca="false">AVERAGE(E46:E95)</f>
        <v>8268.6176</v>
      </c>
      <c r="M95" s="7" t="n">
        <f aca="false">I95</f>
        <v>8892.453</v>
      </c>
      <c r="N95" s="7" t="n">
        <f aca="false">I95+2*STDEV(E76:E95)</f>
        <v>9334.20036147784</v>
      </c>
      <c r="O95" s="7" t="n">
        <f aca="false">I95-2*STDEV(E76:E95)</f>
        <v>8450.70563852216</v>
      </c>
      <c r="P95" s="7" t="n">
        <f aca="false">MAX(E95-E94,0)</f>
        <v>94.3400000000002</v>
      </c>
      <c r="Q95" s="7" t="n">
        <f aca="false">MAX(E94-E95,0)</f>
        <v>0</v>
      </c>
      <c r="R95" s="7" t="n">
        <f aca="false">(R94*13+P95)/14</f>
        <v>88.7426140530606</v>
      </c>
      <c r="S95" s="7" t="n">
        <f aca="false">(S94*13+Q95)/14</f>
        <v>63.9689411246273</v>
      </c>
      <c r="T95" s="7" t="n">
        <f aca="false">IF(S95=0,100,100-100/(1+R95/S95))</f>
        <v>58.1112633878975</v>
      </c>
      <c r="U95" s="7" t="n">
        <f aca="false">E95*2/13+U94*11/13</f>
        <v>9001.95165489206</v>
      </c>
      <c r="V95" s="7" t="n">
        <f aca="false">E95*2/27+V94*25/27</f>
        <v>8784.28024446955</v>
      </c>
      <c r="W95" s="7" t="n">
        <f aca="false">U95-V95</f>
        <v>217.671410422512</v>
      </c>
      <c r="X95" s="7" t="n">
        <f aca="false">W95*2/10+X94*8/10</f>
        <v>220.577278703997</v>
      </c>
      <c r="Y95" s="7" t="n">
        <f aca="false">W95-X95</f>
        <v>-2.90586828148463</v>
      </c>
      <c r="Z95" s="7" t="s">
        <v>78</v>
      </c>
      <c r="AA95" s="7" t="str">
        <f aca="false">IFERROR(INDEX(02_轉折點45!B:B,MATCH(A95,02_轉折點45!A:A,0)),"")</f>
        <v/>
      </c>
      <c r="AB95" s="7" t="n">
        <f aca="false">COUNTIFS(05_訊號明細!A:A,A95,05_訊號明細!C:C,"TOP")</f>
        <v>0</v>
      </c>
      <c r="AC95" s="7" t="n">
        <f aca="false">COUNTIFS(05_訊號明細!A:A,A95,05_訊號明細!C:C,"BOTTOM")</f>
        <v>0</v>
      </c>
    </row>
    <row r="96" customFormat="false" ht="15" hidden="false" customHeight="false" outlineLevel="0" collapsed="false">
      <c r="A96" s="7" t="s">
        <v>137</v>
      </c>
      <c r="B96" s="7" t="n">
        <v>8976.29</v>
      </c>
      <c r="C96" s="7" t="n">
        <v>9157.46</v>
      </c>
      <c r="D96" s="7" t="n">
        <v>8958.08</v>
      </c>
      <c r="E96" s="7" t="n">
        <v>9152.64</v>
      </c>
      <c r="F96" s="7" t="n">
        <v>4241</v>
      </c>
      <c r="G96" s="7" t="n">
        <f aca="false">AVERAGE(E92:E96)</f>
        <v>9131.702</v>
      </c>
      <c r="H96" s="7" t="n">
        <f aca="false">AVERAGE(E87:E96)</f>
        <v>9073.033</v>
      </c>
      <c r="I96" s="7" t="n">
        <f aca="false">AVERAGE(E77:E96)</f>
        <v>8908.4645</v>
      </c>
      <c r="J96" s="7" t="n">
        <f aca="false">AVERAGE(E47:E96)</f>
        <v>8278.2372</v>
      </c>
      <c r="M96" s="7" t="n">
        <f aca="false">I96</f>
        <v>8908.4645</v>
      </c>
      <c r="N96" s="7" t="n">
        <f aca="false">I96+2*STDEV(E77:E96)</f>
        <v>9364.04584625068</v>
      </c>
      <c r="O96" s="7" t="n">
        <f aca="false">I96-2*STDEV(E77:E96)</f>
        <v>8452.88315374932</v>
      </c>
      <c r="P96" s="7" t="n">
        <f aca="false">MAX(E96-E95,0)</f>
        <v>58.2199999999993</v>
      </c>
      <c r="Q96" s="7" t="n">
        <f aca="false">MAX(E95-E96,0)</f>
        <v>0</v>
      </c>
      <c r="R96" s="7" t="n">
        <f aca="false">(R95*13+P96)/14</f>
        <v>86.5624273349848</v>
      </c>
      <c r="S96" s="7" t="n">
        <f aca="false">(S95*13+Q96)/14</f>
        <v>59.3997310442968</v>
      </c>
      <c r="T96" s="7" t="n">
        <f aca="false">IF(S96=0,100,100-100/(1+R96/S96))</f>
        <v>59.3047049291043</v>
      </c>
      <c r="U96" s="7" t="n">
        <f aca="false">E96*2/13+U95*11/13</f>
        <v>9025.13447721636</v>
      </c>
      <c r="V96" s="7" t="n">
        <f aca="false">E96*2/27+V95*25/27</f>
        <v>8811.56615228662</v>
      </c>
      <c r="W96" s="7" t="n">
        <f aca="false">U96-V96</f>
        <v>213.56832492974</v>
      </c>
      <c r="X96" s="7" t="n">
        <f aca="false">W96*2/10+X95*8/10</f>
        <v>219.175487949145</v>
      </c>
      <c r="Y96" s="7" t="n">
        <f aca="false">W96-X96</f>
        <v>-5.60716301940542</v>
      </c>
      <c r="Z96" s="7" t="s">
        <v>78</v>
      </c>
      <c r="AA96" s="7" t="str">
        <f aca="false">IFERROR(INDEX(02_轉折點45!B:B,MATCH(A96,02_轉折點45!A:A,0)),"")</f>
        <v/>
      </c>
      <c r="AB96" s="7" t="n">
        <f aca="false">COUNTIFS(05_訊號明細!A:A,A96,05_訊號明細!C:C,"TOP")</f>
        <v>0</v>
      </c>
      <c r="AC96" s="7" t="n">
        <f aca="false">COUNTIFS(05_訊號明細!A:A,A96,05_訊號明細!C:C,"BOTTOM")</f>
        <v>0</v>
      </c>
    </row>
    <row r="97" customFormat="false" ht="15" hidden="false" customHeight="false" outlineLevel="0" collapsed="false">
      <c r="A97" s="7" t="s">
        <v>138</v>
      </c>
      <c r="B97" s="7" t="n">
        <v>9281.36</v>
      </c>
      <c r="C97" s="7" t="n">
        <v>9367.54</v>
      </c>
      <c r="D97" s="7" t="n">
        <v>9248.78</v>
      </c>
      <c r="E97" s="7" t="n">
        <v>9331.93</v>
      </c>
      <c r="F97" s="7" t="n">
        <v>4342</v>
      </c>
      <c r="G97" s="7" t="n">
        <f aca="false">AVERAGE(E93:E97)</f>
        <v>9138.304</v>
      </c>
      <c r="H97" s="7" t="n">
        <f aca="false">AVERAGE(E88:E97)</f>
        <v>9122.815</v>
      </c>
      <c r="I97" s="7" t="n">
        <f aca="false">AVERAGE(E78:E97)</f>
        <v>8938.7355</v>
      </c>
      <c r="J97" s="7" t="n">
        <f aca="false">AVERAGE(E48:E97)</f>
        <v>8294.269</v>
      </c>
      <c r="M97" s="7" t="n">
        <f aca="false">I97</f>
        <v>8938.7355</v>
      </c>
      <c r="N97" s="7" t="n">
        <f aca="false">I97+2*STDEV(E78:E97)</f>
        <v>9422.96514219252</v>
      </c>
      <c r="O97" s="7" t="n">
        <f aca="false">I97-2*STDEV(E78:E97)</f>
        <v>8454.50585780748</v>
      </c>
      <c r="P97" s="7" t="n">
        <f aca="false">MAX(E97-E96,0)</f>
        <v>179.290000000001</v>
      </c>
      <c r="Q97" s="7" t="n">
        <f aca="false">MAX(E96-E97,0)</f>
        <v>0</v>
      </c>
      <c r="R97" s="7" t="n">
        <f aca="false">(R96*13+P97)/14</f>
        <v>93.185825382486</v>
      </c>
      <c r="S97" s="7" t="n">
        <f aca="false">(S96*13+Q97)/14</f>
        <v>55.1568931125613</v>
      </c>
      <c r="T97" s="7" t="n">
        <f aca="false">IF(S97=0,100,100-100/(1+R97/S97))</f>
        <v>62.8179302144832</v>
      </c>
      <c r="U97" s="7" t="n">
        <f aca="false">E97*2/13+U96*11/13</f>
        <v>9072.33378841384</v>
      </c>
      <c r="V97" s="7" t="n">
        <f aca="false">E97*2/27+V96*25/27</f>
        <v>8850.11162248761</v>
      </c>
      <c r="W97" s="7" t="n">
        <f aca="false">U97-V97</f>
        <v>222.222165926232</v>
      </c>
      <c r="X97" s="7" t="n">
        <f aca="false">W97*2/10+X96*8/10</f>
        <v>219.784823544563</v>
      </c>
      <c r="Y97" s="7" t="n">
        <f aca="false">W97-X97</f>
        <v>2.43734238166957</v>
      </c>
      <c r="Z97" s="7" t="s">
        <v>78</v>
      </c>
      <c r="AA97" s="7" t="str">
        <f aca="false">IFERROR(INDEX(02_轉折點45!B:B,MATCH(A97,02_轉折點45!A:A,0)),"")</f>
        <v/>
      </c>
      <c r="AB97" s="7" t="n">
        <f aca="false">COUNTIFS(05_訊號明細!A:A,A97,05_訊號明細!C:C,"TOP")</f>
        <v>2</v>
      </c>
      <c r="AC97" s="7" t="n">
        <f aca="false">COUNTIFS(05_訊號明細!A:A,A97,05_訊號明細!C:C,"BOTTOM")</f>
        <v>1</v>
      </c>
    </row>
    <row r="98" customFormat="false" ht="15" hidden="false" customHeight="false" outlineLevel="0" collapsed="false">
      <c r="A98" s="7" t="s">
        <v>139</v>
      </c>
      <c r="B98" s="7" t="n">
        <v>9326.28</v>
      </c>
      <c r="C98" s="7" t="n">
        <v>9422.9</v>
      </c>
      <c r="D98" s="7" t="n">
        <v>9296.25</v>
      </c>
      <c r="E98" s="7" t="n">
        <v>9298.54</v>
      </c>
      <c r="F98" s="7" t="n">
        <v>4194</v>
      </c>
      <c r="G98" s="7" t="n">
        <f aca="false">AVERAGE(E94:E98)</f>
        <v>9175.522</v>
      </c>
      <c r="H98" s="7" t="n">
        <f aca="false">AVERAGE(E89:E98)</f>
        <v>9159.607</v>
      </c>
      <c r="I98" s="7" t="n">
        <f aca="false">AVERAGE(E79:E98)</f>
        <v>8983.5125</v>
      </c>
      <c r="J98" s="7" t="n">
        <f aca="false">AVERAGE(E49:E98)</f>
        <v>8321.2792</v>
      </c>
      <c r="M98" s="7" t="n">
        <f aca="false">I98</f>
        <v>8983.5125</v>
      </c>
      <c r="N98" s="7" t="n">
        <f aca="false">I98+2*STDEV(E79:E98)</f>
        <v>9422.67900792034</v>
      </c>
      <c r="O98" s="7" t="n">
        <f aca="false">I98-2*STDEV(E79:E98)</f>
        <v>8544.34599207966</v>
      </c>
      <c r="P98" s="7" t="n">
        <f aca="false">MAX(E98-E97,0)</f>
        <v>0</v>
      </c>
      <c r="Q98" s="7" t="n">
        <f aca="false">MAX(E97-E98,0)</f>
        <v>33.3899999999994</v>
      </c>
      <c r="R98" s="7" t="n">
        <f aca="false">(R97*13+P98)/14</f>
        <v>86.5296949980227</v>
      </c>
      <c r="S98" s="7" t="n">
        <f aca="false">(S97*13+Q98)/14</f>
        <v>53.6021150330926</v>
      </c>
      <c r="T98" s="7" t="n">
        <f aca="false">IF(S98=0,100,100-100/(1+R98/S98))</f>
        <v>61.7487885004906</v>
      </c>
      <c r="U98" s="7" t="n">
        <f aca="false">E98*2/13+U97*11/13</f>
        <v>9107.13474404248</v>
      </c>
      <c r="V98" s="7" t="n">
        <f aca="false">E98*2/27+V97*25/27</f>
        <v>8883.32853934038</v>
      </c>
      <c r="W98" s="7" t="n">
        <f aca="false">U98-V98</f>
        <v>223.806204702103</v>
      </c>
      <c r="X98" s="7" t="n">
        <f aca="false">W98*2/10+X97*8/10</f>
        <v>220.589099776071</v>
      </c>
      <c r="Y98" s="7" t="n">
        <f aca="false">W98-X98</f>
        <v>3.21710492603231</v>
      </c>
      <c r="Z98" s="7" t="s">
        <v>78</v>
      </c>
      <c r="AA98" s="7" t="str">
        <f aca="false">IFERROR(INDEX(02_轉折點45!B:B,MATCH(A98,02_轉折點45!A:A,0)),"")</f>
        <v/>
      </c>
      <c r="AB98" s="7" t="n">
        <f aca="false">COUNTIFS(05_訊號明細!A:A,A98,05_訊號明細!C:C,"TOP")</f>
        <v>0</v>
      </c>
      <c r="AC98" s="7" t="n">
        <f aca="false">COUNTIFS(05_訊號明細!A:A,A98,05_訊號明細!C:C,"BOTTOM")</f>
        <v>1</v>
      </c>
    </row>
    <row r="99" customFormat="false" ht="15" hidden="false" customHeight="false" outlineLevel="0" collapsed="false">
      <c r="A99" s="7" t="s">
        <v>140</v>
      </c>
      <c r="B99" s="7" t="n">
        <v>9415.25</v>
      </c>
      <c r="C99" s="7" t="n">
        <v>9498.28</v>
      </c>
      <c r="D99" s="7" t="n">
        <v>9412.83</v>
      </c>
      <c r="E99" s="7" t="n">
        <v>9485.02</v>
      </c>
      <c r="F99" s="7" t="n">
        <v>4316</v>
      </c>
      <c r="G99" s="7" t="n">
        <f aca="false">AVERAGE(E95:E99)</f>
        <v>9272.51</v>
      </c>
      <c r="H99" s="7" t="n">
        <f aca="false">AVERAGE(E90:E99)</f>
        <v>9209.623</v>
      </c>
      <c r="I99" s="7" t="n">
        <f aca="false">AVERAGE(E80:E99)</f>
        <v>9024.5315</v>
      </c>
      <c r="J99" s="7" t="n">
        <f aca="false">AVERAGE(E50:E99)</f>
        <v>8343.5342</v>
      </c>
      <c r="M99" s="7" t="n">
        <f aca="false">I99</f>
        <v>9024.5315</v>
      </c>
      <c r="N99" s="7" t="n">
        <f aca="false">I99+2*STDEV(E80:E99)</f>
        <v>9490.71380837641</v>
      </c>
      <c r="O99" s="7" t="n">
        <f aca="false">I99-2*STDEV(E80:E99)</f>
        <v>8558.34919162359</v>
      </c>
      <c r="P99" s="7" t="n">
        <f aca="false">MAX(E99-E98,0)</f>
        <v>186.48</v>
      </c>
      <c r="Q99" s="7" t="n">
        <f aca="false">MAX(E98-E99,0)</f>
        <v>0</v>
      </c>
      <c r="R99" s="7" t="n">
        <f aca="false">(R98*13+P99)/14</f>
        <v>93.6690024981639</v>
      </c>
      <c r="S99" s="7" t="n">
        <f aca="false">(S98*13+Q99)/14</f>
        <v>49.7733925307288</v>
      </c>
      <c r="T99" s="7" t="n">
        <f aca="false">IF(S99=0,100,100-100/(1+R99/S99))</f>
        <v>65.3007797864061</v>
      </c>
      <c r="U99" s="7" t="n">
        <f aca="false">E99*2/13+U98*11/13</f>
        <v>9165.27093726672</v>
      </c>
      <c r="V99" s="7" t="n">
        <f aca="false">E99*2/27+V98*25/27</f>
        <v>8927.89827716702</v>
      </c>
      <c r="W99" s="7" t="n">
        <f aca="false">U99-V99</f>
        <v>237.3726600997</v>
      </c>
      <c r="X99" s="7" t="n">
        <f aca="false">W99*2/10+X98*8/10</f>
        <v>223.945811840797</v>
      </c>
      <c r="Y99" s="7" t="n">
        <f aca="false">W99-X99</f>
        <v>13.4268482589032</v>
      </c>
      <c r="Z99" s="7" t="s">
        <v>78</v>
      </c>
      <c r="AA99" s="7" t="str">
        <f aca="false">IFERROR(INDEX(02_轉折點45!B:B,MATCH(A99,02_轉折點45!A:A,0)),"")</f>
        <v/>
      </c>
      <c r="AB99" s="7" t="n">
        <f aca="false">COUNTIFS(05_訊號明細!A:A,A99,05_訊號明細!C:C,"TOP")</f>
        <v>1</v>
      </c>
      <c r="AC99" s="7" t="n">
        <f aca="false">COUNTIFS(05_訊號明細!A:A,A99,05_訊號明細!C:C,"BOTTOM")</f>
        <v>0</v>
      </c>
    </row>
    <row r="100" customFormat="false" ht="15" hidden="false" customHeight="false" outlineLevel="0" collapsed="false">
      <c r="A100" s="7" t="s">
        <v>141</v>
      </c>
      <c r="B100" s="7" t="n">
        <v>9487.63</v>
      </c>
      <c r="C100" s="7" t="n">
        <v>9515.05</v>
      </c>
      <c r="D100" s="7" t="n">
        <v>9361.83</v>
      </c>
      <c r="E100" s="7" t="n">
        <v>9377.99</v>
      </c>
      <c r="F100" s="7" t="n">
        <v>3745</v>
      </c>
      <c r="G100" s="7" t="n">
        <f aca="false">AVERAGE(E96:E100)</f>
        <v>9329.224</v>
      </c>
      <c r="H100" s="7" t="n">
        <f aca="false">AVERAGE(E91:E100)</f>
        <v>9237.234</v>
      </c>
      <c r="I100" s="7" t="n">
        <f aca="false">AVERAGE(E81:E100)</f>
        <v>9061.356</v>
      </c>
      <c r="J100" s="7" t="n">
        <f aca="false">AVERAGE(E51:E100)</f>
        <v>8370.9716</v>
      </c>
      <c r="M100" s="7" t="n">
        <f aca="false">I100</f>
        <v>9061.356</v>
      </c>
      <c r="N100" s="7" t="n">
        <f aca="false">I100+2*STDEV(E81:E100)</f>
        <v>9516.36256843842</v>
      </c>
      <c r="O100" s="7" t="n">
        <f aca="false">I100-2*STDEV(E81:E100)</f>
        <v>8606.34943156158</v>
      </c>
      <c r="P100" s="7" t="n">
        <f aca="false">MAX(E100-E99,0)</f>
        <v>0</v>
      </c>
      <c r="Q100" s="7" t="n">
        <f aca="false">MAX(E99-E100,0)</f>
        <v>107.030000000001</v>
      </c>
      <c r="R100" s="7" t="n">
        <f aca="false">(R99*13+P100)/14</f>
        <v>86.9783594625808</v>
      </c>
      <c r="S100" s="7" t="n">
        <f aca="false">(S99*13+Q100)/14</f>
        <v>53.8631502071054</v>
      </c>
      <c r="T100" s="7" t="n">
        <f aca="false">IF(S100=0,100,100-100/(1+R100/S100))</f>
        <v>61.756196498156</v>
      </c>
      <c r="U100" s="7" t="n">
        <f aca="false">E100*2/13+U99*11/13</f>
        <v>9197.99694691799</v>
      </c>
      <c r="V100" s="7" t="n">
        <f aca="false">E100*2/27+V99*25/27</f>
        <v>8961.23840478428</v>
      </c>
      <c r="W100" s="7" t="n">
        <f aca="false">U100-V100</f>
        <v>236.758542133715</v>
      </c>
      <c r="X100" s="7" t="n">
        <f aca="false">W100*2/10+X99*8/10</f>
        <v>226.50835789938</v>
      </c>
      <c r="Y100" s="7" t="n">
        <f aca="false">W100-X100</f>
        <v>10.250184234335</v>
      </c>
      <c r="Z100" s="7" t="s">
        <v>78</v>
      </c>
      <c r="AA100" s="7" t="str">
        <f aca="false">IFERROR(INDEX(02_轉折點45!B:B,MATCH(A100,02_轉折點45!A:A,0)),"")</f>
        <v/>
      </c>
      <c r="AB100" s="7" t="n">
        <f aca="false">COUNTIFS(05_訊號明細!A:A,A100,05_訊號明細!C:C,"TOP")</f>
        <v>1</v>
      </c>
      <c r="AC100" s="7" t="n">
        <f aca="false">COUNTIFS(05_訊號明細!A:A,A100,05_訊號明細!C:C,"BOTTOM")</f>
        <v>0</v>
      </c>
    </row>
    <row r="101" customFormat="false" ht="15" hidden="false" customHeight="false" outlineLevel="0" collapsed="false">
      <c r="A101" s="7" t="s">
        <v>142</v>
      </c>
      <c r="B101" s="7" t="n">
        <v>9363.67</v>
      </c>
      <c r="C101" s="7" t="n">
        <v>9421.93</v>
      </c>
      <c r="D101" s="7" t="n">
        <v>9325.07</v>
      </c>
      <c r="E101" s="7" t="n">
        <v>9413.99</v>
      </c>
      <c r="F101" s="7" t="n">
        <v>3668</v>
      </c>
      <c r="G101" s="7" t="n">
        <f aca="false">AVERAGE(E97:E101)</f>
        <v>9381.494</v>
      </c>
      <c r="H101" s="7" t="n">
        <f aca="false">AVERAGE(E92:E101)</f>
        <v>9256.598</v>
      </c>
      <c r="I101" s="7" t="n">
        <f aca="false">AVERAGE(E82:E101)</f>
        <v>9092.7255</v>
      </c>
      <c r="J101" s="7" t="n">
        <f aca="false">AVERAGE(E52:E101)</f>
        <v>8413.9784</v>
      </c>
      <c r="M101" s="7" t="n">
        <f aca="false">I101</f>
        <v>9092.7255</v>
      </c>
      <c r="N101" s="7" t="n">
        <f aca="false">I101+2*STDEV(E82:E101)</f>
        <v>9554.43311084775</v>
      </c>
      <c r="O101" s="7" t="n">
        <f aca="false">I101-2*STDEV(E82:E101)</f>
        <v>8631.01788915225</v>
      </c>
      <c r="P101" s="7" t="n">
        <f aca="false">MAX(E101-E100,0)</f>
        <v>36</v>
      </c>
      <c r="Q101" s="7" t="n">
        <f aca="false">MAX(E100-E101,0)</f>
        <v>0</v>
      </c>
      <c r="R101" s="7" t="n">
        <f aca="false">(R100*13+P101)/14</f>
        <v>83.3370480723964</v>
      </c>
      <c r="S101" s="7" t="n">
        <f aca="false">(S100*13+Q101)/14</f>
        <v>50.0157823351693</v>
      </c>
      <c r="T101" s="7" t="n">
        <f aca="false">IF(S101=0,100,100-100/(1+R101/S101))</f>
        <v>62.4936477296311</v>
      </c>
      <c r="U101" s="7" t="n">
        <f aca="false">E101*2/13+U100*11/13</f>
        <v>9231.22664739215</v>
      </c>
      <c r="V101" s="7" t="n">
        <f aca="false">E101*2/27+V100*25/27</f>
        <v>8994.77555998544</v>
      </c>
      <c r="W101" s="7" t="n">
        <f aca="false">U101-V101</f>
        <v>236.451087406707</v>
      </c>
      <c r="X101" s="7" t="n">
        <f aca="false">W101*2/10+X100*8/10</f>
        <v>228.496903800846</v>
      </c>
      <c r="Y101" s="7" t="n">
        <f aca="false">W101-X101</f>
        <v>7.9541836058616</v>
      </c>
      <c r="Z101" s="8" t="s">
        <v>42</v>
      </c>
      <c r="AA101" s="7" t="str">
        <f aca="false">IFERROR(INDEX(02_轉折點45!B:B,MATCH(A101,02_轉折點45!A:A,0)),"")</f>
        <v/>
      </c>
      <c r="AB101" s="7" t="n">
        <f aca="false">COUNTIFS(05_訊號明細!A:A,A101,05_訊號明細!C:C,"TOP")</f>
        <v>0</v>
      </c>
      <c r="AC101" s="7" t="n">
        <f aca="false">COUNTIFS(05_訊號明細!A:A,A101,05_訊號明細!C:C,"BOTTOM")</f>
        <v>1</v>
      </c>
    </row>
    <row r="102" customFormat="false" ht="15" hidden="false" customHeight="false" outlineLevel="0" collapsed="false">
      <c r="A102" s="7" t="s">
        <v>143</v>
      </c>
      <c r="B102" s="7" t="n">
        <v>9570.53</v>
      </c>
      <c r="C102" s="7" t="n">
        <v>9570.53</v>
      </c>
      <c r="D102" s="7" t="n">
        <v>9379.9</v>
      </c>
      <c r="E102" s="7" t="n">
        <v>9389.98</v>
      </c>
      <c r="F102" s="7" t="n">
        <v>4449</v>
      </c>
      <c r="G102" s="7" t="n">
        <f aca="false">AVERAGE(E98:E102)</f>
        <v>9393.104</v>
      </c>
      <c r="H102" s="7" t="n">
        <f aca="false">AVERAGE(E93:E102)</f>
        <v>9265.704</v>
      </c>
      <c r="I102" s="7" t="n">
        <f aca="false">AVERAGE(E83:E102)</f>
        <v>9120.3415</v>
      </c>
      <c r="J102" s="7" t="n">
        <f aca="false">AVERAGE(E53:E102)</f>
        <v>8441.8728</v>
      </c>
      <c r="K102" s="7" t="n">
        <f aca="false">AVERAGE(E3:E102)</f>
        <v>8716.0868</v>
      </c>
      <c r="M102" s="7" t="n">
        <f aca="false">I102</f>
        <v>9120.3415</v>
      </c>
      <c r="N102" s="7" t="n">
        <f aca="false">I102+2*STDEV(E83:E102)</f>
        <v>9583.88053360422</v>
      </c>
      <c r="O102" s="7" t="n">
        <f aca="false">I102-2*STDEV(E83:E102)</f>
        <v>8656.80246639578</v>
      </c>
      <c r="P102" s="7" t="n">
        <f aca="false">MAX(E102-E101,0)</f>
        <v>0</v>
      </c>
      <c r="Q102" s="7" t="n">
        <f aca="false">MAX(E101-E102,0)</f>
        <v>24.0100000000002</v>
      </c>
      <c r="R102" s="7" t="n">
        <f aca="false">(R101*13+P102)/14</f>
        <v>77.384401781511</v>
      </c>
      <c r="S102" s="7" t="n">
        <f aca="false">(S101*13+Q102)/14</f>
        <v>48.1582264540858</v>
      </c>
      <c r="T102" s="7" t="n">
        <f aca="false">IF(S102=0,100,100-100/(1+R102/S102))</f>
        <v>61.6399408464584</v>
      </c>
      <c r="U102" s="7" t="n">
        <f aca="false">E102*2/13+U101*11/13</f>
        <v>9255.65024010105</v>
      </c>
      <c r="V102" s="7" t="n">
        <f aca="false">E102*2/27+V101*25/27</f>
        <v>9024.04996294948</v>
      </c>
      <c r="W102" s="7" t="n">
        <f aca="false">U102-V102</f>
        <v>231.600277151567</v>
      </c>
      <c r="X102" s="7" t="n">
        <f aca="false">W102*2/10+X101*8/10</f>
        <v>229.11757847099</v>
      </c>
      <c r="Y102" s="7" t="n">
        <f aca="false">W102-X102</f>
        <v>2.4826986805769</v>
      </c>
      <c r="Z102" s="8" t="s">
        <v>42</v>
      </c>
      <c r="AA102" s="7" t="str">
        <f aca="false">IFERROR(INDEX(02_轉折點45!B:B,MATCH(A102,02_轉折點45!A:A,0)),"")</f>
        <v/>
      </c>
      <c r="AB102" s="7" t="n">
        <f aca="false">COUNTIFS(05_訊號明細!A:A,A102,05_訊號明細!C:C,"TOP")</f>
        <v>0</v>
      </c>
      <c r="AC102" s="7" t="n">
        <f aca="false">COUNTIFS(05_訊號明細!A:A,A102,05_訊號明細!C:C,"BOTTOM")</f>
        <v>0</v>
      </c>
    </row>
    <row r="103" customFormat="false" ht="15" hidden="false" customHeight="false" outlineLevel="0" collapsed="false">
      <c r="A103" s="7" t="s">
        <v>144</v>
      </c>
      <c r="B103" s="7" t="n">
        <v>9366.63</v>
      </c>
      <c r="C103" s="7" t="n">
        <v>9445.06</v>
      </c>
      <c r="D103" s="7" t="n">
        <v>9182.45</v>
      </c>
      <c r="E103" s="7" t="n">
        <v>9442.05</v>
      </c>
      <c r="F103" s="7" t="n">
        <v>4489</v>
      </c>
      <c r="G103" s="7" t="n">
        <f aca="false">AVERAGE(E99:E103)</f>
        <v>9421.806</v>
      </c>
      <c r="H103" s="7" t="n">
        <f aca="false">AVERAGE(E94:E103)</f>
        <v>9298.664</v>
      </c>
      <c r="I103" s="7" t="n">
        <f aca="false">AVERAGE(E84:E103)</f>
        <v>9158.564</v>
      </c>
      <c r="J103" s="7" t="n">
        <f aca="false">AVERAGE(E54:E103)</f>
        <v>8490.3062</v>
      </c>
      <c r="K103" s="7" t="n">
        <f aca="false">AVERAGE(E4:E103)</f>
        <v>8721.7851</v>
      </c>
      <c r="M103" s="7" t="n">
        <f aca="false">I103</f>
        <v>9158.564</v>
      </c>
      <c r="N103" s="7" t="n">
        <f aca="false">I103+2*STDEV(E84:E103)</f>
        <v>9593.57935423114</v>
      </c>
      <c r="O103" s="7" t="n">
        <f aca="false">I103-2*STDEV(E84:E103)</f>
        <v>8723.54864576886</v>
      </c>
      <c r="P103" s="7" t="n">
        <f aca="false">MAX(E103-E102,0)</f>
        <v>52.0699999999997</v>
      </c>
      <c r="Q103" s="7" t="n">
        <f aca="false">MAX(E102-E103,0)</f>
        <v>0</v>
      </c>
      <c r="R103" s="7" t="n">
        <f aca="false">(R102*13+P103)/14</f>
        <v>75.5762302256887</v>
      </c>
      <c r="S103" s="7" t="n">
        <f aca="false">(S102*13+Q103)/14</f>
        <v>44.7183531359368</v>
      </c>
      <c r="T103" s="7" t="n">
        <f aca="false">IF(S103=0,100,100-100/(1+R103/S103))</f>
        <v>62.8259628270161</v>
      </c>
      <c r="U103" s="7" t="n">
        <f aca="false">E103*2/13+U102*11/13</f>
        <v>9284.32712623935</v>
      </c>
      <c r="V103" s="7" t="n">
        <f aca="false">E103*2/27+V102*25/27</f>
        <v>9055.01292865693</v>
      </c>
      <c r="W103" s="7" t="n">
        <f aca="false">U103-V103</f>
        <v>229.31419758242</v>
      </c>
      <c r="X103" s="7" t="n">
        <f aca="false">W103*2/10+X102*8/10</f>
        <v>229.156902293276</v>
      </c>
      <c r="Y103" s="7" t="n">
        <f aca="false">W103-X103</f>
        <v>0.157295289144145</v>
      </c>
      <c r="Z103" s="8" t="s">
        <v>42</v>
      </c>
      <c r="AA103" s="7" t="str">
        <f aca="false">IFERROR(INDEX(02_轉折點45!B:B,MATCH(A103,02_轉折點45!A:A,0)),"")</f>
        <v/>
      </c>
      <c r="AB103" s="7" t="n">
        <f aca="false">COUNTIFS(05_訊號明細!A:A,A103,05_訊號明細!C:C,"TOP")</f>
        <v>0</v>
      </c>
      <c r="AC103" s="7" t="n">
        <f aca="false">COUNTIFS(05_訊號明細!A:A,A103,05_訊號明細!C:C,"BOTTOM")</f>
        <v>0</v>
      </c>
    </row>
    <row r="104" customFormat="false" ht="15" hidden="false" customHeight="false" outlineLevel="0" collapsed="false">
      <c r="A104" s="7" t="s">
        <v>145</v>
      </c>
      <c r="B104" s="7" t="n">
        <v>9404.83</v>
      </c>
      <c r="C104" s="7" t="n">
        <v>9568.89</v>
      </c>
      <c r="D104" s="7" t="n">
        <v>9391.84</v>
      </c>
      <c r="E104" s="7" t="n">
        <v>9416.71</v>
      </c>
      <c r="F104" s="7" t="n">
        <v>4114</v>
      </c>
      <c r="G104" s="7" t="n">
        <f aca="false">AVERAGE(E100:E104)</f>
        <v>9408.144</v>
      </c>
      <c r="H104" s="7" t="n">
        <f aca="false">AVERAGE(E95:E104)</f>
        <v>9340.327</v>
      </c>
      <c r="I104" s="7" t="n">
        <f aca="false">AVERAGE(E85:E104)</f>
        <v>9180.2615</v>
      </c>
      <c r="J104" s="7" t="n">
        <f aca="false">AVERAGE(E55:E104)</f>
        <v>8529.1614</v>
      </c>
      <c r="K104" s="7" t="n">
        <f aca="false">AVERAGE(E5:E104)</f>
        <v>8728.0132</v>
      </c>
      <c r="M104" s="7" t="n">
        <f aca="false">I104</f>
        <v>9180.2615</v>
      </c>
      <c r="N104" s="7" t="n">
        <f aca="false">I104+2*STDEV(E85:E104)</f>
        <v>9621.59891317071</v>
      </c>
      <c r="O104" s="7" t="n">
        <f aca="false">I104-2*STDEV(E85:E104)</f>
        <v>8738.9240868293</v>
      </c>
      <c r="P104" s="7" t="n">
        <f aca="false">MAX(E104-E103,0)</f>
        <v>0</v>
      </c>
      <c r="Q104" s="7" t="n">
        <f aca="false">MAX(E103-E104,0)</f>
        <v>25.3400000000001</v>
      </c>
      <c r="R104" s="7" t="n">
        <f aca="false">(R103*13+P104)/14</f>
        <v>70.177928066711</v>
      </c>
      <c r="S104" s="7" t="n">
        <f aca="false">(S103*13+Q104)/14</f>
        <v>43.3341850547985</v>
      </c>
      <c r="T104" s="7" t="n">
        <f aca="false">IF(S104=0,100,100-100/(1+R104/S104))</f>
        <v>61.8241755323406</v>
      </c>
      <c r="U104" s="7" t="n">
        <f aca="false">E104*2/13+U103*11/13</f>
        <v>9304.69372220252</v>
      </c>
      <c r="V104" s="7" t="n">
        <f aca="false">E104*2/27+V103*25/27</f>
        <v>9081.80530431197</v>
      </c>
      <c r="W104" s="7" t="n">
        <f aca="false">U104-V104</f>
        <v>222.888417890556</v>
      </c>
      <c r="X104" s="7" t="n">
        <f aca="false">W104*2/10+X103*8/10</f>
        <v>227.903205412732</v>
      </c>
      <c r="Y104" s="7" t="n">
        <f aca="false">W104-X104</f>
        <v>-5.01478752217636</v>
      </c>
      <c r="Z104" s="7" t="s">
        <v>78</v>
      </c>
      <c r="AA104" s="7" t="str">
        <f aca="false">IFERROR(INDEX(02_轉折點45!B:B,MATCH(A104,02_轉折點45!A:A,0)),"")</f>
        <v/>
      </c>
      <c r="AB104" s="7" t="n">
        <f aca="false">COUNTIFS(05_訊號明細!A:A,A104,05_訊號明細!C:C,"TOP")</f>
        <v>1</v>
      </c>
      <c r="AC104" s="7" t="n">
        <f aca="false">COUNTIFS(05_訊號明細!A:A,A104,05_訊號明細!C:C,"BOTTOM")</f>
        <v>0</v>
      </c>
    </row>
    <row r="105" customFormat="false" ht="15" hidden="false" customHeight="false" outlineLevel="0" collapsed="false">
      <c r="A105" s="7" t="s">
        <v>146</v>
      </c>
      <c r="B105" s="7" t="n">
        <v>9440.64</v>
      </c>
      <c r="C105" s="7" t="n">
        <v>9573.55</v>
      </c>
      <c r="D105" s="7" t="n">
        <v>9379.93</v>
      </c>
      <c r="E105" s="7" t="n">
        <v>9555.53</v>
      </c>
      <c r="F105" s="7" t="n">
        <v>4742</v>
      </c>
      <c r="G105" s="7" t="n">
        <f aca="false">AVERAGE(E101:E105)</f>
        <v>9443.652</v>
      </c>
      <c r="H105" s="7" t="n">
        <f aca="false">AVERAGE(E96:E105)</f>
        <v>9386.438</v>
      </c>
      <c r="I105" s="7" t="n">
        <f aca="false">AVERAGE(E86:E105)</f>
        <v>9208.0125</v>
      </c>
      <c r="J105" s="7" t="n">
        <f aca="false">AVERAGE(E56:E105)</f>
        <v>8576.7684</v>
      </c>
      <c r="K105" s="7" t="n">
        <f aca="false">AVERAGE(E6:E105)</f>
        <v>8735.0833</v>
      </c>
      <c r="M105" s="7" t="n">
        <f aca="false">I105</f>
        <v>9208.0125</v>
      </c>
      <c r="N105" s="7" t="n">
        <f aca="false">I105+2*STDEV(E86:E105)</f>
        <v>9671.02605409853</v>
      </c>
      <c r="O105" s="7" t="n">
        <f aca="false">I105-2*STDEV(E86:E105)</f>
        <v>8744.99894590148</v>
      </c>
      <c r="P105" s="7" t="n">
        <f aca="false">MAX(E105-E104,0)</f>
        <v>138.820000000002</v>
      </c>
      <c r="Q105" s="7" t="n">
        <f aca="false">MAX(E104-E105,0)</f>
        <v>0</v>
      </c>
      <c r="R105" s="7" t="n">
        <f aca="false">(R104*13+P105)/14</f>
        <v>75.0809332048032</v>
      </c>
      <c r="S105" s="7" t="n">
        <f aca="false">(S104*13+Q105)/14</f>
        <v>40.2388861223129</v>
      </c>
      <c r="T105" s="7" t="n">
        <f aca="false">IF(S105=0,100,100-100/(1+R105/S105))</f>
        <v>65.1067038111018</v>
      </c>
      <c r="U105" s="7" t="n">
        <f aca="false">E105*2/13+U104*11/13</f>
        <v>9343.28391878675</v>
      </c>
      <c r="V105" s="7" t="n">
        <f aca="false">E105*2/27+V104*25/27</f>
        <v>9116.89602251108</v>
      </c>
      <c r="W105" s="7" t="n">
        <f aca="false">U105-V105</f>
        <v>226.38789627567</v>
      </c>
      <c r="X105" s="7" t="n">
        <f aca="false">W105*2/10+X104*8/10</f>
        <v>227.600143585319</v>
      </c>
      <c r="Y105" s="7" t="n">
        <f aca="false">W105-X105</f>
        <v>-1.21224730964963</v>
      </c>
      <c r="Z105" s="7" t="s">
        <v>78</v>
      </c>
      <c r="AA105" s="7" t="str">
        <f aca="false">IFERROR(INDEX(02_轉折點45!B:B,MATCH(A105,02_轉折點45!A:A,0)),"")</f>
        <v/>
      </c>
      <c r="AB105" s="7" t="n">
        <f aca="false">COUNTIFS(05_訊號明細!A:A,A105,05_訊號明細!C:C,"TOP")</f>
        <v>0</v>
      </c>
      <c r="AC105" s="7" t="n">
        <f aca="false">COUNTIFS(05_訊號明細!A:A,A105,05_訊號明細!C:C,"BOTTOM")</f>
        <v>0</v>
      </c>
    </row>
    <row r="106" customFormat="false" ht="15" hidden="false" customHeight="false" outlineLevel="0" collapsed="false">
      <c r="A106" s="7" t="s">
        <v>147</v>
      </c>
      <c r="B106" s="7" t="n">
        <v>9526.43</v>
      </c>
      <c r="C106" s="7" t="n">
        <v>9609.38</v>
      </c>
      <c r="D106" s="7" t="n">
        <v>9515.34</v>
      </c>
      <c r="E106" s="7" t="n">
        <v>9598.89</v>
      </c>
      <c r="F106" s="7" t="n">
        <v>3848</v>
      </c>
      <c r="G106" s="7" t="n">
        <f aca="false">AVERAGE(E102:E106)</f>
        <v>9480.632</v>
      </c>
      <c r="H106" s="7" t="n">
        <f aca="false">AVERAGE(E97:E106)</f>
        <v>9431.063</v>
      </c>
      <c r="I106" s="7" t="n">
        <f aca="false">AVERAGE(E87:E106)</f>
        <v>9252.048</v>
      </c>
      <c r="J106" s="7" t="n">
        <f aca="false">AVERAGE(E57:E106)</f>
        <v>8622.9758</v>
      </c>
      <c r="K106" s="7" t="n">
        <f aca="false">AVERAGE(E7:E106)</f>
        <v>8742.6077</v>
      </c>
      <c r="M106" s="7" t="n">
        <f aca="false">I106</f>
        <v>9252.048</v>
      </c>
      <c r="N106" s="7" t="n">
        <f aca="false">I106+2*STDEV(E87:E106)</f>
        <v>9685.48693039638</v>
      </c>
      <c r="O106" s="7" t="n">
        <f aca="false">I106-2*STDEV(E87:E106)</f>
        <v>8818.60906960362</v>
      </c>
      <c r="P106" s="7" t="n">
        <f aca="false">MAX(E106-E105,0)</f>
        <v>43.3599999999988</v>
      </c>
      <c r="Q106" s="7" t="n">
        <f aca="false">MAX(E105-E106,0)</f>
        <v>0</v>
      </c>
      <c r="R106" s="7" t="n">
        <f aca="false">(R105*13+P106)/14</f>
        <v>72.8151522616028</v>
      </c>
      <c r="S106" s="7" t="n">
        <f aca="false">(S105*13+Q106)/14</f>
        <v>37.3646799707191</v>
      </c>
      <c r="T106" s="7" t="n">
        <f aca="false">IF(S106=0,100,100-100/(1+R106/S106))</f>
        <v>66.0875504947829</v>
      </c>
      <c r="U106" s="7" t="n">
        <f aca="false">E106*2/13+U105*11/13</f>
        <v>9382.6079312811</v>
      </c>
      <c r="V106" s="7" t="n">
        <f aca="false">E106*2/27+V105*25/27</f>
        <v>9152.59928010285</v>
      </c>
      <c r="W106" s="7" t="n">
        <f aca="false">U106-V106</f>
        <v>230.008651178245</v>
      </c>
      <c r="X106" s="7" t="n">
        <f aca="false">W106*2/10+X105*8/10</f>
        <v>228.081845103905</v>
      </c>
      <c r="Y106" s="7" t="n">
        <f aca="false">W106-X106</f>
        <v>1.92680607434016</v>
      </c>
      <c r="Z106" s="7" t="s">
        <v>78</v>
      </c>
      <c r="AA106" s="7" t="str">
        <f aca="false">IFERROR(INDEX(02_轉折點45!B:B,MATCH(A106,02_轉折點45!A:A,0)),"")</f>
        <v/>
      </c>
      <c r="AB106" s="7" t="n">
        <f aca="false">COUNTIFS(05_訊號明細!A:A,A106,05_訊號明細!C:C,"TOP")</f>
        <v>0</v>
      </c>
      <c r="AC106" s="7" t="n">
        <f aca="false">COUNTIFS(05_訊號明細!A:A,A106,05_訊號明細!C:C,"BOTTOM")</f>
        <v>0</v>
      </c>
    </row>
    <row r="107" customFormat="false" ht="15" hidden="false" customHeight="false" outlineLevel="0" collapsed="false">
      <c r="A107" s="7" t="s">
        <v>148</v>
      </c>
      <c r="B107" s="7" t="n">
        <v>9603.18</v>
      </c>
      <c r="C107" s="7" t="n">
        <v>9660.08</v>
      </c>
      <c r="D107" s="7" t="n">
        <v>9511.88</v>
      </c>
      <c r="E107" s="7" t="n">
        <v>9657.31</v>
      </c>
      <c r="F107" s="7" t="n">
        <v>3990</v>
      </c>
      <c r="G107" s="7" t="n">
        <f aca="false">AVERAGE(E103:E107)</f>
        <v>9534.098</v>
      </c>
      <c r="H107" s="7" t="n">
        <f aca="false">AVERAGE(E98:E107)</f>
        <v>9463.601</v>
      </c>
      <c r="I107" s="7" t="n">
        <f aca="false">AVERAGE(E88:E107)</f>
        <v>9293.208</v>
      </c>
      <c r="J107" s="7" t="n">
        <f aca="false">AVERAGE(E58:E107)</f>
        <v>8676.2362</v>
      </c>
      <c r="K107" s="7" t="n">
        <f aca="false">AVERAGE(E8:E107)</f>
        <v>8750.0571</v>
      </c>
      <c r="M107" s="7" t="n">
        <f aca="false">I107</f>
        <v>9293.208</v>
      </c>
      <c r="N107" s="7" t="n">
        <f aca="false">I107+2*STDEV(E88:E107)</f>
        <v>9715.74704462876</v>
      </c>
      <c r="O107" s="7" t="n">
        <f aca="false">I107-2*STDEV(E88:E107)</f>
        <v>8870.66895537124</v>
      </c>
      <c r="P107" s="7" t="n">
        <f aca="false">MAX(E107-E106,0)</f>
        <v>58.4200000000001</v>
      </c>
      <c r="Q107" s="7" t="n">
        <f aca="false">MAX(E106-E107,0)</f>
        <v>0</v>
      </c>
      <c r="R107" s="7" t="n">
        <f aca="false">(R106*13+P107)/14</f>
        <v>71.7869271000598</v>
      </c>
      <c r="S107" s="7" t="n">
        <f aca="false">(S106*13+Q107)/14</f>
        <v>34.6957742585249</v>
      </c>
      <c r="T107" s="7" t="n">
        <f aca="false">IF(S107=0,100,100-100/(1+R107/S107))</f>
        <v>67.4165157195952</v>
      </c>
      <c r="U107" s="7" t="n">
        <f aca="false">E107*2/13+U106*11/13</f>
        <v>9424.86978800708</v>
      </c>
      <c r="V107" s="7" t="n">
        <f aca="false">E107*2/27+V106*25/27</f>
        <v>9189.9852593545</v>
      </c>
      <c r="W107" s="7" t="n">
        <f aca="false">U107-V107</f>
        <v>234.884528652588</v>
      </c>
      <c r="X107" s="7" t="n">
        <f aca="false">W107*2/10+X106*8/10</f>
        <v>229.442381813641</v>
      </c>
      <c r="Y107" s="7" t="n">
        <f aca="false">W107-X107</f>
        <v>5.44214683894711</v>
      </c>
      <c r="Z107" s="7" t="s">
        <v>78</v>
      </c>
      <c r="AA107" s="7" t="str">
        <f aca="false">IFERROR(INDEX(02_轉折點45!B:B,MATCH(A107,02_轉折點45!A:A,0)),"")</f>
        <v/>
      </c>
      <c r="AB107" s="7" t="n">
        <f aca="false">COUNTIFS(05_訊號明細!A:A,A107,05_訊號明細!C:C,"TOP")</f>
        <v>0</v>
      </c>
      <c r="AC107" s="7" t="n">
        <f aca="false">COUNTIFS(05_訊號明細!A:A,A107,05_訊號明細!C:C,"BOTTOM")</f>
        <v>0</v>
      </c>
    </row>
    <row r="108" customFormat="false" ht="15" hidden="false" customHeight="false" outlineLevel="0" collapsed="false">
      <c r="A108" s="7" t="s">
        <v>149</v>
      </c>
      <c r="B108" s="7" t="n">
        <v>9689.72</v>
      </c>
      <c r="C108" s="7" t="n">
        <v>9729.69</v>
      </c>
      <c r="D108" s="7" t="n">
        <v>9648.93</v>
      </c>
      <c r="E108" s="7" t="n">
        <v>9704.69</v>
      </c>
      <c r="F108" s="7" t="n">
        <v>4679</v>
      </c>
      <c r="G108" s="7" t="n">
        <f aca="false">AVERAGE(E104:E108)</f>
        <v>9586.626</v>
      </c>
      <c r="H108" s="7" t="n">
        <f aca="false">AVERAGE(E99:E108)</f>
        <v>9504.216</v>
      </c>
      <c r="I108" s="7" t="n">
        <f aca="false">AVERAGE(E89:E108)</f>
        <v>9331.9115</v>
      </c>
      <c r="J108" s="7" t="n">
        <f aca="false">AVERAGE(E59:E108)</f>
        <v>8730.1916</v>
      </c>
      <c r="K108" s="7" t="n">
        <f aca="false">AVERAGE(E9:E108)</f>
        <v>8757.2077</v>
      </c>
      <c r="M108" s="7" t="n">
        <f aca="false">I108</f>
        <v>9331.9115</v>
      </c>
      <c r="N108" s="7" t="n">
        <f aca="false">I108+2*STDEV(E89:E108)</f>
        <v>9756.41109902157</v>
      </c>
      <c r="O108" s="7" t="n">
        <f aca="false">I108-2*STDEV(E89:E108)</f>
        <v>8907.41190097843</v>
      </c>
      <c r="P108" s="7" t="n">
        <f aca="false">MAX(E108-E107,0)</f>
        <v>47.380000000001</v>
      </c>
      <c r="Q108" s="7" t="n">
        <f aca="false">MAX(E107-E108,0)</f>
        <v>0</v>
      </c>
      <c r="R108" s="7" t="n">
        <f aca="false">(R107*13+P108)/14</f>
        <v>70.0435751643413</v>
      </c>
      <c r="S108" s="7" t="n">
        <f aca="false">(S107*13+Q108)/14</f>
        <v>32.2175046686302</v>
      </c>
      <c r="T108" s="7" t="n">
        <f aca="false">IF(S108=0,100,100-100/(1+R108/S108))</f>
        <v>68.4948518818178</v>
      </c>
      <c r="U108" s="7" t="n">
        <f aca="false">E108*2/13+U107*11/13</f>
        <v>9467.91905139061</v>
      </c>
      <c r="V108" s="7" t="n">
        <f aca="false">E108*2/27+V107*25/27</f>
        <v>9228.11153643935</v>
      </c>
      <c r="W108" s="7" t="n">
        <f aca="false">U108-V108</f>
        <v>239.807514951262</v>
      </c>
      <c r="X108" s="7" t="n">
        <f aca="false">W108*2/10+X107*8/10</f>
        <v>231.515408441166</v>
      </c>
      <c r="Y108" s="7" t="n">
        <f aca="false">W108-X108</f>
        <v>8.29210651009689</v>
      </c>
      <c r="Z108" s="7" t="s">
        <v>78</v>
      </c>
      <c r="AA108" s="7" t="str">
        <f aca="false">IFERROR(INDEX(02_轉折點45!B:B,MATCH(A108,02_轉折點45!A:A,0)),"")</f>
        <v/>
      </c>
      <c r="AB108" s="7" t="n">
        <f aca="false">COUNTIFS(05_訊號明細!A:A,A108,05_訊號明細!C:C,"TOP")</f>
        <v>0</v>
      </c>
      <c r="AC108" s="7" t="n">
        <f aca="false">COUNTIFS(05_訊號明細!A:A,A108,05_訊號明細!C:C,"BOTTOM")</f>
        <v>0</v>
      </c>
    </row>
    <row r="109" customFormat="false" ht="15" hidden="false" customHeight="false" outlineLevel="0" collapsed="false">
      <c r="A109" s="7" t="s">
        <v>150</v>
      </c>
      <c r="B109" s="7" t="n">
        <v>9672.17</v>
      </c>
      <c r="C109" s="7" t="n">
        <v>9741.97</v>
      </c>
      <c r="D109" s="7" t="n">
        <v>9577.71</v>
      </c>
      <c r="E109" s="7" t="n">
        <v>9629.66</v>
      </c>
      <c r="F109" s="7" t="n">
        <v>6141</v>
      </c>
      <c r="G109" s="7" t="n">
        <f aca="false">AVERAGE(E105:E109)</f>
        <v>9629.216</v>
      </c>
      <c r="H109" s="7" t="n">
        <f aca="false">AVERAGE(E100:E109)</f>
        <v>9518.68</v>
      </c>
      <c r="I109" s="7" t="n">
        <f aca="false">AVERAGE(E90:E109)</f>
        <v>9364.1515</v>
      </c>
      <c r="J109" s="7" t="n">
        <f aca="false">AVERAGE(E60:E109)</f>
        <v>8771.7082</v>
      </c>
      <c r="K109" s="7" t="n">
        <f aca="false">AVERAGE(E10:E109)</f>
        <v>8763.8379</v>
      </c>
      <c r="M109" s="7" t="n">
        <f aca="false">I109</f>
        <v>9364.1515</v>
      </c>
      <c r="N109" s="7" t="n">
        <f aca="false">I109+2*STDEV(E90:E109)</f>
        <v>9775.40648405043</v>
      </c>
      <c r="O109" s="7" t="n">
        <f aca="false">I109-2*STDEV(E90:E109)</f>
        <v>8952.89651594958</v>
      </c>
      <c r="P109" s="7" t="n">
        <f aca="false">MAX(E109-E108,0)</f>
        <v>0</v>
      </c>
      <c r="Q109" s="7" t="n">
        <f aca="false">MAX(E108-E109,0)</f>
        <v>75.0300000000007</v>
      </c>
      <c r="R109" s="7" t="n">
        <f aca="false">(R108*13+P109)/14</f>
        <v>65.0404626526026</v>
      </c>
      <c r="S109" s="7" t="n">
        <f aca="false">(S108*13+Q109)/14</f>
        <v>35.2755400494424</v>
      </c>
      <c r="T109" s="7" t="n">
        <f aca="false">IF(S109=0,100,100-100/(1+R109/S109))</f>
        <v>64.8355804664421</v>
      </c>
      <c r="U109" s="7" t="n">
        <f aca="false">E109*2/13+U108*11/13</f>
        <v>9492.80227425359</v>
      </c>
      <c r="V109" s="7" t="n">
        <f aca="false">E109*2/27+V108*25/27</f>
        <v>9257.85586707347</v>
      </c>
      <c r="W109" s="7" t="n">
        <f aca="false">U109-V109</f>
        <v>234.946407180123</v>
      </c>
      <c r="X109" s="7" t="n">
        <f aca="false">W109*2/10+X108*8/10</f>
        <v>232.201608188957</v>
      </c>
      <c r="Y109" s="7" t="n">
        <f aca="false">W109-X109</f>
        <v>2.74479899116602</v>
      </c>
      <c r="Z109" s="8" t="s">
        <v>42</v>
      </c>
      <c r="AA109" s="7" t="str">
        <f aca="false">IFERROR(INDEX(02_轉折點45!B:B,MATCH(A109,02_轉折點45!A:A,0)),"")</f>
        <v/>
      </c>
      <c r="AB109" s="7" t="n">
        <f aca="false">COUNTIFS(05_訊號明細!A:A,A109,05_訊號明細!C:C,"TOP")</f>
        <v>0</v>
      </c>
      <c r="AC109" s="7" t="n">
        <f aca="false">COUNTIFS(05_訊號明細!A:A,A109,05_訊號明細!C:C,"BOTTOM")</f>
        <v>0</v>
      </c>
    </row>
    <row r="110" customFormat="false" ht="15" hidden="false" customHeight="false" outlineLevel="0" collapsed="false">
      <c r="A110" s="7" t="s">
        <v>151</v>
      </c>
      <c r="B110" s="7" t="n">
        <v>9673.09</v>
      </c>
      <c r="C110" s="7" t="n">
        <v>9846.63</v>
      </c>
      <c r="D110" s="7" t="n">
        <v>9659.45</v>
      </c>
      <c r="E110" s="7" t="n">
        <v>9824.39</v>
      </c>
      <c r="F110" s="7" t="n">
        <v>6608</v>
      </c>
      <c r="G110" s="7" t="n">
        <f aca="false">AVERAGE(E106:E110)</f>
        <v>9682.988</v>
      </c>
      <c r="H110" s="7" t="n">
        <f aca="false">AVERAGE(E101:E110)</f>
        <v>9563.32</v>
      </c>
      <c r="I110" s="7" t="n">
        <f aca="false">AVERAGE(E91:E110)</f>
        <v>9400.277</v>
      </c>
      <c r="J110" s="7" t="n">
        <f aca="false">AVERAGE(E61:E110)</f>
        <v>8818.8036</v>
      </c>
      <c r="K110" s="7" t="n">
        <f aca="false">AVERAGE(E11:E110)</f>
        <v>8771.3753</v>
      </c>
      <c r="M110" s="7" t="n">
        <f aca="false">I110</f>
        <v>9400.277</v>
      </c>
      <c r="N110" s="7" t="n">
        <f aca="false">I110+2*STDEV(E91:E110)</f>
        <v>9840.44508899855</v>
      </c>
      <c r="O110" s="7" t="n">
        <f aca="false">I110-2*STDEV(E91:E110)</f>
        <v>8960.10891100146</v>
      </c>
      <c r="P110" s="7" t="n">
        <f aca="false">MAX(E110-E109,0)</f>
        <v>194.73</v>
      </c>
      <c r="Q110" s="7" t="n">
        <f aca="false">MAX(E109-E110,0)</f>
        <v>0</v>
      </c>
      <c r="R110" s="7" t="n">
        <f aca="false">(R109*13+P110)/14</f>
        <v>74.3040010345596</v>
      </c>
      <c r="S110" s="7" t="n">
        <f aca="false">(S109*13+Q110)/14</f>
        <v>32.7558586173394</v>
      </c>
      <c r="T110" s="7" t="n">
        <f aca="false">IF(S110=0,100,100-100/(1+R110/S110))</f>
        <v>69.4041644330155</v>
      </c>
      <c r="U110" s="7" t="n">
        <f aca="false">E110*2/13+U109*11/13</f>
        <v>9543.81577052227</v>
      </c>
      <c r="V110" s="7" t="n">
        <f aca="false">E110*2/27+V109*25/27</f>
        <v>9299.82135840136</v>
      </c>
      <c r="W110" s="7" t="n">
        <f aca="false">U110-V110</f>
        <v>243.99441212091</v>
      </c>
      <c r="X110" s="7" t="n">
        <f aca="false">W110*2/10+X109*8/10</f>
        <v>234.560168975348</v>
      </c>
      <c r="Y110" s="7" t="n">
        <f aca="false">W110-X110</f>
        <v>9.43424314556242</v>
      </c>
      <c r="Z110" s="8" t="s">
        <v>42</v>
      </c>
      <c r="AA110" s="7" t="str">
        <f aca="false">IFERROR(INDEX(02_轉折點45!B:B,MATCH(A110,02_轉折點45!A:A,0)),"")</f>
        <v/>
      </c>
      <c r="AB110" s="7" t="n">
        <f aca="false">COUNTIFS(05_訊號明細!A:A,A110,05_訊號明細!C:C,"TOP")</f>
        <v>1</v>
      </c>
      <c r="AC110" s="7" t="n">
        <f aca="false">COUNTIFS(05_訊號明細!A:A,A110,05_訊號明細!C:C,"BOTTOM")</f>
        <v>0</v>
      </c>
    </row>
    <row r="111" customFormat="false" ht="15" hidden="false" customHeight="false" outlineLevel="0" collapsed="false">
      <c r="A111" s="7" t="s">
        <v>152</v>
      </c>
      <c r="B111" s="7" t="n">
        <v>9805.69</v>
      </c>
      <c r="C111" s="7" t="n">
        <v>9904.52</v>
      </c>
      <c r="D111" s="7" t="n">
        <v>9753.87</v>
      </c>
      <c r="E111" s="7" t="n">
        <v>9901.52</v>
      </c>
      <c r="F111" s="7" t="n">
        <v>6197</v>
      </c>
      <c r="G111" s="7" t="n">
        <f aca="false">AVERAGE(E107:E111)</f>
        <v>9743.514</v>
      </c>
      <c r="H111" s="7" t="n">
        <f aca="false">AVERAGE(E102:E111)</f>
        <v>9612.073</v>
      </c>
      <c r="I111" s="7" t="n">
        <f aca="false">AVERAGE(E92:E111)</f>
        <v>9434.3355</v>
      </c>
      <c r="J111" s="7" t="n">
        <f aca="false">AVERAGE(E62:E111)</f>
        <v>8858.8914</v>
      </c>
      <c r="K111" s="7" t="n">
        <f aca="false">AVERAGE(E12:E111)</f>
        <v>8780.0563</v>
      </c>
      <c r="M111" s="7" t="n">
        <f aca="false">I111</f>
        <v>9434.3355</v>
      </c>
      <c r="N111" s="7" t="n">
        <f aca="false">I111+2*STDEV(E92:E111)</f>
        <v>9919.04353745956</v>
      </c>
      <c r="O111" s="7" t="n">
        <f aca="false">I111-2*STDEV(E92:E111)</f>
        <v>8949.62746254044</v>
      </c>
      <c r="P111" s="7" t="n">
        <f aca="false">MAX(E111-E110,0)</f>
        <v>77.130000000001</v>
      </c>
      <c r="Q111" s="7" t="n">
        <f aca="false">MAX(E110-E111,0)</f>
        <v>0</v>
      </c>
      <c r="R111" s="7" t="n">
        <f aca="false">(R110*13+P111)/14</f>
        <v>74.5058581035197</v>
      </c>
      <c r="S111" s="7" t="n">
        <f aca="false">(S110*13+Q111)/14</f>
        <v>30.4161544303866</v>
      </c>
      <c r="T111" s="7" t="n">
        <f aca="false">IF(S111=0,100,100-100/(1+R111/S111))</f>
        <v>71.0107024295237</v>
      </c>
      <c r="U111" s="7" t="n">
        <f aca="false">E111*2/13+U110*11/13</f>
        <v>9598.84719044192</v>
      </c>
      <c r="V111" s="7" t="n">
        <f aca="false">E111*2/27+V110*25/27</f>
        <v>9344.39162814941</v>
      </c>
      <c r="W111" s="7" t="n">
        <f aca="false">U111-V111</f>
        <v>254.455562292513</v>
      </c>
      <c r="X111" s="7" t="n">
        <f aca="false">W111*2/10+X110*8/10</f>
        <v>238.539247638781</v>
      </c>
      <c r="Y111" s="7" t="n">
        <f aca="false">W111-X111</f>
        <v>15.9163146537321</v>
      </c>
      <c r="Z111" s="8" t="s">
        <v>42</v>
      </c>
      <c r="AA111" s="7" t="str">
        <f aca="false">IFERROR(INDEX(02_轉折點45!B:B,MATCH(A111,02_轉折點45!A:A,0)),"")</f>
        <v/>
      </c>
      <c r="AB111" s="7" t="n">
        <f aca="false">COUNTIFS(05_訊號明細!A:A,A111,05_訊號明細!C:C,"TOP")</f>
        <v>1</v>
      </c>
      <c r="AC111" s="7" t="n">
        <f aca="false">COUNTIFS(05_訊號明細!A:A,A111,05_訊號明細!C:C,"BOTTOM")</f>
        <v>0</v>
      </c>
    </row>
    <row r="112" customFormat="false" ht="15" hidden="false" customHeight="false" outlineLevel="0" collapsed="false">
      <c r="A112" s="7" t="s">
        <v>153</v>
      </c>
      <c r="B112" s="7" t="n">
        <v>9861.18</v>
      </c>
      <c r="C112" s="7" t="n">
        <v>10006.9</v>
      </c>
      <c r="D112" s="7" t="n">
        <v>9859</v>
      </c>
      <c r="E112" s="7" t="n">
        <v>9967.17</v>
      </c>
      <c r="F112" s="7" t="n">
        <v>5319</v>
      </c>
      <c r="G112" s="7" t="n">
        <f aca="false">AVERAGE(E108:E112)</f>
        <v>9805.486</v>
      </c>
      <c r="H112" s="7" t="n">
        <f aca="false">AVERAGE(E103:E112)</f>
        <v>9669.792</v>
      </c>
      <c r="I112" s="7" t="n">
        <f aca="false">AVERAGE(E93:E112)</f>
        <v>9467.748</v>
      </c>
      <c r="J112" s="7" t="n">
        <f aca="false">AVERAGE(E63:E112)</f>
        <v>8906.4674</v>
      </c>
      <c r="K112" s="7" t="n">
        <f aca="false">AVERAGE(E13:E112)</f>
        <v>8789.3713</v>
      </c>
      <c r="M112" s="7" t="n">
        <f aca="false">I112</f>
        <v>9467.748</v>
      </c>
      <c r="N112" s="7" t="n">
        <f aca="false">I112+2*STDEV(E93:E112)</f>
        <v>10002.6796298901</v>
      </c>
      <c r="O112" s="7" t="n">
        <f aca="false">I112-2*STDEV(E93:E112)</f>
        <v>8932.81637010994</v>
      </c>
      <c r="P112" s="7" t="n">
        <f aca="false">MAX(E112-E111,0)</f>
        <v>65.6499999999996</v>
      </c>
      <c r="Q112" s="7" t="n">
        <f aca="false">MAX(E111-E112,0)</f>
        <v>0</v>
      </c>
      <c r="R112" s="7" t="n">
        <f aca="false">(R111*13+P112)/14</f>
        <v>73.8732968104111</v>
      </c>
      <c r="S112" s="7" t="n">
        <f aca="false">(S111*13+Q112)/14</f>
        <v>28.2435719710732</v>
      </c>
      <c r="T112" s="7" t="n">
        <f aca="false">IF(S112=0,100,100-100/(1+R112/S112))</f>
        <v>72.341913429102</v>
      </c>
      <c r="U112" s="7" t="n">
        <f aca="false">E112*2/13+U111*11/13</f>
        <v>9655.51223806624</v>
      </c>
      <c r="V112" s="7" t="n">
        <f aca="false">E112*2/27+V111*25/27</f>
        <v>9390.5233593976</v>
      </c>
      <c r="W112" s="7" t="n">
        <f aca="false">U112-V112</f>
        <v>264.988878668642</v>
      </c>
      <c r="X112" s="7" t="n">
        <f aca="false">W112*2/10+X111*8/10</f>
        <v>243.829173844753</v>
      </c>
      <c r="Y112" s="7" t="n">
        <f aca="false">W112-X112</f>
        <v>21.1597048238895</v>
      </c>
      <c r="Z112" s="8" t="s">
        <v>42</v>
      </c>
      <c r="AA112" s="7" t="str">
        <f aca="false">IFERROR(INDEX(02_轉折點45!B:B,MATCH(A112,02_轉折點45!A:A,0)),"")</f>
        <v/>
      </c>
      <c r="AB112" s="7" t="n">
        <f aca="false">COUNTIFS(05_訊號明細!A:A,A112,05_訊號明細!C:C,"TOP")</f>
        <v>1</v>
      </c>
      <c r="AC112" s="7" t="n">
        <f aca="false">COUNTIFS(05_訊號明細!A:A,A112,05_訊號明細!C:C,"BOTTOM")</f>
        <v>0</v>
      </c>
    </row>
    <row r="113" customFormat="false" ht="15" hidden="false" customHeight="false" outlineLevel="0" collapsed="false">
      <c r="A113" s="7" t="s">
        <v>154</v>
      </c>
      <c r="B113" s="7" t="n">
        <v>10037.98</v>
      </c>
      <c r="C113" s="7" t="n">
        <v>10155.2</v>
      </c>
      <c r="D113" s="7" t="n">
        <v>10022.44</v>
      </c>
      <c r="E113" s="7" t="n">
        <v>10094.26</v>
      </c>
      <c r="F113" s="7" t="n">
        <v>5171</v>
      </c>
      <c r="G113" s="7" t="n">
        <f aca="false">AVERAGE(E109:E113)</f>
        <v>9883.4</v>
      </c>
      <c r="H113" s="7" t="n">
        <f aca="false">AVERAGE(E104:E113)</f>
        <v>9735.013</v>
      </c>
      <c r="I113" s="7" t="n">
        <f aca="false">AVERAGE(E94:E113)</f>
        <v>9516.8385</v>
      </c>
      <c r="J113" s="7" t="n">
        <f aca="false">AVERAGE(E64:E113)</f>
        <v>8950.5724</v>
      </c>
      <c r="K113" s="7" t="n">
        <f aca="false">AVERAGE(E14:E113)</f>
        <v>8799.0639</v>
      </c>
      <c r="M113" s="7" t="n">
        <f aca="false">I113</f>
        <v>9516.8385</v>
      </c>
      <c r="N113" s="7" t="n">
        <f aca="false">I113+2*STDEV(E94:E113)</f>
        <v>10093.0885105546</v>
      </c>
      <c r="O113" s="7" t="n">
        <f aca="false">I113-2*STDEV(E94:E113)</f>
        <v>8940.58848944537</v>
      </c>
      <c r="P113" s="7" t="n">
        <f aca="false">MAX(E113-E112,0)</f>
        <v>127.09</v>
      </c>
      <c r="Q113" s="7" t="n">
        <f aca="false">MAX(E112-E113,0)</f>
        <v>0</v>
      </c>
      <c r="R113" s="7" t="n">
        <f aca="false">(R112*13+P113)/14</f>
        <v>77.6744898953817</v>
      </c>
      <c r="S113" s="7" t="n">
        <f aca="false">(S112*13+Q113)/14</f>
        <v>26.2261739731394</v>
      </c>
      <c r="T113" s="7" t="n">
        <f aca="false">IF(S113=0,100,100-100/(1+R113/S113))</f>
        <v>74.7584153973003</v>
      </c>
      <c r="U113" s="7" t="n">
        <f aca="false">E113*2/13+U112*11/13</f>
        <v>9723.01189374836</v>
      </c>
      <c r="V113" s="7" t="n">
        <f aca="false">E113*2/27+V112*25/27</f>
        <v>9442.65199944222</v>
      </c>
      <c r="W113" s="7" t="n">
        <f aca="false">U113-V113</f>
        <v>280.359894306137</v>
      </c>
      <c r="X113" s="7" t="n">
        <f aca="false">W113*2/10+X112*8/10</f>
        <v>251.13531793703</v>
      </c>
      <c r="Y113" s="7" t="n">
        <f aca="false">W113-X113</f>
        <v>29.2245763691072</v>
      </c>
      <c r="Z113" s="8" t="s">
        <v>42</v>
      </c>
      <c r="AA113" s="7" t="str">
        <f aca="false">IFERROR(INDEX(02_轉折點45!B:B,MATCH(A113,02_轉折點45!A:A,0)),"")</f>
        <v/>
      </c>
      <c r="AB113" s="7" t="n">
        <f aca="false">COUNTIFS(05_訊號明細!A:A,A113,05_訊號明細!C:C,"TOP")</f>
        <v>0</v>
      </c>
      <c r="AC113" s="7" t="n">
        <f aca="false">COUNTIFS(05_訊號明細!A:A,A113,05_訊號明細!C:C,"BOTTOM")</f>
        <v>0</v>
      </c>
    </row>
    <row r="114" customFormat="false" ht="15" hidden="false" customHeight="false" outlineLevel="0" collapsed="false">
      <c r="A114" s="7" t="s">
        <v>155</v>
      </c>
      <c r="B114" s="7" t="n">
        <v>9907.56</v>
      </c>
      <c r="C114" s="7" t="n">
        <v>9978.19</v>
      </c>
      <c r="D114" s="7" t="n">
        <v>9586.25</v>
      </c>
      <c r="E114" s="7" t="n">
        <v>9588.48</v>
      </c>
      <c r="F114" s="7" t="n">
        <v>5301</v>
      </c>
      <c r="G114" s="7" t="n">
        <f aca="false">AVERAGE(E110:E114)</f>
        <v>9875.164</v>
      </c>
      <c r="H114" s="7" t="n">
        <f aca="false">AVERAGE(E105:E114)</f>
        <v>9752.19</v>
      </c>
      <c r="I114" s="7" t="n">
        <f aca="false">AVERAGE(E95:E114)</f>
        <v>9546.2585</v>
      </c>
      <c r="J114" s="7" t="n">
        <f aca="false">AVERAGE(E65:E114)</f>
        <v>8986.072</v>
      </c>
      <c r="K114" s="7" t="n">
        <f aca="false">AVERAGE(E15:E114)</f>
        <v>8803.2114</v>
      </c>
      <c r="M114" s="7" t="n">
        <f aca="false">I114</f>
        <v>9546.2585</v>
      </c>
      <c r="N114" s="7" t="n">
        <f aca="false">I114+2*STDEV(E95:E114)</f>
        <v>10069.0217620795</v>
      </c>
      <c r="O114" s="7" t="n">
        <f aca="false">I114-2*STDEV(E95:E114)</f>
        <v>9023.4952379205</v>
      </c>
      <c r="P114" s="7" t="n">
        <f aca="false">MAX(E114-E113,0)</f>
        <v>0</v>
      </c>
      <c r="Q114" s="7" t="n">
        <f aca="false">MAX(E113-E114,0)</f>
        <v>505.780000000001</v>
      </c>
      <c r="R114" s="7" t="n">
        <f aca="false">(R113*13+P114)/14</f>
        <v>72.1263120457116</v>
      </c>
      <c r="S114" s="7" t="n">
        <f aca="false">(S113*13+Q114)/14</f>
        <v>60.4800186893438</v>
      </c>
      <c r="T114" s="7" t="n">
        <f aca="false">IF(S114=0,100,100-100/(1+R114/S114))</f>
        <v>54.3913036775133</v>
      </c>
      <c r="U114" s="7" t="n">
        <f aca="false">E114*2/13+U113*11/13</f>
        <v>9702.31467932554</v>
      </c>
      <c r="V114" s="7" t="n">
        <f aca="false">E114*2/27+V113*25/27</f>
        <v>9453.45407355761</v>
      </c>
      <c r="W114" s="7" t="n">
        <f aca="false">U114-V114</f>
        <v>248.860605767923</v>
      </c>
      <c r="X114" s="7" t="n">
        <f aca="false">W114*2/10+X113*8/10</f>
        <v>250.680375503208</v>
      </c>
      <c r="Y114" s="7" t="n">
        <f aca="false">W114-X114</f>
        <v>-1.81976973528575</v>
      </c>
      <c r="Z114" s="7" t="s">
        <v>78</v>
      </c>
      <c r="AA114" s="7" t="str">
        <f aca="false">IFERROR(INDEX(02_轉折點45!B:B,MATCH(A114,02_轉折點45!A:A,0)),"")</f>
        <v/>
      </c>
      <c r="AB114" s="7" t="n">
        <f aca="false">COUNTIFS(05_訊號明細!A:A,A114,05_訊號明細!C:C,"TOP")</f>
        <v>1</v>
      </c>
      <c r="AC114" s="7" t="n">
        <f aca="false">COUNTIFS(05_訊號明細!A:A,A114,05_訊號明細!C:C,"BOTTOM")</f>
        <v>0</v>
      </c>
    </row>
    <row r="115" customFormat="false" ht="15" hidden="false" customHeight="false" outlineLevel="0" collapsed="false">
      <c r="A115" s="7" t="s">
        <v>156</v>
      </c>
      <c r="B115" s="7" t="n">
        <v>9785.58</v>
      </c>
      <c r="C115" s="7" t="n">
        <v>9849.01</v>
      </c>
      <c r="D115" s="7" t="n">
        <v>9499.09</v>
      </c>
      <c r="E115" s="7" t="n">
        <v>9663.78</v>
      </c>
      <c r="F115" s="7" t="n">
        <v>4389</v>
      </c>
      <c r="G115" s="7" t="n">
        <f aca="false">AVERAGE(E111:E115)</f>
        <v>9843.042</v>
      </c>
      <c r="H115" s="7" t="n">
        <f aca="false">AVERAGE(E106:E115)</f>
        <v>9763.015</v>
      </c>
      <c r="I115" s="7" t="n">
        <f aca="false">AVERAGE(E96:E115)</f>
        <v>9574.7265</v>
      </c>
      <c r="J115" s="7" t="n">
        <f aca="false">AVERAGE(E66:E115)</f>
        <v>9029.6218</v>
      </c>
      <c r="K115" s="7" t="n">
        <f aca="false">AVERAGE(E16:E115)</f>
        <v>8808.1829</v>
      </c>
      <c r="M115" s="7" t="n">
        <f aca="false">I115</f>
        <v>9574.7265</v>
      </c>
      <c r="N115" s="7" t="n">
        <f aca="false">I115+2*STDEV(E96:E115)</f>
        <v>10054.09703381</v>
      </c>
      <c r="O115" s="7" t="n">
        <f aca="false">I115-2*STDEV(E96:E115)</f>
        <v>9095.35596619002</v>
      </c>
      <c r="P115" s="7" t="n">
        <f aca="false">MAX(E115-E114,0)</f>
        <v>75.3000000000011</v>
      </c>
      <c r="Q115" s="7" t="n">
        <f aca="false">MAX(E114-E115,0)</f>
        <v>0</v>
      </c>
      <c r="R115" s="7" t="n">
        <f aca="false">(R114*13+P115)/14</f>
        <v>72.3530040424466</v>
      </c>
      <c r="S115" s="7" t="n">
        <f aca="false">(S114*13+Q115)/14</f>
        <v>56.1600173543907</v>
      </c>
      <c r="T115" s="7" t="n">
        <f aca="false">IF(S115=0,100,100-100/(1+R115/S115))</f>
        <v>56.3001346136176</v>
      </c>
      <c r="U115" s="7" t="n">
        <f aca="false">E115*2/13+U114*11/13</f>
        <v>9696.38626712161</v>
      </c>
      <c r="V115" s="7" t="n">
        <f aca="false">E115*2/27+V114*25/27</f>
        <v>9469.0337718126</v>
      </c>
      <c r="W115" s="7" t="n">
        <f aca="false">U115-V115</f>
        <v>227.352495309002</v>
      </c>
      <c r="X115" s="7" t="n">
        <f aca="false">W115*2/10+X114*8/10</f>
        <v>246.014799464367</v>
      </c>
      <c r="Y115" s="7" t="n">
        <f aca="false">W115-X115</f>
        <v>-18.6623041553652</v>
      </c>
      <c r="Z115" s="7" t="s">
        <v>78</v>
      </c>
      <c r="AA115" s="7" t="str">
        <f aca="false">IFERROR(INDEX(02_轉折點45!B:B,MATCH(A115,02_轉折點45!A:A,0)),"")</f>
        <v/>
      </c>
      <c r="AB115" s="7" t="n">
        <f aca="false">COUNTIFS(05_訊號明細!A:A,A115,05_訊號明細!C:C,"TOP")</f>
        <v>2</v>
      </c>
      <c r="AC115" s="7" t="n">
        <f aca="false">COUNTIFS(05_訊號明細!A:A,A115,05_訊號明細!C:C,"BOTTOM")</f>
        <v>0</v>
      </c>
    </row>
    <row r="116" customFormat="false" ht="15" hidden="false" customHeight="false" outlineLevel="0" collapsed="false">
      <c r="A116" s="7" t="s">
        <v>157</v>
      </c>
      <c r="B116" s="7" t="n">
        <v>9517.14</v>
      </c>
      <c r="C116" s="7" t="n">
        <v>9809.41</v>
      </c>
      <c r="D116" s="7" t="n">
        <v>9489.58</v>
      </c>
      <c r="E116" s="7" t="n">
        <v>9776.89</v>
      </c>
      <c r="F116" s="7" t="n">
        <v>4476</v>
      </c>
      <c r="G116" s="7" t="n">
        <f aca="false">AVERAGE(E112:E116)</f>
        <v>9818.116</v>
      </c>
      <c r="H116" s="7" t="n">
        <f aca="false">AVERAGE(E107:E116)</f>
        <v>9780.815</v>
      </c>
      <c r="I116" s="7" t="n">
        <f aca="false">AVERAGE(E97:E116)</f>
        <v>9605.939</v>
      </c>
      <c r="J116" s="7" t="n">
        <f aca="false">AVERAGE(E67:E116)</f>
        <v>9072.4464</v>
      </c>
      <c r="K116" s="7" t="n">
        <f aca="false">AVERAGE(E17:E116)</f>
        <v>8814.066</v>
      </c>
      <c r="M116" s="7" t="n">
        <f aca="false">I116</f>
        <v>9605.939</v>
      </c>
      <c r="N116" s="7" t="n">
        <f aca="false">I116+2*STDEV(E97:E116)</f>
        <v>10049.5510116973</v>
      </c>
      <c r="O116" s="7" t="n">
        <f aca="false">I116-2*STDEV(E97:E116)</f>
        <v>9162.32698830272</v>
      </c>
      <c r="P116" s="7" t="n">
        <f aca="false">MAX(E116-E115,0)</f>
        <v>113.109999999999</v>
      </c>
      <c r="Q116" s="7" t="n">
        <f aca="false">MAX(E115-E116,0)</f>
        <v>0</v>
      </c>
      <c r="R116" s="7" t="n">
        <f aca="false">(R115*13+P116)/14</f>
        <v>75.2642180394146</v>
      </c>
      <c r="S116" s="7" t="n">
        <f aca="false">(S115*13+Q116)/14</f>
        <v>52.1485875433628</v>
      </c>
      <c r="T116" s="7" t="n">
        <f aca="false">IF(S116=0,100,100-100/(1+R116/S116))</f>
        <v>59.0711566982308</v>
      </c>
      <c r="U116" s="7" t="n">
        <f aca="false">E116*2/13+U115*11/13</f>
        <v>9708.7714567952</v>
      </c>
      <c r="V116" s="7" t="n">
        <f aca="false">E116*2/27+V115*25/27</f>
        <v>9491.83793686352</v>
      </c>
      <c r="W116" s="7" t="n">
        <f aca="false">U116-V116</f>
        <v>216.933519931683</v>
      </c>
      <c r="X116" s="7" t="n">
        <f aca="false">W116*2/10+X115*8/10</f>
        <v>240.19854355783</v>
      </c>
      <c r="Y116" s="7" t="n">
        <f aca="false">W116-X116</f>
        <v>-23.2650236261473</v>
      </c>
      <c r="Z116" s="7" t="s">
        <v>78</v>
      </c>
      <c r="AA116" s="7" t="str">
        <f aca="false">IFERROR(INDEX(02_轉折點45!B:B,MATCH(A116,02_轉折點45!A:A,0)),"")</f>
        <v/>
      </c>
      <c r="AB116" s="7" t="n">
        <f aca="false">COUNTIFS(05_訊號明細!A:A,A116,05_訊號明細!C:C,"TOP")</f>
        <v>0</v>
      </c>
      <c r="AC116" s="7" t="n">
        <f aca="false">COUNTIFS(05_訊號明細!A:A,A116,05_訊號明細!C:C,"BOTTOM")</f>
        <v>1</v>
      </c>
    </row>
    <row r="117" customFormat="false" ht="15" hidden="false" customHeight="false" outlineLevel="0" collapsed="false">
      <c r="A117" s="7" t="s">
        <v>158</v>
      </c>
      <c r="B117" s="7" t="n">
        <v>9983.65</v>
      </c>
      <c r="C117" s="7" t="n">
        <v>10010.89</v>
      </c>
      <c r="D117" s="7" t="n">
        <v>9801.45</v>
      </c>
      <c r="E117" s="7" t="n">
        <v>9949.37</v>
      </c>
      <c r="F117" s="7" t="n">
        <v>4669</v>
      </c>
      <c r="G117" s="7" t="n">
        <f aca="false">AVERAGE(E113:E117)</f>
        <v>9814.556</v>
      </c>
      <c r="H117" s="7" t="n">
        <f aca="false">AVERAGE(E108:E117)</f>
        <v>9810.021</v>
      </c>
      <c r="I117" s="7" t="n">
        <f aca="false">AVERAGE(E98:E117)</f>
        <v>9636.811</v>
      </c>
      <c r="J117" s="7" t="n">
        <f aca="false">AVERAGE(E68:E117)</f>
        <v>9120.8716</v>
      </c>
      <c r="K117" s="7" t="n">
        <f aca="false">AVERAGE(E18:E117)</f>
        <v>8821.3899</v>
      </c>
      <c r="M117" s="7" t="n">
        <f aca="false">I117</f>
        <v>9636.811</v>
      </c>
      <c r="N117" s="7" t="n">
        <f aca="false">I117+2*STDEV(E98:E117)</f>
        <v>10086.0354761528</v>
      </c>
      <c r="O117" s="7" t="n">
        <f aca="false">I117-2*STDEV(E98:E117)</f>
        <v>9187.58652384722</v>
      </c>
      <c r="P117" s="7" t="n">
        <f aca="false">MAX(E117-E116,0)</f>
        <v>172.480000000001</v>
      </c>
      <c r="Q117" s="7" t="n">
        <f aca="false">MAX(E116-E117,0)</f>
        <v>0</v>
      </c>
      <c r="R117" s="7" t="n">
        <f aca="false">(R116*13+P117)/14</f>
        <v>82.2082024651708</v>
      </c>
      <c r="S117" s="7" t="n">
        <f aca="false">(S116*13+Q117)/14</f>
        <v>48.4236884331226</v>
      </c>
      <c r="T117" s="7" t="n">
        <f aca="false">IF(S117=0,100,100-100/(1+R117/S117))</f>
        <v>62.9311892370723</v>
      </c>
      <c r="U117" s="7" t="n">
        <f aca="false">E117*2/13+U116*11/13</f>
        <v>9745.78661728825</v>
      </c>
      <c r="V117" s="7" t="n">
        <f aca="false">E117*2/27+V116*25/27</f>
        <v>9525.72920079956</v>
      </c>
      <c r="W117" s="7" t="n">
        <f aca="false">U117-V117</f>
        <v>220.057416488693</v>
      </c>
      <c r="X117" s="7" t="n">
        <f aca="false">W117*2/10+X116*8/10</f>
        <v>236.170318144003</v>
      </c>
      <c r="Y117" s="7" t="n">
        <f aca="false">W117-X117</f>
        <v>-16.1129016553098</v>
      </c>
      <c r="Z117" s="7" t="s">
        <v>78</v>
      </c>
      <c r="AA117" s="7" t="str">
        <f aca="false">IFERROR(INDEX(02_轉折點45!B:B,MATCH(A117,02_轉折點45!A:A,0)),"")</f>
        <v/>
      </c>
      <c r="AB117" s="7" t="n">
        <f aca="false">COUNTIFS(05_訊號明細!A:A,A117,05_訊號明細!C:C,"TOP")</f>
        <v>0</v>
      </c>
      <c r="AC117" s="7" t="n">
        <f aca="false">COUNTIFS(05_訊號明細!A:A,A117,05_訊號明細!C:C,"BOTTOM")</f>
        <v>0</v>
      </c>
    </row>
    <row r="118" customFormat="false" ht="15" hidden="false" customHeight="false" outlineLevel="0" collapsed="false">
      <c r="A118" s="7" t="s">
        <v>159</v>
      </c>
      <c r="B118" s="7" t="n">
        <v>9998.86</v>
      </c>
      <c r="C118" s="7" t="n">
        <v>10058.65</v>
      </c>
      <c r="D118" s="7" t="n">
        <v>9952.5</v>
      </c>
      <c r="E118" s="7" t="n">
        <v>9982.48</v>
      </c>
      <c r="F118" s="7" t="n">
        <v>4280</v>
      </c>
      <c r="G118" s="7" t="n">
        <f aca="false">AVERAGE(E114:E118)</f>
        <v>9792.2</v>
      </c>
      <c r="H118" s="7" t="n">
        <f aca="false">AVERAGE(E109:E118)</f>
        <v>9837.8</v>
      </c>
      <c r="I118" s="7" t="n">
        <f aca="false">AVERAGE(E99:E118)</f>
        <v>9671.008</v>
      </c>
      <c r="J118" s="7" t="n">
        <f aca="false">AVERAGE(E69:E118)</f>
        <v>9158.888</v>
      </c>
      <c r="K118" s="7" t="n">
        <f aca="false">AVERAGE(E19:E118)</f>
        <v>8829.8</v>
      </c>
      <c r="M118" s="7" t="n">
        <f aca="false">I118</f>
        <v>9671.008</v>
      </c>
      <c r="N118" s="7" t="n">
        <f aca="false">I118+2*STDEV(E99:E118)</f>
        <v>10115.9168811076</v>
      </c>
      <c r="O118" s="7" t="n">
        <f aca="false">I118-2*STDEV(E99:E118)</f>
        <v>9226.09911889239</v>
      </c>
      <c r="P118" s="7" t="n">
        <f aca="false">MAX(E118-E117,0)</f>
        <v>33.1099999999988</v>
      </c>
      <c r="Q118" s="7" t="n">
        <f aca="false">MAX(E117-E118,0)</f>
        <v>0</v>
      </c>
      <c r="R118" s="7" t="n">
        <f aca="false">(R117*13+P118)/14</f>
        <v>78.7011880033728</v>
      </c>
      <c r="S118" s="7" t="n">
        <f aca="false">(S117*13+Q118)/14</f>
        <v>44.9648535450424</v>
      </c>
      <c r="T118" s="7" t="n">
        <f aca="false">IF(S118=0,100,100-100/(1+R118/S118))</f>
        <v>63.6400963578682</v>
      </c>
      <c r="U118" s="7" t="n">
        <f aca="false">E118*2/13+U117*11/13</f>
        <v>9782.20098385929</v>
      </c>
      <c r="V118" s="7" t="n">
        <f aca="false">E118*2/27+V117*25/27</f>
        <v>9559.56259333293</v>
      </c>
      <c r="W118" s="7" t="n">
        <f aca="false">U118-V118</f>
        <v>222.638390526365</v>
      </c>
      <c r="X118" s="7" t="n">
        <f aca="false">W118*2/10+X117*8/10</f>
        <v>233.463932620475</v>
      </c>
      <c r="Y118" s="7" t="n">
        <f aca="false">W118-X118</f>
        <v>-10.8255420941105</v>
      </c>
      <c r="Z118" s="7" t="s">
        <v>78</v>
      </c>
      <c r="AA118" s="7" t="str">
        <f aca="false">IFERROR(INDEX(02_轉折點45!B:B,MATCH(A118,02_轉折點45!A:A,0)),"")</f>
        <v/>
      </c>
      <c r="AB118" s="7" t="n">
        <f aca="false">COUNTIFS(05_訊號明細!A:A,A118,05_訊號明細!C:C,"TOP")</f>
        <v>1</v>
      </c>
      <c r="AC118" s="7" t="n">
        <f aca="false">COUNTIFS(05_訊號明細!A:A,A118,05_訊號明細!C:C,"BOTTOM")</f>
        <v>0</v>
      </c>
    </row>
    <row r="119" customFormat="false" ht="15" hidden="false" customHeight="false" outlineLevel="0" collapsed="false">
      <c r="A119" s="7" t="s">
        <v>160</v>
      </c>
      <c r="B119" s="7" t="n">
        <v>9972.35</v>
      </c>
      <c r="C119" s="7" t="n">
        <v>10018.56</v>
      </c>
      <c r="D119" s="7" t="n">
        <v>9942.11</v>
      </c>
      <c r="E119" s="7" t="n">
        <v>10012.05</v>
      </c>
      <c r="F119" s="7" t="n">
        <v>4335</v>
      </c>
      <c r="G119" s="7" t="n">
        <f aca="false">AVERAGE(E115:E119)</f>
        <v>9876.914</v>
      </c>
      <c r="H119" s="7" t="n">
        <f aca="false">AVERAGE(E110:E119)</f>
        <v>9876.039</v>
      </c>
      <c r="I119" s="7" t="n">
        <f aca="false">AVERAGE(E100:E119)</f>
        <v>9697.3595</v>
      </c>
      <c r="J119" s="7" t="n">
        <f aca="false">AVERAGE(E70:E119)</f>
        <v>9198.1428</v>
      </c>
      <c r="K119" s="7" t="n">
        <f aca="false">AVERAGE(E20:E119)</f>
        <v>8840.3987</v>
      </c>
      <c r="M119" s="7" t="n">
        <f aca="false">I119</f>
        <v>9697.3595</v>
      </c>
      <c r="N119" s="7" t="n">
        <f aca="false">I119+2*STDEV(E100:E119)</f>
        <v>10158.0371845372</v>
      </c>
      <c r="O119" s="7" t="n">
        <f aca="false">I119-2*STDEV(E100:E119)</f>
        <v>9236.68181546283</v>
      </c>
      <c r="P119" s="7" t="n">
        <f aca="false">MAX(E119-E118,0)</f>
        <v>29.5699999999997</v>
      </c>
      <c r="Q119" s="7" t="n">
        <f aca="false">MAX(E118-E119,0)</f>
        <v>0</v>
      </c>
      <c r="R119" s="7" t="n">
        <f aca="false">(R118*13+P119)/14</f>
        <v>75.1918174317033</v>
      </c>
      <c r="S119" s="7" t="n">
        <f aca="false">(S118*13+Q119)/14</f>
        <v>41.7530782918251</v>
      </c>
      <c r="T119" s="7" t="n">
        <f aca="false">IF(S119=0,100,100-100/(1+R119/S119))</f>
        <v>64.2967929181498</v>
      </c>
      <c r="U119" s="7" t="n">
        <f aca="false">E119*2/13+U118*11/13</f>
        <v>9817.56237095786</v>
      </c>
      <c r="V119" s="7" t="n">
        <f aca="false">E119*2/27+V118*25/27</f>
        <v>9593.08017901197</v>
      </c>
      <c r="W119" s="7" t="n">
        <f aca="false">U119-V119</f>
        <v>224.482191945894</v>
      </c>
      <c r="X119" s="7" t="n">
        <f aca="false">W119*2/10+X118*8/10</f>
        <v>231.667584485559</v>
      </c>
      <c r="Y119" s="7" t="n">
        <f aca="false">W119-X119</f>
        <v>-7.1853925396652</v>
      </c>
      <c r="Z119" s="7" t="s">
        <v>78</v>
      </c>
      <c r="AA119" s="7" t="str">
        <f aca="false">IFERROR(INDEX(02_轉折點45!B:B,MATCH(A119,02_轉折點45!A:A,0)),"")</f>
        <v/>
      </c>
      <c r="AB119" s="7" t="n">
        <f aca="false">COUNTIFS(05_訊號明細!A:A,A119,05_訊號明細!C:C,"TOP")</f>
        <v>0</v>
      </c>
      <c r="AC119" s="7" t="n">
        <f aca="false">COUNTIFS(05_訊號明細!A:A,A119,05_訊號明細!C:C,"BOTTOM")</f>
        <v>0</v>
      </c>
    </row>
    <row r="120" customFormat="false" ht="15" hidden="false" customHeight="false" outlineLevel="0" collapsed="false">
      <c r="A120" s="7" t="s">
        <v>161</v>
      </c>
      <c r="B120" s="7" t="n">
        <v>10104.63</v>
      </c>
      <c r="C120" s="7" t="n">
        <v>10121.67</v>
      </c>
      <c r="D120" s="7" t="n">
        <v>9937.81</v>
      </c>
      <c r="E120" s="7" t="n">
        <v>10008.64</v>
      </c>
      <c r="F120" s="7" t="n">
        <v>6094</v>
      </c>
      <c r="G120" s="7" t="n">
        <f aca="false">AVERAGE(E116:E120)</f>
        <v>9945.886</v>
      </c>
      <c r="H120" s="7" t="n">
        <f aca="false">AVERAGE(E111:E120)</f>
        <v>9894.464</v>
      </c>
      <c r="I120" s="7" t="n">
        <f aca="false">AVERAGE(E101:E120)</f>
        <v>9728.892</v>
      </c>
      <c r="J120" s="7" t="n">
        <f aca="false">AVERAGE(E71:E120)</f>
        <v>9233.7248</v>
      </c>
      <c r="K120" s="7" t="n">
        <f aca="false">AVERAGE(E21:E120)</f>
        <v>8849.5758</v>
      </c>
      <c r="M120" s="7" t="n">
        <f aca="false">I120</f>
        <v>9728.892</v>
      </c>
      <c r="N120" s="7" t="n">
        <f aca="false">I120+2*STDEV(E101:E120)</f>
        <v>10183.8243521534</v>
      </c>
      <c r="O120" s="7" t="n">
        <f aca="false">I120-2*STDEV(E101:E120)</f>
        <v>9273.95964784664</v>
      </c>
      <c r="P120" s="7" t="n">
        <f aca="false">MAX(E120-E119,0)</f>
        <v>0</v>
      </c>
      <c r="Q120" s="7" t="n">
        <f aca="false">MAX(E119-E120,0)</f>
        <v>3.40999999999985</v>
      </c>
      <c r="R120" s="7" t="n">
        <f aca="false">(R119*13+P120)/14</f>
        <v>69.8209733294388</v>
      </c>
      <c r="S120" s="7" t="n">
        <f aca="false">(S119*13+Q120)/14</f>
        <v>39.0142869852661</v>
      </c>
      <c r="T120" s="7" t="n">
        <f aca="false">IF(S120=0,100,100-100/(1+R120/S120))</f>
        <v>64.1528978086205</v>
      </c>
      <c r="U120" s="7" t="n">
        <f aca="false">E120*2/13+U119*11/13</f>
        <v>9846.95892927204</v>
      </c>
      <c r="V120" s="7" t="n">
        <f aca="false">E120*2/27+V119*25/27</f>
        <v>9623.86238797404</v>
      </c>
      <c r="W120" s="7" t="n">
        <f aca="false">U120-V120</f>
        <v>223.096541297993</v>
      </c>
      <c r="X120" s="7" t="n">
        <f aca="false">W120*2/10+X119*8/10</f>
        <v>229.953375848046</v>
      </c>
      <c r="Y120" s="7" t="n">
        <f aca="false">W120-X120</f>
        <v>-6.85683455005261</v>
      </c>
      <c r="Z120" s="7" t="s">
        <v>78</v>
      </c>
      <c r="AA120" s="7" t="str">
        <f aca="false">IFERROR(INDEX(02_轉折點45!B:B,MATCH(A120,02_轉折點45!A:A,0)),"")</f>
        <v/>
      </c>
      <c r="AB120" s="7" t="n">
        <f aca="false">COUNTIFS(05_訊號明細!A:A,A120,05_訊號明細!C:C,"TOP")</f>
        <v>0</v>
      </c>
      <c r="AC120" s="7" t="n">
        <f aca="false">COUNTIFS(05_訊號明細!A:A,A120,05_訊號明細!C:C,"BOTTOM")</f>
        <v>0</v>
      </c>
    </row>
    <row r="121" customFormat="false" ht="15" hidden="false" customHeight="false" outlineLevel="0" collapsed="false">
      <c r="A121" s="7" t="s">
        <v>162</v>
      </c>
      <c r="B121" s="7" t="n">
        <v>10009</v>
      </c>
      <c r="C121" s="7" t="n">
        <v>10134.64</v>
      </c>
      <c r="D121" s="7" t="n">
        <v>9989.49</v>
      </c>
      <c r="E121" s="7" t="n">
        <v>10130.33</v>
      </c>
      <c r="F121" s="7" t="n">
        <v>4507</v>
      </c>
      <c r="G121" s="7" t="n">
        <f aca="false">AVERAGE(E117:E121)</f>
        <v>10016.574</v>
      </c>
      <c r="H121" s="7" t="n">
        <f aca="false">AVERAGE(E112:E121)</f>
        <v>9917.345</v>
      </c>
      <c r="I121" s="7" t="n">
        <f aca="false">AVERAGE(E102:E121)</f>
        <v>9764.709</v>
      </c>
      <c r="J121" s="7" t="n">
        <f aca="false">AVERAGE(E72:E121)</f>
        <v>9271.5608</v>
      </c>
      <c r="K121" s="7" t="n">
        <f aca="false">AVERAGE(E22:E121)</f>
        <v>8859.863</v>
      </c>
      <c r="M121" s="7" t="n">
        <f aca="false">I121</f>
        <v>9764.709</v>
      </c>
      <c r="N121" s="7" t="n">
        <f aca="false">I121+2*STDEV(E102:E121)</f>
        <v>10227.9716656047</v>
      </c>
      <c r="O121" s="7" t="n">
        <f aca="false">I121-2*STDEV(E102:E121)</f>
        <v>9301.44633439531</v>
      </c>
      <c r="P121" s="7" t="n">
        <f aca="false">MAX(E121-E120,0)</f>
        <v>121.690000000001</v>
      </c>
      <c r="Q121" s="7" t="n">
        <f aca="false">MAX(E120-E121,0)</f>
        <v>0</v>
      </c>
      <c r="R121" s="7" t="n">
        <f aca="false">(R120*13+P121)/14</f>
        <v>73.5259038059075</v>
      </c>
      <c r="S121" s="7" t="n">
        <f aca="false">(S120*13+Q121)/14</f>
        <v>36.2275522006043</v>
      </c>
      <c r="T121" s="7" t="n">
        <f aca="false">IF(S121=0,100,100-100/(1+R121/S121))</f>
        <v>66.9918802388739</v>
      </c>
      <c r="U121" s="7" t="n">
        <f aca="false">E121*2/13+U120*11/13</f>
        <v>9890.5544786148</v>
      </c>
      <c r="V121" s="7" t="n">
        <f aca="false">E121*2/27+V120*25/27</f>
        <v>9661.37850738337</v>
      </c>
      <c r="W121" s="7" t="n">
        <f aca="false">U121-V121</f>
        <v>229.175971231427</v>
      </c>
      <c r="X121" s="7" t="n">
        <f aca="false">W121*2/10+X120*8/10</f>
        <v>229.797894924722</v>
      </c>
      <c r="Y121" s="7" t="n">
        <f aca="false">W121-X121</f>
        <v>-0.621923693295003</v>
      </c>
      <c r="Z121" s="8" t="s">
        <v>42</v>
      </c>
      <c r="AA121" s="7" t="str">
        <f aca="false">IFERROR(INDEX(02_轉折點45!B:B,MATCH(A121,02_轉折點45!A:A,0)),"")</f>
        <v/>
      </c>
      <c r="AB121" s="7" t="n">
        <f aca="false">COUNTIFS(05_訊號明細!A:A,A121,05_訊號明細!C:C,"TOP")</f>
        <v>1</v>
      </c>
      <c r="AC121" s="7" t="n">
        <f aca="false">COUNTIFS(05_訊號明細!A:A,A121,05_訊號明細!C:C,"BOTTOM")</f>
        <v>0</v>
      </c>
    </row>
    <row r="122" customFormat="false" ht="15" hidden="false" customHeight="false" outlineLevel="0" collapsed="false">
      <c r="A122" s="7" t="s">
        <v>163</v>
      </c>
      <c r="B122" s="7" t="n">
        <v>10192.42</v>
      </c>
      <c r="C122" s="7" t="n">
        <v>10306.9</v>
      </c>
      <c r="D122" s="7" t="n">
        <v>10172.07</v>
      </c>
      <c r="E122" s="7" t="n">
        <v>10209.82</v>
      </c>
      <c r="F122" s="7" t="n">
        <v>5755</v>
      </c>
      <c r="G122" s="7" t="n">
        <f aca="false">AVERAGE(E118:E122)</f>
        <v>10068.664</v>
      </c>
      <c r="H122" s="7" t="n">
        <f aca="false">AVERAGE(E113:E122)</f>
        <v>9941.61</v>
      </c>
      <c r="I122" s="7" t="n">
        <f aca="false">AVERAGE(E103:E122)</f>
        <v>9805.701</v>
      </c>
      <c r="J122" s="7" t="n">
        <f aca="false">AVERAGE(E73:E122)</f>
        <v>9309.1024</v>
      </c>
      <c r="K122" s="7" t="n">
        <f aca="false">AVERAGE(E23:E122)</f>
        <v>8870.6003</v>
      </c>
      <c r="M122" s="7" t="n">
        <f aca="false">I122</f>
        <v>9805.701</v>
      </c>
      <c r="N122" s="7" t="n">
        <f aca="false">I122+2*STDEV(E103:E122)</f>
        <v>10274.4066106657</v>
      </c>
      <c r="O122" s="7" t="n">
        <f aca="false">I122-2*STDEV(E103:E122)</f>
        <v>9336.99538933433</v>
      </c>
      <c r="P122" s="7" t="n">
        <f aca="false">MAX(E122-E121,0)</f>
        <v>79.4899999999998</v>
      </c>
      <c r="Q122" s="7" t="n">
        <f aca="false">MAX(E121-E122,0)</f>
        <v>0</v>
      </c>
      <c r="R122" s="7" t="n">
        <f aca="false">(R121*13+P122)/14</f>
        <v>73.9519106769141</v>
      </c>
      <c r="S122" s="7" t="n">
        <f aca="false">(S121*13+Q122)/14</f>
        <v>33.6398699005611</v>
      </c>
      <c r="T122" s="7" t="n">
        <f aca="false">IF(S122=0,100,100-100/(1+R122/S122))</f>
        <v>68.733792005294</v>
      </c>
      <c r="U122" s="7" t="n">
        <f aca="false">E122*2/13+U121*11/13</f>
        <v>9939.6722511356</v>
      </c>
      <c r="V122" s="7" t="n">
        <f aca="false">E122*2/27+V121*25/27</f>
        <v>9702.00380313275</v>
      </c>
      <c r="W122" s="7" t="n">
        <f aca="false">U122-V122</f>
        <v>237.668448002847</v>
      </c>
      <c r="X122" s="7" t="n">
        <f aca="false">W122*2/10+X121*8/10</f>
        <v>231.372005540347</v>
      </c>
      <c r="Y122" s="7" t="n">
        <f aca="false">W122-X122</f>
        <v>6.29644246250007</v>
      </c>
      <c r="Z122" s="8" t="s">
        <v>42</v>
      </c>
      <c r="AA122" s="7" t="str">
        <f aca="false">IFERROR(INDEX(02_轉折點45!B:B,MATCH(A122,02_轉折點45!A:A,0)),"")</f>
        <v/>
      </c>
      <c r="AB122" s="7" t="n">
        <f aca="false">COUNTIFS(05_訊號明細!A:A,A122,05_訊號明細!C:C,"TOP")</f>
        <v>2</v>
      </c>
      <c r="AC122" s="7" t="n">
        <f aca="false">COUNTIFS(05_訊號明細!A:A,A122,05_訊號明細!C:C,"BOTTOM")</f>
        <v>0</v>
      </c>
    </row>
    <row r="123" customFormat="false" ht="15" hidden="false" customHeight="false" outlineLevel="0" collapsed="false">
      <c r="A123" s="7" t="s">
        <v>164</v>
      </c>
      <c r="B123" s="7" t="n">
        <v>10183.77</v>
      </c>
      <c r="C123" s="7" t="n">
        <v>10232.42</v>
      </c>
      <c r="D123" s="7" t="n">
        <v>9943.24</v>
      </c>
      <c r="E123" s="7" t="n">
        <v>10002.7</v>
      </c>
      <c r="F123" s="7" t="n">
        <v>5589</v>
      </c>
      <c r="G123" s="7" t="n">
        <f aca="false">AVERAGE(E119:E123)</f>
        <v>10072.708</v>
      </c>
      <c r="H123" s="7" t="n">
        <f aca="false">AVERAGE(E114:E123)</f>
        <v>9932.454</v>
      </c>
      <c r="I123" s="7" t="n">
        <f aca="false">AVERAGE(E104:E123)</f>
        <v>9833.7335</v>
      </c>
      <c r="J123" s="7" t="n">
        <f aca="false">AVERAGE(E74:E123)</f>
        <v>9335.3132</v>
      </c>
      <c r="K123" s="7" t="n">
        <f aca="false">AVERAGE(E24:E123)</f>
        <v>8880.7122</v>
      </c>
      <c r="M123" s="7" t="n">
        <f aca="false">I123</f>
        <v>9833.7335</v>
      </c>
      <c r="N123" s="7" t="n">
        <f aca="false">I123+2*STDEV(E104:E123)</f>
        <v>10277.2490358473</v>
      </c>
      <c r="O123" s="7" t="n">
        <f aca="false">I123-2*STDEV(E104:E123)</f>
        <v>9390.21796415272</v>
      </c>
      <c r="P123" s="7" t="n">
        <f aca="false">MAX(E123-E122,0)</f>
        <v>0</v>
      </c>
      <c r="Q123" s="7" t="n">
        <f aca="false">MAX(E122-E123,0)</f>
        <v>207.119999999999</v>
      </c>
      <c r="R123" s="7" t="n">
        <f aca="false">(R122*13+P123)/14</f>
        <v>68.6696313428488</v>
      </c>
      <c r="S123" s="7" t="n">
        <f aca="false">(S122*13+Q123)/14</f>
        <v>46.0313077648067</v>
      </c>
      <c r="T123" s="7" t="n">
        <f aca="false">IF(S123=0,100,100-100/(1+R123/S123))</f>
        <v>59.8684124795152</v>
      </c>
      <c r="U123" s="7" t="n">
        <f aca="false">E123*2/13+U122*11/13</f>
        <v>9949.36882788397</v>
      </c>
      <c r="V123" s="7" t="n">
        <f aca="false">E123*2/27+V122*25/27</f>
        <v>9724.27759549329</v>
      </c>
      <c r="W123" s="7" t="n">
        <f aca="false">U123-V123</f>
        <v>225.09123239068</v>
      </c>
      <c r="X123" s="7" t="n">
        <f aca="false">W123*2/10+X122*8/10</f>
        <v>230.115850910414</v>
      </c>
      <c r="Y123" s="7" t="n">
        <f aca="false">W123-X123</f>
        <v>-5.02461851973393</v>
      </c>
      <c r="Z123" s="7" t="s">
        <v>78</v>
      </c>
      <c r="AA123" s="7" t="str">
        <f aca="false">IFERROR(INDEX(02_轉折點45!B:B,MATCH(A123,02_轉折點45!A:A,0)),"")</f>
        <v/>
      </c>
      <c r="AB123" s="7" t="n">
        <f aca="false">COUNTIFS(05_訊號明細!A:A,A123,05_訊號明細!C:C,"TOP")</f>
        <v>2</v>
      </c>
      <c r="AC123" s="7" t="n">
        <f aca="false">COUNTIFS(05_訊號明細!A:A,A123,05_訊號明細!C:C,"BOTTOM")</f>
        <v>0</v>
      </c>
    </row>
    <row r="124" customFormat="false" ht="15" hidden="false" customHeight="false" outlineLevel="0" collapsed="false">
      <c r="A124" s="7" t="s">
        <v>165</v>
      </c>
      <c r="B124" s="7" t="n">
        <v>10003.5</v>
      </c>
      <c r="C124" s="7" t="n">
        <v>10110.29</v>
      </c>
      <c r="D124" s="7" t="n">
        <v>9901.21</v>
      </c>
      <c r="E124" s="7" t="n">
        <v>10101.83</v>
      </c>
      <c r="F124" s="7" t="n">
        <v>4780</v>
      </c>
      <c r="G124" s="7" t="n">
        <f aca="false">AVERAGE(E120:E124)</f>
        <v>10090.664</v>
      </c>
      <c r="H124" s="7" t="n">
        <f aca="false">AVERAGE(E115:E124)</f>
        <v>9983.789</v>
      </c>
      <c r="I124" s="7" t="n">
        <f aca="false">AVERAGE(E105:E124)</f>
        <v>9867.9895</v>
      </c>
      <c r="J124" s="7" t="n">
        <f aca="false">AVERAGE(E75:E124)</f>
        <v>9365.5106</v>
      </c>
      <c r="K124" s="7" t="n">
        <f aca="false">AVERAGE(E25:E124)</f>
        <v>8890.4682</v>
      </c>
      <c r="M124" s="7" t="n">
        <f aca="false">I124</f>
        <v>9867.9895</v>
      </c>
      <c r="N124" s="7" t="n">
        <f aca="false">I124+2*STDEV(E105:E124)</f>
        <v>10280.6449081976</v>
      </c>
      <c r="O124" s="7" t="n">
        <f aca="false">I124-2*STDEV(E105:E124)</f>
        <v>9455.33409180239</v>
      </c>
      <c r="P124" s="7" t="n">
        <f aca="false">MAX(E124-E123,0)</f>
        <v>99.1299999999992</v>
      </c>
      <c r="Q124" s="7" t="n">
        <f aca="false">MAX(E123-E124,0)</f>
        <v>0</v>
      </c>
      <c r="R124" s="7" t="n">
        <f aca="false">(R123*13+P124)/14</f>
        <v>70.8453719612167</v>
      </c>
      <c r="S124" s="7" t="n">
        <f aca="false">(S123*13+Q124)/14</f>
        <v>42.7433572101776</v>
      </c>
      <c r="T124" s="7" t="n">
        <f aca="false">IF(S124=0,100,100-100/(1+R124/S124))</f>
        <v>62.3700718178807</v>
      </c>
      <c r="U124" s="7" t="n">
        <f aca="false">E124*2/13+U123*11/13</f>
        <v>9972.8243928249</v>
      </c>
      <c r="V124" s="7" t="n">
        <f aca="false">E124*2/27+V123*25/27</f>
        <v>9752.24444027157</v>
      </c>
      <c r="W124" s="7" t="n">
        <f aca="false">U124-V124</f>
        <v>220.579952553333</v>
      </c>
      <c r="X124" s="7" t="n">
        <f aca="false">W124*2/10+X123*8/10</f>
        <v>228.208671238997</v>
      </c>
      <c r="Y124" s="7" t="n">
        <f aca="false">W124-X124</f>
        <v>-7.62871868566441</v>
      </c>
      <c r="Z124" s="8" t="s">
        <v>42</v>
      </c>
      <c r="AA124" s="7" t="str">
        <f aca="false">IFERROR(INDEX(02_轉折點45!B:B,MATCH(A124,02_轉折點45!A:A,0)),"")</f>
        <v/>
      </c>
      <c r="AB124" s="7" t="n">
        <f aca="false">COUNTIFS(05_訊號明細!A:A,A124,05_訊號明細!C:C,"TOP")</f>
        <v>0</v>
      </c>
      <c r="AC124" s="7" t="n">
        <f aca="false">COUNTIFS(05_訊號明細!A:A,A124,05_訊號明細!C:C,"BOTTOM")</f>
        <v>0</v>
      </c>
    </row>
    <row r="125" customFormat="false" ht="15" hidden="false" customHeight="false" outlineLevel="0" collapsed="false">
      <c r="A125" s="7" t="s">
        <v>166</v>
      </c>
      <c r="B125" s="7" t="n">
        <v>10087.08</v>
      </c>
      <c r="C125" s="7" t="n">
        <v>10093.98</v>
      </c>
      <c r="D125" s="7" t="n">
        <v>9837.74</v>
      </c>
      <c r="E125" s="7" t="n">
        <v>9849.36</v>
      </c>
      <c r="F125" s="7" t="n">
        <v>7309</v>
      </c>
      <c r="G125" s="7" t="n">
        <f aca="false">AVERAGE(E121:E125)</f>
        <v>10058.808</v>
      </c>
      <c r="H125" s="7" t="n">
        <f aca="false">AVERAGE(E116:E125)</f>
        <v>10002.347</v>
      </c>
      <c r="I125" s="7" t="n">
        <f aca="false">AVERAGE(E106:E125)</f>
        <v>9882.681</v>
      </c>
      <c r="J125" s="7" t="n">
        <f aca="false">AVERAGE(E76:E125)</f>
        <v>9387.3412</v>
      </c>
      <c r="K125" s="7" t="n">
        <f aca="false">AVERAGE(E26:E125)</f>
        <v>8895.6212</v>
      </c>
      <c r="M125" s="7" t="n">
        <f aca="false">I125</f>
        <v>9882.681</v>
      </c>
      <c r="N125" s="7" t="n">
        <f aca="false">I125+2*STDEV(E106:E125)</f>
        <v>10268.549977976</v>
      </c>
      <c r="O125" s="7" t="n">
        <f aca="false">I125-2*STDEV(E106:E125)</f>
        <v>9496.81202202404</v>
      </c>
      <c r="P125" s="7" t="n">
        <f aca="false">MAX(E125-E124,0)</f>
        <v>0</v>
      </c>
      <c r="Q125" s="7" t="n">
        <f aca="false">MAX(E124-E125,0)</f>
        <v>252.469999999999</v>
      </c>
      <c r="R125" s="7" t="n">
        <f aca="false">(R124*13+P125)/14</f>
        <v>65.7849882497012</v>
      </c>
      <c r="S125" s="7" t="n">
        <f aca="false">(S124*13+Q125)/14</f>
        <v>57.7238316951649</v>
      </c>
      <c r="T125" s="7" t="n">
        <f aca="false">IF(S125=0,100,100-100/(1+R125/S125))</f>
        <v>53.2633930751402</v>
      </c>
      <c r="U125" s="7" t="n">
        <f aca="false">E125*2/13+U124*11/13</f>
        <v>9953.82987085184</v>
      </c>
      <c r="V125" s="7" t="n">
        <f aca="false">E125*2/27+V124*25/27</f>
        <v>9759.43818543663</v>
      </c>
      <c r="W125" s="7" t="n">
        <f aca="false">U125-V125</f>
        <v>194.391685415205</v>
      </c>
      <c r="X125" s="7" t="n">
        <f aca="false">W125*2/10+X124*8/10</f>
        <v>221.445274074239</v>
      </c>
      <c r="Y125" s="7" t="n">
        <f aca="false">W125-X125</f>
        <v>-27.053588659034</v>
      </c>
      <c r="Z125" s="7" t="s">
        <v>78</v>
      </c>
      <c r="AA125" s="7" t="str">
        <f aca="false">IFERROR(INDEX(02_轉折點45!B:B,MATCH(A125,02_轉折點45!A:A,0)),"")</f>
        <v/>
      </c>
      <c r="AB125" s="7" t="n">
        <f aca="false">COUNTIFS(05_訊號明細!A:A,A125,05_訊號明細!C:C,"TOP")</f>
        <v>3</v>
      </c>
      <c r="AC125" s="7" t="n">
        <f aca="false">COUNTIFS(05_訊號明細!A:A,A125,05_訊號明細!C:C,"BOTTOM")</f>
        <v>0</v>
      </c>
    </row>
    <row r="126" customFormat="false" ht="15" hidden="false" customHeight="false" outlineLevel="0" collapsed="false">
      <c r="A126" s="7" t="s">
        <v>167</v>
      </c>
      <c r="B126" s="7" t="n">
        <v>9850.55</v>
      </c>
      <c r="C126" s="7" t="n">
        <v>9965.08</v>
      </c>
      <c r="D126" s="7" t="n">
        <v>9742.89</v>
      </c>
      <c r="E126" s="7" t="n">
        <v>9961.16</v>
      </c>
      <c r="F126" s="7" t="n">
        <v>4336</v>
      </c>
      <c r="G126" s="7" t="n">
        <f aca="false">AVERAGE(E122:E126)</f>
        <v>10024.974</v>
      </c>
      <c r="H126" s="7" t="n">
        <f aca="false">AVERAGE(E117:E126)</f>
        <v>10020.774</v>
      </c>
      <c r="I126" s="7" t="n">
        <f aca="false">AVERAGE(E107:E126)</f>
        <v>9900.7945</v>
      </c>
      <c r="J126" s="7" t="n">
        <f aca="false">AVERAGE(E77:E126)</f>
        <v>9409.9162</v>
      </c>
      <c r="K126" s="7" t="n">
        <f aca="false">AVERAGE(E27:E126)</f>
        <v>8901.558</v>
      </c>
      <c r="M126" s="7" t="n">
        <f aca="false">I126</f>
        <v>9900.7945</v>
      </c>
      <c r="N126" s="7" t="n">
        <f aca="false">I126+2*STDEV(E107:E126)</f>
        <v>10263.9126532794</v>
      </c>
      <c r="O126" s="7" t="n">
        <f aca="false">I126-2*STDEV(E107:E126)</f>
        <v>9537.67634672059</v>
      </c>
      <c r="P126" s="7" t="n">
        <f aca="false">MAX(E126-E125,0)</f>
        <v>111.799999999999</v>
      </c>
      <c r="Q126" s="7" t="n">
        <f aca="false">MAX(E125-E126,0)</f>
        <v>0</v>
      </c>
      <c r="R126" s="7" t="n">
        <f aca="false">(R125*13+P126)/14</f>
        <v>69.0717748032939</v>
      </c>
      <c r="S126" s="7" t="n">
        <f aca="false">(S125*13+Q126)/14</f>
        <v>53.600700859796</v>
      </c>
      <c r="T126" s="7" t="n">
        <f aca="false">IF(S126=0,100,100-100/(1+R126/S126))</f>
        <v>56.3058456511418</v>
      </c>
      <c r="U126" s="7" t="n">
        <f aca="false">E126*2/13+U125*11/13</f>
        <v>9954.95758302848</v>
      </c>
      <c r="V126" s="7" t="n">
        <f aca="false">E126*2/27+V125*25/27</f>
        <v>9774.38054207096</v>
      </c>
      <c r="W126" s="7" t="n">
        <f aca="false">U126-V126</f>
        <v>180.577040957522</v>
      </c>
      <c r="X126" s="7" t="n">
        <f aca="false">W126*2/10+X125*8/10</f>
        <v>213.271627450895</v>
      </c>
      <c r="Y126" s="7" t="n">
        <f aca="false">W126-X126</f>
        <v>-32.6945864933738</v>
      </c>
      <c r="Z126" s="7" t="s">
        <v>78</v>
      </c>
      <c r="AA126" s="7" t="str">
        <f aca="false">IFERROR(INDEX(02_轉折點45!B:B,MATCH(A126,02_轉折點45!A:A,0)),"")</f>
        <v/>
      </c>
      <c r="AB126" s="7" t="n">
        <f aca="false">COUNTIFS(05_訊號明細!A:A,A126,05_訊號明細!C:C,"TOP")</f>
        <v>0</v>
      </c>
      <c r="AC126" s="7" t="n">
        <f aca="false">COUNTIFS(05_訊號明細!A:A,A126,05_訊號明細!C:C,"BOTTOM")</f>
        <v>0</v>
      </c>
    </row>
    <row r="127" customFormat="false" ht="15" hidden="false" customHeight="false" outlineLevel="0" collapsed="false">
      <c r="A127" s="7" t="s">
        <v>168</v>
      </c>
      <c r="B127" s="7" t="n">
        <v>9970.21</v>
      </c>
      <c r="C127" s="7" t="n">
        <v>10185.35</v>
      </c>
      <c r="D127" s="7" t="n">
        <v>9956.83</v>
      </c>
      <c r="E127" s="7" t="n">
        <v>10156.85</v>
      </c>
      <c r="F127" s="7" t="n">
        <v>4510</v>
      </c>
      <c r="G127" s="7" t="n">
        <f aca="false">AVERAGE(E123:E127)</f>
        <v>10014.38</v>
      </c>
      <c r="H127" s="7" t="n">
        <f aca="false">AVERAGE(E118:E127)</f>
        <v>10041.522</v>
      </c>
      <c r="I127" s="7" t="n">
        <f aca="false">AVERAGE(E108:E127)</f>
        <v>9925.7715</v>
      </c>
      <c r="J127" s="7" t="n">
        <f aca="false">AVERAGE(E78:E127)</f>
        <v>9438.523</v>
      </c>
      <c r="K127" s="7" t="n">
        <f aca="false">AVERAGE(E28:E127)</f>
        <v>8908.6673</v>
      </c>
      <c r="M127" s="7" t="n">
        <f aca="false">I127</f>
        <v>9925.7715</v>
      </c>
      <c r="N127" s="7" t="n">
        <f aca="false">I127+2*STDEV(E108:E127)</f>
        <v>10287.0886735849</v>
      </c>
      <c r="O127" s="7" t="n">
        <f aca="false">I127-2*STDEV(E108:E127)</f>
        <v>9564.45432641512</v>
      </c>
      <c r="P127" s="7" t="n">
        <f aca="false">MAX(E127-E126,0)</f>
        <v>195.690000000001</v>
      </c>
      <c r="Q127" s="7" t="n">
        <f aca="false">MAX(E126-E127,0)</f>
        <v>0</v>
      </c>
      <c r="R127" s="7" t="n">
        <f aca="false">(R126*13+P127)/14</f>
        <v>78.1159337459158</v>
      </c>
      <c r="S127" s="7" t="n">
        <f aca="false">(S126*13+Q127)/14</f>
        <v>49.7720793698105</v>
      </c>
      <c r="T127" s="7" t="n">
        <f aca="false">IF(S127=0,100,100-100/(1+R127/S127))</f>
        <v>61.0815133043223</v>
      </c>
      <c r="U127" s="7" t="n">
        <f aca="false">E127*2/13+U126*11/13</f>
        <v>9986.01795487025</v>
      </c>
      <c r="V127" s="7" t="n">
        <f aca="false">E127*2/27+V126*25/27</f>
        <v>9802.71161302866</v>
      </c>
      <c r="W127" s="7" t="n">
        <f aca="false">U127-V127</f>
        <v>183.306341841588</v>
      </c>
      <c r="X127" s="7" t="n">
        <f aca="false">W127*2/10+X126*8/10</f>
        <v>207.278570329034</v>
      </c>
      <c r="Y127" s="7" t="n">
        <f aca="false">W127-X127</f>
        <v>-23.9722284874462</v>
      </c>
      <c r="Z127" s="7" t="s">
        <v>78</v>
      </c>
      <c r="AA127" s="7" t="str">
        <f aca="false">IFERROR(INDEX(02_轉折點45!B:B,MATCH(A127,02_轉折點45!A:A,0)),"")</f>
        <v/>
      </c>
      <c r="AB127" s="7" t="n">
        <f aca="false">COUNTIFS(05_訊號明細!A:A,A127,05_訊號明細!C:C,"TOP")</f>
        <v>1</v>
      </c>
      <c r="AC127" s="7" t="n">
        <f aca="false">COUNTIFS(05_訊號明細!A:A,A127,05_訊號明細!C:C,"BOTTOM")</f>
        <v>0</v>
      </c>
    </row>
    <row r="128" customFormat="false" ht="15" hidden="false" customHeight="false" outlineLevel="0" collapsed="false">
      <c r="A128" s="7" t="s">
        <v>169</v>
      </c>
      <c r="B128" s="7" t="n">
        <v>10160.41</v>
      </c>
      <c r="C128" s="7" t="n">
        <v>10321.77</v>
      </c>
      <c r="D128" s="7" t="n">
        <v>10142.75</v>
      </c>
      <c r="E128" s="7" t="n">
        <v>10279.25</v>
      </c>
      <c r="F128" s="7" t="n">
        <v>4624</v>
      </c>
      <c r="G128" s="7" t="n">
        <f aca="false">AVERAGE(E124:E128)</f>
        <v>10069.69</v>
      </c>
      <c r="H128" s="7" t="n">
        <f aca="false">AVERAGE(E119:E128)</f>
        <v>10071.199</v>
      </c>
      <c r="I128" s="7" t="n">
        <f aca="false">AVERAGE(E109:E128)</f>
        <v>9954.4995</v>
      </c>
      <c r="J128" s="7" t="n">
        <f aca="false">AVERAGE(E79:E128)</f>
        <v>9476.048</v>
      </c>
      <c r="K128" s="7" t="n">
        <f aca="false">AVERAGE(E29:E128)</f>
        <v>8917.4488</v>
      </c>
      <c r="M128" s="7" t="n">
        <f aca="false">I128</f>
        <v>9954.4995</v>
      </c>
      <c r="N128" s="7" t="n">
        <f aca="false">I128+2*STDEV(E109:E128)</f>
        <v>10332.7717593151</v>
      </c>
      <c r="O128" s="7" t="n">
        <f aca="false">I128-2*STDEV(E109:E128)</f>
        <v>9576.22724068488</v>
      </c>
      <c r="P128" s="7" t="n">
        <f aca="false">MAX(E128-E127,0)</f>
        <v>122.4</v>
      </c>
      <c r="Q128" s="7" t="n">
        <f aca="false">MAX(E127-E128,0)</f>
        <v>0</v>
      </c>
      <c r="R128" s="7" t="n">
        <f aca="false">(R127*13+P128)/14</f>
        <v>81.2790813354932</v>
      </c>
      <c r="S128" s="7" t="n">
        <f aca="false">(S127*13+Q128)/14</f>
        <v>46.2169308433955</v>
      </c>
      <c r="T128" s="7" t="n">
        <f aca="false">IF(S128=0,100,100-100/(1+R128/S128))</f>
        <v>63.7502930063814</v>
      </c>
      <c r="U128" s="7" t="n">
        <f aca="false">E128*2/13+U127*11/13</f>
        <v>10031.1305771979</v>
      </c>
      <c r="V128" s="7" t="n">
        <f aca="false">E128*2/27+V127*25/27</f>
        <v>9838.01075280432</v>
      </c>
      <c r="W128" s="7" t="n">
        <f aca="false">U128-V128</f>
        <v>193.119824393587</v>
      </c>
      <c r="X128" s="7" t="n">
        <f aca="false">W128*2/10+X127*8/10</f>
        <v>204.446821141944</v>
      </c>
      <c r="Y128" s="7" t="n">
        <f aca="false">W128-X128</f>
        <v>-11.3269967483576</v>
      </c>
      <c r="Z128" s="7" t="s">
        <v>78</v>
      </c>
      <c r="AA128" s="7" t="str">
        <f aca="false">IFERROR(INDEX(02_轉折點45!B:B,MATCH(A128,02_轉折點45!A:A,0)),"")</f>
        <v/>
      </c>
      <c r="AB128" s="7" t="n">
        <f aca="false">COUNTIFS(05_訊號明細!A:A,A128,05_訊號明細!C:C,"TOP")</f>
        <v>2</v>
      </c>
      <c r="AC128" s="7" t="n">
        <f aca="false">COUNTIFS(05_訊號明細!A:A,A128,05_訊號明細!C:C,"BOTTOM")</f>
        <v>0</v>
      </c>
    </row>
    <row r="129" customFormat="false" ht="15" hidden="false" customHeight="false" outlineLevel="0" collapsed="false">
      <c r="A129" s="7" t="s">
        <v>170</v>
      </c>
      <c r="B129" s="7" t="n">
        <v>10386.38</v>
      </c>
      <c r="C129" s="7" t="n">
        <v>10432.55</v>
      </c>
      <c r="D129" s="7" t="n">
        <v>10328.78</v>
      </c>
      <c r="E129" s="7" t="n">
        <v>10341.89</v>
      </c>
      <c r="F129" s="7" t="n">
        <v>4039</v>
      </c>
      <c r="G129" s="7" t="n">
        <f aca="false">AVERAGE(E125:E129)</f>
        <v>10117.702</v>
      </c>
      <c r="H129" s="7" t="n">
        <f aca="false">AVERAGE(E120:E129)</f>
        <v>10104.183</v>
      </c>
      <c r="I129" s="7" t="n">
        <f aca="false">AVERAGE(E110:E129)</f>
        <v>9990.111</v>
      </c>
      <c r="J129" s="7" t="n">
        <f aca="false">AVERAGE(E80:E129)</f>
        <v>9509.593</v>
      </c>
      <c r="K129" s="7" t="n">
        <f aca="false">AVERAGE(E30:E129)</f>
        <v>8925.6993</v>
      </c>
      <c r="M129" s="7" t="n">
        <f aca="false">I129</f>
        <v>9990.111</v>
      </c>
      <c r="N129" s="7" t="n">
        <f aca="false">I129+2*STDEV(E110:E129)</f>
        <v>10373.685368108</v>
      </c>
      <c r="O129" s="7" t="n">
        <f aca="false">I129-2*STDEV(E110:E129)</f>
        <v>9606.53663189197</v>
      </c>
      <c r="P129" s="7" t="n">
        <f aca="false">MAX(E129-E128,0)</f>
        <v>62.6399999999994</v>
      </c>
      <c r="Q129" s="7" t="n">
        <f aca="false">MAX(E128-E129,0)</f>
        <v>0</v>
      </c>
      <c r="R129" s="7" t="n">
        <f aca="false">(R128*13+P129)/14</f>
        <v>79.9477183829579</v>
      </c>
      <c r="S129" s="7" t="n">
        <f aca="false">(S128*13+Q129)/14</f>
        <v>42.9157214974387</v>
      </c>
      <c r="T129" s="7" t="n">
        <f aca="false">IF(S129=0,100,100-100/(1+R129/S129))</f>
        <v>65.0703890927882</v>
      </c>
      <c r="U129" s="7" t="n">
        <f aca="false">E129*2/13+U128*11/13</f>
        <v>10078.9397191675</v>
      </c>
      <c r="V129" s="7" t="n">
        <f aca="false">E129*2/27+V128*25/27</f>
        <v>9875.33514148548</v>
      </c>
      <c r="W129" s="7" t="n">
        <f aca="false">U129-V129</f>
        <v>203.604577681976</v>
      </c>
      <c r="X129" s="7" t="n">
        <f aca="false">W129*2/10+X128*8/10</f>
        <v>204.278372449951</v>
      </c>
      <c r="Y129" s="7" t="n">
        <f aca="false">W129-X129</f>
        <v>-0.673794767975096</v>
      </c>
      <c r="Z129" s="7" t="s">
        <v>78</v>
      </c>
      <c r="AA129" s="7" t="str">
        <f aca="false">IFERROR(INDEX(02_轉折點45!B:B,MATCH(A129,02_轉折點45!A:A,0)),"")</f>
        <v/>
      </c>
      <c r="AB129" s="7" t="n">
        <f aca="false">COUNTIFS(05_訊號明細!A:A,A129,05_訊號明細!C:C,"TOP")</f>
        <v>1</v>
      </c>
      <c r="AC129" s="7" t="n">
        <f aca="false">COUNTIFS(05_訊號明細!A:A,A129,05_訊號明細!C:C,"BOTTOM")</f>
        <v>0</v>
      </c>
    </row>
    <row r="130" customFormat="false" ht="15" hidden="false" customHeight="false" outlineLevel="0" collapsed="false">
      <c r="A130" s="7" t="s">
        <v>171</v>
      </c>
      <c r="B130" s="7" t="n">
        <v>10487.7</v>
      </c>
      <c r="C130" s="7" t="n">
        <v>10625.1</v>
      </c>
      <c r="D130" s="7" t="n">
        <v>10485.82</v>
      </c>
      <c r="E130" s="7" t="n">
        <v>10604.06</v>
      </c>
      <c r="F130" s="7" t="n">
        <v>4570</v>
      </c>
      <c r="G130" s="7" t="n">
        <f aca="false">AVERAGE(E126:E130)</f>
        <v>10268.642</v>
      </c>
      <c r="H130" s="7" t="n">
        <f aca="false">AVERAGE(E121:E130)</f>
        <v>10163.725</v>
      </c>
      <c r="I130" s="7" t="n">
        <f aca="false">AVERAGE(E111:E130)</f>
        <v>10029.0945</v>
      </c>
      <c r="J130" s="7" t="n">
        <f aca="false">AVERAGE(E81:E130)</f>
        <v>9548.8442</v>
      </c>
      <c r="K130" s="7" t="n">
        <f aca="false">AVERAGE(E31:E130)</f>
        <v>8936.5613</v>
      </c>
      <c r="M130" s="7" t="n">
        <f aca="false">I130</f>
        <v>10029.0945</v>
      </c>
      <c r="N130" s="7" t="n">
        <f aca="false">I130+2*STDEV(E111:E130)</f>
        <v>10492.0233486184</v>
      </c>
      <c r="O130" s="7" t="n">
        <f aca="false">I130-2*STDEV(E111:E130)</f>
        <v>9566.1656513816</v>
      </c>
      <c r="P130" s="7" t="n">
        <f aca="false">MAX(E130-E129,0)</f>
        <v>262.17</v>
      </c>
      <c r="Q130" s="7" t="n">
        <f aca="false">MAX(E129-E130,0)</f>
        <v>0</v>
      </c>
      <c r="R130" s="7" t="n">
        <f aca="false">(R129*13+P130)/14</f>
        <v>92.9635956413181</v>
      </c>
      <c r="S130" s="7" t="n">
        <f aca="false">(S129*13+Q130)/14</f>
        <v>39.8503128190502</v>
      </c>
      <c r="T130" s="7" t="n">
        <f aca="false">IF(S130=0,100,100-100/(1+R130/S130))</f>
        <v>69.9953767786741</v>
      </c>
      <c r="U130" s="7" t="n">
        <f aca="false">E130*2/13+U129*11/13</f>
        <v>10159.7274546802</v>
      </c>
      <c r="V130" s="7" t="n">
        <f aca="false">E130*2/27+V129*25/27</f>
        <v>9929.31476063471</v>
      </c>
      <c r="W130" s="7" t="n">
        <f aca="false">U130-V130</f>
        <v>230.41269404545</v>
      </c>
      <c r="X130" s="7" t="n">
        <f aca="false">W130*2/10+X129*8/10</f>
        <v>209.505236769051</v>
      </c>
      <c r="Y130" s="7" t="n">
        <f aca="false">W130-X130</f>
        <v>20.9074572763993</v>
      </c>
      <c r="Z130" s="8" t="s">
        <v>42</v>
      </c>
      <c r="AA130" s="7" t="str">
        <f aca="false">IFERROR(INDEX(02_轉折點45!B:B,MATCH(A130,02_轉折點45!A:A,0)),"")</f>
        <v/>
      </c>
      <c r="AB130" s="7" t="n">
        <f aca="false">COUNTIFS(05_訊號明細!A:A,A130,05_訊號明細!C:C,"TOP")</f>
        <v>2</v>
      </c>
      <c r="AC130" s="7" t="n">
        <f aca="false">COUNTIFS(05_訊號明細!A:A,A130,05_訊號明細!C:C,"BOTTOM")</f>
        <v>0</v>
      </c>
    </row>
    <row r="131" customFormat="false" ht="15" hidden="false" customHeight="false" outlineLevel="0" collapsed="false">
      <c r="A131" s="7" t="s">
        <v>172</v>
      </c>
      <c r="B131" s="7" t="n">
        <v>10595.94</v>
      </c>
      <c r="C131" s="7" t="n">
        <v>10704.93</v>
      </c>
      <c r="D131" s="7" t="n">
        <v>10516.63</v>
      </c>
      <c r="E131" s="7" t="n">
        <v>10524.01</v>
      </c>
      <c r="F131" s="7" t="n">
        <v>4337</v>
      </c>
      <c r="G131" s="7" t="n">
        <f aca="false">AVERAGE(E127:E131)</f>
        <v>10381.212</v>
      </c>
      <c r="H131" s="7" t="n">
        <f aca="false">AVERAGE(E122:E131)</f>
        <v>10203.093</v>
      </c>
      <c r="I131" s="7" t="n">
        <f aca="false">AVERAGE(E112:E131)</f>
        <v>10060.219</v>
      </c>
      <c r="J131" s="7" t="n">
        <f aca="false">AVERAGE(E82:E131)</f>
        <v>9583.5924</v>
      </c>
      <c r="K131" s="7" t="n">
        <f aca="false">AVERAGE(E32:E131)</f>
        <v>8945.6694</v>
      </c>
      <c r="M131" s="7" t="n">
        <f aca="false">I131</f>
        <v>10060.219</v>
      </c>
      <c r="N131" s="7" t="n">
        <f aca="false">I131+2*STDEV(E112:E131)</f>
        <v>10568.5146503495</v>
      </c>
      <c r="O131" s="7" t="n">
        <f aca="false">I131-2*STDEV(E112:E131)</f>
        <v>9551.92334965051</v>
      </c>
      <c r="P131" s="7" t="n">
        <f aca="false">MAX(E131-E130,0)</f>
        <v>0</v>
      </c>
      <c r="Q131" s="7" t="n">
        <f aca="false">MAX(E130-E131,0)</f>
        <v>80.0499999999993</v>
      </c>
      <c r="R131" s="7" t="n">
        <f aca="false">(R130*13+P131)/14</f>
        <v>86.3233388097954</v>
      </c>
      <c r="S131" s="7" t="n">
        <f aca="false">(S130*13+Q131)/14</f>
        <v>42.7217190462608</v>
      </c>
      <c r="T131" s="7" t="n">
        <f aca="false">IF(S131=0,100,100-100/(1+R131/S131))</f>
        <v>66.8939518056438</v>
      </c>
      <c r="U131" s="7" t="n">
        <f aca="false">E131*2/13+U130*11/13</f>
        <v>10215.7709231909</v>
      </c>
      <c r="V131" s="7" t="n">
        <f aca="false">E131*2/27+V130*25/27</f>
        <v>9973.36625984695</v>
      </c>
      <c r="W131" s="7" t="n">
        <f aca="false">U131-V131</f>
        <v>242.40466334395</v>
      </c>
      <c r="X131" s="7" t="n">
        <f aca="false">W131*2/10+X130*8/10</f>
        <v>216.08512208403</v>
      </c>
      <c r="Y131" s="7" t="n">
        <f aca="false">W131-X131</f>
        <v>26.3195412599198</v>
      </c>
      <c r="Z131" s="8" t="s">
        <v>42</v>
      </c>
      <c r="AA131" s="7" t="str">
        <f aca="false">IFERROR(INDEX(02_轉折點45!B:B,MATCH(A131,02_轉折點45!A:A,0)),"")</f>
        <v/>
      </c>
      <c r="AB131" s="7" t="n">
        <f aca="false">COUNTIFS(05_訊號明細!A:A,A131,05_訊號明細!C:C,"TOP")</f>
        <v>0</v>
      </c>
      <c r="AC131" s="7" t="n">
        <f aca="false">COUNTIFS(05_訊號明細!A:A,A131,05_訊號明細!C:C,"BOTTOM")</f>
        <v>0</v>
      </c>
    </row>
    <row r="132" customFormat="false" ht="15" hidden="false" customHeight="false" outlineLevel="0" collapsed="false">
      <c r="A132" s="7" t="s">
        <v>173</v>
      </c>
      <c r="B132" s="7" t="n">
        <v>10594.41</v>
      </c>
      <c r="C132" s="7" t="n">
        <v>10669.13</v>
      </c>
      <c r="D132" s="7" t="n">
        <v>10528.82</v>
      </c>
      <c r="E132" s="7" t="n">
        <v>10666.7</v>
      </c>
      <c r="F132" s="7" t="n">
        <v>4030</v>
      </c>
      <c r="G132" s="7" t="n">
        <f aca="false">AVERAGE(E128:E132)</f>
        <v>10483.182</v>
      </c>
      <c r="H132" s="7" t="n">
        <f aca="false">AVERAGE(E123:E132)</f>
        <v>10248.781</v>
      </c>
      <c r="I132" s="7" t="n">
        <f aca="false">AVERAGE(E113:E132)</f>
        <v>10095.1955</v>
      </c>
      <c r="J132" s="7" t="n">
        <f aca="false">AVERAGE(E83:E132)</f>
        <v>9620.1732</v>
      </c>
      <c r="K132" s="7" t="n">
        <f aca="false">AVERAGE(E33:E132)</f>
        <v>8956.3794</v>
      </c>
      <c r="M132" s="7" t="n">
        <f aca="false">I132</f>
        <v>10095.1955</v>
      </c>
      <c r="N132" s="7" t="n">
        <f aca="false">I132+2*STDEV(E113:E132)</f>
        <v>10668.6293303854</v>
      </c>
      <c r="O132" s="7" t="n">
        <f aca="false">I132-2*STDEV(E113:E132)</f>
        <v>9521.76166961455</v>
      </c>
      <c r="P132" s="7" t="n">
        <f aca="false">MAX(E132-E131,0)</f>
        <v>142.690000000001</v>
      </c>
      <c r="Q132" s="7" t="n">
        <f aca="false">MAX(E131-E132,0)</f>
        <v>0</v>
      </c>
      <c r="R132" s="7" t="n">
        <f aca="false">(R131*13+P132)/14</f>
        <v>90.34952889481</v>
      </c>
      <c r="S132" s="7" t="n">
        <f aca="false">(S131*13+Q132)/14</f>
        <v>39.6701676858136</v>
      </c>
      <c r="T132" s="7" t="n">
        <f aca="false">IF(S132=0,100,100-100/(1+R132/S132))</f>
        <v>69.4891091664603</v>
      </c>
      <c r="U132" s="7" t="n">
        <f aca="false">E132*2/13+U131*11/13</f>
        <v>10285.1446273154</v>
      </c>
      <c r="V132" s="7" t="n">
        <f aca="false">E132*2/27+V131*25/27</f>
        <v>10024.7243146731</v>
      </c>
      <c r="W132" s="7" t="n">
        <f aca="false">U132-V132</f>
        <v>260.420312642274</v>
      </c>
      <c r="X132" s="7" t="n">
        <f aca="false">W132*2/10+X131*8/10</f>
        <v>224.952160195679</v>
      </c>
      <c r="Y132" s="7" t="n">
        <f aca="false">W132-X132</f>
        <v>35.4681524465952</v>
      </c>
      <c r="Z132" s="8" t="s">
        <v>42</v>
      </c>
      <c r="AA132" s="7" t="str">
        <f aca="false">IFERROR(INDEX(02_轉折點45!B:B,MATCH(A132,02_轉折點45!A:A,0)),"")</f>
        <v/>
      </c>
      <c r="AB132" s="7" t="n">
        <f aca="false">COUNTIFS(05_訊號明細!A:A,A132,05_訊號明細!C:C,"TOP")</f>
        <v>0</v>
      </c>
      <c r="AC132" s="7" t="n">
        <f aca="false">COUNTIFS(05_訊號明細!A:A,A132,05_訊號明細!C:C,"BOTTOM")</f>
        <v>0</v>
      </c>
    </row>
    <row r="133" customFormat="false" ht="15" hidden="false" customHeight="false" outlineLevel="0" collapsed="false">
      <c r="A133" s="7" t="s">
        <v>174</v>
      </c>
      <c r="B133" s="7" t="n">
        <v>10745.87</v>
      </c>
      <c r="C133" s="7" t="n">
        <v>10785.96</v>
      </c>
      <c r="D133" s="7" t="n">
        <v>10574.97</v>
      </c>
      <c r="E133" s="7" t="n">
        <v>10754.59</v>
      </c>
      <c r="F133" s="7" t="n">
        <v>4013</v>
      </c>
      <c r="G133" s="7" t="n">
        <f aca="false">AVERAGE(E129:E133)</f>
        <v>10578.25</v>
      </c>
      <c r="H133" s="7" t="n">
        <f aca="false">AVERAGE(E124:E133)</f>
        <v>10323.97</v>
      </c>
      <c r="I133" s="7" t="n">
        <f aca="false">AVERAGE(E114:E133)</f>
        <v>10128.212</v>
      </c>
      <c r="J133" s="7" t="n">
        <f aca="false">AVERAGE(E84:E133)</f>
        <v>9661.713</v>
      </c>
      <c r="K133" s="7" t="n">
        <f aca="false">AVERAGE(E34:E133)</f>
        <v>8967.6895</v>
      </c>
      <c r="M133" s="7" t="n">
        <f aca="false">I133</f>
        <v>10128.212</v>
      </c>
      <c r="N133" s="7" t="n">
        <f aca="false">I133+2*STDEV(E114:E133)</f>
        <v>10773.0169310442</v>
      </c>
      <c r="O133" s="7" t="n">
        <f aca="false">I133-2*STDEV(E114:E133)</f>
        <v>9483.40706895577</v>
      </c>
      <c r="P133" s="7" t="n">
        <f aca="false">MAX(E133-E132,0)</f>
        <v>87.8899999999994</v>
      </c>
      <c r="Q133" s="7" t="n">
        <f aca="false">MAX(E132-E133,0)</f>
        <v>0</v>
      </c>
      <c r="R133" s="7" t="n">
        <f aca="false">(R132*13+P133)/14</f>
        <v>90.1738482594664</v>
      </c>
      <c r="S133" s="7" t="n">
        <f aca="false">(S132*13+Q133)/14</f>
        <v>36.8365842796841</v>
      </c>
      <c r="T133" s="7" t="n">
        <f aca="false">IF(S133=0,100,100-100/(1+R133/S133))</f>
        <v>70.9971979913309</v>
      </c>
      <c r="U133" s="7" t="n">
        <f aca="false">E133*2/13+U132*11/13</f>
        <v>10357.3669923438</v>
      </c>
      <c r="V133" s="7" t="n">
        <f aca="false">E133*2/27+V132*25/27</f>
        <v>10078.7884395121</v>
      </c>
      <c r="W133" s="7" t="n">
        <f aca="false">U133-V133</f>
        <v>278.578552831648</v>
      </c>
      <c r="X133" s="7" t="n">
        <f aca="false">W133*2/10+X132*8/10</f>
        <v>235.677438722873</v>
      </c>
      <c r="Y133" s="7" t="n">
        <f aca="false">W133-X133</f>
        <v>42.9011141087752</v>
      </c>
      <c r="Z133" s="8" t="s">
        <v>42</v>
      </c>
      <c r="AA133" s="7" t="str">
        <f aca="false">IFERROR(INDEX(02_轉折點45!B:B,MATCH(A133,02_轉折點45!A:A,0)),"")</f>
        <v/>
      </c>
      <c r="AB133" s="7" t="n">
        <f aca="false">COUNTIFS(05_訊號明細!A:A,A133,05_訊號明細!C:C,"TOP")</f>
        <v>0</v>
      </c>
      <c r="AC133" s="7" t="n">
        <f aca="false">COUNTIFS(05_訊號明細!A:A,A133,05_訊號明細!C:C,"BOTTOM")</f>
        <v>0</v>
      </c>
    </row>
    <row r="134" customFormat="false" ht="15" hidden="false" customHeight="false" outlineLevel="0" collapsed="false">
      <c r="A134" s="7" t="s">
        <v>175</v>
      </c>
      <c r="B134" s="7" t="n">
        <v>10751.77</v>
      </c>
      <c r="C134" s="7" t="n">
        <v>10842.78</v>
      </c>
      <c r="D134" s="7" t="n">
        <v>10639.48</v>
      </c>
      <c r="E134" s="7" t="n">
        <v>10836.33</v>
      </c>
      <c r="F134" s="7" t="n">
        <v>3538</v>
      </c>
      <c r="G134" s="7" t="n">
        <f aca="false">AVERAGE(E130:E134)</f>
        <v>10677.138</v>
      </c>
      <c r="H134" s="7" t="n">
        <f aca="false">AVERAGE(E125:E134)</f>
        <v>10397.42</v>
      </c>
      <c r="I134" s="7" t="n">
        <f aca="false">AVERAGE(E115:E134)</f>
        <v>10190.6045</v>
      </c>
      <c r="J134" s="7" t="n">
        <f aca="false">AVERAGE(E85:E134)</f>
        <v>9698.7844</v>
      </c>
      <c r="K134" s="7" t="n">
        <f aca="false">AVERAGE(E35:E134)</f>
        <v>8979.7548</v>
      </c>
      <c r="M134" s="7" t="n">
        <f aca="false">I134</f>
        <v>10190.6045</v>
      </c>
      <c r="N134" s="7" t="n">
        <f aca="false">I134+2*STDEV(E115:E134)</f>
        <v>10856.6513822909</v>
      </c>
      <c r="O134" s="7" t="n">
        <f aca="false">I134-2*STDEV(E115:E134)</f>
        <v>9524.55761770907</v>
      </c>
      <c r="P134" s="7" t="n">
        <f aca="false">MAX(E134-E133,0)</f>
        <v>81.7399999999998</v>
      </c>
      <c r="Q134" s="7" t="n">
        <f aca="false">MAX(E133-E134,0)</f>
        <v>0</v>
      </c>
      <c r="R134" s="7" t="n">
        <f aca="false">(R133*13+P134)/14</f>
        <v>89.5714305266474</v>
      </c>
      <c r="S134" s="7" t="n">
        <f aca="false">(S133*13+Q134)/14</f>
        <v>34.2053996882781</v>
      </c>
      <c r="T134" s="7" t="n">
        <f aca="false">IF(S134=0,100,100-100/(1+R134/S134))</f>
        <v>72.3652644611403</v>
      </c>
      <c r="U134" s="7" t="n">
        <f aca="false">E134*2/13+U133*11/13</f>
        <v>10431.0536089063</v>
      </c>
      <c r="V134" s="7" t="n">
        <f aca="false">E134*2/27+V133*25/27</f>
        <v>10134.9026291779</v>
      </c>
      <c r="W134" s="7" t="n">
        <f aca="false">U134-V134</f>
        <v>296.150979728376</v>
      </c>
      <c r="X134" s="7" t="n">
        <f aca="false">W134*2/10+X133*8/10</f>
        <v>247.772146923974</v>
      </c>
      <c r="Y134" s="7" t="n">
        <f aca="false">W134-X134</f>
        <v>48.3788328044025</v>
      </c>
      <c r="Z134" s="8" t="s">
        <v>42</v>
      </c>
      <c r="AA134" s="7" t="str">
        <f aca="false">IFERROR(INDEX(02_轉折點45!B:B,MATCH(A134,02_轉折點45!A:A,0)),"")</f>
        <v/>
      </c>
      <c r="AB134" s="7" t="n">
        <f aca="false">COUNTIFS(05_訊號明細!A:A,A134,05_訊號明細!C:C,"TOP")</f>
        <v>0</v>
      </c>
      <c r="AC134" s="7" t="n">
        <f aca="false">COUNTIFS(05_訊號明細!A:A,A134,05_訊號明細!C:C,"BOTTOM")</f>
        <v>0</v>
      </c>
    </row>
    <row r="135" customFormat="false" ht="15" hidden="false" customHeight="false" outlineLevel="0" collapsed="false">
      <c r="A135" s="7" t="s">
        <v>176</v>
      </c>
      <c r="B135" s="7" t="n">
        <v>10951.54</v>
      </c>
      <c r="C135" s="7" t="n">
        <v>11069.26</v>
      </c>
      <c r="D135" s="7" t="n">
        <v>10574.56</v>
      </c>
      <c r="E135" s="7" t="n">
        <v>10602.21</v>
      </c>
      <c r="F135" s="7" t="n">
        <v>4852</v>
      </c>
      <c r="G135" s="7" t="n">
        <f aca="false">AVERAGE(E131:E135)</f>
        <v>10676.768</v>
      </c>
      <c r="H135" s="7" t="n">
        <f aca="false">AVERAGE(E126:E135)</f>
        <v>10472.705</v>
      </c>
      <c r="I135" s="7" t="n">
        <f aca="false">AVERAGE(E116:E135)</f>
        <v>10237.526</v>
      </c>
      <c r="J135" s="7" t="n">
        <f aca="false">AVERAGE(E86:E135)</f>
        <v>9730.8184</v>
      </c>
      <c r="K135" s="7" t="n">
        <f aca="false">AVERAGE(E36:E135)</f>
        <v>8988.5896</v>
      </c>
      <c r="M135" s="7" t="n">
        <f aca="false">I135</f>
        <v>10237.526</v>
      </c>
      <c r="N135" s="7" t="n">
        <f aca="false">I135+2*STDEV(E116:E135)</f>
        <v>10879.0751325944</v>
      </c>
      <c r="O135" s="7" t="n">
        <f aca="false">I135-2*STDEV(E116:E135)</f>
        <v>9595.9768674056</v>
      </c>
      <c r="P135" s="7" t="n">
        <f aca="false">MAX(E135-E134,0)</f>
        <v>0</v>
      </c>
      <c r="Q135" s="7" t="n">
        <f aca="false">MAX(E134-E135,0)</f>
        <v>234.120000000001</v>
      </c>
      <c r="R135" s="7" t="n">
        <f aca="false">(R134*13+P135)/14</f>
        <v>83.1734712033154</v>
      </c>
      <c r="S135" s="7" t="n">
        <f aca="false">(S134*13+Q135)/14</f>
        <v>48.4850139962583</v>
      </c>
      <c r="T135" s="7" t="n">
        <f aca="false">IF(S135=0,100,100-100/(1+R135/S135))</f>
        <v>63.1736504314458</v>
      </c>
      <c r="U135" s="7" t="n">
        <f aca="false">E135*2/13+U134*11/13</f>
        <v>10457.3853613822</v>
      </c>
      <c r="V135" s="7" t="n">
        <f aca="false">E135*2/27+V134*25/27</f>
        <v>10169.5179899795</v>
      </c>
      <c r="W135" s="7" t="n">
        <f aca="false">U135-V135</f>
        <v>287.867371402695</v>
      </c>
      <c r="X135" s="7" t="n">
        <f aca="false">W135*2/10+X134*8/10</f>
        <v>255.791191819718</v>
      </c>
      <c r="Y135" s="7" t="n">
        <f aca="false">W135-X135</f>
        <v>32.0761795829774</v>
      </c>
      <c r="Z135" s="7" t="s">
        <v>78</v>
      </c>
      <c r="AA135" s="7" t="str">
        <f aca="false">IFERROR(INDEX(02_轉折點45!B:B,MATCH(A135,02_轉折點45!A:A,0)),"")</f>
        <v/>
      </c>
      <c r="AB135" s="7" t="n">
        <f aca="false">COUNTIFS(05_訊號明細!A:A,A135,05_訊號明細!C:C,"TOP")</f>
        <v>1</v>
      </c>
      <c r="AC135" s="7" t="n">
        <f aca="false">COUNTIFS(05_訊號明細!A:A,A135,05_訊號明細!C:C,"BOTTOM")</f>
        <v>0</v>
      </c>
    </row>
    <row r="136" customFormat="false" ht="15" hidden="false" customHeight="false" outlineLevel="0" collapsed="false">
      <c r="A136" s="7" t="s">
        <v>177</v>
      </c>
      <c r="B136" s="7" t="n">
        <v>10502.85</v>
      </c>
      <c r="C136" s="7" t="n">
        <v>10701.88</v>
      </c>
      <c r="D136" s="7" t="n">
        <v>10370.79</v>
      </c>
      <c r="E136" s="7" t="n">
        <v>10689.52</v>
      </c>
      <c r="F136" s="7" t="n">
        <v>4462</v>
      </c>
      <c r="G136" s="7" t="n">
        <f aca="false">AVERAGE(E132:E136)</f>
        <v>10709.87</v>
      </c>
      <c r="H136" s="7" t="n">
        <f aca="false">AVERAGE(E127:E136)</f>
        <v>10545.541</v>
      </c>
      <c r="I136" s="7" t="n">
        <f aca="false">AVERAGE(E117:E136)</f>
        <v>10283.1575</v>
      </c>
      <c r="J136" s="7" t="n">
        <f aca="false">AVERAGE(E87:E136)</f>
        <v>9770.2452</v>
      </c>
      <c r="K136" s="7" t="n">
        <f aca="false">AVERAGE(E37:E136)</f>
        <v>8999.2065</v>
      </c>
      <c r="M136" s="7" t="n">
        <f aca="false">I136</f>
        <v>10283.1575</v>
      </c>
      <c r="N136" s="7" t="n">
        <f aca="false">I136+2*STDEV(E117:E136)</f>
        <v>10916.5275175668</v>
      </c>
      <c r="O136" s="7" t="n">
        <f aca="false">I136-2*STDEV(E117:E136)</f>
        <v>9649.78748243315</v>
      </c>
      <c r="P136" s="7" t="n">
        <f aca="false">MAX(E136-E135,0)</f>
        <v>87.3100000000013</v>
      </c>
      <c r="Q136" s="7" t="n">
        <f aca="false">MAX(E135-E136,0)</f>
        <v>0</v>
      </c>
      <c r="R136" s="7" t="n">
        <f aca="false">(R135*13+P136)/14</f>
        <v>83.4689375459359</v>
      </c>
      <c r="S136" s="7" t="n">
        <f aca="false">(S135*13+Q136)/14</f>
        <v>45.0217987108113</v>
      </c>
      <c r="T136" s="7" t="n">
        <f aca="false">IF(S136=0,100,100-100/(1+R136/S136))</f>
        <v>64.9610547636292</v>
      </c>
      <c r="U136" s="7" t="n">
        <f aca="false">E136*2/13+U135*11/13</f>
        <v>10493.098382708</v>
      </c>
      <c r="V136" s="7" t="n">
        <f aca="false">E136*2/27+V135*25/27</f>
        <v>10208.0366573885</v>
      </c>
      <c r="W136" s="7" t="n">
        <f aca="false">U136-V136</f>
        <v>285.061725319583</v>
      </c>
      <c r="X136" s="7" t="n">
        <f aca="false">W136*2/10+X135*8/10</f>
        <v>261.645298519691</v>
      </c>
      <c r="Y136" s="7" t="n">
        <f aca="false">W136-X136</f>
        <v>23.4164267998922</v>
      </c>
      <c r="Z136" s="8" t="s">
        <v>42</v>
      </c>
      <c r="AA136" s="7" t="str">
        <f aca="false">IFERROR(INDEX(02_轉折點45!B:B,MATCH(A136,02_轉折點45!A:A,0)),"")</f>
        <v/>
      </c>
      <c r="AB136" s="7" t="n">
        <f aca="false">COUNTIFS(05_訊號明細!A:A,A136,05_訊號明細!C:C,"TOP")</f>
        <v>0</v>
      </c>
      <c r="AC136" s="7" t="n">
        <f aca="false">COUNTIFS(05_訊號明細!A:A,A136,05_訊號明細!C:C,"BOTTOM")</f>
        <v>0</v>
      </c>
    </row>
    <row r="137" customFormat="false" ht="15" hidden="false" customHeight="false" outlineLevel="0" collapsed="false">
      <c r="A137" s="7" t="s">
        <v>178</v>
      </c>
      <c r="B137" s="7" t="n">
        <v>10752.11</v>
      </c>
      <c r="C137" s="7" t="n">
        <v>10780.4</v>
      </c>
      <c r="D137" s="7" t="n">
        <v>10570.96</v>
      </c>
      <c r="E137" s="7" t="n">
        <v>10701.68</v>
      </c>
      <c r="F137" s="7" t="n">
        <v>4647</v>
      </c>
      <c r="G137" s="7" t="n">
        <f aca="false">AVERAGE(E133:E137)</f>
        <v>10716.866</v>
      </c>
      <c r="H137" s="7" t="n">
        <f aca="false">AVERAGE(E128:E137)</f>
        <v>10600.024</v>
      </c>
      <c r="I137" s="7" t="n">
        <f aca="false">AVERAGE(E118:E137)</f>
        <v>10320.773</v>
      </c>
      <c r="J137" s="7" t="n">
        <f aca="false">AVERAGE(E88:E137)</f>
        <v>9807.5966</v>
      </c>
      <c r="K137" s="7" t="n">
        <f aca="false">AVERAGE(E38:E137)</f>
        <v>9011.7564</v>
      </c>
      <c r="M137" s="7" t="n">
        <f aca="false">I137</f>
        <v>10320.773</v>
      </c>
      <c r="N137" s="7" t="n">
        <f aca="false">I137+2*STDEV(E118:E137)</f>
        <v>10960.0072412309</v>
      </c>
      <c r="O137" s="7" t="n">
        <f aca="false">I137-2*STDEV(E118:E137)</f>
        <v>9681.53875876905</v>
      </c>
      <c r="P137" s="7" t="n">
        <f aca="false">MAX(E137-E136,0)</f>
        <v>12.1599999999999</v>
      </c>
      <c r="Q137" s="7" t="n">
        <f aca="false">MAX(E136-E137,0)</f>
        <v>0</v>
      </c>
      <c r="R137" s="7" t="n">
        <f aca="false">(R136*13+P137)/14</f>
        <v>78.3754420069404</v>
      </c>
      <c r="S137" s="7" t="n">
        <f aca="false">(S136*13+Q137)/14</f>
        <v>41.8059559457533</v>
      </c>
      <c r="T137" s="7" t="n">
        <f aca="false">IF(S137=0,100,100-100/(1+R137/S137))</f>
        <v>65.2142871875986</v>
      </c>
      <c r="U137" s="7" t="n">
        <f aca="false">E137*2/13+U136*11/13</f>
        <v>10525.1878622914</v>
      </c>
      <c r="V137" s="7" t="n">
        <f aca="false">E137*2/27+V136*25/27</f>
        <v>10244.6028309152</v>
      </c>
      <c r="W137" s="7" t="n">
        <f aca="false">U137-V137</f>
        <v>280.58503137618</v>
      </c>
      <c r="X137" s="7" t="n">
        <f aca="false">W137*2/10+X136*8/10</f>
        <v>265.433245090989</v>
      </c>
      <c r="Y137" s="7" t="n">
        <f aca="false">W137-X137</f>
        <v>15.1517862851914</v>
      </c>
      <c r="Z137" s="8" t="s">
        <v>42</v>
      </c>
      <c r="AA137" s="7" t="str">
        <f aca="false">IFERROR(INDEX(02_轉折點45!B:B,MATCH(A137,02_轉折點45!A:A,0)),"")</f>
        <v/>
      </c>
      <c r="AB137" s="7" t="n">
        <f aca="false">COUNTIFS(05_訊號明細!A:A,A137,05_訊號明細!C:C,"TOP")</f>
        <v>0</v>
      </c>
      <c r="AC137" s="7" t="n">
        <f aca="false">COUNTIFS(05_訊號明細!A:A,A137,05_訊號明細!C:C,"BOTTOM")</f>
        <v>1</v>
      </c>
    </row>
    <row r="138" customFormat="false" ht="15" hidden="false" customHeight="false" outlineLevel="0" collapsed="false">
      <c r="A138" s="7" t="s">
        <v>179</v>
      </c>
      <c r="B138" s="7" t="n">
        <v>10589.86</v>
      </c>
      <c r="C138" s="7" t="n">
        <v>10658.9</v>
      </c>
      <c r="D138" s="7" t="n">
        <v>10495.09</v>
      </c>
      <c r="E138" s="7" t="n">
        <v>10626.46</v>
      </c>
      <c r="F138" s="7" t="n">
        <v>4278</v>
      </c>
      <c r="G138" s="7" t="n">
        <f aca="false">AVERAGE(E134:E138)</f>
        <v>10691.24</v>
      </c>
      <c r="H138" s="7" t="n">
        <f aca="false">AVERAGE(E129:E138)</f>
        <v>10634.745</v>
      </c>
      <c r="I138" s="7" t="n">
        <f aca="false">AVERAGE(E119:E138)</f>
        <v>10352.972</v>
      </c>
      <c r="J138" s="7" t="n">
        <f aca="false">AVERAGE(E89:E138)</f>
        <v>9841.5134</v>
      </c>
      <c r="K138" s="7" t="n">
        <f aca="false">AVERAGE(E39:E138)</f>
        <v>9027.2247</v>
      </c>
      <c r="M138" s="7" t="n">
        <f aca="false">I138</f>
        <v>10352.972</v>
      </c>
      <c r="N138" s="7" t="n">
        <f aca="false">I138+2*STDEV(E119:E138)</f>
        <v>10985.2966747843</v>
      </c>
      <c r="O138" s="7" t="n">
        <f aca="false">I138-2*STDEV(E119:E138)</f>
        <v>9720.64732521571</v>
      </c>
      <c r="P138" s="7" t="n">
        <f aca="false">MAX(E138-E137,0)</f>
        <v>0</v>
      </c>
      <c r="Q138" s="7" t="n">
        <f aca="false">MAX(E137-E138,0)</f>
        <v>75.2200000000012</v>
      </c>
      <c r="R138" s="7" t="n">
        <f aca="false">(R137*13+P138)/14</f>
        <v>72.7771961493018</v>
      </c>
      <c r="S138" s="7" t="n">
        <f aca="false">(S137*13+Q138)/14</f>
        <v>44.1926733781996</v>
      </c>
      <c r="T138" s="7" t="n">
        <f aca="false">IF(S138=0,100,100-100/(1+R138/S138))</f>
        <v>62.2187546615932</v>
      </c>
      <c r="U138" s="7" t="n">
        <f aca="false">E138*2/13+U137*11/13</f>
        <v>10540.7681911697</v>
      </c>
      <c r="V138" s="7" t="n">
        <f aca="false">E138*2/27+V137*25/27</f>
        <v>10272.8885471437</v>
      </c>
      <c r="W138" s="7" t="n">
        <f aca="false">U138-V138</f>
        <v>267.879644025923</v>
      </c>
      <c r="X138" s="7" t="n">
        <f aca="false">W138*2/10+X137*8/10</f>
        <v>265.922524877976</v>
      </c>
      <c r="Y138" s="7" t="n">
        <f aca="false">W138-X138</f>
        <v>1.95711914794725</v>
      </c>
      <c r="Z138" s="7" t="s">
        <v>78</v>
      </c>
      <c r="AA138" s="7" t="str">
        <f aca="false">IFERROR(INDEX(02_轉折點45!B:B,MATCH(A138,02_轉折點45!A:A,0)),"")</f>
        <v/>
      </c>
      <c r="AB138" s="7" t="n">
        <f aca="false">COUNTIFS(05_訊號明細!A:A,A138,05_訊號明細!C:C,"TOP")</f>
        <v>1</v>
      </c>
      <c r="AC138" s="7" t="n">
        <f aca="false">COUNTIFS(05_訊號明細!A:A,A138,05_訊號明細!C:C,"BOTTOM")</f>
        <v>0</v>
      </c>
    </row>
    <row r="139" customFormat="false" ht="15" hidden="false" customHeight="false" outlineLevel="0" collapsed="false">
      <c r="A139" s="7" t="s">
        <v>180</v>
      </c>
      <c r="B139" s="7" t="n">
        <v>10651.6</v>
      </c>
      <c r="C139" s="7" t="n">
        <v>10680.7</v>
      </c>
      <c r="D139" s="7" t="n">
        <v>10558.78</v>
      </c>
      <c r="E139" s="7" t="n">
        <v>10645.22</v>
      </c>
      <c r="F139" s="7" t="n">
        <v>4361</v>
      </c>
      <c r="G139" s="7" t="n">
        <f aca="false">AVERAGE(E135:E139)</f>
        <v>10653.018</v>
      </c>
      <c r="H139" s="7" t="n">
        <f aca="false">AVERAGE(E130:E139)</f>
        <v>10665.078</v>
      </c>
      <c r="I139" s="7" t="n">
        <f aca="false">AVERAGE(E120:E139)</f>
        <v>10384.6305</v>
      </c>
      <c r="J139" s="7" t="n">
        <f aca="false">AVERAGE(E90:E139)</f>
        <v>9874.7206</v>
      </c>
      <c r="K139" s="7" t="n">
        <f aca="false">AVERAGE(E40:E139)</f>
        <v>9045.3282</v>
      </c>
      <c r="M139" s="7" t="n">
        <f aca="false">I139</f>
        <v>10384.6305</v>
      </c>
      <c r="N139" s="7" t="n">
        <f aca="false">I139+2*STDEV(E120:E139)</f>
        <v>11008.4303530391</v>
      </c>
      <c r="O139" s="7" t="n">
        <f aca="false">I139-2*STDEV(E120:E139)</f>
        <v>9760.83064696092</v>
      </c>
      <c r="P139" s="7" t="n">
        <f aca="false">MAX(E139-E138,0)</f>
        <v>18.7600000000002</v>
      </c>
      <c r="Q139" s="7" t="n">
        <f aca="false">MAX(E138-E139,0)</f>
        <v>0</v>
      </c>
      <c r="R139" s="7" t="n">
        <f aca="false">(R138*13+P139)/14</f>
        <v>68.9188249957803</v>
      </c>
      <c r="S139" s="7" t="n">
        <f aca="false">(S138*13+Q139)/14</f>
        <v>41.0360538511853</v>
      </c>
      <c r="T139" s="7" t="n">
        <f aca="false">IF(S139=0,100,100-100/(1+R139/S139))</f>
        <v>62.6791877891121</v>
      </c>
      <c r="U139" s="7" t="n">
        <f aca="false">E139*2/13+U138*11/13</f>
        <v>10556.8377002205</v>
      </c>
      <c r="V139" s="7" t="n">
        <f aca="false">E139*2/27+V138*25/27</f>
        <v>10300.4686547627</v>
      </c>
      <c r="W139" s="7" t="n">
        <f aca="false">U139-V139</f>
        <v>256.369045457763</v>
      </c>
      <c r="X139" s="7" t="n">
        <f aca="false">W139*2/10+X138*8/10</f>
        <v>264.011828993933</v>
      </c>
      <c r="Y139" s="7" t="n">
        <f aca="false">W139-X139</f>
        <v>-7.64278353617044</v>
      </c>
      <c r="Z139" s="7" t="s">
        <v>78</v>
      </c>
      <c r="AA139" s="7" t="str">
        <f aca="false">IFERROR(INDEX(02_轉折點45!B:B,MATCH(A139,02_轉折點45!A:A,0)),"")</f>
        <v/>
      </c>
      <c r="AB139" s="7" t="n">
        <f aca="false">COUNTIFS(05_訊號明細!A:A,A139,05_訊號明細!C:C,"TOP")</f>
        <v>1</v>
      </c>
      <c r="AC139" s="7" t="n">
        <f aca="false">COUNTIFS(05_訊號明細!A:A,A139,05_訊號明細!C:C,"BOTTOM")</f>
        <v>0</v>
      </c>
    </row>
    <row r="140" customFormat="false" ht="15" hidden="false" customHeight="false" outlineLevel="0" collapsed="false">
      <c r="A140" s="7" t="s">
        <v>181</v>
      </c>
      <c r="B140" s="7" t="n">
        <v>10672.96</v>
      </c>
      <c r="C140" s="7" t="n">
        <v>10971.52</v>
      </c>
      <c r="D140" s="7" t="n">
        <v>10621.9</v>
      </c>
      <c r="E140" s="7" t="n">
        <v>10952.08</v>
      </c>
      <c r="F140" s="7" t="n">
        <v>4315</v>
      </c>
      <c r="G140" s="7" t="n">
        <f aca="false">AVERAGE(E136:E140)</f>
        <v>10722.992</v>
      </c>
      <c r="H140" s="7" t="n">
        <f aca="false">AVERAGE(E131:E140)</f>
        <v>10699.88</v>
      </c>
      <c r="I140" s="7" t="n">
        <f aca="false">AVERAGE(E121:E140)</f>
        <v>10431.8025</v>
      </c>
      <c r="J140" s="7" t="n">
        <f aca="false">AVERAGE(E91:E140)</f>
        <v>9911.7246</v>
      </c>
      <c r="K140" s="7" t="n">
        <f aca="false">AVERAGE(E41:E140)</f>
        <v>9066.1114</v>
      </c>
      <c r="M140" s="7" t="n">
        <f aca="false">I140</f>
        <v>10431.8025</v>
      </c>
      <c r="N140" s="7" t="n">
        <f aca="false">I140+2*STDEV(E121:E140)</f>
        <v>11078.1649282943</v>
      </c>
      <c r="O140" s="7" t="n">
        <f aca="false">I140-2*STDEV(E121:E140)</f>
        <v>9785.44007170568</v>
      </c>
      <c r="P140" s="7" t="n">
        <f aca="false">MAX(E140-E139,0)</f>
        <v>306.860000000001</v>
      </c>
      <c r="Q140" s="7" t="n">
        <f aca="false">MAX(E139-E140,0)</f>
        <v>0</v>
      </c>
      <c r="R140" s="7" t="n">
        <f aca="false">(R139*13+P140)/14</f>
        <v>85.9146232103675</v>
      </c>
      <c r="S140" s="7" t="n">
        <f aca="false">(S139*13+Q140)/14</f>
        <v>38.1049071475292</v>
      </c>
      <c r="T140" s="7" t="n">
        <f aca="false">IF(S140=0,100,100-100/(1+R140/S140))</f>
        <v>69.2750754356465</v>
      </c>
      <c r="U140" s="7" t="n">
        <f aca="false">E140*2/13+U139*11/13</f>
        <v>10617.6442078789</v>
      </c>
      <c r="V140" s="7" t="n">
        <f aca="false">E140*2/27+V139*25/27</f>
        <v>10348.7361618173</v>
      </c>
      <c r="W140" s="7" t="n">
        <f aca="false">U140-V140</f>
        <v>268.908046061537</v>
      </c>
      <c r="X140" s="7" t="n">
        <f aca="false">W140*2/10+X139*8/10</f>
        <v>264.991072407454</v>
      </c>
      <c r="Y140" s="7" t="n">
        <f aca="false">W140-X140</f>
        <v>3.91697365408299</v>
      </c>
      <c r="Z140" s="8" t="s">
        <v>42</v>
      </c>
      <c r="AA140" s="7" t="str">
        <f aca="false">IFERROR(INDEX(02_轉折點45!B:B,MATCH(A140,02_轉折點45!A:A,0)),"")</f>
        <v/>
      </c>
      <c r="AB140" s="7" t="n">
        <f aca="false">COUNTIFS(05_訊號明細!A:A,A140,05_訊號明細!C:C,"TOP")</f>
        <v>0</v>
      </c>
      <c r="AC140" s="7" t="n">
        <f aca="false">COUNTIFS(05_訊號明細!A:A,A140,05_訊號明細!C:C,"BOTTOM")</f>
        <v>0</v>
      </c>
    </row>
    <row r="141" customFormat="false" ht="15" hidden="false" customHeight="false" outlineLevel="0" collapsed="false">
      <c r="A141" s="7" t="s">
        <v>182</v>
      </c>
      <c r="B141" s="7" t="n">
        <v>11015.54</v>
      </c>
      <c r="C141" s="7" t="n">
        <v>11017.43</v>
      </c>
      <c r="D141" s="7" t="n">
        <v>10800.87</v>
      </c>
      <c r="E141" s="7" t="n">
        <v>10833.07</v>
      </c>
      <c r="F141" s="7" t="n">
        <v>5351</v>
      </c>
      <c r="G141" s="7" t="n">
        <f aca="false">AVERAGE(E137:E141)</f>
        <v>10751.702</v>
      </c>
      <c r="H141" s="7" t="n">
        <f aca="false">AVERAGE(E132:E141)</f>
        <v>10730.786</v>
      </c>
      <c r="I141" s="7" t="n">
        <f aca="false">AVERAGE(E122:E141)</f>
        <v>10466.9395</v>
      </c>
      <c r="J141" s="7" t="n">
        <f aca="false">AVERAGE(E92:E141)</f>
        <v>9943.979</v>
      </c>
      <c r="K141" s="7" t="n">
        <f aca="false">AVERAGE(E42:E141)</f>
        <v>9090.0754</v>
      </c>
      <c r="M141" s="7" t="n">
        <f aca="false">I141</f>
        <v>10466.9395</v>
      </c>
      <c r="N141" s="7" t="n">
        <f aca="false">I141+2*STDEV(E122:E141)</f>
        <v>11120.6598022209</v>
      </c>
      <c r="O141" s="7" t="n">
        <f aca="false">I141-2*STDEV(E122:E141)</f>
        <v>9813.2191977791</v>
      </c>
      <c r="P141" s="7" t="n">
        <f aca="false">MAX(E141-E140,0)</f>
        <v>0</v>
      </c>
      <c r="Q141" s="7" t="n">
        <f aca="false">MAX(E140-E141,0)</f>
        <v>119.01</v>
      </c>
      <c r="R141" s="7" t="n">
        <f aca="false">(R140*13+P141)/14</f>
        <v>79.7778644096269</v>
      </c>
      <c r="S141" s="7" t="n">
        <f aca="false">(S140*13+Q141)/14</f>
        <v>43.8838423512772</v>
      </c>
      <c r="T141" s="7" t="n">
        <f aca="false">IF(S141=0,100,100-100/(1+R141/S141))</f>
        <v>64.5129899135832</v>
      </c>
      <c r="U141" s="7" t="n">
        <f aca="false">E141*2/13+U140*11/13</f>
        <v>10650.786637436</v>
      </c>
      <c r="V141" s="7" t="n">
        <f aca="false">E141*2/27+V140*25/27</f>
        <v>10384.6127424235</v>
      </c>
      <c r="W141" s="7" t="n">
        <f aca="false">U141-V141</f>
        <v>266.173895012509</v>
      </c>
      <c r="X141" s="7" t="n">
        <f aca="false">W141*2/10+X140*8/10</f>
        <v>265.227636928465</v>
      </c>
      <c r="Y141" s="7" t="n">
        <f aca="false">W141-X141</f>
        <v>0.946258084044189</v>
      </c>
      <c r="Z141" s="8" t="s">
        <v>42</v>
      </c>
      <c r="AA141" s="7" t="str">
        <f aca="false">IFERROR(INDEX(02_轉折點45!B:B,MATCH(A141,02_轉折點45!A:A,0)),"")</f>
        <v/>
      </c>
      <c r="AB141" s="7" t="n">
        <f aca="false">COUNTIFS(05_訊號明細!A:A,A141,05_訊號明細!C:C,"TOP")</f>
        <v>0</v>
      </c>
      <c r="AC141" s="7" t="n">
        <f aca="false">COUNTIFS(05_訊號明細!A:A,A141,05_訊號明細!C:C,"BOTTOM")</f>
        <v>0</v>
      </c>
    </row>
    <row r="142" customFormat="false" ht="15" hidden="false" customHeight="false" outlineLevel="0" collapsed="false">
      <c r="A142" s="7" t="s">
        <v>183</v>
      </c>
      <c r="B142" s="7" t="n">
        <v>10850.92</v>
      </c>
      <c r="C142" s="7" t="n">
        <v>10910.24</v>
      </c>
      <c r="D142" s="7" t="n">
        <v>10776.24</v>
      </c>
      <c r="E142" s="7" t="n">
        <v>10870.75</v>
      </c>
      <c r="F142" s="7" t="n">
        <v>4129</v>
      </c>
      <c r="G142" s="7" t="n">
        <f aca="false">AVERAGE(E138:E142)</f>
        <v>10785.516</v>
      </c>
      <c r="H142" s="7" t="n">
        <f aca="false">AVERAGE(E133:E142)</f>
        <v>10751.191</v>
      </c>
      <c r="I142" s="7" t="n">
        <f aca="false">AVERAGE(E123:E142)</f>
        <v>10499.986</v>
      </c>
      <c r="J142" s="7" t="n">
        <f aca="false">AVERAGE(E93:E142)</f>
        <v>9975.4156</v>
      </c>
      <c r="K142" s="7" t="n">
        <f aca="false">AVERAGE(E43:E142)</f>
        <v>9114.1646</v>
      </c>
      <c r="M142" s="7" t="n">
        <f aca="false">I142</f>
        <v>10499.986</v>
      </c>
      <c r="N142" s="7" t="n">
        <f aca="false">I142+2*STDEV(E123:E142)</f>
        <v>11165.6909557748</v>
      </c>
      <c r="O142" s="7" t="n">
        <f aca="false">I142-2*STDEV(E123:E142)</f>
        <v>9834.28104422518</v>
      </c>
      <c r="P142" s="7" t="n">
        <f aca="false">MAX(E142-E141,0)</f>
        <v>37.6800000000003</v>
      </c>
      <c r="Q142" s="7" t="n">
        <f aca="false">MAX(E141-E142,0)</f>
        <v>0</v>
      </c>
      <c r="R142" s="7" t="n">
        <f aca="false">(R141*13+P142)/14</f>
        <v>76.7708740946536</v>
      </c>
      <c r="S142" s="7" t="n">
        <f aca="false">(S141*13+Q142)/14</f>
        <v>40.7492821833288</v>
      </c>
      <c r="T142" s="7" t="n">
        <f aca="false">IF(S142=0,100,100-100/(1+R142/S142))</f>
        <v>65.3257079688183</v>
      </c>
      <c r="U142" s="7" t="n">
        <f aca="false">E142*2/13+U141*11/13</f>
        <v>10684.6271547535</v>
      </c>
      <c r="V142" s="7" t="n">
        <f aca="false">E142*2/27+V141*25/27</f>
        <v>10420.6229096514</v>
      </c>
      <c r="W142" s="7" t="n">
        <f aca="false">U142-V142</f>
        <v>264.00424510216</v>
      </c>
      <c r="X142" s="7" t="n">
        <f aca="false">W142*2/10+X141*8/10</f>
        <v>264.982958563204</v>
      </c>
      <c r="Y142" s="7" t="n">
        <f aca="false">W142-X142</f>
        <v>-0.978713461043924</v>
      </c>
      <c r="Z142" s="8" t="s">
        <v>42</v>
      </c>
      <c r="AA142" s="7" t="str">
        <f aca="false">IFERROR(INDEX(02_轉折點45!B:B,MATCH(A142,02_轉折點45!A:A,0)),"")</f>
        <v/>
      </c>
      <c r="AB142" s="7" t="n">
        <f aca="false">COUNTIFS(05_訊號明細!A:A,A142,05_訊號明細!C:C,"TOP")</f>
        <v>0</v>
      </c>
      <c r="AC142" s="7" t="n">
        <f aca="false">COUNTIFS(05_訊號明細!A:A,A142,05_訊號明細!C:C,"BOTTOM")</f>
        <v>0</v>
      </c>
    </row>
    <row r="143" customFormat="false" ht="15" hidden="false" customHeight="false" outlineLevel="0" collapsed="false">
      <c r="A143" s="7" t="s">
        <v>184</v>
      </c>
      <c r="B143" s="7" t="n">
        <v>10853.16</v>
      </c>
      <c r="C143" s="7" t="n">
        <v>10885.38</v>
      </c>
      <c r="D143" s="7" t="n">
        <v>10531.22</v>
      </c>
      <c r="E143" s="7" t="n">
        <v>10580.59</v>
      </c>
      <c r="F143" s="7" t="n">
        <v>4502</v>
      </c>
      <c r="G143" s="7" t="n">
        <f aca="false">AVERAGE(E139:E143)</f>
        <v>10776.342</v>
      </c>
      <c r="H143" s="7" t="n">
        <f aca="false">AVERAGE(E134:E143)</f>
        <v>10733.791</v>
      </c>
      <c r="I143" s="7" t="n">
        <f aca="false">AVERAGE(E124:E143)</f>
        <v>10528.8805</v>
      </c>
      <c r="J143" s="7" t="n">
        <f aca="false">AVERAGE(E94:E143)</f>
        <v>10004.7784</v>
      </c>
      <c r="K143" s="7" t="n">
        <f aca="false">AVERAGE(E44:E143)</f>
        <v>9131.1907</v>
      </c>
      <c r="M143" s="7" t="n">
        <f aca="false">I143</f>
        <v>10528.8805</v>
      </c>
      <c r="N143" s="7" t="n">
        <f aca="false">I143+2*STDEV(E124:E143)</f>
        <v>11152.5420926328</v>
      </c>
      <c r="O143" s="7" t="n">
        <f aca="false">I143-2*STDEV(E124:E143)</f>
        <v>9905.21890736721</v>
      </c>
      <c r="P143" s="7" t="n">
        <f aca="false">MAX(E143-E142,0)</f>
        <v>0</v>
      </c>
      <c r="Q143" s="7" t="n">
        <f aca="false">MAX(E142-E143,0)</f>
        <v>290.16</v>
      </c>
      <c r="R143" s="7" t="n">
        <f aca="false">(R142*13+P143)/14</f>
        <v>71.2872402307498</v>
      </c>
      <c r="S143" s="7" t="n">
        <f aca="false">(S142*13+Q143)/14</f>
        <v>58.5643334559482</v>
      </c>
      <c r="T143" s="7" t="n">
        <f aca="false">IF(S143=0,100,100-100/(1+R143/S143))</f>
        <v>54.8990190929449</v>
      </c>
      <c r="U143" s="7" t="n">
        <f aca="false">E143*2/13+U142*11/13</f>
        <v>10668.6214386376</v>
      </c>
      <c r="V143" s="7" t="n">
        <f aca="false">E143*2/27+V142*25/27</f>
        <v>10432.4723237513</v>
      </c>
      <c r="W143" s="7" t="n">
        <f aca="false">U143-V143</f>
        <v>236.149114886335</v>
      </c>
      <c r="X143" s="7" t="n">
        <f aca="false">W143*2/10+X142*8/10</f>
        <v>259.21618982783</v>
      </c>
      <c r="Y143" s="7" t="n">
        <f aca="false">W143-X143</f>
        <v>-23.067074941495</v>
      </c>
      <c r="Z143" s="7" t="s">
        <v>78</v>
      </c>
      <c r="AA143" s="7" t="str">
        <f aca="false">IFERROR(INDEX(02_轉折點45!B:B,MATCH(A143,02_轉折點45!A:A,0)),"")</f>
        <v/>
      </c>
      <c r="AB143" s="7" t="n">
        <f aca="false">COUNTIFS(05_訊號明細!A:A,A143,05_訊號明細!C:C,"TOP")</f>
        <v>1</v>
      </c>
      <c r="AC143" s="7" t="n">
        <f aca="false">COUNTIFS(05_訊號明細!A:A,A143,05_訊號明細!C:C,"BOTTOM")</f>
        <v>0</v>
      </c>
    </row>
    <row r="144" customFormat="false" ht="15" hidden="false" customHeight="false" outlineLevel="0" collapsed="false">
      <c r="A144" s="7" t="s">
        <v>185</v>
      </c>
      <c r="B144" s="7" t="n">
        <v>10389.54</v>
      </c>
      <c r="C144" s="7" t="n">
        <v>10543.42</v>
      </c>
      <c r="D144" s="7" t="n">
        <v>10313.94</v>
      </c>
      <c r="E144" s="7" t="n">
        <v>10483.13</v>
      </c>
      <c r="F144" s="7" t="n">
        <v>4233</v>
      </c>
      <c r="G144" s="7" t="n">
        <f aca="false">AVERAGE(E140:E144)</f>
        <v>10743.924</v>
      </c>
      <c r="H144" s="7" t="n">
        <f aca="false">AVERAGE(E135:E144)</f>
        <v>10698.471</v>
      </c>
      <c r="I144" s="7" t="n">
        <f aca="false">AVERAGE(E125:E144)</f>
        <v>10547.9455</v>
      </c>
      <c r="J144" s="7" t="n">
        <f aca="false">AVERAGE(E95:E144)</f>
        <v>10034.4394</v>
      </c>
      <c r="K144" s="7" t="n">
        <f aca="false">AVERAGE(E45:E144)</f>
        <v>9150.0771</v>
      </c>
      <c r="M144" s="7" t="n">
        <f aca="false">I144</f>
        <v>10547.9455</v>
      </c>
      <c r="N144" s="7" t="n">
        <f aca="false">I144+2*STDEV(E125:E144)</f>
        <v>11139.1052805732</v>
      </c>
      <c r="O144" s="7" t="n">
        <f aca="false">I144-2*STDEV(E125:E144)</f>
        <v>9956.78571942679</v>
      </c>
      <c r="P144" s="7" t="n">
        <f aca="false">MAX(E144-E143,0)</f>
        <v>0</v>
      </c>
      <c r="Q144" s="7" t="n">
        <f aca="false">MAX(E143-E144,0)</f>
        <v>97.460000000001</v>
      </c>
      <c r="R144" s="7" t="n">
        <f aca="false">(R143*13+P144)/14</f>
        <v>66.1952944999819</v>
      </c>
      <c r="S144" s="7" t="n">
        <f aca="false">(S143*13+Q144)/14</f>
        <v>61.3425953519519</v>
      </c>
      <c r="T144" s="7" t="n">
        <f aca="false">IF(S144=0,100,100-100/(1+R144/S144))</f>
        <v>51.9024539114077</v>
      </c>
      <c r="U144" s="7" t="n">
        <f aca="false">E144*2/13+U143*11/13</f>
        <v>10640.0842942318</v>
      </c>
      <c r="V144" s="7" t="n">
        <f aca="false">E144*2/27+V143*25/27</f>
        <v>10436.2247442141</v>
      </c>
      <c r="W144" s="7" t="n">
        <f aca="false">U144-V144</f>
        <v>203.859550017683</v>
      </c>
      <c r="X144" s="7" t="n">
        <f aca="false">W144*2/10+X143*8/10</f>
        <v>248.144861865801</v>
      </c>
      <c r="Y144" s="7" t="n">
        <f aca="false">W144-X144</f>
        <v>-44.2853118481174</v>
      </c>
      <c r="Z144" s="7" t="s">
        <v>78</v>
      </c>
      <c r="AA144" s="7" t="str">
        <f aca="false">IFERROR(INDEX(02_轉折點45!B:B,MATCH(A144,02_轉折點45!A:A,0)),"")</f>
        <v/>
      </c>
      <c r="AB144" s="7" t="n">
        <f aca="false">COUNTIFS(05_訊號明細!A:A,A144,05_訊號明細!C:C,"TOP")</f>
        <v>0</v>
      </c>
      <c r="AC144" s="7" t="n">
        <f aca="false">COUNTIFS(05_訊號明細!A:A,A144,05_訊號明細!C:C,"BOTTOM")</f>
        <v>0</v>
      </c>
    </row>
    <row r="145" customFormat="false" ht="15" hidden="false" customHeight="false" outlineLevel="0" collapsed="false">
      <c r="A145" s="7" t="s">
        <v>186</v>
      </c>
      <c r="B145" s="7" t="n">
        <v>10547.11</v>
      </c>
      <c r="C145" s="7" t="n">
        <v>10689.55</v>
      </c>
      <c r="D145" s="7" t="n">
        <v>10527.64</v>
      </c>
      <c r="E145" s="7" t="n">
        <v>10674.38</v>
      </c>
      <c r="F145" s="7" t="n">
        <v>4245</v>
      </c>
      <c r="G145" s="7" t="n">
        <f aca="false">AVERAGE(E141:E145)</f>
        <v>10688.384</v>
      </c>
      <c r="H145" s="7" t="n">
        <f aca="false">AVERAGE(E136:E145)</f>
        <v>10705.688</v>
      </c>
      <c r="I145" s="7" t="n">
        <f aca="false">AVERAGE(E126:E145)</f>
        <v>10589.1965</v>
      </c>
      <c r="J145" s="7" t="n">
        <f aca="false">AVERAGE(E96:E145)</f>
        <v>10066.0386</v>
      </c>
      <c r="K145" s="7" t="n">
        <f aca="false">AVERAGE(E46:E145)</f>
        <v>9167.3281</v>
      </c>
      <c r="M145" s="7" t="n">
        <f aca="false">I145</f>
        <v>10589.1965</v>
      </c>
      <c r="N145" s="7" t="n">
        <f aca="false">I145+2*STDEV(E126:E145)</f>
        <v>11082.074843323</v>
      </c>
      <c r="O145" s="7" t="n">
        <f aca="false">I145-2*STDEV(E126:E145)</f>
        <v>10096.318156677</v>
      </c>
      <c r="P145" s="7" t="n">
        <f aca="false">MAX(E145-E144,0)</f>
        <v>191.25</v>
      </c>
      <c r="Q145" s="7" t="n">
        <f aca="false">MAX(E144-E145,0)</f>
        <v>0</v>
      </c>
      <c r="R145" s="7" t="n">
        <f aca="false">(R144*13+P145)/14</f>
        <v>75.1277734642689</v>
      </c>
      <c r="S145" s="7" t="n">
        <f aca="false">(S144*13+Q145)/14</f>
        <v>56.9609813982411</v>
      </c>
      <c r="T145" s="7" t="n">
        <f aca="false">IF(S145=0,100,100-100/(1+R145/S145))</f>
        <v>56.8767368141737</v>
      </c>
      <c r="U145" s="7" t="n">
        <f aca="false">E145*2/13+U144*11/13</f>
        <v>10645.3605566577</v>
      </c>
      <c r="V145" s="7" t="n">
        <f aca="false">E145*2/27+V144*25/27</f>
        <v>10453.8658742723</v>
      </c>
      <c r="W145" s="7" t="n">
        <f aca="false">U145-V145</f>
        <v>191.494682385346</v>
      </c>
      <c r="X145" s="7" t="n">
        <f aca="false">W145*2/10+X144*8/10</f>
        <v>236.81482596971</v>
      </c>
      <c r="Y145" s="7" t="n">
        <f aca="false">W145-X145</f>
        <v>-45.3201435843638</v>
      </c>
      <c r="Z145" s="8" t="s">
        <v>42</v>
      </c>
      <c r="AA145" s="7" t="str">
        <f aca="false">IFERROR(INDEX(02_轉折點45!B:B,MATCH(A145,02_轉折點45!A:A,0)),"")</f>
        <v/>
      </c>
      <c r="AB145" s="7" t="n">
        <f aca="false">COUNTIFS(05_訊號明細!A:A,A145,05_訊號明細!C:C,"TOP")</f>
        <v>1</v>
      </c>
      <c r="AC145" s="7" t="n">
        <f aca="false">COUNTIFS(05_訊號明細!A:A,A145,05_訊號明細!C:C,"BOTTOM")</f>
        <v>0</v>
      </c>
    </row>
    <row r="146" customFormat="false" ht="15" hidden="false" customHeight="false" outlineLevel="0" collapsed="false">
      <c r="A146" s="7" t="s">
        <v>187</v>
      </c>
      <c r="B146" s="7" t="n">
        <v>10644.34</v>
      </c>
      <c r="C146" s="7" t="n">
        <v>10662.19</v>
      </c>
      <c r="D146" s="7" t="n">
        <v>10527.43</v>
      </c>
      <c r="E146" s="7" t="n">
        <v>10532.5</v>
      </c>
      <c r="F146" s="7" t="n">
        <v>3895</v>
      </c>
      <c r="G146" s="7" t="n">
        <f aca="false">AVERAGE(E142:E146)</f>
        <v>10628.27</v>
      </c>
      <c r="H146" s="7" t="n">
        <f aca="false">AVERAGE(E137:E146)</f>
        <v>10689.986</v>
      </c>
      <c r="I146" s="7" t="n">
        <f aca="false">AVERAGE(E127:E146)</f>
        <v>10617.7635</v>
      </c>
      <c r="J146" s="7" t="n">
        <f aca="false">AVERAGE(E97:E146)</f>
        <v>10093.6358</v>
      </c>
      <c r="K146" s="7" t="n">
        <f aca="false">AVERAGE(E47:E146)</f>
        <v>9185.9365</v>
      </c>
      <c r="M146" s="7" t="n">
        <f aca="false">I146</f>
        <v>10617.7635</v>
      </c>
      <c r="N146" s="7" t="n">
        <f aca="false">I146+2*STDEV(E127:E146)</f>
        <v>11014.1620817742</v>
      </c>
      <c r="O146" s="7" t="n">
        <f aca="false">I146-2*STDEV(E127:E146)</f>
        <v>10221.3649182258</v>
      </c>
      <c r="P146" s="7" t="n">
        <f aca="false">MAX(E146-E145,0)</f>
        <v>0</v>
      </c>
      <c r="Q146" s="7" t="n">
        <f aca="false">MAX(E145-E146,0)</f>
        <v>141.879999999999</v>
      </c>
      <c r="R146" s="7" t="n">
        <f aca="false">(R145*13+P146)/14</f>
        <v>69.7615039311068</v>
      </c>
      <c r="S146" s="7" t="n">
        <f aca="false">(S145*13+Q146)/14</f>
        <v>63.0266255840809</v>
      </c>
      <c r="T146" s="7" t="n">
        <f aca="false">IF(S146=0,100,100-100/(1+R146/S146))</f>
        <v>52.5359489480028</v>
      </c>
      <c r="U146" s="7" t="n">
        <f aca="false">E146*2/13+U145*11/13</f>
        <v>10627.997394095</v>
      </c>
      <c r="V146" s="7" t="n">
        <f aca="false">E146*2/27+V145*25/27</f>
        <v>10459.6906243262</v>
      </c>
      <c r="W146" s="7" t="n">
        <f aca="false">U146-V146</f>
        <v>168.306769768724</v>
      </c>
      <c r="X146" s="7" t="n">
        <f aca="false">W146*2/10+X145*8/10</f>
        <v>223.113214729513</v>
      </c>
      <c r="Y146" s="7" t="n">
        <f aca="false">W146-X146</f>
        <v>-54.8064449607888</v>
      </c>
      <c r="Z146" s="7" t="s">
        <v>78</v>
      </c>
      <c r="AA146" s="7" t="str">
        <f aca="false">IFERROR(INDEX(02_轉折點45!B:B,MATCH(A146,02_轉折點45!A:A,0)),"")</f>
        <v/>
      </c>
      <c r="AB146" s="7" t="n">
        <f aca="false">COUNTIFS(05_訊號明細!A:A,A146,05_訊號明細!C:C,"TOP")</f>
        <v>1</v>
      </c>
      <c r="AC146" s="7" t="n">
        <f aca="false">COUNTIFS(05_訊號明細!A:A,A146,05_訊號明細!C:C,"BOTTOM")</f>
        <v>0</v>
      </c>
    </row>
    <row r="147" customFormat="false" ht="15" hidden="false" customHeight="false" outlineLevel="0" collapsed="false">
      <c r="A147" s="7" t="s">
        <v>188</v>
      </c>
      <c r="B147" s="7" t="n">
        <v>10602.4</v>
      </c>
      <c r="C147" s="7" t="n">
        <v>10694.88</v>
      </c>
      <c r="D147" s="7" t="n">
        <v>10587.2</v>
      </c>
      <c r="E147" s="7" t="n">
        <v>10662.98</v>
      </c>
      <c r="F147" s="7" t="n">
        <v>4010</v>
      </c>
      <c r="G147" s="7" t="n">
        <f aca="false">AVERAGE(E143:E147)</f>
        <v>10586.716</v>
      </c>
      <c r="H147" s="7" t="n">
        <f aca="false">AVERAGE(E138:E147)</f>
        <v>10686.116</v>
      </c>
      <c r="I147" s="7" t="n">
        <f aca="false">AVERAGE(E128:E147)</f>
        <v>10643.07</v>
      </c>
      <c r="J147" s="7" t="n">
        <f aca="false">AVERAGE(E98:E147)</f>
        <v>10120.2568</v>
      </c>
      <c r="K147" s="7" t="n">
        <f aca="false">AVERAGE(E48:E147)</f>
        <v>9207.2629</v>
      </c>
      <c r="M147" s="7" t="n">
        <f aca="false">I147</f>
        <v>10643.07</v>
      </c>
      <c r="N147" s="7" t="n">
        <f aca="false">I147+2*STDEV(E128:E147)</f>
        <v>10974.9454102941</v>
      </c>
      <c r="O147" s="7" t="n">
        <f aca="false">I147-2*STDEV(E128:E147)</f>
        <v>10311.1945897059</v>
      </c>
      <c r="P147" s="7" t="n">
        <f aca="false">MAX(E147-E146,0)</f>
        <v>130.48</v>
      </c>
      <c r="Q147" s="7" t="n">
        <f aca="false">MAX(E146-E147,0)</f>
        <v>0</v>
      </c>
      <c r="R147" s="7" t="n">
        <f aca="false">(R146*13+P147)/14</f>
        <v>74.0985393645992</v>
      </c>
      <c r="S147" s="7" t="n">
        <f aca="false">(S146*13+Q147)/14</f>
        <v>58.5247237566466</v>
      </c>
      <c r="T147" s="7" t="n">
        <f aca="false">IF(S147=0,100,100-100/(1+R147/S147))</f>
        <v>55.8714494129566</v>
      </c>
      <c r="U147" s="7" t="n">
        <f aca="false">E147*2/13+U146*11/13</f>
        <v>10633.379333465</v>
      </c>
      <c r="V147" s="7" t="n">
        <f aca="false">E147*2/27+V146*25/27</f>
        <v>10474.7490965984</v>
      </c>
      <c r="W147" s="7" t="n">
        <f aca="false">U147-V147</f>
        <v>158.630236866598</v>
      </c>
      <c r="X147" s="7" t="n">
        <f aca="false">W147*2/10+X146*8/10</f>
        <v>210.21661915693</v>
      </c>
      <c r="Y147" s="7" t="n">
        <f aca="false">W147-X147</f>
        <v>-51.5863822903314</v>
      </c>
      <c r="Z147" s="7" t="s">
        <v>78</v>
      </c>
      <c r="AA147" s="7" t="str">
        <f aca="false">IFERROR(INDEX(02_轉折點45!B:B,MATCH(A147,02_轉折點45!A:A,0)),"")</f>
        <v/>
      </c>
      <c r="AB147" s="7" t="n">
        <f aca="false">COUNTIFS(05_訊號明細!A:A,A147,05_訊號明細!C:C,"TOP")</f>
        <v>0</v>
      </c>
      <c r="AC147" s="7" t="n">
        <f aca="false">COUNTIFS(05_訊號明細!A:A,A147,05_訊號明細!C:C,"BOTTOM")</f>
        <v>0</v>
      </c>
    </row>
    <row r="148" customFormat="false" ht="15" hidden="false" customHeight="false" outlineLevel="0" collapsed="false">
      <c r="A148" s="7" t="s">
        <v>189</v>
      </c>
      <c r="B148" s="7" t="n">
        <v>10578.63</v>
      </c>
      <c r="C148" s="7" t="n">
        <v>10737.03</v>
      </c>
      <c r="D148" s="7" t="n">
        <v>10531.79</v>
      </c>
      <c r="E148" s="7" t="n">
        <v>10715.51</v>
      </c>
      <c r="F148" s="7" t="n">
        <v>4186</v>
      </c>
      <c r="G148" s="7" t="n">
        <f aca="false">AVERAGE(E144:E148)</f>
        <v>10613.7</v>
      </c>
      <c r="H148" s="7" t="n">
        <f aca="false">AVERAGE(E139:E148)</f>
        <v>10695.021</v>
      </c>
      <c r="I148" s="7" t="n">
        <f aca="false">AVERAGE(E129:E148)</f>
        <v>10664.883</v>
      </c>
      <c r="J148" s="7" t="n">
        <f aca="false">AVERAGE(E99:E148)</f>
        <v>10148.5962</v>
      </c>
      <c r="K148" s="7" t="n">
        <f aca="false">AVERAGE(E49:E148)</f>
        <v>9234.9377</v>
      </c>
      <c r="M148" s="7" t="n">
        <f aca="false">I148</f>
        <v>10664.883</v>
      </c>
      <c r="N148" s="7" t="n">
        <f aca="false">I148+2*STDEV(E129:E148)</f>
        <v>10950.1483573965</v>
      </c>
      <c r="O148" s="7" t="n">
        <f aca="false">I148-2*STDEV(E129:E148)</f>
        <v>10379.6176426035</v>
      </c>
      <c r="P148" s="7" t="n">
        <f aca="false">MAX(E148-E147,0)</f>
        <v>52.5300000000007</v>
      </c>
      <c r="Q148" s="7" t="n">
        <f aca="false">MAX(E147-E148,0)</f>
        <v>0</v>
      </c>
      <c r="R148" s="7" t="n">
        <f aca="false">(R147*13+P148)/14</f>
        <v>72.557929409985</v>
      </c>
      <c r="S148" s="7" t="n">
        <f aca="false">(S147*13+Q148)/14</f>
        <v>54.3443863454575</v>
      </c>
      <c r="T148" s="7" t="n">
        <f aca="false">IF(S148=0,100,100-100/(1+R148/S148))</f>
        <v>57.1762059486871</v>
      </c>
      <c r="U148" s="7" t="n">
        <f aca="false">E148*2/13+U147*11/13</f>
        <v>10646.0148206242</v>
      </c>
      <c r="V148" s="7" t="n">
        <f aca="false">E148*2/27+V147*25/27</f>
        <v>10492.5832375911</v>
      </c>
      <c r="W148" s="7" t="n">
        <f aca="false">U148-V148</f>
        <v>153.431583033122</v>
      </c>
      <c r="X148" s="7" t="n">
        <f aca="false">W148*2/10+X147*8/10</f>
        <v>198.859611932168</v>
      </c>
      <c r="Y148" s="7" t="n">
        <f aca="false">W148-X148</f>
        <v>-45.4280288990466</v>
      </c>
      <c r="Z148" s="7" t="s">
        <v>78</v>
      </c>
      <c r="AA148" s="7" t="str">
        <f aca="false">IFERROR(INDEX(02_轉折點45!B:B,MATCH(A148,02_轉折點45!A:A,0)),"")</f>
        <v/>
      </c>
      <c r="AB148" s="7" t="n">
        <f aca="false">COUNTIFS(05_訊號明細!A:A,A148,05_訊號明細!C:C,"TOP")</f>
        <v>0</v>
      </c>
      <c r="AC148" s="7" t="n">
        <f aca="false">COUNTIFS(05_訊號明細!A:A,A148,05_訊號明細!C:C,"BOTTOM")</f>
        <v>0</v>
      </c>
    </row>
    <row r="149" customFormat="false" ht="15" hidden="false" customHeight="false" outlineLevel="0" collapsed="false">
      <c r="A149" s="7" t="s">
        <v>190</v>
      </c>
      <c r="B149" s="7" t="n">
        <v>10886.36</v>
      </c>
      <c r="C149" s="7" t="n">
        <v>10908.34</v>
      </c>
      <c r="D149" s="7" t="n">
        <v>10707.4</v>
      </c>
      <c r="E149" s="7" t="n">
        <v>10905.88</v>
      </c>
      <c r="F149" s="7" t="n">
        <v>4439</v>
      </c>
      <c r="G149" s="7" t="n">
        <f aca="false">AVERAGE(E145:E149)</f>
        <v>10698.25</v>
      </c>
      <c r="H149" s="7" t="n">
        <f aca="false">AVERAGE(E140:E149)</f>
        <v>10721.087</v>
      </c>
      <c r="I149" s="7" t="n">
        <f aca="false">AVERAGE(E130:E149)</f>
        <v>10693.0825</v>
      </c>
      <c r="J149" s="7" t="n">
        <f aca="false">AVERAGE(E100:E149)</f>
        <v>10177.0134</v>
      </c>
      <c r="K149" s="7" t="n">
        <f aca="false">AVERAGE(E50:E149)</f>
        <v>9260.2738</v>
      </c>
      <c r="M149" s="7" t="n">
        <f aca="false">I149</f>
        <v>10693.0825</v>
      </c>
      <c r="N149" s="7" t="n">
        <f aca="false">I149+2*STDEV(E130:E149)</f>
        <v>10954.4104365794</v>
      </c>
      <c r="O149" s="7" t="n">
        <f aca="false">I149-2*STDEV(E130:E149)</f>
        <v>10431.7545634206</v>
      </c>
      <c r="P149" s="7" t="n">
        <f aca="false">MAX(E149-E148,0)</f>
        <v>190.369999999999</v>
      </c>
      <c r="Q149" s="7" t="n">
        <f aca="false">MAX(E148-E149,0)</f>
        <v>0</v>
      </c>
      <c r="R149" s="7" t="n">
        <f aca="false">(R148*13+P149)/14</f>
        <v>80.9730773092717</v>
      </c>
      <c r="S149" s="7" t="n">
        <f aca="false">(S148*13+Q149)/14</f>
        <v>50.4626444636391</v>
      </c>
      <c r="T149" s="7" t="n">
        <f aca="false">IF(S149=0,100,100-100/(1+R149/S149))</f>
        <v>61.60659843233</v>
      </c>
      <c r="U149" s="7" t="n">
        <f aca="false">E149*2/13+U148*11/13</f>
        <v>10685.9940789897</v>
      </c>
      <c r="V149" s="7" t="n">
        <f aca="false">E149*2/27+V148*25/27</f>
        <v>10523.1978125843</v>
      </c>
      <c r="W149" s="7" t="n">
        <f aca="false">U149-V149</f>
        <v>162.796266405376</v>
      </c>
      <c r="X149" s="7" t="n">
        <f aca="false">W149*2/10+X148*8/10</f>
        <v>191.64694282681</v>
      </c>
      <c r="Y149" s="7" t="n">
        <f aca="false">W149-X149</f>
        <v>-28.8506764214339</v>
      </c>
      <c r="Z149" s="8" t="s">
        <v>42</v>
      </c>
      <c r="AA149" s="7" t="str">
        <f aca="false">IFERROR(INDEX(02_轉折點45!B:B,MATCH(A149,02_轉折點45!A:A,0)),"")</f>
        <v/>
      </c>
      <c r="AB149" s="7" t="n">
        <f aca="false">COUNTIFS(05_訊號明細!A:A,A149,05_訊號明細!C:C,"TOP")</f>
        <v>0</v>
      </c>
      <c r="AC149" s="7" t="n">
        <f aca="false">COUNTIFS(05_訊號明細!A:A,A149,05_訊號明細!C:C,"BOTTOM")</f>
        <v>0</v>
      </c>
    </row>
    <row r="150" customFormat="false" ht="15" hidden="false" customHeight="false" outlineLevel="0" collapsed="false">
      <c r="A150" s="7" t="s">
        <v>191</v>
      </c>
      <c r="B150" s="7" t="n">
        <v>11018.02</v>
      </c>
      <c r="C150" s="7" t="n">
        <v>11085.5</v>
      </c>
      <c r="D150" s="7" t="n">
        <v>10997.67</v>
      </c>
      <c r="E150" s="7" t="n">
        <v>11055.08</v>
      </c>
      <c r="F150" s="7" t="n">
        <v>4204</v>
      </c>
      <c r="G150" s="7" t="n">
        <f aca="false">AVERAGE(E146:E150)</f>
        <v>10774.39</v>
      </c>
      <c r="H150" s="7" t="n">
        <f aca="false">AVERAGE(E141:E150)</f>
        <v>10731.387</v>
      </c>
      <c r="I150" s="7" t="n">
        <f aca="false">AVERAGE(E131:E150)</f>
        <v>10715.6335</v>
      </c>
      <c r="J150" s="7" t="n">
        <f aca="false">AVERAGE(E101:E150)</f>
        <v>10210.5552</v>
      </c>
      <c r="K150" s="7" t="n">
        <f aca="false">AVERAGE(E51:E150)</f>
        <v>9290.7634</v>
      </c>
      <c r="M150" s="7" t="n">
        <f aca="false">I150</f>
        <v>10715.6335</v>
      </c>
      <c r="N150" s="7" t="n">
        <f aca="false">I150+2*STDEV(E131:E150)</f>
        <v>11019.0646200967</v>
      </c>
      <c r="O150" s="7" t="n">
        <f aca="false">I150-2*STDEV(E131:E150)</f>
        <v>10412.2023799033</v>
      </c>
      <c r="P150" s="7" t="n">
        <f aca="false">MAX(E150-E149,0)</f>
        <v>149.200000000001</v>
      </c>
      <c r="Q150" s="7" t="n">
        <f aca="false">MAX(E149-E150,0)</f>
        <v>0</v>
      </c>
      <c r="R150" s="7" t="n">
        <f aca="false">(R149*13+P150)/14</f>
        <v>85.8464289300381</v>
      </c>
      <c r="S150" s="7" t="n">
        <f aca="false">(S149*13+Q150)/14</f>
        <v>46.8581698590935</v>
      </c>
      <c r="T150" s="7" t="n">
        <f aca="false">IF(S150=0,100,100-100/(1+R150/S150))</f>
        <v>64.6898673545207</v>
      </c>
      <c r="U150" s="7" t="n">
        <f aca="false">E150*2/13+U149*11/13</f>
        <v>10742.7765283759</v>
      </c>
      <c r="V150" s="7" t="n">
        <f aca="false">E150*2/27+V149*25/27</f>
        <v>10562.5964931336</v>
      </c>
      <c r="W150" s="7" t="n">
        <f aca="false">U150-V150</f>
        <v>180.180035242263</v>
      </c>
      <c r="X150" s="7" t="n">
        <f aca="false">W150*2/10+X149*8/10</f>
        <v>189.3535613099</v>
      </c>
      <c r="Y150" s="7" t="n">
        <f aca="false">W150-X150</f>
        <v>-9.17352606763706</v>
      </c>
      <c r="Z150" s="8" t="s">
        <v>42</v>
      </c>
      <c r="AA150" s="7" t="str">
        <f aca="false">IFERROR(INDEX(02_轉折點45!B:B,MATCH(A150,02_轉折點45!A:A,0)),"")</f>
        <v/>
      </c>
      <c r="AB150" s="7" t="n">
        <f aca="false">COUNTIFS(05_訊號明細!A:A,A150,05_訊號明細!C:C,"TOP")</f>
        <v>1</v>
      </c>
      <c r="AC150" s="7" t="n">
        <f aca="false">COUNTIFS(05_訊號明細!A:A,A150,05_訊號明細!C:C,"BOTTOM")</f>
        <v>0</v>
      </c>
    </row>
    <row r="151" customFormat="false" ht="15" hidden="false" customHeight="false" outlineLevel="0" collapsed="false">
      <c r="A151" s="7" t="s">
        <v>192</v>
      </c>
      <c r="B151" s="7" t="n">
        <v>11048.5</v>
      </c>
      <c r="C151" s="7" t="n">
        <v>11097.85</v>
      </c>
      <c r="D151" s="7" t="n">
        <v>11002.55</v>
      </c>
      <c r="E151" s="7" t="n">
        <v>11096.54</v>
      </c>
      <c r="F151" s="7" t="n">
        <v>4017</v>
      </c>
      <c r="G151" s="7" t="n">
        <f aca="false">AVERAGE(E147:E151)</f>
        <v>10887.198</v>
      </c>
      <c r="H151" s="7" t="n">
        <f aca="false">AVERAGE(E142:E151)</f>
        <v>10757.734</v>
      </c>
      <c r="I151" s="7" t="n">
        <f aca="false">AVERAGE(E132:E151)</f>
        <v>10744.26</v>
      </c>
      <c r="J151" s="7" t="n">
        <f aca="false">AVERAGE(E102:E151)</f>
        <v>10244.2062</v>
      </c>
      <c r="K151" s="7" t="n">
        <f aca="false">AVERAGE(E52:E151)</f>
        <v>9329.0923</v>
      </c>
      <c r="M151" s="7" t="n">
        <f aca="false">I151</f>
        <v>10744.26</v>
      </c>
      <c r="N151" s="7" t="n">
        <f aca="false">I151+2*STDEV(E132:E151)</f>
        <v>11078.0785066296</v>
      </c>
      <c r="O151" s="7" t="n">
        <f aca="false">I151-2*STDEV(E132:E151)</f>
        <v>10410.4414933704</v>
      </c>
      <c r="P151" s="7" t="n">
        <f aca="false">MAX(E151-E150,0)</f>
        <v>41.4600000000009</v>
      </c>
      <c r="Q151" s="7" t="n">
        <f aca="false">MAX(E150-E151,0)</f>
        <v>0</v>
      </c>
      <c r="R151" s="7" t="n">
        <f aca="false">(R150*13+P151)/14</f>
        <v>82.6759697207497</v>
      </c>
      <c r="S151" s="7" t="n">
        <f aca="false">(S150*13+Q151)/14</f>
        <v>43.5111577263011</v>
      </c>
      <c r="T151" s="7" t="n">
        <f aca="false">IF(S151=0,100,100-100/(1+R151/S151))</f>
        <v>65.5185448733202</v>
      </c>
      <c r="U151" s="7" t="n">
        <f aca="false">E151*2/13+U150*11/13</f>
        <v>10797.2016778565</v>
      </c>
      <c r="V151" s="7" t="n">
        <f aca="false">E151*2/27+V150*25/27</f>
        <v>10602.1478640126</v>
      </c>
      <c r="W151" s="7" t="n">
        <f aca="false">U151-V151</f>
        <v>195.053813843904</v>
      </c>
      <c r="X151" s="7" t="n">
        <f aca="false">W151*2/10+X150*8/10</f>
        <v>190.493611816701</v>
      </c>
      <c r="Y151" s="7" t="n">
        <f aca="false">W151-X151</f>
        <v>4.56020202720308</v>
      </c>
      <c r="Z151" s="8" t="s">
        <v>42</v>
      </c>
      <c r="AA151" s="7" t="str">
        <f aca="false">IFERROR(INDEX(02_轉折點45!B:B,MATCH(A151,02_轉折點45!A:A,0)),"")</f>
        <v/>
      </c>
      <c r="AB151" s="7" t="n">
        <f aca="false">COUNTIFS(05_訊號明細!A:A,A151,05_訊號明細!C:C,"TOP")</f>
        <v>1</v>
      </c>
      <c r="AC151" s="7" t="n">
        <f aca="false">COUNTIFS(05_訊號明細!A:A,A151,05_訊號明細!C:C,"BOTTOM")</f>
        <v>0</v>
      </c>
    </row>
    <row r="152" customFormat="false" ht="15" hidden="false" customHeight="false" outlineLevel="0" collapsed="false">
      <c r="A152" s="7" t="s">
        <v>193</v>
      </c>
      <c r="B152" s="7" t="n">
        <v>11107.24</v>
      </c>
      <c r="C152" s="7" t="n">
        <v>11141.69</v>
      </c>
      <c r="D152" s="7" t="n">
        <v>11077.7</v>
      </c>
      <c r="E152" s="7" t="n">
        <v>11125.44</v>
      </c>
      <c r="F152" s="7" t="n">
        <v>4161</v>
      </c>
      <c r="G152" s="7" t="n">
        <f aca="false">AVERAGE(E148:E152)</f>
        <v>10979.69</v>
      </c>
      <c r="H152" s="7" t="n">
        <f aca="false">AVERAGE(E143:E152)</f>
        <v>10783.203</v>
      </c>
      <c r="I152" s="7" t="n">
        <f aca="false">AVERAGE(E133:E152)</f>
        <v>10767.197</v>
      </c>
      <c r="J152" s="7" t="n">
        <f aca="false">AVERAGE(E103:E152)</f>
        <v>10278.9154</v>
      </c>
      <c r="K152" s="7" t="n">
        <f aca="false">AVERAGE(E53:E152)</f>
        <v>9360.3941</v>
      </c>
      <c r="M152" s="7" t="n">
        <f aca="false">I152</f>
        <v>10767.197</v>
      </c>
      <c r="N152" s="7" t="n">
        <f aca="false">I152+2*STDEV(E133:E152)</f>
        <v>11139.4096719243</v>
      </c>
      <c r="O152" s="7" t="n">
        <f aca="false">I152-2*STDEV(E133:E152)</f>
        <v>10394.9843280757</v>
      </c>
      <c r="P152" s="7" t="n">
        <f aca="false">MAX(E152-E151,0)</f>
        <v>28.8999999999996</v>
      </c>
      <c r="Q152" s="7" t="n">
        <f aca="false">MAX(E151-E152,0)</f>
        <v>0</v>
      </c>
      <c r="R152" s="7" t="n">
        <f aca="false">(R151*13+P152)/14</f>
        <v>78.8348290264105</v>
      </c>
      <c r="S152" s="7" t="n">
        <f aca="false">(S151*13+Q152)/14</f>
        <v>40.4032178887082</v>
      </c>
      <c r="T152" s="7" t="n">
        <f aca="false">IF(S152=0,100,100-100/(1+R152/S152))</f>
        <v>66.1154984218504</v>
      </c>
      <c r="U152" s="7" t="n">
        <f aca="false">E152*2/13+U151*11/13</f>
        <v>10847.6998812632</v>
      </c>
      <c r="V152" s="7" t="n">
        <f aca="false">E152*2/27+V151*25/27</f>
        <v>10640.9102444561</v>
      </c>
      <c r="W152" s="7" t="n">
        <f aca="false">U152-V152</f>
        <v>206.789636807081</v>
      </c>
      <c r="X152" s="7" t="n">
        <f aca="false">W152*2/10+X151*8/10</f>
        <v>193.752816814777</v>
      </c>
      <c r="Y152" s="7" t="n">
        <f aca="false">W152-X152</f>
        <v>13.0368199923043</v>
      </c>
      <c r="Z152" s="8" t="s">
        <v>42</v>
      </c>
      <c r="AA152" s="7" t="str">
        <f aca="false">IFERROR(INDEX(02_轉折點45!B:B,MATCH(A152,02_轉折點45!A:A,0)),"")</f>
        <v/>
      </c>
      <c r="AB152" s="7" t="n">
        <f aca="false">COUNTIFS(05_訊號明細!A:A,A152,05_訊號明細!C:C,"TOP")</f>
        <v>1</v>
      </c>
      <c r="AC152" s="7" t="n">
        <f aca="false">COUNTIFS(05_訊號明細!A:A,A152,05_訊號明細!C:C,"BOTTOM")</f>
        <v>0</v>
      </c>
    </row>
    <row r="153" customFormat="false" ht="15" hidden="false" customHeight="false" outlineLevel="0" collapsed="false">
      <c r="A153" s="7" t="s">
        <v>194</v>
      </c>
      <c r="B153" s="7" t="n">
        <v>11116.49</v>
      </c>
      <c r="C153" s="7" t="n">
        <v>11282.24</v>
      </c>
      <c r="D153" s="7" t="n">
        <v>11090.5</v>
      </c>
      <c r="E153" s="7" t="n">
        <v>11267.08</v>
      </c>
      <c r="F153" s="7" t="n">
        <v>4120</v>
      </c>
      <c r="G153" s="7" t="n">
        <f aca="false">AVERAGE(E149:E153)</f>
        <v>11090.004</v>
      </c>
      <c r="H153" s="7" t="n">
        <f aca="false">AVERAGE(E144:E153)</f>
        <v>10851.852</v>
      </c>
      <c r="I153" s="7" t="n">
        <f aca="false">AVERAGE(E134:E153)</f>
        <v>10792.8215</v>
      </c>
      <c r="J153" s="7" t="n">
        <f aca="false">AVERAGE(E104:E153)</f>
        <v>10315.416</v>
      </c>
      <c r="K153" s="7" t="n">
        <f aca="false">AVERAGE(E54:E153)</f>
        <v>9402.8611</v>
      </c>
      <c r="M153" s="7" t="n">
        <f aca="false">I153</f>
        <v>10792.8215</v>
      </c>
      <c r="N153" s="7" t="n">
        <f aca="false">I153+2*STDEV(E134:E153)</f>
        <v>11226.8158183366</v>
      </c>
      <c r="O153" s="7" t="n">
        <f aca="false">I153-2*STDEV(E134:E153)</f>
        <v>10358.8271816634</v>
      </c>
      <c r="P153" s="7" t="n">
        <f aca="false">MAX(E153-E152,0)</f>
        <v>141.639999999999</v>
      </c>
      <c r="Q153" s="7" t="n">
        <f aca="false">MAX(E152-E153,0)</f>
        <v>0</v>
      </c>
      <c r="R153" s="7" t="n">
        <f aca="false">(R152*13+P153)/14</f>
        <v>83.3209126673811</v>
      </c>
      <c r="S153" s="7" t="n">
        <f aca="false">(S152*13+Q153)/14</f>
        <v>37.5172737538004</v>
      </c>
      <c r="T153" s="7" t="n">
        <f aca="false">IF(S153=0,100,100-100/(1+R153/S153))</f>
        <v>68.9524686980704</v>
      </c>
      <c r="U153" s="7" t="n">
        <f aca="false">E153*2/13+U152*11/13</f>
        <v>10912.2198995304</v>
      </c>
      <c r="V153" s="7" t="n">
        <f aca="false">E153*2/27+V152*25/27</f>
        <v>10687.2931893112</v>
      </c>
      <c r="W153" s="7" t="n">
        <f aca="false">U153-V153</f>
        <v>224.926710219177</v>
      </c>
      <c r="X153" s="7" t="n">
        <f aca="false">W153*2/10+X152*8/10</f>
        <v>199.987595495657</v>
      </c>
      <c r="Y153" s="7" t="n">
        <f aca="false">W153-X153</f>
        <v>24.9391147235199</v>
      </c>
      <c r="Z153" s="8" t="s">
        <v>42</v>
      </c>
      <c r="AA153" s="7" t="str">
        <f aca="false">IFERROR(INDEX(02_轉折點45!B:B,MATCH(A153,02_轉折點45!A:A,0)),"")</f>
        <v/>
      </c>
      <c r="AB153" s="7" t="n">
        <f aca="false">COUNTIFS(05_訊號明細!A:A,A153,05_訊號明細!C:C,"TOP")</f>
        <v>0</v>
      </c>
      <c r="AC153" s="7" t="n">
        <f aca="false">COUNTIFS(05_訊號明細!A:A,A153,05_訊號明細!C:C,"BOTTOM")</f>
        <v>0</v>
      </c>
    </row>
    <row r="154" customFormat="false" ht="15" hidden="false" customHeight="false" outlineLevel="0" collapsed="false">
      <c r="A154" s="7" t="s">
        <v>195</v>
      </c>
      <c r="B154" s="7" t="n">
        <v>11235.24</v>
      </c>
      <c r="C154" s="7" t="n">
        <v>11276.3</v>
      </c>
      <c r="D154" s="7" t="n">
        <v>11044.6</v>
      </c>
      <c r="E154" s="7" t="n">
        <v>11139.39</v>
      </c>
      <c r="F154" s="7" t="n">
        <v>4264</v>
      </c>
      <c r="G154" s="7" t="n">
        <f aca="false">AVERAGE(E150:E154)</f>
        <v>11136.706</v>
      </c>
      <c r="H154" s="7" t="n">
        <f aca="false">AVERAGE(E145:E154)</f>
        <v>10917.478</v>
      </c>
      <c r="I154" s="7" t="n">
        <f aca="false">AVERAGE(E135:E154)</f>
        <v>10807.9745</v>
      </c>
      <c r="J154" s="7" t="n">
        <f aca="false">AVERAGE(E105:E154)</f>
        <v>10349.8696</v>
      </c>
      <c r="K154" s="7" t="n">
        <f aca="false">AVERAGE(E55:E154)</f>
        <v>9439.5155</v>
      </c>
      <c r="M154" s="7" t="n">
        <f aca="false">I154</f>
        <v>10807.9745</v>
      </c>
      <c r="N154" s="7" t="n">
        <f aca="false">I154+2*STDEV(E135:E154)</f>
        <v>11268.7043653898</v>
      </c>
      <c r="O154" s="7" t="n">
        <f aca="false">I154-2*STDEV(E135:E154)</f>
        <v>10347.2446346102</v>
      </c>
      <c r="P154" s="7" t="n">
        <f aca="false">MAX(E154-E153,0)</f>
        <v>0</v>
      </c>
      <c r="Q154" s="7" t="n">
        <f aca="false">MAX(E153-E154,0)</f>
        <v>127.690000000001</v>
      </c>
      <c r="R154" s="7" t="n">
        <f aca="false">(R153*13+P154)/14</f>
        <v>77.3694189054253</v>
      </c>
      <c r="S154" s="7" t="n">
        <f aca="false">(S153*13+Q154)/14</f>
        <v>43.9581827713862</v>
      </c>
      <c r="T154" s="7" t="n">
        <f aca="false">IF(S154=0,100,100-100/(1+R154/S154))</f>
        <v>63.7690169723452</v>
      </c>
      <c r="U154" s="7" t="n">
        <f aca="false">E154*2/13+U153*11/13</f>
        <v>10947.1691457565</v>
      </c>
      <c r="V154" s="7" t="n">
        <f aca="false">E154*2/27+V153*25/27</f>
        <v>10720.7818419549</v>
      </c>
      <c r="W154" s="7" t="n">
        <f aca="false">U154-V154</f>
        <v>226.387303801655</v>
      </c>
      <c r="X154" s="7" t="n">
        <f aca="false">W154*2/10+X153*8/10</f>
        <v>205.267537156857</v>
      </c>
      <c r="Y154" s="7" t="n">
        <f aca="false">W154-X154</f>
        <v>21.1197666447986</v>
      </c>
      <c r="Z154" s="8" t="s">
        <v>42</v>
      </c>
      <c r="AA154" s="7" t="str">
        <f aca="false">IFERROR(INDEX(02_轉折點45!B:B,MATCH(A154,02_轉折點45!A:A,0)),"")</f>
        <v/>
      </c>
      <c r="AB154" s="7" t="n">
        <f aca="false">COUNTIFS(05_訊號明細!A:A,A154,05_訊號明細!C:C,"TOP")</f>
        <v>0</v>
      </c>
      <c r="AC154" s="7" t="n">
        <f aca="false">COUNTIFS(05_訊號明細!A:A,A154,05_訊號明細!C:C,"BOTTOM")</f>
        <v>0</v>
      </c>
    </row>
    <row r="155" customFormat="false" ht="15" hidden="false" customHeight="false" outlineLevel="0" collapsed="false">
      <c r="A155" s="7" t="s">
        <v>196</v>
      </c>
      <c r="B155" s="7" t="n">
        <v>11153.51</v>
      </c>
      <c r="C155" s="7" t="n">
        <v>11159.38</v>
      </c>
      <c r="D155" s="7" t="n">
        <v>10941.87</v>
      </c>
      <c r="E155" s="7" t="n">
        <v>11085.17</v>
      </c>
      <c r="F155" s="7" t="n">
        <v>4048</v>
      </c>
      <c r="G155" s="7" t="n">
        <f aca="false">AVERAGE(E151:E155)</f>
        <v>11142.724</v>
      </c>
      <c r="H155" s="7" t="n">
        <f aca="false">AVERAGE(E146:E155)</f>
        <v>10958.557</v>
      </c>
      <c r="I155" s="7" t="n">
        <f aca="false">AVERAGE(E136:E155)</f>
        <v>10832.1225</v>
      </c>
      <c r="J155" s="7" t="n">
        <f aca="false">AVERAGE(E106:E155)</f>
        <v>10380.4624</v>
      </c>
      <c r="K155" s="7" t="n">
        <f aca="false">AVERAGE(E56:E155)</f>
        <v>9478.6154</v>
      </c>
      <c r="M155" s="7" t="n">
        <f aca="false">I155</f>
        <v>10832.1225</v>
      </c>
      <c r="N155" s="7" t="n">
        <f aca="false">I155+2*STDEV(E136:E155)</f>
        <v>11298.0404597481</v>
      </c>
      <c r="O155" s="7" t="n">
        <f aca="false">I155-2*STDEV(E136:E155)</f>
        <v>10366.2045402519</v>
      </c>
      <c r="P155" s="7" t="n">
        <f aca="false">MAX(E155-E154,0)</f>
        <v>0</v>
      </c>
      <c r="Q155" s="7" t="n">
        <f aca="false">MAX(E154-E155,0)</f>
        <v>54.2199999999993</v>
      </c>
      <c r="R155" s="7" t="n">
        <f aca="false">(R154*13+P155)/14</f>
        <v>71.8430318407521</v>
      </c>
      <c r="S155" s="7" t="n">
        <f aca="false">(S154*13+Q155)/14</f>
        <v>44.6911697162871</v>
      </c>
      <c r="T155" s="7" t="n">
        <f aca="false">IF(S155=0,100,100-100/(1+R155/S155))</f>
        <v>61.6497396308049</v>
      </c>
      <c r="U155" s="7" t="n">
        <f aca="false">E155*2/13+U154*11/13</f>
        <v>10968.4000464094</v>
      </c>
      <c r="V155" s="7" t="n">
        <f aca="false">E155*2/27+V154*25/27</f>
        <v>10747.7735573656</v>
      </c>
      <c r="W155" s="7" t="n">
        <f aca="false">U155-V155</f>
        <v>220.626489043749</v>
      </c>
      <c r="X155" s="7" t="n">
        <f aca="false">W155*2/10+X154*8/10</f>
        <v>208.339327534235</v>
      </c>
      <c r="Y155" s="7" t="n">
        <f aca="false">W155-X155</f>
        <v>12.2871615095135</v>
      </c>
      <c r="Z155" s="8" t="s">
        <v>42</v>
      </c>
      <c r="AA155" s="7" t="str">
        <f aca="false">IFERROR(INDEX(02_轉折點45!B:B,MATCH(A155,02_轉折點45!A:A,0)),"")</f>
        <v/>
      </c>
      <c r="AB155" s="7" t="n">
        <f aca="false">COUNTIFS(05_訊號明細!A:A,A155,05_訊號明細!C:C,"TOP")</f>
        <v>0</v>
      </c>
      <c r="AC155" s="7" t="n">
        <f aca="false">COUNTIFS(05_訊號明細!A:A,A155,05_訊號明細!C:C,"BOTTOM")</f>
        <v>0</v>
      </c>
    </row>
    <row r="156" customFormat="false" ht="15" hidden="false" customHeight="false" outlineLevel="0" collapsed="false">
      <c r="A156" s="7" t="s">
        <v>197</v>
      </c>
      <c r="B156" s="7" t="n">
        <v>11039.68</v>
      </c>
      <c r="C156" s="7" t="n">
        <v>11090.92</v>
      </c>
      <c r="D156" s="7" t="n">
        <v>10855.06</v>
      </c>
      <c r="E156" s="7" t="n">
        <v>10876.08</v>
      </c>
      <c r="F156" s="7" t="n">
        <v>4332</v>
      </c>
      <c r="G156" s="7" t="n">
        <f aca="false">AVERAGE(E152:E156)</f>
        <v>11098.632</v>
      </c>
      <c r="H156" s="7" t="n">
        <f aca="false">AVERAGE(E147:E156)</f>
        <v>10992.915</v>
      </c>
      <c r="I156" s="7" t="n">
        <f aca="false">AVERAGE(E137:E156)</f>
        <v>10841.4505</v>
      </c>
      <c r="J156" s="7" t="n">
        <f aca="false">AVERAGE(E107:E156)</f>
        <v>10406.0062</v>
      </c>
      <c r="K156" s="7" t="n">
        <f aca="false">AVERAGE(E57:E156)</f>
        <v>9514.491</v>
      </c>
      <c r="M156" s="7" t="n">
        <f aca="false">I156</f>
        <v>10841.4505</v>
      </c>
      <c r="N156" s="7" t="n">
        <f aca="false">I156+2*STDEV(E137:E156)</f>
        <v>11302.7950788117</v>
      </c>
      <c r="O156" s="7" t="n">
        <f aca="false">I156-2*STDEV(E137:E156)</f>
        <v>10380.1059211883</v>
      </c>
      <c r="P156" s="7" t="n">
        <f aca="false">MAX(E156-E155,0)</f>
        <v>0</v>
      </c>
      <c r="Q156" s="7" t="n">
        <f aca="false">MAX(E155-E156,0)</f>
        <v>209.09</v>
      </c>
      <c r="R156" s="7" t="n">
        <f aca="false">(R155*13+P156)/14</f>
        <v>66.7113867092698</v>
      </c>
      <c r="S156" s="7" t="n">
        <f aca="false">(S155*13+Q156)/14</f>
        <v>56.4339433079809</v>
      </c>
      <c r="T156" s="7" t="n">
        <f aca="false">IF(S156=0,100,100-100/(1+R156/S156))</f>
        <v>54.1728920617003</v>
      </c>
      <c r="U156" s="7" t="n">
        <f aca="false">E156*2/13+U155*11/13</f>
        <v>10954.1969623464</v>
      </c>
      <c r="V156" s="7" t="n">
        <f aca="false">E156*2/27+V155*25/27</f>
        <v>10757.2777383015</v>
      </c>
      <c r="W156" s="7" t="n">
        <f aca="false">U156-V156</f>
        <v>196.91922404489</v>
      </c>
      <c r="X156" s="7" t="n">
        <f aca="false">W156*2/10+X155*8/10</f>
        <v>206.055306836366</v>
      </c>
      <c r="Y156" s="7" t="n">
        <f aca="false">W156-X156</f>
        <v>-9.13608279147604</v>
      </c>
      <c r="Z156" s="8" t="s">
        <v>42</v>
      </c>
      <c r="AA156" s="7" t="str">
        <f aca="false">IFERROR(INDEX(02_轉折點45!B:B,MATCH(A156,02_轉折點45!A:A,0)),"")</f>
        <v/>
      </c>
      <c r="AB156" s="7" t="n">
        <f aca="false">COUNTIFS(05_訊號明細!A:A,A156,05_訊號明細!C:C,"TOP")</f>
        <v>0</v>
      </c>
      <c r="AC156" s="7" t="n">
        <f aca="false">COUNTIFS(05_訊號明細!A:A,A156,05_訊號明細!C:C,"BOTTOM")</f>
        <v>0</v>
      </c>
    </row>
    <row r="157" customFormat="false" ht="15" hidden="false" customHeight="false" outlineLevel="0" collapsed="false">
      <c r="A157" s="7" t="s">
        <v>198</v>
      </c>
      <c r="B157" s="7" t="n">
        <v>10972.07</v>
      </c>
      <c r="C157" s="7" t="n">
        <v>11190.26</v>
      </c>
      <c r="D157" s="7" t="n">
        <v>10970.87</v>
      </c>
      <c r="E157" s="7" t="n">
        <v>11157.72</v>
      </c>
      <c r="F157" s="7" t="n">
        <v>3745</v>
      </c>
      <c r="G157" s="7" t="n">
        <f aca="false">AVERAGE(E153:E157)</f>
        <v>11105.088</v>
      </c>
      <c r="H157" s="7" t="n">
        <f aca="false">AVERAGE(E148:E157)</f>
        <v>11042.389</v>
      </c>
      <c r="I157" s="7" t="n">
        <f aca="false">AVERAGE(E138:E157)</f>
        <v>10864.2525</v>
      </c>
      <c r="J157" s="7" t="n">
        <f aca="false">AVERAGE(E108:E157)</f>
        <v>10436.0144</v>
      </c>
      <c r="K157" s="7" t="n">
        <f aca="false">AVERAGE(E58:E157)</f>
        <v>9556.1253</v>
      </c>
      <c r="M157" s="7" t="n">
        <f aca="false">I157</f>
        <v>10864.2525</v>
      </c>
      <c r="N157" s="7" t="n">
        <f aca="false">I157+2*STDEV(E138:E157)</f>
        <v>11341.321705346</v>
      </c>
      <c r="O157" s="7" t="n">
        <f aca="false">I157-2*STDEV(E138:E157)</f>
        <v>10387.183294654</v>
      </c>
      <c r="P157" s="7" t="n">
        <f aca="false">MAX(E157-E156,0)</f>
        <v>281.639999999999</v>
      </c>
      <c r="Q157" s="7" t="n">
        <f aca="false">MAX(E156-E157,0)</f>
        <v>0</v>
      </c>
      <c r="R157" s="7" t="n">
        <f aca="false">(R156*13+P157)/14</f>
        <v>82.0634305157505</v>
      </c>
      <c r="S157" s="7" t="n">
        <f aca="false">(S156*13+Q157)/14</f>
        <v>52.4029473574108</v>
      </c>
      <c r="T157" s="7" t="n">
        <f aca="false">IF(S157=0,100,100-100/(1+R157/S157))</f>
        <v>61.0289589217305</v>
      </c>
      <c r="U157" s="7" t="n">
        <f aca="false">E157*2/13+U156*11/13</f>
        <v>10985.5081989085</v>
      </c>
      <c r="V157" s="7" t="n">
        <f aca="false">E157*2/27+V156*25/27</f>
        <v>10786.9401280569</v>
      </c>
      <c r="W157" s="7" t="n">
        <f aca="false">U157-V157</f>
        <v>198.568070851541</v>
      </c>
      <c r="X157" s="7" t="n">
        <f aca="false">W157*2/10+X156*8/10</f>
        <v>204.557859639401</v>
      </c>
      <c r="Y157" s="7" t="n">
        <f aca="false">W157-X157</f>
        <v>-5.98978878786011</v>
      </c>
      <c r="Z157" s="8" t="s">
        <v>42</v>
      </c>
      <c r="AA157" s="7" t="str">
        <f aca="false">IFERROR(INDEX(02_轉折點45!B:B,MATCH(A157,02_轉折點45!A:A,0)),"")</f>
        <v/>
      </c>
      <c r="AB157" s="7" t="n">
        <f aca="false">COUNTIFS(05_訊號明細!A:A,A157,05_訊號明細!C:C,"TOP")</f>
        <v>0</v>
      </c>
      <c r="AC157" s="7" t="n">
        <f aca="false">COUNTIFS(05_訊號明細!A:A,A157,05_訊號明細!C:C,"BOTTOM")</f>
        <v>0</v>
      </c>
    </row>
    <row r="158" customFormat="false" ht="15" hidden="false" customHeight="false" outlineLevel="0" collapsed="false">
      <c r="A158" s="7" t="s">
        <v>199</v>
      </c>
      <c r="B158" s="7" t="n">
        <v>11174.64</v>
      </c>
      <c r="C158" s="7" t="n">
        <v>11271.22</v>
      </c>
      <c r="D158" s="7" t="n">
        <v>11139.64</v>
      </c>
      <c r="E158" s="7" t="n">
        <v>11178.37</v>
      </c>
      <c r="F158" s="7" t="n">
        <v>3480</v>
      </c>
      <c r="G158" s="7" t="n">
        <f aca="false">AVERAGE(E154:E158)</f>
        <v>11087.346</v>
      </c>
      <c r="H158" s="7" t="n">
        <f aca="false">AVERAGE(E149:E158)</f>
        <v>11088.675</v>
      </c>
      <c r="I158" s="7" t="n">
        <f aca="false">AVERAGE(E139:E158)</f>
        <v>10891.848</v>
      </c>
      <c r="J158" s="7" t="n">
        <f aca="false">AVERAGE(E109:E158)</f>
        <v>10465.488</v>
      </c>
      <c r="K158" s="7" t="n">
        <f aca="false">AVERAGE(E59:E158)</f>
        <v>9597.8398</v>
      </c>
      <c r="M158" s="7" t="n">
        <f aca="false">I158</f>
        <v>10891.848</v>
      </c>
      <c r="N158" s="7" t="n">
        <f aca="false">I158+2*STDEV(E139:E158)</f>
        <v>11374.8148562498</v>
      </c>
      <c r="O158" s="7" t="n">
        <f aca="false">I158-2*STDEV(E139:E158)</f>
        <v>10408.8811437502</v>
      </c>
      <c r="P158" s="7" t="n">
        <f aca="false">MAX(E158-E157,0)</f>
        <v>20.6500000000015</v>
      </c>
      <c r="Q158" s="7" t="n">
        <f aca="false">MAX(E157-E158,0)</f>
        <v>0</v>
      </c>
      <c r="R158" s="7" t="n">
        <f aca="false">(R157*13+P158)/14</f>
        <v>77.6767569074827</v>
      </c>
      <c r="S158" s="7" t="n">
        <f aca="false">(S157*13+Q158)/14</f>
        <v>48.6598796890243</v>
      </c>
      <c r="T158" s="7" t="n">
        <f aca="false">IF(S158=0,100,100-100/(1+R158/S158))</f>
        <v>61.4839519240694</v>
      </c>
      <c r="U158" s="7" t="n">
        <f aca="false">E158*2/13+U157*11/13</f>
        <v>11015.1792452302</v>
      </c>
      <c r="V158" s="7" t="n">
        <f aca="false">E158*2/27+V157*25/27</f>
        <v>10815.9349333861</v>
      </c>
      <c r="W158" s="7" t="n">
        <f aca="false">U158-V158</f>
        <v>199.244311844197</v>
      </c>
      <c r="X158" s="7" t="n">
        <f aca="false">W158*2/10+X157*8/10</f>
        <v>203.49515008036</v>
      </c>
      <c r="Y158" s="7" t="n">
        <f aca="false">W158-X158</f>
        <v>-4.25083823616333</v>
      </c>
      <c r="Z158" s="8" t="s">
        <v>42</v>
      </c>
      <c r="AA158" s="7" t="str">
        <f aca="false">IFERROR(INDEX(02_轉折點45!B:B,MATCH(A158,02_轉折點45!A:A,0)),"")</f>
        <v/>
      </c>
      <c r="AB158" s="7" t="n">
        <f aca="false">COUNTIFS(05_訊號明細!A:A,A158,05_訊號明細!C:C,"TOP")</f>
        <v>1</v>
      </c>
      <c r="AC158" s="7" t="n">
        <f aca="false">COUNTIFS(05_訊號明細!A:A,A158,05_訊號明細!C:C,"BOTTOM")</f>
        <v>0</v>
      </c>
    </row>
    <row r="159" customFormat="false" ht="15" hidden="false" customHeight="false" outlineLevel="0" collapsed="false">
      <c r="A159" s="7" t="s">
        <v>200</v>
      </c>
      <c r="B159" s="7" t="n">
        <v>11187.82</v>
      </c>
      <c r="C159" s="7" t="n">
        <v>11213.27</v>
      </c>
      <c r="D159" s="7" t="n">
        <v>11106.93</v>
      </c>
      <c r="E159" s="7" t="n">
        <v>11164.45</v>
      </c>
      <c r="F159" s="7" t="n">
        <v>3514</v>
      </c>
      <c r="G159" s="7" t="n">
        <f aca="false">AVERAGE(E155:E159)</f>
        <v>11092.358</v>
      </c>
      <c r="H159" s="7" t="n">
        <f aca="false">AVERAGE(E150:E159)</f>
        <v>11114.532</v>
      </c>
      <c r="I159" s="7" t="n">
        <f aca="false">AVERAGE(E140:E159)</f>
        <v>10917.8095</v>
      </c>
      <c r="J159" s="7" t="n">
        <f aca="false">AVERAGE(E110:E159)</f>
        <v>10496.1838</v>
      </c>
      <c r="K159" s="7" t="n">
        <f aca="false">AVERAGE(E60:E159)</f>
        <v>9633.946</v>
      </c>
      <c r="M159" s="7" t="n">
        <f aca="false">I159</f>
        <v>10917.8095</v>
      </c>
      <c r="N159" s="7" t="n">
        <f aca="false">I159+2*STDEV(E140:E159)</f>
        <v>11400.7777708321</v>
      </c>
      <c r="O159" s="7" t="n">
        <f aca="false">I159-2*STDEV(E140:E159)</f>
        <v>10434.8412291679</v>
      </c>
      <c r="P159" s="7" t="n">
        <f aca="false">MAX(E159-E158,0)</f>
        <v>0</v>
      </c>
      <c r="Q159" s="7" t="n">
        <f aca="false">MAX(E158-E159,0)</f>
        <v>13.9200000000001</v>
      </c>
      <c r="R159" s="7" t="n">
        <f aca="false">(R158*13+P159)/14</f>
        <v>72.1284171283768</v>
      </c>
      <c r="S159" s="7" t="n">
        <f aca="false">(S158*13+Q159)/14</f>
        <v>46.1784597112369</v>
      </c>
      <c r="T159" s="7" t="n">
        <f aca="false">IF(S159=0,100,100-100/(1+R159/S159))</f>
        <v>60.9672227474654</v>
      </c>
      <c r="U159" s="7" t="n">
        <f aca="false">E159*2/13+U158*11/13</f>
        <v>11038.1439767333</v>
      </c>
      <c r="V159" s="7" t="n">
        <f aca="false">E159*2/27+V158*25/27</f>
        <v>10841.7508642463</v>
      </c>
      <c r="W159" s="7" t="n">
        <f aca="false">U159-V159</f>
        <v>196.393112486945</v>
      </c>
      <c r="X159" s="7" t="n">
        <f aca="false">W159*2/10+X158*8/10</f>
        <v>202.074742561677</v>
      </c>
      <c r="Y159" s="7" t="n">
        <f aca="false">W159-X159</f>
        <v>-5.68163007473225</v>
      </c>
      <c r="Z159" s="8" t="s">
        <v>42</v>
      </c>
      <c r="AA159" s="7" t="str">
        <f aca="false">IFERROR(INDEX(02_轉折點45!B:B,MATCH(A159,02_轉折點45!A:A,0)),"")</f>
        <v/>
      </c>
      <c r="AB159" s="7" t="n">
        <f aca="false">COUNTIFS(05_訊號明細!A:A,A159,05_訊號明細!C:C,"TOP")</f>
        <v>0</v>
      </c>
      <c r="AC159" s="7" t="n">
        <f aca="false">COUNTIFS(05_訊號明細!A:A,A159,05_訊號明細!C:C,"BOTTOM")</f>
        <v>0</v>
      </c>
    </row>
    <row r="160" customFormat="false" ht="15" hidden="false" customHeight="false" outlineLevel="0" collapsed="false">
      <c r="A160" s="7" t="s">
        <v>201</v>
      </c>
      <c r="B160" s="7" t="n">
        <v>11231.97</v>
      </c>
      <c r="C160" s="7" t="n">
        <v>11306.47</v>
      </c>
      <c r="D160" s="7" t="n">
        <v>11228.14</v>
      </c>
      <c r="E160" s="7" t="n">
        <v>11288.57</v>
      </c>
      <c r="F160" s="7" t="n">
        <v>3215</v>
      </c>
      <c r="G160" s="7" t="n">
        <f aca="false">AVERAGE(E156:E160)</f>
        <v>11133.038</v>
      </c>
      <c r="H160" s="7" t="n">
        <f aca="false">AVERAGE(E151:E160)</f>
        <v>11137.881</v>
      </c>
      <c r="I160" s="7" t="n">
        <f aca="false">AVERAGE(E141:E160)</f>
        <v>10934.634</v>
      </c>
      <c r="J160" s="7" t="n">
        <f aca="false">AVERAGE(E111:E160)</f>
        <v>10525.4674</v>
      </c>
      <c r="K160" s="7" t="n">
        <f aca="false">AVERAGE(E61:E160)</f>
        <v>9672.1355</v>
      </c>
      <c r="M160" s="7" t="n">
        <f aca="false">I160</f>
        <v>10934.634</v>
      </c>
      <c r="N160" s="7" t="n">
        <f aca="false">I160+2*STDEV(E141:E160)</f>
        <v>11445.2795709105</v>
      </c>
      <c r="O160" s="7" t="n">
        <f aca="false">I160-2*STDEV(E141:E160)</f>
        <v>10423.9884290895</v>
      </c>
      <c r="P160" s="7" t="n">
        <f aca="false">MAX(E160-E159,0)</f>
        <v>124.119999999999</v>
      </c>
      <c r="Q160" s="7" t="n">
        <f aca="false">MAX(E159-E160,0)</f>
        <v>0</v>
      </c>
      <c r="R160" s="7" t="n">
        <f aca="false">(R159*13+P160)/14</f>
        <v>75.8421016192069</v>
      </c>
      <c r="S160" s="7" t="n">
        <f aca="false">(S159*13+Q160)/14</f>
        <v>42.8799983032914</v>
      </c>
      <c r="T160" s="7" t="n">
        <f aca="false">IF(S160=0,100,100-100/(1+R160/S160))</f>
        <v>63.8820419018166</v>
      </c>
      <c r="U160" s="7" t="n">
        <f aca="false">E160*2/13+U159*11/13</f>
        <v>11076.6710572359</v>
      </c>
      <c r="V160" s="7" t="n">
        <f aca="false">E160*2/27+V159*25/27</f>
        <v>10874.8485780059</v>
      </c>
      <c r="W160" s="7" t="n">
        <f aca="false">U160-V160</f>
        <v>201.822479229988</v>
      </c>
      <c r="X160" s="7" t="n">
        <f aca="false">W160*2/10+X159*8/10</f>
        <v>202.024289895339</v>
      </c>
      <c r="Y160" s="7" t="n">
        <f aca="false">W160-X160</f>
        <v>-0.201810665351474</v>
      </c>
      <c r="Z160" s="8" t="s">
        <v>42</v>
      </c>
      <c r="AA160" s="7" t="str">
        <f aca="false">IFERROR(INDEX(02_轉折點45!B:B,MATCH(A160,02_轉折點45!A:A,0)),"")</f>
        <v/>
      </c>
      <c r="AB160" s="7" t="n">
        <f aca="false">COUNTIFS(05_訊號明細!A:A,A160,05_訊號明細!C:C,"TOP")</f>
        <v>0</v>
      </c>
      <c r="AC160" s="7" t="n">
        <f aca="false">COUNTIFS(05_訊號明細!A:A,A160,05_訊號明細!C:C,"BOTTOM")</f>
        <v>0</v>
      </c>
    </row>
    <row r="161" customFormat="false" ht="15" hidden="false" customHeight="false" outlineLevel="0" collapsed="false">
      <c r="A161" s="7" t="s">
        <v>202</v>
      </c>
      <c r="B161" s="7" t="n">
        <v>11339.76</v>
      </c>
      <c r="C161" s="7" t="n">
        <v>11421.1</v>
      </c>
      <c r="D161" s="7" t="n">
        <v>11279.08</v>
      </c>
      <c r="E161" s="7" t="n">
        <v>11399.03</v>
      </c>
      <c r="F161" s="7" t="n">
        <v>3229</v>
      </c>
      <c r="G161" s="7" t="n">
        <f aca="false">AVERAGE(E157:E161)</f>
        <v>11237.628</v>
      </c>
      <c r="H161" s="7" t="n">
        <f aca="false">AVERAGE(E152:E161)</f>
        <v>11168.13</v>
      </c>
      <c r="I161" s="7" t="n">
        <f aca="false">AVERAGE(E142:E161)</f>
        <v>10962.932</v>
      </c>
      <c r="J161" s="7" t="n">
        <f aca="false">AVERAGE(E112:E161)</f>
        <v>10555.4176</v>
      </c>
      <c r="K161" s="7" t="n">
        <f aca="false">AVERAGE(E62:E161)</f>
        <v>9707.1545</v>
      </c>
      <c r="M161" s="7" t="n">
        <f aca="false">I161</f>
        <v>10962.932</v>
      </c>
      <c r="N161" s="7" t="n">
        <f aca="false">I161+2*STDEV(E142:E161)</f>
        <v>11511.2188310656</v>
      </c>
      <c r="O161" s="7" t="n">
        <f aca="false">I161-2*STDEV(E142:E161)</f>
        <v>10414.6451689344</v>
      </c>
      <c r="P161" s="7" t="n">
        <f aca="false">MAX(E161-E160,0)</f>
        <v>110.460000000001</v>
      </c>
      <c r="Q161" s="7" t="n">
        <f aca="false">MAX(E160-E161,0)</f>
        <v>0</v>
      </c>
      <c r="R161" s="7" t="n">
        <f aca="false">(R160*13+P161)/14</f>
        <v>78.3148086464065</v>
      </c>
      <c r="S161" s="7" t="n">
        <f aca="false">(S160*13+Q161)/14</f>
        <v>39.8171412816277</v>
      </c>
      <c r="T161" s="7" t="n">
        <f aca="false">IF(S161=0,100,100-100/(1+R161/S161))</f>
        <v>66.2943502533529</v>
      </c>
      <c r="U161" s="7" t="n">
        <f aca="false">E161*2/13+U160*11/13</f>
        <v>11126.264740738</v>
      </c>
      <c r="V161" s="7" t="n">
        <f aca="false">E161*2/27+V160*25/27</f>
        <v>10913.6768314869</v>
      </c>
      <c r="W161" s="7" t="n">
        <f aca="false">U161-V161</f>
        <v>212.587909251117</v>
      </c>
      <c r="X161" s="7" t="n">
        <f aca="false">W161*2/10+X160*8/10</f>
        <v>204.137013766495</v>
      </c>
      <c r="Y161" s="7" t="n">
        <f aca="false">W161-X161</f>
        <v>8.4508954846219</v>
      </c>
      <c r="Z161" s="8" t="s">
        <v>42</v>
      </c>
      <c r="AA161" s="7" t="str">
        <f aca="false">IFERROR(INDEX(02_轉折點45!B:B,MATCH(A161,02_轉折點45!A:A,0)),"")</f>
        <v/>
      </c>
      <c r="AB161" s="7" t="n">
        <f aca="false">COUNTIFS(05_訊號明細!A:A,A161,05_訊號明細!C:C,"TOP")</f>
        <v>0</v>
      </c>
      <c r="AC161" s="7" t="n">
        <f aca="false">COUNTIFS(05_訊號明細!A:A,A161,05_訊號明細!C:C,"BOTTOM")</f>
        <v>0</v>
      </c>
    </row>
    <row r="162" customFormat="false" ht="15" hidden="false" customHeight="false" outlineLevel="0" collapsed="false">
      <c r="A162" s="7" t="s">
        <v>203</v>
      </c>
      <c r="B162" s="7" t="n">
        <v>11397.23</v>
      </c>
      <c r="C162" s="7" t="n">
        <v>11440.22</v>
      </c>
      <c r="D162" s="7" t="n">
        <v>11303.4</v>
      </c>
      <c r="E162" s="7" t="n">
        <v>11318.64</v>
      </c>
      <c r="F162" s="7" t="n">
        <v>3496</v>
      </c>
      <c r="G162" s="7" t="n">
        <f aca="false">AVERAGE(E158:E162)</f>
        <v>11269.812</v>
      </c>
      <c r="H162" s="7" t="n">
        <f aca="false">AVERAGE(E153:E162)</f>
        <v>11187.45</v>
      </c>
      <c r="I162" s="7" t="n">
        <f aca="false">AVERAGE(E143:E162)</f>
        <v>10985.3265</v>
      </c>
      <c r="J162" s="7" t="n">
        <f aca="false">AVERAGE(E113:E162)</f>
        <v>10582.447</v>
      </c>
      <c r="K162" s="7" t="n">
        <f aca="false">AVERAGE(E63:E162)</f>
        <v>9744.4572</v>
      </c>
      <c r="M162" s="7" t="n">
        <f aca="false">I162</f>
        <v>10985.3265</v>
      </c>
      <c r="N162" s="7" t="n">
        <f aca="false">I162+2*STDEV(E143:E162)</f>
        <v>11553.9699496339</v>
      </c>
      <c r="O162" s="7" t="n">
        <f aca="false">I162-2*STDEV(E143:E162)</f>
        <v>10416.6830503661</v>
      </c>
      <c r="P162" s="7" t="n">
        <f aca="false">MAX(E162-E161,0)</f>
        <v>0</v>
      </c>
      <c r="Q162" s="7" t="n">
        <f aca="false">MAX(E161-E162,0)</f>
        <v>80.3900000000012</v>
      </c>
      <c r="R162" s="7" t="n">
        <f aca="false">(R161*13+P162)/14</f>
        <v>72.7208937430917</v>
      </c>
      <c r="S162" s="7" t="n">
        <f aca="false">(S161*13+Q162)/14</f>
        <v>42.7152026186544</v>
      </c>
      <c r="T162" s="7" t="n">
        <f aca="false">IF(S162=0,100,100-100/(1+R162/S162))</f>
        <v>62.9966674507112</v>
      </c>
      <c r="U162" s="7" t="n">
        <f aca="false">E162*2/13+U161*11/13</f>
        <v>11155.8609344706</v>
      </c>
      <c r="V162" s="7" t="n">
        <f aca="false">E162*2/27+V161*25/27</f>
        <v>10943.6741032286</v>
      </c>
      <c r="W162" s="7" t="n">
        <f aca="false">U162-V162</f>
        <v>212.186831242017</v>
      </c>
      <c r="X162" s="7" t="n">
        <f aca="false">W162*2/10+X161*8/10</f>
        <v>205.746977261599</v>
      </c>
      <c r="Y162" s="7" t="n">
        <f aca="false">W162-X162</f>
        <v>6.43985398041801</v>
      </c>
      <c r="Z162" s="8" t="s">
        <v>42</v>
      </c>
      <c r="AA162" s="7" t="str">
        <f aca="false">IFERROR(INDEX(02_轉折點45!B:B,MATCH(A162,02_轉折點45!A:A,0)),"")</f>
        <v/>
      </c>
      <c r="AB162" s="7" t="n">
        <f aca="false">COUNTIFS(05_訊號明細!A:A,A162,05_訊號明細!C:C,"TOP")</f>
        <v>0</v>
      </c>
      <c r="AC162" s="7" t="n">
        <f aca="false">COUNTIFS(05_訊號明細!A:A,A162,05_訊號明細!C:C,"BOTTOM")</f>
        <v>0</v>
      </c>
    </row>
    <row r="163" customFormat="false" ht="15" hidden="false" customHeight="false" outlineLevel="0" collapsed="false">
      <c r="A163" s="7" t="s">
        <v>204</v>
      </c>
      <c r="B163" s="7" t="n">
        <v>11277.05</v>
      </c>
      <c r="C163" s="7" t="n">
        <v>11497.18</v>
      </c>
      <c r="D163" s="7" t="n">
        <v>11268.46</v>
      </c>
      <c r="E163" s="7" t="n">
        <v>11477.05</v>
      </c>
      <c r="F163" s="7" t="n">
        <v>4215</v>
      </c>
      <c r="G163" s="7" t="n">
        <f aca="false">AVERAGE(E159:E163)</f>
        <v>11329.548</v>
      </c>
      <c r="H163" s="7" t="n">
        <f aca="false">AVERAGE(E154:E163)</f>
        <v>11208.447</v>
      </c>
      <c r="I163" s="7" t="n">
        <f aca="false">AVERAGE(E144:E163)</f>
        <v>11030.1495</v>
      </c>
      <c r="J163" s="7" t="n">
        <f aca="false">AVERAGE(E114:E163)</f>
        <v>10610.1028</v>
      </c>
      <c r="K163" s="7" t="n">
        <f aca="false">AVERAGE(E64:E163)</f>
        <v>9780.3376</v>
      </c>
      <c r="M163" s="7" t="n">
        <f aca="false">I163</f>
        <v>11030.1495</v>
      </c>
      <c r="N163" s="7" t="n">
        <f aca="false">I163+2*STDEV(E144:E163)</f>
        <v>11605.7473786938</v>
      </c>
      <c r="O163" s="7" t="n">
        <f aca="false">I163-2*STDEV(E144:E163)</f>
        <v>10454.5516213062</v>
      </c>
      <c r="P163" s="7" t="n">
        <f aca="false">MAX(E163-E162,0)</f>
        <v>158.41</v>
      </c>
      <c r="Q163" s="7" t="n">
        <f aca="false">MAX(E162-E163,0)</f>
        <v>0</v>
      </c>
      <c r="R163" s="7" t="n">
        <f aca="false">(R162*13+P163)/14</f>
        <v>78.8415441900138</v>
      </c>
      <c r="S163" s="7" t="n">
        <f aca="false">(S162*13+Q163)/14</f>
        <v>39.6641167173219</v>
      </c>
      <c r="T163" s="7" t="n">
        <f aca="false">IF(S163=0,100,100-100/(1+R163/S163))</f>
        <v>66.5297704652802</v>
      </c>
      <c r="U163" s="7" t="n">
        <f aca="false">E163*2/13+U162*11/13</f>
        <v>11205.2746368598</v>
      </c>
      <c r="V163" s="7" t="n">
        <f aca="false">E163*2/27+V162*25/27</f>
        <v>10983.1834289154</v>
      </c>
      <c r="W163" s="7" t="n">
        <f aca="false">U163-V163</f>
        <v>222.091207944382</v>
      </c>
      <c r="X163" s="7" t="n">
        <f aca="false">W163*2/10+X162*8/10</f>
        <v>209.015823398156</v>
      </c>
      <c r="Y163" s="7" t="n">
        <f aca="false">W163-X163</f>
        <v>13.0753845462264</v>
      </c>
      <c r="Z163" s="8" t="s">
        <v>42</v>
      </c>
      <c r="AA163" s="7" t="str">
        <f aca="false">IFERROR(INDEX(02_轉折點45!B:B,MATCH(A163,02_轉折點45!A:A,0)),"")</f>
        <v/>
      </c>
      <c r="AB163" s="7" t="n">
        <f aca="false">COUNTIFS(05_訊號明細!A:A,A163,05_訊號明細!C:C,"TOP")</f>
        <v>1</v>
      </c>
      <c r="AC163" s="7" t="n">
        <f aca="false">COUNTIFS(05_訊號明細!A:A,A163,05_訊號明細!C:C,"BOTTOM")</f>
        <v>0</v>
      </c>
    </row>
    <row r="164" customFormat="false" ht="15" hidden="false" customHeight="false" outlineLevel="0" collapsed="false">
      <c r="A164" s="7" t="s">
        <v>205</v>
      </c>
      <c r="B164" s="7" t="n">
        <v>11476.85</v>
      </c>
      <c r="C164" s="7" t="n">
        <v>11574.79</v>
      </c>
      <c r="D164" s="7" t="n">
        <v>11461.53</v>
      </c>
      <c r="E164" s="7" t="n">
        <v>11555.16</v>
      </c>
      <c r="F164" s="7" t="n">
        <v>3929</v>
      </c>
      <c r="G164" s="7" t="n">
        <f aca="false">AVERAGE(E160:E164)</f>
        <v>11407.69</v>
      </c>
      <c r="H164" s="7" t="n">
        <f aca="false">AVERAGE(E155:E164)</f>
        <v>11250.024</v>
      </c>
      <c r="I164" s="7" t="n">
        <f aca="false">AVERAGE(E145:E164)</f>
        <v>11083.751</v>
      </c>
      <c r="J164" s="7" t="n">
        <f aca="false">AVERAGE(E115:E164)</f>
        <v>10649.4364</v>
      </c>
      <c r="K164" s="7" t="n">
        <f aca="false">AVERAGE(E65:E164)</f>
        <v>9817.7542</v>
      </c>
      <c r="M164" s="7" t="n">
        <f aca="false">I164</f>
        <v>11083.751</v>
      </c>
      <c r="N164" s="7" t="n">
        <f aca="false">I164+2*STDEV(E145:E164)</f>
        <v>11644.3295800553</v>
      </c>
      <c r="O164" s="7" t="n">
        <f aca="false">I164-2*STDEV(E145:E164)</f>
        <v>10523.1724199447</v>
      </c>
      <c r="P164" s="7" t="n">
        <f aca="false">MAX(E164-E163,0)</f>
        <v>78.1100000000006</v>
      </c>
      <c r="Q164" s="7" t="n">
        <f aca="false">MAX(E163-E164,0)</f>
        <v>0</v>
      </c>
      <c r="R164" s="7" t="n">
        <f aca="false">(R163*13+P164)/14</f>
        <v>78.7892910335843</v>
      </c>
      <c r="S164" s="7" t="n">
        <f aca="false">(S163*13+Q164)/14</f>
        <v>36.8309655232275</v>
      </c>
      <c r="T164" s="7" t="n">
        <f aca="false">IF(S164=0,100,100-100/(1+R164/S164))</f>
        <v>68.144885143781</v>
      </c>
      <c r="U164" s="7" t="n">
        <f aca="false">E164*2/13+U163*11/13</f>
        <v>11259.103154266</v>
      </c>
      <c r="V164" s="7" t="n">
        <f aca="false">E164*2/27+V163*25/27</f>
        <v>11025.5520638106</v>
      </c>
      <c r="W164" s="7" t="n">
        <f aca="false">U164-V164</f>
        <v>233.551090455416</v>
      </c>
      <c r="X164" s="7" t="n">
        <f aca="false">W164*2/10+X163*8/10</f>
        <v>213.922876809608</v>
      </c>
      <c r="Y164" s="7" t="n">
        <f aca="false">W164-X164</f>
        <v>19.6282136458078</v>
      </c>
      <c r="Z164" s="8" t="s">
        <v>42</v>
      </c>
      <c r="AA164" s="7" t="str">
        <f aca="false">IFERROR(INDEX(02_轉折點45!B:B,MATCH(A164,02_轉折點45!A:A,0)),"")</f>
        <v/>
      </c>
      <c r="AB164" s="7" t="n">
        <f aca="false">COUNTIFS(05_訊號明細!A:A,A164,05_訊號明細!C:C,"TOP")</f>
        <v>0</v>
      </c>
      <c r="AC164" s="7" t="n">
        <f aca="false">COUNTIFS(05_訊號明細!A:A,A164,05_訊號明細!C:C,"BOTTOM")</f>
        <v>0</v>
      </c>
    </row>
    <row r="165" customFormat="false" ht="15" hidden="false" customHeight="false" outlineLevel="0" collapsed="false">
      <c r="A165" s="7" t="s">
        <v>206</v>
      </c>
      <c r="B165" s="7" t="n">
        <v>11703.34</v>
      </c>
      <c r="C165" s="7" t="n">
        <v>11728.09</v>
      </c>
      <c r="D165" s="7" t="n">
        <v>11535.55</v>
      </c>
      <c r="E165" s="7" t="n">
        <v>11626.17</v>
      </c>
      <c r="F165" s="7" t="n">
        <v>3907</v>
      </c>
      <c r="G165" s="7" t="n">
        <f aca="false">AVERAGE(E161:E165)</f>
        <v>11475.21</v>
      </c>
      <c r="H165" s="7" t="n">
        <f aca="false">AVERAGE(E156:E165)</f>
        <v>11304.124</v>
      </c>
      <c r="I165" s="7" t="n">
        <f aca="false">AVERAGE(E146:E165)</f>
        <v>11131.3405</v>
      </c>
      <c r="J165" s="7" t="n">
        <f aca="false">AVERAGE(E116:E165)</f>
        <v>10688.6842</v>
      </c>
      <c r="K165" s="7" t="n">
        <f aca="false">AVERAGE(E66:E165)</f>
        <v>9859.153</v>
      </c>
      <c r="M165" s="7" t="n">
        <f aca="false">I165</f>
        <v>11131.3405</v>
      </c>
      <c r="N165" s="7" t="n">
        <f aca="false">I165+2*STDEV(E146:E165)</f>
        <v>11706.9899148159</v>
      </c>
      <c r="O165" s="7" t="n">
        <f aca="false">I165-2*STDEV(E146:E165)</f>
        <v>10555.6910851841</v>
      </c>
      <c r="P165" s="7" t="n">
        <f aca="false">MAX(E165-E164,0)</f>
        <v>71.0100000000002</v>
      </c>
      <c r="Q165" s="7" t="n">
        <f aca="false">MAX(E164-E165,0)</f>
        <v>0</v>
      </c>
      <c r="R165" s="7" t="n">
        <f aca="false">(R164*13+P165)/14</f>
        <v>78.2336273883282</v>
      </c>
      <c r="S165" s="7" t="n">
        <f aca="false">(S164*13+Q165)/14</f>
        <v>34.2001822715684</v>
      </c>
      <c r="T165" s="7" t="n">
        <f aca="false">IF(S165=0,100,100-100/(1+R165/S165))</f>
        <v>69.5819412550182</v>
      </c>
      <c r="U165" s="7" t="n">
        <f aca="false">E165*2/13+U164*11/13</f>
        <v>11315.5749766866</v>
      </c>
      <c r="V165" s="7" t="n">
        <f aca="false">E165*2/27+V164*25/27</f>
        <v>11070.0422813061</v>
      </c>
      <c r="W165" s="7" t="n">
        <f aca="false">U165-V165</f>
        <v>245.532695380523</v>
      </c>
      <c r="X165" s="7" t="n">
        <f aca="false">W165*2/10+X164*8/10</f>
        <v>220.244840523791</v>
      </c>
      <c r="Y165" s="7" t="n">
        <f aca="false">W165-X165</f>
        <v>25.2878548567323</v>
      </c>
      <c r="Z165" s="8" t="s">
        <v>42</v>
      </c>
      <c r="AA165" s="7" t="str">
        <f aca="false">IFERROR(INDEX(02_轉折點45!B:B,MATCH(A165,02_轉折點45!A:A,0)),"")</f>
        <v/>
      </c>
      <c r="AB165" s="7" t="n">
        <f aca="false">COUNTIFS(05_訊號明細!A:A,A165,05_訊號明細!C:C,"TOP")</f>
        <v>0</v>
      </c>
      <c r="AC165" s="7" t="n">
        <f aca="false">COUNTIFS(05_訊號明細!A:A,A165,05_訊號明細!C:C,"BOTTOM")</f>
        <v>0</v>
      </c>
    </row>
    <row r="166" customFormat="false" ht="15" hidden="false" customHeight="false" outlineLevel="0" collapsed="false">
      <c r="A166" s="7" t="s">
        <v>207</v>
      </c>
      <c r="B166" s="7" t="n">
        <v>11610.58</v>
      </c>
      <c r="C166" s="7" t="n">
        <v>11723.95</v>
      </c>
      <c r="D166" s="7" t="n">
        <v>11580.89</v>
      </c>
      <c r="E166" s="7" t="n">
        <v>11721.81</v>
      </c>
      <c r="F166" s="7" t="n">
        <v>3475</v>
      </c>
      <c r="G166" s="7" t="n">
        <f aca="false">AVERAGE(E162:E166)</f>
        <v>11539.766</v>
      </c>
      <c r="H166" s="7" t="n">
        <f aca="false">AVERAGE(E157:E166)</f>
        <v>11388.697</v>
      </c>
      <c r="I166" s="7" t="n">
        <f aca="false">AVERAGE(E147:E166)</f>
        <v>11190.806</v>
      </c>
      <c r="J166" s="7" t="n">
        <f aca="false">AVERAGE(E117:E166)</f>
        <v>10727.5826</v>
      </c>
      <c r="K166" s="7" t="n">
        <f aca="false">AVERAGE(E67:E166)</f>
        <v>9900.0145</v>
      </c>
      <c r="M166" s="7" t="n">
        <f aca="false">I166</f>
        <v>11190.806</v>
      </c>
      <c r="N166" s="7" t="n">
        <f aca="false">I166+2*STDEV(E147:E166)</f>
        <v>11751.5084830523</v>
      </c>
      <c r="O166" s="7" t="n">
        <f aca="false">I166-2*STDEV(E147:E166)</f>
        <v>10630.1035169477</v>
      </c>
      <c r="P166" s="7" t="n">
        <f aca="false">MAX(E166-E165,0)</f>
        <v>95.6399999999994</v>
      </c>
      <c r="Q166" s="7" t="n">
        <f aca="false">MAX(E165-E166,0)</f>
        <v>0</v>
      </c>
      <c r="R166" s="7" t="n">
        <f aca="false">(R165*13+P166)/14</f>
        <v>79.4769397177333</v>
      </c>
      <c r="S166" s="7" t="n">
        <f aca="false">(S165*13+Q166)/14</f>
        <v>31.7573121093135</v>
      </c>
      <c r="T166" s="7" t="n">
        <f aca="false">IF(S166=0,100,100-100/(1+R166/S166))</f>
        <v>71.450060042035</v>
      </c>
      <c r="U166" s="7" t="n">
        <f aca="false">E166*2/13+U165*11/13</f>
        <v>11378.072672581</v>
      </c>
      <c r="V166" s="7" t="n">
        <f aca="false">E166*2/27+V165*25/27</f>
        <v>11118.3213715797</v>
      </c>
      <c r="W166" s="7" t="n">
        <f aca="false">U166-V166</f>
        <v>259.751301001268</v>
      </c>
      <c r="X166" s="7" t="n">
        <f aca="false">W166*2/10+X165*8/10</f>
        <v>228.146132619286</v>
      </c>
      <c r="Y166" s="7" t="n">
        <f aca="false">W166-X166</f>
        <v>31.6051683819816</v>
      </c>
      <c r="Z166" s="8" t="s">
        <v>42</v>
      </c>
      <c r="AA166" s="7" t="str">
        <f aca="false">IFERROR(INDEX(02_轉折點45!B:B,MATCH(A166,02_轉折點45!A:A,0)),"")</f>
        <v/>
      </c>
      <c r="AB166" s="7" t="n">
        <f aca="false">COUNTIFS(05_訊號明細!A:A,A166,05_訊號明細!C:C,"TOP")</f>
        <v>0</v>
      </c>
      <c r="AC166" s="7" t="n">
        <f aca="false">COUNTIFS(05_訊號明細!A:A,A166,05_訊號明細!C:C,"BOTTOM")</f>
        <v>0</v>
      </c>
    </row>
    <row r="167" customFormat="false" ht="15" hidden="false" customHeight="false" outlineLevel="0" collapsed="false">
      <c r="A167" s="7" t="s">
        <v>208</v>
      </c>
      <c r="B167" s="7" t="n">
        <v>11779.35</v>
      </c>
      <c r="C167" s="7" t="n">
        <v>11979.65</v>
      </c>
      <c r="D167" s="7" t="n">
        <v>11768</v>
      </c>
      <c r="E167" s="7" t="n">
        <v>11971.94</v>
      </c>
      <c r="F167" s="7" t="n">
        <v>3472</v>
      </c>
      <c r="G167" s="7" t="n">
        <f aca="false">AVERAGE(E163:E167)</f>
        <v>11670.426</v>
      </c>
      <c r="H167" s="7" t="n">
        <f aca="false">AVERAGE(E158:E167)</f>
        <v>11470.119</v>
      </c>
      <c r="I167" s="7" t="n">
        <f aca="false">AVERAGE(E148:E167)</f>
        <v>11256.254</v>
      </c>
      <c r="J167" s="7" t="n">
        <f aca="false">AVERAGE(E118:E167)</f>
        <v>10768.034</v>
      </c>
      <c r="K167" s="7" t="n">
        <f aca="false">AVERAGE(E68:E167)</f>
        <v>9944.4528</v>
      </c>
      <c r="M167" s="7" t="n">
        <f aca="false">I167</f>
        <v>11256.254</v>
      </c>
      <c r="N167" s="7" t="n">
        <f aca="false">I167+2*STDEV(E148:E167)</f>
        <v>11861.3622164165</v>
      </c>
      <c r="O167" s="7" t="n">
        <f aca="false">I167-2*STDEV(E148:E167)</f>
        <v>10651.1457835835</v>
      </c>
      <c r="P167" s="7" t="n">
        <f aca="false">MAX(E167-E166,0)</f>
        <v>250.130000000001</v>
      </c>
      <c r="Q167" s="7" t="n">
        <f aca="false">MAX(E166-E167,0)</f>
        <v>0</v>
      </c>
      <c r="R167" s="7" t="n">
        <f aca="false">(R166*13+P167)/14</f>
        <v>91.6664440236096</v>
      </c>
      <c r="S167" s="7" t="n">
        <f aca="false">(S166*13+Q167)/14</f>
        <v>29.488932672934</v>
      </c>
      <c r="T167" s="7" t="n">
        <f aca="false">IF(S167=0,100,100-100/(1+R167/S167))</f>
        <v>75.6602360728946</v>
      </c>
      <c r="U167" s="7" t="n">
        <f aca="false">E167*2/13+U166*11/13</f>
        <v>11469.4368767993</v>
      </c>
      <c r="V167" s="7" t="n">
        <f aca="false">E167*2/27+V166*25/27</f>
        <v>11181.5523810923</v>
      </c>
      <c r="W167" s="7" t="n">
        <f aca="false">U167-V167</f>
        <v>287.884495706969</v>
      </c>
      <c r="X167" s="7" t="n">
        <f aca="false">W167*2/10+X166*8/10</f>
        <v>240.093805236823</v>
      </c>
      <c r="Y167" s="7" t="n">
        <f aca="false">W167-X167</f>
        <v>47.7906904701458</v>
      </c>
      <c r="Z167" s="8" t="s">
        <v>42</v>
      </c>
      <c r="AA167" s="7" t="str">
        <f aca="false">IFERROR(INDEX(02_轉折點45!B:B,MATCH(A167,02_轉折點45!A:A,0)),"")</f>
        <v/>
      </c>
      <c r="AB167" s="7" t="n">
        <f aca="false">COUNTIFS(05_訊號明細!A:A,A167,05_訊號明細!C:C,"TOP")</f>
        <v>0</v>
      </c>
      <c r="AC167" s="7" t="n">
        <f aca="false">COUNTIFS(05_訊號明細!A:A,A167,05_訊號明細!C:C,"BOTTOM")</f>
        <v>0</v>
      </c>
    </row>
    <row r="168" customFormat="false" ht="15" hidden="false" customHeight="false" outlineLevel="0" collapsed="false">
      <c r="A168" s="7" t="s">
        <v>209</v>
      </c>
      <c r="B168" s="7" t="n">
        <v>11997.89</v>
      </c>
      <c r="C168" s="7" t="n">
        <v>12047.99</v>
      </c>
      <c r="D168" s="7" t="n">
        <v>11842.84</v>
      </c>
      <c r="E168" s="7" t="n">
        <v>11926.16</v>
      </c>
      <c r="F168" s="7" t="n">
        <v>3547</v>
      </c>
      <c r="G168" s="7" t="n">
        <f aca="false">AVERAGE(E164:E168)</f>
        <v>11760.248</v>
      </c>
      <c r="H168" s="7" t="n">
        <f aca="false">AVERAGE(E159:E168)</f>
        <v>11544.898</v>
      </c>
      <c r="I168" s="7" t="n">
        <f aca="false">AVERAGE(E149:E168)</f>
        <v>11316.7865</v>
      </c>
      <c r="J168" s="7" t="n">
        <f aca="false">AVERAGE(E119:E168)</f>
        <v>10806.9076</v>
      </c>
      <c r="K168" s="7" t="n">
        <f aca="false">AVERAGE(E69:E168)</f>
        <v>9982.8978</v>
      </c>
      <c r="M168" s="7" t="n">
        <f aca="false">I168</f>
        <v>11316.7865</v>
      </c>
      <c r="N168" s="7" t="n">
        <f aca="false">I168+2*STDEV(E149:E168)</f>
        <v>11936.1795957682</v>
      </c>
      <c r="O168" s="7" t="n">
        <f aca="false">I168-2*STDEV(E149:E168)</f>
        <v>10697.3934042318</v>
      </c>
      <c r="P168" s="7" t="n">
        <f aca="false">MAX(E168-E167,0)</f>
        <v>0</v>
      </c>
      <c r="Q168" s="7" t="n">
        <f aca="false">MAX(E167-E168,0)</f>
        <v>45.7800000000007</v>
      </c>
      <c r="R168" s="7" t="n">
        <f aca="false">(R167*13+P168)/14</f>
        <v>85.1188408790661</v>
      </c>
      <c r="S168" s="7" t="n">
        <f aca="false">(S167*13+Q168)/14</f>
        <v>30.652580339153</v>
      </c>
      <c r="T168" s="7" t="n">
        <f aca="false">IF(S168=0,100,100-100/(1+R168/S168))</f>
        <v>73.5231890421596</v>
      </c>
      <c r="U168" s="7" t="n">
        <f aca="false">E168*2/13+U167*11/13</f>
        <v>11539.7019726763</v>
      </c>
      <c r="V168" s="7" t="n">
        <f aca="false">E168*2/27+V167*25/27</f>
        <v>11236.7085010114</v>
      </c>
      <c r="W168" s="7" t="n">
        <f aca="false">U168-V168</f>
        <v>302.993471664917</v>
      </c>
      <c r="X168" s="7" t="n">
        <f aca="false">W168*2/10+X167*8/10</f>
        <v>252.673738522442</v>
      </c>
      <c r="Y168" s="7" t="n">
        <f aca="false">W168-X168</f>
        <v>50.3197331424751</v>
      </c>
      <c r="Z168" s="8" t="s">
        <v>42</v>
      </c>
      <c r="AA168" s="7" t="str">
        <f aca="false">IFERROR(INDEX(02_轉折點45!B:B,MATCH(A168,02_轉折點45!A:A,0)),"")</f>
        <v/>
      </c>
      <c r="AB168" s="7" t="n">
        <f aca="false">COUNTIFS(05_訊號明細!A:A,A168,05_訊號明細!C:C,"TOP")</f>
        <v>0</v>
      </c>
      <c r="AC168" s="7" t="n">
        <f aca="false">COUNTIFS(05_訊號明細!A:A,A168,05_訊號明細!C:C,"BOTTOM")</f>
        <v>0</v>
      </c>
    </row>
    <row r="169" customFormat="false" ht="15" hidden="false" customHeight="false" outlineLevel="0" collapsed="false">
      <c r="A169" s="7" t="s">
        <v>210</v>
      </c>
      <c r="B169" s="7" t="n">
        <v>11992.68</v>
      </c>
      <c r="C169" s="7" t="n">
        <v>12018.14</v>
      </c>
      <c r="D169" s="7" t="n">
        <v>11928.69</v>
      </c>
      <c r="E169" s="7" t="n">
        <v>11995.85</v>
      </c>
      <c r="F169" s="7" t="n">
        <v>3013</v>
      </c>
      <c r="G169" s="7" t="n">
        <f aca="false">AVERAGE(E165:E169)</f>
        <v>11848.386</v>
      </c>
      <c r="H169" s="7" t="n">
        <f aca="false">AVERAGE(E160:E169)</f>
        <v>11628.038</v>
      </c>
      <c r="I169" s="7" t="n">
        <f aca="false">AVERAGE(E150:E169)</f>
        <v>11371.285</v>
      </c>
      <c r="J169" s="7" t="n">
        <f aca="false">AVERAGE(E120:E169)</f>
        <v>10846.5836</v>
      </c>
      <c r="K169" s="7" t="n">
        <f aca="false">AVERAGE(E70:E169)</f>
        <v>10022.3632</v>
      </c>
      <c r="M169" s="7" t="n">
        <f aca="false">I169</f>
        <v>11371.285</v>
      </c>
      <c r="N169" s="7" t="n">
        <f aca="false">I169+2*STDEV(E150:E169)</f>
        <v>12029.0657087632</v>
      </c>
      <c r="O169" s="7" t="n">
        <f aca="false">I169-2*STDEV(E150:E169)</f>
        <v>10713.5042912368</v>
      </c>
      <c r="P169" s="7" t="n">
        <f aca="false">MAX(E169-E168,0)</f>
        <v>69.6900000000005</v>
      </c>
      <c r="Q169" s="7" t="n">
        <f aca="false">MAX(E168-E169,0)</f>
        <v>0</v>
      </c>
      <c r="R169" s="7" t="n">
        <f aca="false">(R168*13+P169)/14</f>
        <v>84.0167808162757</v>
      </c>
      <c r="S169" s="7" t="n">
        <f aca="false">(S168*13+Q169)/14</f>
        <v>28.4631103149278</v>
      </c>
      <c r="T169" s="7" t="n">
        <f aca="false">IF(S169=0,100,100-100/(1+R169/S169))</f>
        <v>74.694934331216</v>
      </c>
      <c r="U169" s="7" t="n">
        <f aca="false">E169*2/13+U168*11/13</f>
        <v>11609.8785922646</v>
      </c>
      <c r="V169" s="7" t="n">
        <f aca="false">E169*2/27+V168*25/27</f>
        <v>11292.9412046402</v>
      </c>
      <c r="W169" s="7" t="n">
        <f aca="false">U169-V169</f>
        <v>316.93738762439</v>
      </c>
      <c r="X169" s="7" t="n">
        <f aca="false">W169*2/10+X168*8/10</f>
        <v>265.526468342831</v>
      </c>
      <c r="Y169" s="7" t="n">
        <f aca="false">W169-X169</f>
        <v>51.4109192815586</v>
      </c>
      <c r="Z169" s="8" t="s">
        <v>42</v>
      </c>
      <c r="AA169" s="7" t="str">
        <f aca="false">IFERROR(INDEX(02_轉折點45!B:B,MATCH(A169,02_轉折點45!A:A,0)),"")</f>
        <v/>
      </c>
      <c r="AB169" s="7" t="n">
        <f aca="false">COUNTIFS(05_訊號明細!A:A,A169,05_訊號明細!C:C,"TOP")</f>
        <v>0</v>
      </c>
      <c r="AC169" s="7" t="n">
        <f aca="false">COUNTIFS(05_訊號明細!A:A,A169,05_訊號明細!C:C,"BOTTOM")</f>
        <v>0</v>
      </c>
    </row>
    <row r="170" customFormat="false" ht="15" hidden="false" customHeight="false" outlineLevel="0" collapsed="false">
      <c r="A170" s="7" t="s">
        <v>211</v>
      </c>
      <c r="B170" s="7" t="n">
        <v>12017.46</v>
      </c>
      <c r="C170" s="7" t="n">
        <v>12167.46</v>
      </c>
      <c r="D170" s="7" t="n">
        <v>12000.11</v>
      </c>
      <c r="E170" s="7" t="n">
        <v>12110.7</v>
      </c>
      <c r="F170" s="7" t="n">
        <v>3612</v>
      </c>
      <c r="G170" s="7" t="n">
        <f aca="false">AVERAGE(E166:E170)</f>
        <v>11945.292</v>
      </c>
      <c r="H170" s="7" t="n">
        <f aca="false">AVERAGE(E161:E170)</f>
        <v>11710.251</v>
      </c>
      <c r="I170" s="7" t="n">
        <f aca="false">AVERAGE(E151:E170)</f>
        <v>11424.066</v>
      </c>
      <c r="J170" s="7" t="n">
        <f aca="false">AVERAGE(E121:E170)</f>
        <v>10888.6248</v>
      </c>
      <c r="K170" s="7" t="n">
        <f aca="false">AVERAGE(E71:E170)</f>
        <v>10061.1748</v>
      </c>
      <c r="M170" s="7" t="n">
        <f aca="false">I170</f>
        <v>11424.066</v>
      </c>
      <c r="N170" s="7" t="n">
        <f aca="false">I170+2*STDEV(E151:E170)</f>
        <v>12141.6996405716</v>
      </c>
      <c r="O170" s="7" t="n">
        <f aca="false">I170-2*STDEV(E151:E170)</f>
        <v>10706.4323594284</v>
      </c>
      <c r="P170" s="7" t="n">
        <f aca="false">MAX(E170-E169,0)</f>
        <v>114.85</v>
      </c>
      <c r="Q170" s="7" t="n">
        <f aca="false">MAX(E169-E170,0)</f>
        <v>0</v>
      </c>
      <c r="R170" s="7" t="n">
        <f aca="false">(R169*13+P170)/14</f>
        <v>86.2191536151131</v>
      </c>
      <c r="S170" s="7" t="n">
        <f aca="false">(S169*13+Q170)/14</f>
        <v>26.4300310067187</v>
      </c>
      <c r="T170" s="7" t="n">
        <f aca="false">IF(S170=0,100,100-100/(1+R170/S170))</f>
        <v>76.5377520525822</v>
      </c>
      <c r="U170" s="7" t="n">
        <f aca="false">E170*2/13+U169*11/13</f>
        <v>11686.9280396085</v>
      </c>
      <c r="V170" s="7" t="n">
        <f aca="false">E170*2/27+V169*25/27</f>
        <v>11353.5159302224</v>
      </c>
      <c r="W170" s="7" t="n">
        <f aca="false">U170-V170</f>
        <v>333.412109386092</v>
      </c>
      <c r="X170" s="7" t="n">
        <f aca="false">W170*2/10+X169*8/10</f>
        <v>279.103596551484</v>
      </c>
      <c r="Y170" s="7" t="n">
        <f aca="false">W170-X170</f>
        <v>54.3085128346087</v>
      </c>
      <c r="Z170" s="8" t="s">
        <v>42</v>
      </c>
      <c r="AA170" s="7" t="str">
        <f aca="false">IFERROR(INDEX(02_轉折點45!B:B,MATCH(A170,02_轉折點45!A:A,0)),"")</f>
        <v/>
      </c>
      <c r="AB170" s="7" t="n">
        <f aca="false">COUNTIFS(05_訊號明細!A:A,A170,05_訊號明細!C:C,"TOP")</f>
        <v>0</v>
      </c>
      <c r="AC170" s="7" t="n">
        <f aca="false">COUNTIFS(05_訊號明細!A:A,A170,05_訊號明細!C:C,"BOTTOM")</f>
        <v>0</v>
      </c>
    </row>
    <row r="171" customFormat="false" ht="15" hidden="false" customHeight="false" outlineLevel="0" collapsed="false">
      <c r="A171" s="7" t="s">
        <v>212</v>
      </c>
      <c r="B171" s="7" t="n">
        <v>12203.36</v>
      </c>
      <c r="C171" s="7" t="n">
        <v>12300.44</v>
      </c>
      <c r="D171" s="7" t="n">
        <v>12132.78</v>
      </c>
      <c r="E171" s="7" t="n">
        <v>12292.86</v>
      </c>
      <c r="F171" s="7" t="n">
        <v>3511</v>
      </c>
      <c r="G171" s="7" t="n">
        <f aca="false">AVERAGE(E167:E171)</f>
        <v>12059.502</v>
      </c>
      <c r="H171" s="7" t="n">
        <f aca="false">AVERAGE(E162:E171)</f>
        <v>11799.634</v>
      </c>
      <c r="I171" s="7" t="n">
        <f aca="false">AVERAGE(E152:E171)</f>
        <v>11483.882</v>
      </c>
      <c r="J171" s="7" t="n">
        <f aca="false">AVERAGE(E122:E171)</f>
        <v>10931.8754</v>
      </c>
      <c r="K171" s="7" t="n">
        <f aca="false">AVERAGE(E72:E171)</f>
        <v>10101.7181</v>
      </c>
      <c r="M171" s="7" t="n">
        <f aca="false">I171</f>
        <v>11483.882</v>
      </c>
      <c r="N171" s="7" t="n">
        <f aca="false">I171+2*STDEV(E152:E171)</f>
        <v>12281.5379549237</v>
      </c>
      <c r="O171" s="7" t="n">
        <f aca="false">I171-2*STDEV(E152:E171)</f>
        <v>10686.2260450763</v>
      </c>
      <c r="P171" s="7" t="n">
        <f aca="false">MAX(E171-E170,0)</f>
        <v>182.16</v>
      </c>
      <c r="Q171" s="7" t="n">
        <f aca="false">MAX(E170-E171,0)</f>
        <v>0</v>
      </c>
      <c r="R171" s="7" t="n">
        <f aca="false">(R170*13+P171)/14</f>
        <v>93.0720712140336</v>
      </c>
      <c r="S171" s="7" t="n">
        <f aca="false">(S170*13+Q171)/14</f>
        <v>24.5421716490959</v>
      </c>
      <c r="T171" s="7" t="n">
        <f aca="false">IF(S171=0,100,100-100/(1+R171/S171))</f>
        <v>79.1333336408447</v>
      </c>
      <c r="U171" s="7" t="n">
        <f aca="false">E171*2/13+U170*11/13</f>
        <v>11780.1483412072</v>
      </c>
      <c r="V171" s="7" t="n">
        <f aca="false">E171*2/27+V170*25/27</f>
        <v>11423.0969724281</v>
      </c>
      <c r="W171" s="7" t="n">
        <f aca="false">U171-V171</f>
        <v>357.051368779041</v>
      </c>
      <c r="X171" s="7" t="n">
        <f aca="false">W171*2/10+X170*8/10</f>
        <v>294.693150996995</v>
      </c>
      <c r="Y171" s="7" t="n">
        <f aca="false">W171-X171</f>
        <v>62.3582177820458</v>
      </c>
      <c r="Z171" s="8" t="s">
        <v>42</v>
      </c>
      <c r="AA171" s="7" t="str">
        <f aca="false">IFERROR(INDEX(02_轉折點45!B:B,MATCH(A171,02_轉折點45!A:A,0)),"")</f>
        <v/>
      </c>
      <c r="AB171" s="7" t="n">
        <f aca="false">COUNTIFS(05_訊號明細!A:A,A171,05_訊號明細!C:C,"TOP")</f>
        <v>0</v>
      </c>
      <c r="AC171" s="7" t="n">
        <f aca="false">COUNTIFS(05_訊號明細!A:A,A171,05_訊號明細!C:C,"BOTTOM")</f>
        <v>0</v>
      </c>
    </row>
    <row r="172" customFormat="false" ht="15" hidden="false" customHeight="false" outlineLevel="0" collapsed="false">
      <c r="A172" s="7" t="s">
        <v>213</v>
      </c>
      <c r="B172" s="7" t="n">
        <v>12417.45</v>
      </c>
      <c r="C172" s="7" t="n">
        <v>12439.48</v>
      </c>
      <c r="D172" s="7" t="n">
        <v>12176.18</v>
      </c>
      <c r="E172" s="7" t="n">
        <v>12420.54</v>
      </c>
      <c r="F172" s="7" t="n">
        <v>3982</v>
      </c>
      <c r="G172" s="7" t="n">
        <f aca="false">AVERAGE(E168:E172)</f>
        <v>12149.222</v>
      </c>
      <c r="H172" s="7" t="n">
        <f aca="false">AVERAGE(E163:E172)</f>
        <v>11909.824</v>
      </c>
      <c r="I172" s="7" t="n">
        <f aca="false">AVERAGE(E153:E172)</f>
        <v>11548.637</v>
      </c>
      <c r="J172" s="7" t="n">
        <f aca="false">AVERAGE(E123:E172)</f>
        <v>10976.0898</v>
      </c>
      <c r="K172" s="7" t="n">
        <f aca="false">AVERAGE(E73:E172)</f>
        <v>10142.5961</v>
      </c>
      <c r="M172" s="7" t="n">
        <f aca="false">I172</f>
        <v>11548.637</v>
      </c>
      <c r="N172" s="7" t="n">
        <f aca="false">I172+2*STDEV(E153:E172)</f>
        <v>12429.6883692677</v>
      </c>
      <c r="O172" s="7" t="n">
        <f aca="false">I172-2*STDEV(E153:E172)</f>
        <v>10667.5856307323</v>
      </c>
      <c r="P172" s="7" t="n">
        <f aca="false">MAX(E172-E171,0)</f>
        <v>127.68</v>
      </c>
      <c r="Q172" s="7" t="n">
        <f aca="false">MAX(E171-E172,0)</f>
        <v>0</v>
      </c>
      <c r="R172" s="7" t="n">
        <f aca="false">(R171*13+P172)/14</f>
        <v>95.5440661273169</v>
      </c>
      <c r="S172" s="7" t="n">
        <f aca="false">(S171*13+Q172)/14</f>
        <v>22.7891593884462</v>
      </c>
      <c r="T172" s="7" t="n">
        <f aca="false">IF(S172=0,100,100-100/(1+R172/S172))</f>
        <v>80.7415378993363</v>
      </c>
      <c r="U172" s="7" t="n">
        <f aca="false">E172*2/13+U171*11/13</f>
        <v>11878.6701348676</v>
      </c>
      <c r="V172" s="7" t="n">
        <f aca="false">E172*2/27+V171*25/27</f>
        <v>11496.9816411372</v>
      </c>
      <c r="W172" s="7" t="n">
        <f aca="false">U172-V172</f>
        <v>381.688493730448</v>
      </c>
      <c r="X172" s="7" t="n">
        <f aca="false">W172*2/10+X171*8/10</f>
        <v>312.092219543686</v>
      </c>
      <c r="Y172" s="7" t="n">
        <f aca="false">W172-X172</f>
        <v>69.5962741867621</v>
      </c>
      <c r="Z172" s="8" t="s">
        <v>42</v>
      </c>
      <c r="AA172" s="7" t="str">
        <f aca="false">IFERROR(INDEX(02_轉折點45!B:B,MATCH(A172,02_轉折點45!A:A,0)),"")</f>
        <v/>
      </c>
      <c r="AB172" s="7" t="n">
        <f aca="false">COUNTIFS(05_訊號明細!A:A,A172,05_訊號明細!C:C,"TOP")</f>
        <v>0</v>
      </c>
      <c r="AC172" s="7" t="n">
        <f aca="false">COUNTIFS(05_訊號明細!A:A,A172,05_訊號明細!C:C,"BOTTOM")</f>
        <v>0</v>
      </c>
    </row>
    <row r="173" customFormat="false" ht="15" hidden="false" customHeight="false" outlineLevel="0" collapsed="false">
      <c r="A173" s="7" t="s">
        <v>214</v>
      </c>
      <c r="B173" s="7" t="n">
        <v>12195.75</v>
      </c>
      <c r="C173" s="7" t="n">
        <v>12235</v>
      </c>
      <c r="D173" s="7" t="n">
        <v>11662.11</v>
      </c>
      <c r="E173" s="7" t="n">
        <v>11771.37</v>
      </c>
      <c r="F173" s="7" t="n">
        <v>4465</v>
      </c>
      <c r="G173" s="7" t="n">
        <f aca="false">AVERAGE(E169:E173)</f>
        <v>12118.264</v>
      </c>
      <c r="H173" s="7" t="n">
        <f aca="false">AVERAGE(E164:E173)</f>
        <v>11939.256</v>
      </c>
      <c r="I173" s="7" t="n">
        <f aca="false">AVERAGE(E154:E173)</f>
        <v>11573.8515</v>
      </c>
      <c r="J173" s="7" t="n">
        <f aca="false">AVERAGE(E124:E173)</f>
        <v>11011.4632</v>
      </c>
      <c r="K173" s="7" t="n">
        <f aca="false">AVERAGE(E74:E173)</f>
        <v>10173.3882</v>
      </c>
      <c r="M173" s="7" t="n">
        <f aca="false">I173</f>
        <v>11573.8515</v>
      </c>
      <c r="N173" s="7" t="n">
        <f aca="false">I173+2*STDEV(E154:E173)</f>
        <v>12449.8249341628</v>
      </c>
      <c r="O173" s="7" t="n">
        <f aca="false">I173-2*STDEV(E154:E173)</f>
        <v>10697.8780658372</v>
      </c>
      <c r="P173" s="7" t="n">
        <f aca="false">MAX(E173-E172,0)</f>
        <v>0</v>
      </c>
      <c r="Q173" s="7" t="n">
        <f aca="false">MAX(E172-E173,0)</f>
        <v>649.17</v>
      </c>
      <c r="R173" s="7" t="n">
        <f aca="false">(R172*13+P173)/14</f>
        <v>88.7194899753657</v>
      </c>
      <c r="S173" s="7" t="n">
        <f aca="false">(S172*13+Q173)/14</f>
        <v>67.5306480035572</v>
      </c>
      <c r="T173" s="7" t="n">
        <f aca="false">IF(S173=0,100,100-100/(1+R173/S173))</f>
        <v>56.7804234434234</v>
      </c>
      <c r="U173" s="7" t="n">
        <f aca="false">E173*2/13+U172*11/13</f>
        <v>11862.1624218111</v>
      </c>
      <c r="V173" s="7" t="n">
        <f aca="false">E173*2/27+V172*25/27</f>
        <v>11517.3067047566</v>
      </c>
      <c r="W173" s="7" t="n">
        <f aca="false">U173-V173</f>
        <v>344.855717054423</v>
      </c>
      <c r="X173" s="7" t="n">
        <f aca="false">W173*2/10+X172*8/10</f>
        <v>318.644919045833</v>
      </c>
      <c r="Y173" s="7" t="n">
        <f aca="false">W173-X173</f>
        <v>26.2107980085898</v>
      </c>
      <c r="Z173" s="7" t="s">
        <v>78</v>
      </c>
      <c r="AA173" s="7" t="str">
        <f aca="false">IFERROR(INDEX(02_轉折點45!B:B,MATCH(A173,02_轉折點45!A:A,0)),"")</f>
        <v/>
      </c>
      <c r="AB173" s="7" t="n">
        <f aca="false">COUNTIFS(05_訊號明細!A:A,A173,05_訊號明細!C:C,"TOP")</f>
        <v>2</v>
      </c>
      <c r="AC173" s="7" t="n">
        <f aca="false">COUNTIFS(05_訊號明細!A:A,A173,05_訊號明細!C:C,"BOTTOM")</f>
        <v>0</v>
      </c>
    </row>
    <row r="174" customFormat="false" ht="15" hidden="false" customHeight="false" outlineLevel="0" collapsed="false">
      <c r="A174" s="7" t="s">
        <v>215</v>
      </c>
      <c r="B174" s="7" t="n">
        <v>11686.24</v>
      </c>
      <c r="C174" s="7" t="n">
        <v>11846.18</v>
      </c>
      <c r="D174" s="7" t="n">
        <v>11145.99</v>
      </c>
      <c r="E174" s="7" t="n">
        <v>11622.13</v>
      </c>
      <c r="F174" s="7" t="n">
        <v>4284</v>
      </c>
      <c r="G174" s="7" t="n">
        <f aca="false">AVERAGE(E170:E174)</f>
        <v>12043.52</v>
      </c>
      <c r="H174" s="7" t="n">
        <f aca="false">AVERAGE(E165:E174)</f>
        <v>11945.953</v>
      </c>
      <c r="I174" s="7" t="n">
        <f aca="false">AVERAGE(E155:E174)</f>
        <v>11597.9885</v>
      </c>
      <c r="J174" s="7" t="n">
        <f aca="false">AVERAGE(E125:E174)</f>
        <v>11041.8692</v>
      </c>
      <c r="K174" s="7" t="n">
        <f aca="false">AVERAGE(E75:E174)</f>
        <v>10203.6899</v>
      </c>
      <c r="M174" s="7" t="n">
        <f aca="false">I174</f>
        <v>11597.9885</v>
      </c>
      <c r="N174" s="7" t="n">
        <f aca="false">I174+2*STDEV(E155:E174)</f>
        <v>12449.8270126988</v>
      </c>
      <c r="O174" s="7" t="n">
        <f aca="false">I174-2*STDEV(E155:E174)</f>
        <v>10746.1499873012</v>
      </c>
      <c r="P174" s="7" t="n">
        <f aca="false">MAX(E174-E173,0)</f>
        <v>0</v>
      </c>
      <c r="Q174" s="7" t="n">
        <f aca="false">MAX(E173-E174,0)</f>
        <v>149.240000000002</v>
      </c>
      <c r="R174" s="7" t="n">
        <f aca="false">(R173*13+P174)/14</f>
        <v>82.3823835485539</v>
      </c>
      <c r="S174" s="7" t="n">
        <f aca="false">(S173*13+Q174)/14</f>
        <v>73.3670302890175</v>
      </c>
      <c r="T174" s="7" t="n">
        <f aca="false">IF(S174=0,100,100-100/(1+R174/S174))</f>
        <v>52.8941852933515</v>
      </c>
      <c r="U174" s="7" t="n">
        <f aca="false">E174*2/13+U173*11/13</f>
        <v>11825.234356917</v>
      </c>
      <c r="V174" s="7" t="n">
        <f aca="false">E174*2/27+V173*25/27</f>
        <v>11525.0713932932</v>
      </c>
      <c r="W174" s="7" t="n">
        <f aca="false">U174-V174</f>
        <v>300.162963623869</v>
      </c>
      <c r="X174" s="7" t="n">
        <f aca="false">W174*2/10+X173*8/10</f>
        <v>314.94852796144</v>
      </c>
      <c r="Y174" s="7" t="n">
        <f aca="false">W174-X174</f>
        <v>-14.7855643375715</v>
      </c>
      <c r="Z174" s="7" t="s">
        <v>78</v>
      </c>
      <c r="AA174" s="7" t="str">
        <f aca="false">IFERROR(INDEX(02_轉折點45!B:B,MATCH(A174,02_轉折點45!A:A,0)),"")</f>
        <v/>
      </c>
      <c r="AB174" s="7" t="n">
        <f aca="false">COUNTIFS(05_訊號明細!A:A,A174,05_訊號明細!C:C,"TOP")</f>
        <v>1</v>
      </c>
      <c r="AC174" s="7" t="n">
        <f aca="false">COUNTIFS(05_訊號明細!A:A,A174,05_訊號明細!C:C,"BOTTOM")</f>
        <v>0</v>
      </c>
    </row>
    <row r="175" customFormat="false" ht="15" hidden="false" customHeight="false" outlineLevel="0" collapsed="false">
      <c r="A175" s="7" t="s">
        <v>216</v>
      </c>
      <c r="B175" s="7" t="n">
        <v>11143.91</v>
      </c>
      <c r="C175" s="7" t="n">
        <v>11400.46</v>
      </c>
      <c r="D175" s="7" t="n">
        <v>11055.16</v>
      </c>
      <c r="E175" s="7" t="n">
        <v>11068.26</v>
      </c>
      <c r="F175" s="7" t="n">
        <v>3905</v>
      </c>
      <c r="G175" s="7" t="n">
        <f aca="false">AVERAGE(E171:E175)</f>
        <v>11835.032</v>
      </c>
      <c r="H175" s="7" t="n">
        <f aca="false">AVERAGE(E166:E175)</f>
        <v>11890.162</v>
      </c>
      <c r="I175" s="7" t="n">
        <f aca="false">AVERAGE(E156:E175)</f>
        <v>11597.143</v>
      </c>
      <c r="J175" s="7" t="n">
        <f aca="false">AVERAGE(E126:E175)</f>
        <v>11066.2472</v>
      </c>
      <c r="K175" s="7" t="n">
        <f aca="false">AVERAGE(E76:E175)</f>
        <v>10226.7942</v>
      </c>
      <c r="M175" s="7" t="n">
        <f aca="false">I175</f>
        <v>11597.143</v>
      </c>
      <c r="N175" s="7" t="n">
        <f aca="false">I175+2*STDEV(E156:E175)</f>
        <v>12451.1554759375</v>
      </c>
      <c r="O175" s="7" t="n">
        <f aca="false">I175-2*STDEV(E156:E175)</f>
        <v>10743.1305240625</v>
      </c>
      <c r="P175" s="7" t="n">
        <f aca="false">MAX(E175-E174,0)</f>
        <v>0</v>
      </c>
      <c r="Q175" s="7" t="n">
        <f aca="false">MAX(E174-E175,0)</f>
        <v>553.869999999999</v>
      </c>
      <c r="R175" s="7" t="n">
        <f aca="false">(R174*13+P175)/14</f>
        <v>76.4979275808</v>
      </c>
      <c r="S175" s="7" t="n">
        <f aca="false">(S174*13+Q175)/14</f>
        <v>107.688670982659</v>
      </c>
      <c r="T175" s="7" t="n">
        <f aca="false">IF(S175=0,100,100-100/(1+R175/S175))</f>
        <v>41.5328412476458</v>
      </c>
      <c r="U175" s="7" t="n">
        <f aca="false">E175*2/13+U174*11/13</f>
        <v>11708.7767635452</v>
      </c>
      <c r="V175" s="7" t="n">
        <f aca="false">E175*2/27+V174*25/27</f>
        <v>11491.2335123085</v>
      </c>
      <c r="W175" s="7" t="n">
        <f aca="false">U175-V175</f>
        <v>217.543251236697</v>
      </c>
      <c r="X175" s="7" t="n">
        <f aca="false">W175*2/10+X174*8/10</f>
        <v>295.467472616491</v>
      </c>
      <c r="Y175" s="7" t="n">
        <f aca="false">W175-X175</f>
        <v>-77.9242213797945</v>
      </c>
      <c r="Z175" s="7" t="s">
        <v>78</v>
      </c>
      <c r="AA175" s="7" t="str">
        <f aca="false">IFERROR(INDEX(02_轉折點45!B:B,MATCH(A175,02_轉折點45!A:A,0)),"")</f>
        <v/>
      </c>
      <c r="AB175" s="7" t="n">
        <f aca="false">COUNTIFS(05_訊號明細!A:A,A175,05_訊號明細!C:C,"TOP")</f>
        <v>1</v>
      </c>
      <c r="AC175" s="7" t="n">
        <f aca="false">COUNTIFS(05_訊號明細!A:A,A175,05_訊號明細!C:C,"BOTTOM")</f>
        <v>0</v>
      </c>
    </row>
    <row r="176" customFormat="false" ht="15" hidden="false" customHeight="false" outlineLevel="0" collapsed="false">
      <c r="A176" s="7" t="s">
        <v>217</v>
      </c>
      <c r="B176" s="7" t="n">
        <v>11308.25</v>
      </c>
      <c r="C176" s="7" t="n">
        <v>11480.37</v>
      </c>
      <c r="D176" s="7" t="n">
        <v>11197.13</v>
      </c>
      <c r="E176" s="7" t="n">
        <v>11395.85</v>
      </c>
      <c r="F176" s="7" t="n">
        <v>3551</v>
      </c>
      <c r="G176" s="7" t="n">
        <f aca="false">AVERAGE(E172:E176)</f>
        <v>11655.63</v>
      </c>
      <c r="H176" s="7" t="n">
        <f aca="false">AVERAGE(E167:E176)</f>
        <v>11857.566</v>
      </c>
      <c r="I176" s="7" t="n">
        <f aca="false">AVERAGE(E157:E176)</f>
        <v>11623.1315</v>
      </c>
      <c r="J176" s="7" t="n">
        <f aca="false">AVERAGE(E127:E176)</f>
        <v>11094.941</v>
      </c>
      <c r="K176" s="7" t="n">
        <f aca="false">AVERAGE(E77:E176)</f>
        <v>10252.4286</v>
      </c>
      <c r="M176" s="7" t="n">
        <f aca="false">I176</f>
        <v>11623.1315</v>
      </c>
      <c r="N176" s="7" t="n">
        <f aca="false">I176+2*STDEV(E157:E176)</f>
        <v>12414.0578319551</v>
      </c>
      <c r="O176" s="7" t="n">
        <f aca="false">I176-2*STDEV(E157:E176)</f>
        <v>10832.2051680449</v>
      </c>
      <c r="P176" s="7" t="n">
        <f aca="false">MAX(E176-E175,0)</f>
        <v>327.59</v>
      </c>
      <c r="Q176" s="7" t="n">
        <f aca="false">MAX(E175-E176,0)</f>
        <v>0</v>
      </c>
      <c r="R176" s="7" t="n">
        <f aca="false">(R175*13+P176)/14</f>
        <v>94.4330756107429</v>
      </c>
      <c r="S176" s="7" t="n">
        <f aca="false">(S175*13+Q176)/14</f>
        <v>99.9966230553263</v>
      </c>
      <c r="T176" s="7" t="n">
        <f aca="false">IF(S176=0,100,100-100/(1+R176/S176))</f>
        <v>48.5692650138448</v>
      </c>
      <c r="U176" s="7" t="n">
        <f aca="false">E176*2/13+U175*11/13</f>
        <v>11660.6341845382</v>
      </c>
      <c r="V176" s="7" t="n">
        <f aca="false">E176*2/27+V175*25/27</f>
        <v>11484.1680669523</v>
      </c>
      <c r="W176" s="7" t="n">
        <f aca="false">U176-V176</f>
        <v>176.466117585929</v>
      </c>
      <c r="X176" s="7" t="n">
        <f aca="false">W176*2/10+X175*8/10</f>
        <v>271.667201610379</v>
      </c>
      <c r="Y176" s="7" t="n">
        <f aca="false">W176-X176</f>
        <v>-95.2010840244498</v>
      </c>
      <c r="Z176" s="7" t="s">
        <v>78</v>
      </c>
      <c r="AA176" s="7" t="str">
        <f aca="false">IFERROR(INDEX(02_轉折點45!B:B,MATCH(A176,02_轉折點45!A:A,0)),"")</f>
        <v/>
      </c>
      <c r="AB176" s="7" t="n">
        <f aca="false">COUNTIFS(05_訊號明細!A:A,A176,05_訊號明細!C:C,"TOP")</f>
        <v>0</v>
      </c>
      <c r="AC176" s="7" t="n">
        <f aca="false">COUNTIFS(05_訊號明細!A:A,A176,05_訊號明細!C:C,"BOTTOM")</f>
        <v>0</v>
      </c>
    </row>
    <row r="177" customFormat="false" ht="15" hidden="false" customHeight="false" outlineLevel="0" collapsed="false">
      <c r="A177" s="7" t="s">
        <v>218</v>
      </c>
      <c r="B177" s="7" t="n">
        <v>11501.43</v>
      </c>
      <c r="C177" s="7" t="n">
        <v>11566.34</v>
      </c>
      <c r="D177" s="7" t="n">
        <v>11095.94</v>
      </c>
      <c r="E177" s="7" t="n">
        <v>11154.12</v>
      </c>
      <c r="F177" s="7" t="n">
        <v>3840</v>
      </c>
      <c r="G177" s="7" t="n">
        <f aca="false">AVERAGE(E173:E177)</f>
        <v>11402.346</v>
      </c>
      <c r="H177" s="7" t="n">
        <f aca="false">AVERAGE(E168:E177)</f>
        <v>11775.784</v>
      </c>
      <c r="I177" s="7" t="n">
        <f aca="false">AVERAGE(E158:E177)</f>
        <v>11622.9515</v>
      </c>
      <c r="J177" s="7" t="n">
        <f aca="false">AVERAGE(E128:E177)</f>
        <v>11114.8864</v>
      </c>
      <c r="K177" s="7" t="n">
        <f aca="false">AVERAGE(E78:E177)</f>
        <v>10276.7047</v>
      </c>
      <c r="M177" s="7" t="n">
        <f aca="false">I177</f>
        <v>11622.9515</v>
      </c>
      <c r="N177" s="7" t="n">
        <f aca="false">I177+2*STDEV(E158:E177)</f>
        <v>12414.3253183897</v>
      </c>
      <c r="O177" s="7" t="n">
        <f aca="false">I177-2*STDEV(E158:E177)</f>
        <v>10831.5776816103</v>
      </c>
      <c r="P177" s="7" t="n">
        <f aca="false">MAX(E177-E176,0)</f>
        <v>0</v>
      </c>
      <c r="Q177" s="7" t="n">
        <f aca="false">MAX(E176-E177,0)</f>
        <v>241.73</v>
      </c>
      <c r="R177" s="7" t="n">
        <f aca="false">(R176*13+P177)/14</f>
        <v>87.6878559242613</v>
      </c>
      <c r="S177" s="7" t="n">
        <f aca="false">(S176*13+Q177)/14</f>
        <v>110.120435694231</v>
      </c>
      <c r="T177" s="7" t="n">
        <f aca="false">IF(S177=0,100,100-100/(1+R177/S177))</f>
        <v>44.3297170238861</v>
      </c>
      <c r="U177" s="7" t="n">
        <f aca="false">E177*2/13+U176*11/13</f>
        <v>11582.7089253785</v>
      </c>
      <c r="V177" s="7" t="n">
        <f aca="false">E177*2/27+V176*25/27</f>
        <v>11459.7200619929</v>
      </c>
      <c r="W177" s="7" t="n">
        <f aca="false">U177-V177</f>
        <v>122.988863385632</v>
      </c>
      <c r="X177" s="7" t="n">
        <f aca="false">W177*2/10+X176*8/10</f>
        <v>241.93153396543</v>
      </c>
      <c r="Y177" s="7" t="n">
        <f aca="false">W177-X177</f>
        <v>-118.942670579798</v>
      </c>
      <c r="Z177" s="7" t="s">
        <v>78</v>
      </c>
      <c r="AA177" s="7" t="str">
        <f aca="false">IFERROR(INDEX(02_轉折點45!B:B,MATCH(A177,02_轉折點45!A:A,0)),"")</f>
        <v/>
      </c>
      <c r="AB177" s="7" t="n">
        <f aca="false">COUNTIFS(05_訊號明細!A:A,A177,05_訊號明細!C:C,"TOP")</f>
        <v>0</v>
      </c>
      <c r="AC177" s="7" t="n">
        <f aca="false">COUNTIFS(05_訊號明細!A:A,A177,05_訊號明細!C:C,"BOTTOM")</f>
        <v>0</v>
      </c>
    </row>
    <row r="178" customFormat="false" ht="15" hidden="false" customHeight="false" outlineLevel="0" collapsed="false">
      <c r="A178" s="7" t="s">
        <v>219</v>
      </c>
      <c r="B178" s="7" t="n">
        <v>11251.19</v>
      </c>
      <c r="C178" s="7" t="n">
        <v>11280.41</v>
      </c>
      <c r="D178" s="7" t="n">
        <v>10945.22</v>
      </c>
      <c r="E178" s="7" t="n">
        <v>11087.4</v>
      </c>
      <c r="F178" s="7" t="n">
        <v>3630</v>
      </c>
      <c r="G178" s="7" t="n">
        <f aca="false">AVERAGE(E174:E178)</f>
        <v>11265.552</v>
      </c>
      <c r="H178" s="7" t="n">
        <f aca="false">AVERAGE(E169:E178)</f>
        <v>11691.908</v>
      </c>
      <c r="I178" s="7" t="n">
        <f aca="false">AVERAGE(E159:E178)</f>
        <v>11618.403</v>
      </c>
      <c r="J178" s="7" t="n">
        <f aca="false">AVERAGE(E129:E178)</f>
        <v>11131.0494</v>
      </c>
      <c r="K178" s="7" t="n">
        <f aca="false">AVERAGE(E79:E178)</f>
        <v>10303.5487</v>
      </c>
      <c r="M178" s="7" t="n">
        <f aca="false">I178</f>
        <v>11618.403</v>
      </c>
      <c r="N178" s="7" t="n">
        <f aca="false">I178+2*STDEV(E159:E178)</f>
        <v>12421.4948403297</v>
      </c>
      <c r="O178" s="7" t="n">
        <f aca="false">I178-2*STDEV(E159:E178)</f>
        <v>10815.3111596703</v>
      </c>
      <c r="P178" s="7" t="n">
        <f aca="false">MAX(E178-E177,0)</f>
        <v>0</v>
      </c>
      <c r="Q178" s="7" t="n">
        <f aca="false">MAX(E177-E178,0)</f>
        <v>66.7200000000012</v>
      </c>
      <c r="R178" s="7" t="n">
        <f aca="false">(R177*13+P178)/14</f>
        <v>81.4244376439569</v>
      </c>
      <c r="S178" s="7" t="n">
        <f aca="false">(S177*13+Q178)/14</f>
        <v>107.020404573215</v>
      </c>
      <c r="T178" s="7" t="n">
        <f aca="false">IF(S178=0,100,100-100/(1+R178/S178))</f>
        <v>43.2086316006038</v>
      </c>
      <c r="U178" s="7" t="n">
        <f aca="false">E178*2/13+U177*11/13</f>
        <v>11506.5075522434</v>
      </c>
      <c r="V178" s="7" t="n">
        <f aca="false">E178*2/27+V177*25/27</f>
        <v>11432.1407981416</v>
      </c>
      <c r="W178" s="7" t="n">
        <f aca="false">U178-V178</f>
        <v>74.3667541018003</v>
      </c>
      <c r="X178" s="7" t="n">
        <f aca="false">W178*2/10+X177*8/10</f>
        <v>208.418577992704</v>
      </c>
      <c r="Y178" s="7" t="n">
        <f aca="false">W178-X178</f>
        <v>-134.051823890903</v>
      </c>
      <c r="Z178" s="7" t="s">
        <v>78</v>
      </c>
      <c r="AA178" s="7" t="str">
        <f aca="false">IFERROR(INDEX(02_轉折點45!B:B,MATCH(A178,02_轉折點45!A:A,0)),"")</f>
        <v/>
      </c>
      <c r="AB178" s="7" t="n">
        <f aca="false">COUNTIFS(05_訊號明細!A:A,A178,05_訊號明細!C:C,"TOP")</f>
        <v>0</v>
      </c>
      <c r="AC178" s="7" t="n">
        <f aca="false">COUNTIFS(05_訊號明細!A:A,A178,05_訊號明細!C:C,"BOTTOM")</f>
        <v>0</v>
      </c>
    </row>
    <row r="179" customFormat="false" ht="15" hidden="false" customHeight="false" outlineLevel="0" collapsed="false">
      <c r="A179" s="7" t="s">
        <v>220</v>
      </c>
      <c r="B179" s="7" t="n">
        <v>11250.8</v>
      </c>
      <c r="C179" s="7" t="n">
        <v>11363.25</v>
      </c>
      <c r="D179" s="7" t="n">
        <v>11192.82</v>
      </c>
      <c r="E179" s="7" t="n">
        <v>11277.76</v>
      </c>
      <c r="F179" s="7" t="n">
        <v>3738</v>
      </c>
      <c r="G179" s="7" t="n">
        <f aca="false">AVERAGE(E175:E179)</f>
        <v>11196.678</v>
      </c>
      <c r="H179" s="7" t="n">
        <f aca="false">AVERAGE(E170:E179)</f>
        <v>11620.099</v>
      </c>
      <c r="I179" s="7" t="n">
        <f aca="false">AVERAGE(E160:E179)</f>
        <v>11624.0685</v>
      </c>
      <c r="J179" s="7" t="n">
        <f aca="false">AVERAGE(E130:E179)</f>
        <v>11149.7668</v>
      </c>
      <c r="K179" s="7" t="n">
        <f aca="false">AVERAGE(E80:E179)</f>
        <v>10329.6799</v>
      </c>
      <c r="M179" s="7" t="n">
        <f aca="false">I179</f>
        <v>11624.0685</v>
      </c>
      <c r="N179" s="7" t="n">
        <f aca="false">I179+2*STDEV(E160:E179)</f>
        <v>12415.1857331057</v>
      </c>
      <c r="O179" s="7" t="n">
        <f aca="false">I179-2*STDEV(E160:E179)</f>
        <v>10832.9512668943</v>
      </c>
      <c r="P179" s="7" t="n">
        <f aca="false">MAX(E179-E178,0)</f>
        <v>190.360000000001</v>
      </c>
      <c r="Q179" s="7" t="n">
        <f aca="false">MAX(E178-E179,0)</f>
        <v>0</v>
      </c>
      <c r="R179" s="7" t="n">
        <f aca="false">(R178*13+P179)/14</f>
        <v>89.2055492408172</v>
      </c>
      <c r="S179" s="7" t="n">
        <f aca="false">(S178*13+Q179)/14</f>
        <v>99.3760899608425</v>
      </c>
      <c r="T179" s="7" t="n">
        <f aca="false">IF(S179=0,100,100-100/(1+R179/S179))</f>
        <v>47.3034117310993</v>
      </c>
      <c r="U179" s="7" t="n">
        <f aca="false">E179*2/13+U178*11/13</f>
        <v>11471.315621129</v>
      </c>
      <c r="V179" s="7" t="n">
        <f aca="false">E179*2/27+V178*25/27</f>
        <v>11420.7051834644</v>
      </c>
      <c r="W179" s="7" t="n">
        <f aca="false">U179-V179</f>
        <v>50.610437664589</v>
      </c>
      <c r="X179" s="7" t="n">
        <f aca="false">W179*2/10+X178*8/10</f>
        <v>176.856949927081</v>
      </c>
      <c r="Y179" s="7" t="n">
        <f aca="false">W179-X179</f>
        <v>-126.246512262492</v>
      </c>
      <c r="Z179" s="7" t="s">
        <v>78</v>
      </c>
      <c r="AA179" s="7" t="str">
        <f aca="false">IFERROR(INDEX(02_轉折點45!B:B,MATCH(A179,02_轉折點45!A:A,0)),"")</f>
        <v/>
      </c>
      <c r="AB179" s="7" t="n">
        <f aca="false">COUNTIFS(05_訊號明細!A:A,A179,05_訊號明細!C:C,"TOP")</f>
        <v>0</v>
      </c>
      <c r="AC179" s="7" t="n">
        <f aca="false">COUNTIFS(05_訊號明細!A:A,A179,05_訊號明細!C:C,"BOTTOM")</f>
        <v>0</v>
      </c>
    </row>
    <row r="180" customFormat="false" ht="15" hidden="false" customHeight="false" outlineLevel="0" collapsed="false">
      <c r="A180" s="7" t="s">
        <v>221</v>
      </c>
      <c r="B180" s="7" t="n">
        <v>11432.94</v>
      </c>
      <c r="C180" s="7" t="n">
        <v>11495.4</v>
      </c>
      <c r="D180" s="7" t="n">
        <v>11367.2</v>
      </c>
      <c r="E180" s="7" t="n">
        <v>11438.87</v>
      </c>
      <c r="F180" s="7" t="n">
        <v>3786</v>
      </c>
      <c r="G180" s="7" t="n">
        <f aca="false">AVERAGE(E176:E180)</f>
        <v>11270.8</v>
      </c>
      <c r="H180" s="7" t="n">
        <f aca="false">AVERAGE(E171:E180)</f>
        <v>11552.916</v>
      </c>
      <c r="I180" s="7" t="n">
        <f aca="false">AVERAGE(E161:E180)</f>
        <v>11631.5835</v>
      </c>
      <c r="J180" s="7" t="n">
        <f aca="false">AVERAGE(E131:E180)</f>
        <v>11166.463</v>
      </c>
      <c r="K180" s="7" t="n">
        <f aca="false">AVERAGE(E81:E180)</f>
        <v>10357.6536</v>
      </c>
      <c r="M180" s="7" t="n">
        <f aca="false">I180</f>
        <v>11631.5835</v>
      </c>
      <c r="N180" s="7" t="n">
        <f aca="false">I180+2*STDEV(E161:E180)</f>
        <v>12412.0658744401</v>
      </c>
      <c r="O180" s="7" t="n">
        <f aca="false">I180-2*STDEV(E161:E180)</f>
        <v>10851.10112556</v>
      </c>
      <c r="P180" s="7" t="n">
        <f aca="false">MAX(E180-E179,0)</f>
        <v>161.110000000001</v>
      </c>
      <c r="Q180" s="7" t="n">
        <f aca="false">MAX(E179-E180,0)</f>
        <v>0</v>
      </c>
      <c r="R180" s="7" t="n">
        <f aca="false">(R179*13+P180)/14</f>
        <v>94.3415814379017</v>
      </c>
      <c r="S180" s="7" t="n">
        <f aca="false">(S179*13+Q180)/14</f>
        <v>92.2777978207823</v>
      </c>
      <c r="T180" s="7" t="n">
        <f aca="false">IF(S180=0,100,100-100/(1+R180/S180))</f>
        <v>50.5529392567153</v>
      </c>
      <c r="U180" s="7" t="n">
        <f aca="false">E180*2/13+U179*11/13</f>
        <v>11466.3239871091</v>
      </c>
      <c r="V180" s="7" t="n">
        <f aca="false">E180*2/27+V179*25/27</f>
        <v>11422.05072543</v>
      </c>
      <c r="W180" s="7" t="n">
        <f aca="false">U180-V180</f>
        <v>44.2732616791436</v>
      </c>
      <c r="X180" s="7" t="n">
        <f aca="false">W180*2/10+X179*8/10</f>
        <v>150.340212277493</v>
      </c>
      <c r="Y180" s="7" t="n">
        <f aca="false">W180-X180</f>
        <v>-106.06695059835</v>
      </c>
      <c r="Z180" s="7" t="s">
        <v>78</v>
      </c>
      <c r="AA180" s="7" t="str">
        <f aca="false">IFERROR(INDEX(02_轉折點45!B:B,MATCH(A180,02_轉折點45!A:A,0)),"")</f>
        <v/>
      </c>
      <c r="AB180" s="7" t="n">
        <f aca="false">COUNTIFS(05_訊號明細!A:A,A180,05_訊號明細!C:C,"TOP")</f>
        <v>0</v>
      </c>
      <c r="AC180" s="7" t="n">
        <f aca="false">COUNTIFS(05_訊號明細!A:A,A180,05_訊號明細!C:C,"BOTTOM")</f>
        <v>0</v>
      </c>
    </row>
    <row r="181" customFormat="false" ht="15" hidden="false" customHeight="false" outlineLevel="0" collapsed="false">
      <c r="A181" s="7" t="s">
        <v>222</v>
      </c>
      <c r="B181" s="7" t="n">
        <v>11467.9</v>
      </c>
      <c r="C181" s="7" t="n">
        <v>11486.09</v>
      </c>
      <c r="D181" s="7" t="n">
        <v>11242.96</v>
      </c>
      <c r="E181" s="7" t="n">
        <v>11247.6</v>
      </c>
      <c r="F181" s="7" t="n">
        <v>3678</v>
      </c>
      <c r="G181" s="7" t="n">
        <f aca="false">AVERAGE(E177:E181)</f>
        <v>11241.15</v>
      </c>
      <c r="H181" s="7" t="n">
        <f aca="false">AVERAGE(E172:E181)</f>
        <v>11448.39</v>
      </c>
      <c r="I181" s="7" t="n">
        <f aca="false">AVERAGE(E162:E181)</f>
        <v>11624.012</v>
      </c>
      <c r="J181" s="7" t="n">
        <f aca="false">AVERAGE(E132:E181)</f>
        <v>11180.9348</v>
      </c>
      <c r="K181" s="7" t="n">
        <f aca="false">AVERAGE(E82:E181)</f>
        <v>10382.2636</v>
      </c>
      <c r="M181" s="7" t="n">
        <f aca="false">I181</f>
        <v>11624.012</v>
      </c>
      <c r="N181" s="7" t="n">
        <f aca="false">I181+2*STDEV(E162:E181)</f>
        <v>12416.8338948488</v>
      </c>
      <c r="O181" s="7" t="n">
        <f aca="false">I181-2*STDEV(E162:E181)</f>
        <v>10831.1901051512</v>
      </c>
      <c r="P181" s="7" t="n">
        <f aca="false">MAX(E181-E180,0)</f>
        <v>0</v>
      </c>
      <c r="Q181" s="7" t="n">
        <f aca="false">MAX(E180-E181,0)</f>
        <v>191.27</v>
      </c>
      <c r="R181" s="7" t="n">
        <f aca="false">(R180*13+P181)/14</f>
        <v>87.6028970494802</v>
      </c>
      <c r="S181" s="7" t="n">
        <f aca="false">(S180*13+Q181)/14</f>
        <v>99.3486694050122</v>
      </c>
      <c r="T181" s="7" t="n">
        <f aca="false">IF(S181=0,100,100-100/(1+R181/S181))</f>
        <v>46.8586055259421</v>
      </c>
      <c r="U181" s="7" t="n">
        <f aca="false">E181*2/13+U180*11/13</f>
        <v>11432.6741429385</v>
      </c>
      <c r="V181" s="7" t="n">
        <f aca="false">E181*2/27+V180*25/27</f>
        <v>11409.1284494722</v>
      </c>
      <c r="W181" s="7" t="n">
        <f aca="false">U181-V181</f>
        <v>23.5456934662816</v>
      </c>
      <c r="X181" s="7" t="n">
        <f aca="false">W181*2/10+X180*8/10</f>
        <v>124.981308515251</v>
      </c>
      <c r="Y181" s="7" t="n">
        <f aca="false">W181-X181</f>
        <v>-101.435615048969</v>
      </c>
      <c r="Z181" s="7" t="s">
        <v>78</v>
      </c>
      <c r="AA181" s="7" t="str">
        <f aca="false">IFERROR(INDEX(02_轉折點45!B:B,MATCH(A181,02_轉折點45!A:A,0)),"")</f>
        <v/>
      </c>
      <c r="AB181" s="7" t="n">
        <f aca="false">COUNTIFS(05_訊號明細!A:A,A181,05_訊號明細!C:C,"TOP")</f>
        <v>0</v>
      </c>
      <c r="AC181" s="7" t="n">
        <f aca="false">COUNTIFS(05_訊號明細!A:A,A181,05_訊號明細!C:C,"BOTTOM")</f>
        <v>0</v>
      </c>
    </row>
    <row r="182" customFormat="false" ht="15" hidden="false" customHeight="false" outlineLevel="0" collapsed="false">
      <c r="A182" s="7" t="s">
        <v>223</v>
      </c>
      <c r="B182" s="7" t="n">
        <v>10965.74</v>
      </c>
      <c r="C182" s="7" t="n">
        <v>11160.04</v>
      </c>
      <c r="D182" s="7" t="n">
        <v>10936.8</v>
      </c>
      <c r="E182" s="7" t="n">
        <v>11080.95</v>
      </c>
      <c r="F182" s="7" t="n">
        <v>3740</v>
      </c>
      <c r="G182" s="7" t="n">
        <f aca="false">AVERAGE(E178:E182)</f>
        <v>11226.516</v>
      </c>
      <c r="H182" s="7" t="n">
        <f aca="false">AVERAGE(E173:E182)</f>
        <v>11314.431</v>
      </c>
      <c r="I182" s="7" t="n">
        <f aca="false">AVERAGE(E163:E182)</f>
        <v>11612.1275</v>
      </c>
      <c r="J182" s="7" t="n">
        <f aca="false">AVERAGE(E133:E182)</f>
        <v>11189.2198</v>
      </c>
      <c r="K182" s="7" t="n">
        <f aca="false">AVERAGE(E83:E182)</f>
        <v>10404.6965</v>
      </c>
      <c r="M182" s="7" t="n">
        <f aca="false">I182</f>
        <v>11612.1275</v>
      </c>
      <c r="N182" s="7" t="n">
        <f aca="false">I182+2*STDEV(E163:E182)</f>
        <v>12430.9238690269</v>
      </c>
      <c r="O182" s="7" t="n">
        <f aca="false">I182-2*STDEV(E163:E182)</f>
        <v>10793.3311309731</v>
      </c>
      <c r="P182" s="7" t="n">
        <f aca="false">MAX(E182-E181,0)</f>
        <v>0</v>
      </c>
      <c r="Q182" s="7" t="n">
        <f aca="false">MAX(E181-E182,0)</f>
        <v>166.65</v>
      </c>
      <c r="R182" s="7" t="n">
        <f aca="false">(R181*13+P182)/14</f>
        <v>81.3455472602316</v>
      </c>
      <c r="S182" s="7" t="n">
        <f aca="false">(S181*13+Q182)/14</f>
        <v>104.155907304654</v>
      </c>
      <c r="T182" s="7" t="n">
        <f aca="false">IF(S182=0,100,100-100/(1+R182/S182))</f>
        <v>43.8517031853128</v>
      </c>
      <c r="U182" s="7" t="n">
        <f aca="false">E182*2/13+U181*11/13</f>
        <v>11378.5627363326</v>
      </c>
      <c r="V182" s="7" t="n">
        <f aca="false">E182*2/27+V181*25/27</f>
        <v>11384.8189346965</v>
      </c>
      <c r="W182" s="7" t="n">
        <f aca="false">U182-V182</f>
        <v>-6.25619836392434</v>
      </c>
      <c r="X182" s="7" t="n">
        <f aca="false">W182*2/10+X181*8/10</f>
        <v>98.7338071394159</v>
      </c>
      <c r="Y182" s="7" t="n">
        <f aca="false">W182-X182</f>
        <v>-104.99000550334</v>
      </c>
      <c r="Z182" s="7" t="s">
        <v>78</v>
      </c>
      <c r="AA182" s="7" t="str">
        <f aca="false">IFERROR(INDEX(02_轉折點45!B:B,MATCH(A182,02_轉折點45!A:A,0)),"")</f>
        <v/>
      </c>
      <c r="AB182" s="7" t="n">
        <f aca="false">COUNTIFS(05_訊號明細!A:A,A182,05_訊號明細!C:C,"TOP")</f>
        <v>0</v>
      </c>
      <c r="AC182" s="7" t="n">
        <f aca="false">COUNTIFS(05_訊號明細!A:A,A182,05_訊號明細!C:C,"BOTTOM")</f>
        <v>0</v>
      </c>
    </row>
    <row r="183" customFormat="false" ht="15" hidden="false" customHeight="false" outlineLevel="0" collapsed="false">
      <c r="A183" s="7" t="s">
        <v>224</v>
      </c>
      <c r="B183" s="7" t="n">
        <v>11147.8</v>
      </c>
      <c r="C183" s="7" t="n">
        <v>11153.97</v>
      </c>
      <c r="D183" s="7" t="n">
        <v>10769.4</v>
      </c>
      <c r="E183" s="7" t="n">
        <v>10936.98</v>
      </c>
      <c r="F183" s="7" t="n">
        <v>5759</v>
      </c>
      <c r="G183" s="7" t="n">
        <f aca="false">AVERAGE(E179:E183)</f>
        <v>11196.432</v>
      </c>
      <c r="H183" s="7" t="n">
        <f aca="false">AVERAGE(E174:E183)</f>
        <v>11230.992</v>
      </c>
      <c r="I183" s="7" t="n">
        <f aca="false">AVERAGE(E164:E183)</f>
        <v>11585.124</v>
      </c>
      <c r="J183" s="7" t="n">
        <f aca="false">AVERAGE(E134:E183)</f>
        <v>11192.8676</v>
      </c>
      <c r="K183" s="7" t="n">
        <f aca="false">AVERAGE(E84:E183)</f>
        <v>10427.2903</v>
      </c>
      <c r="M183" s="7" t="n">
        <f aca="false">I183</f>
        <v>11585.124</v>
      </c>
      <c r="N183" s="7" t="n">
        <f aca="false">I183+2*STDEV(E164:E183)</f>
        <v>12456.6048971159</v>
      </c>
      <c r="O183" s="7" t="n">
        <f aca="false">I183-2*STDEV(E164:E183)</f>
        <v>10713.6431028841</v>
      </c>
      <c r="P183" s="7" t="n">
        <f aca="false">MAX(E183-E182,0)</f>
        <v>0</v>
      </c>
      <c r="Q183" s="7" t="n">
        <f aca="false">MAX(E182-E183,0)</f>
        <v>143.970000000001</v>
      </c>
      <c r="R183" s="7" t="n">
        <f aca="false">(R182*13+P183)/14</f>
        <v>75.5351510273579</v>
      </c>
      <c r="S183" s="7" t="n">
        <f aca="false">(S182*13+Q183)/14</f>
        <v>106.999771068608</v>
      </c>
      <c r="T183" s="7" t="n">
        <f aca="false">IF(S183=0,100,100-100/(1+R183/S183))</f>
        <v>41.3812053934788</v>
      </c>
      <c r="U183" s="7" t="n">
        <f aca="false">E183*2/13+U182*11/13</f>
        <v>11310.626930743</v>
      </c>
      <c r="V183" s="7" t="n">
        <f aca="false">E183*2/27+V182*25/27</f>
        <v>11351.6456802745</v>
      </c>
      <c r="W183" s="7" t="n">
        <f aca="false">U183-V183</f>
        <v>-41.0187495315913</v>
      </c>
      <c r="X183" s="7" t="n">
        <f aca="false">W183*2/10+X182*8/10</f>
        <v>70.7832958052145</v>
      </c>
      <c r="Y183" s="7" t="n">
        <f aca="false">W183-X183</f>
        <v>-111.802045336806</v>
      </c>
      <c r="Z183" s="7" t="s">
        <v>78</v>
      </c>
      <c r="AA183" s="7" t="str">
        <f aca="false">IFERROR(INDEX(02_轉折點45!B:B,MATCH(A183,02_轉折點45!A:A,0)),"")</f>
        <v/>
      </c>
      <c r="AB183" s="7" t="n">
        <f aca="false">COUNTIFS(05_訊號明細!A:A,A183,05_訊號明細!C:C,"TOP")</f>
        <v>0</v>
      </c>
      <c r="AC183" s="7" t="n">
        <f aca="false">COUNTIFS(05_訊號明細!A:A,A183,05_訊號明細!C:C,"BOTTOM")</f>
        <v>0</v>
      </c>
    </row>
    <row r="184" customFormat="false" ht="15" hidden="false" customHeight="false" outlineLevel="0" collapsed="false">
      <c r="A184" s="7" t="s">
        <v>225</v>
      </c>
      <c r="B184" s="7" t="n">
        <v>10768.01</v>
      </c>
      <c r="C184" s="7" t="n">
        <v>10984.76</v>
      </c>
      <c r="D184" s="7" t="n">
        <v>10677.85</v>
      </c>
      <c r="E184" s="7" t="n">
        <v>10980.22</v>
      </c>
      <c r="F184" s="7" t="n">
        <v>3901</v>
      </c>
      <c r="G184" s="7" t="n">
        <f aca="false">AVERAGE(E180:E184)</f>
        <v>11136.924</v>
      </c>
      <c r="H184" s="7" t="n">
        <f aca="false">AVERAGE(E175:E184)</f>
        <v>11166.801</v>
      </c>
      <c r="I184" s="7" t="n">
        <f aca="false">AVERAGE(E165:E184)</f>
        <v>11556.377</v>
      </c>
      <c r="J184" s="7" t="n">
        <f aca="false">AVERAGE(E135:E184)</f>
        <v>11195.7454</v>
      </c>
      <c r="K184" s="7" t="n">
        <f aca="false">AVERAGE(E85:E184)</f>
        <v>10447.2649</v>
      </c>
      <c r="M184" s="7" t="n">
        <f aca="false">I184</f>
        <v>11556.377</v>
      </c>
      <c r="N184" s="7" t="n">
        <f aca="false">I184+2*STDEV(E165:E184)</f>
        <v>12468.9797831855</v>
      </c>
      <c r="O184" s="7" t="n">
        <f aca="false">I184-2*STDEV(E165:E184)</f>
        <v>10643.7742168145</v>
      </c>
      <c r="P184" s="7" t="n">
        <f aca="false">MAX(E184-E183,0)</f>
        <v>43.2399999999998</v>
      </c>
      <c r="Q184" s="7" t="n">
        <f aca="false">MAX(E183-E184,0)</f>
        <v>0</v>
      </c>
      <c r="R184" s="7" t="n">
        <f aca="false">(R183*13+P184)/14</f>
        <v>73.2283545254037</v>
      </c>
      <c r="S184" s="7" t="n">
        <f aca="false">(S183*13+Q184)/14</f>
        <v>99.3569302779927</v>
      </c>
      <c r="T184" s="7" t="n">
        <f aca="false">IF(S184=0,100,100-100/(1+R184/S184))</f>
        <v>42.4302423053177</v>
      </c>
      <c r="U184" s="7" t="n">
        <f aca="false">E184*2/13+U183*11/13</f>
        <v>11259.795095244</v>
      </c>
      <c r="V184" s="7" t="n">
        <f aca="false">E184*2/27+V183*25/27</f>
        <v>11324.1326669209</v>
      </c>
      <c r="W184" s="7" t="n">
        <f aca="false">U184-V184</f>
        <v>-64.3375716768369</v>
      </c>
      <c r="X184" s="7" t="n">
        <f aca="false">W184*2/10+X183*8/10</f>
        <v>43.7591223088042</v>
      </c>
      <c r="Y184" s="7" t="n">
        <f aca="false">W184-X184</f>
        <v>-108.096693985641</v>
      </c>
      <c r="Z184" s="7" t="s">
        <v>78</v>
      </c>
      <c r="AA184" s="7" t="str">
        <f aca="false">IFERROR(INDEX(02_轉折點45!B:B,MATCH(A184,02_轉折點45!A:A,0)),"")</f>
        <v/>
      </c>
      <c r="AB184" s="7" t="n">
        <f aca="false">COUNTIFS(05_訊號明細!A:A,A184,05_訊號明細!C:C,"TOP")</f>
        <v>0</v>
      </c>
      <c r="AC184" s="7" t="n">
        <f aca="false">COUNTIFS(05_訊號明細!A:A,A184,05_訊號明細!C:C,"BOTTOM")</f>
        <v>0</v>
      </c>
    </row>
    <row r="185" customFormat="false" ht="15" hidden="false" customHeight="false" outlineLevel="0" collapsed="false">
      <c r="A185" s="7" t="s">
        <v>226</v>
      </c>
      <c r="B185" s="7" t="n">
        <v>11082.09</v>
      </c>
      <c r="C185" s="7" t="n">
        <v>11207.08</v>
      </c>
      <c r="D185" s="7" t="n">
        <v>10943.26</v>
      </c>
      <c r="E185" s="7" t="n">
        <v>11186.37</v>
      </c>
      <c r="F185" s="7" t="n">
        <v>3515</v>
      </c>
      <c r="G185" s="7" t="n">
        <f aca="false">AVERAGE(E181:E185)</f>
        <v>11086.424</v>
      </c>
      <c r="H185" s="7" t="n">
        <f aca="false">AVERAGE(E176:E185)</f>
        <v>11178.612</v>
      </c>
      <c r="I185" s="7" t="n">
        <f aca="false">AVERAGE(E166:E185)</f>
        <v>11534.387</v>
      </c>
      <c r="J185" s="7" t="n">
        <f aca="false">AVERAGE(E136:E185)</f>
        <v>11207.4286</v>
      </c>
      <c r="K185" s="7" t="n">
        <f aca="false">AVERAGE(E86:E185)</f>
        <v>10469.1235</v>
      </c>
      <c r="M185" s="7" t="n">
        <f aca="false">I185</f>
        <v>11534.387</v>
      </c>
      <c r="N185" s="7" t="n">
        <f aca="false">I185+2*STDEV(E166:E185)</f>
        <v>12460.9961158651</v>
      </c>
      <c r="O185" s="7" t="n">
        <f aca="false">I185-2*STDEV(E166:E185)</f>
        <v>10607.7778841349</v>
      </c>
      <c r="P185" s="7" t="n">
        <f aca="false">MAX(E185-E184,0)</f>
        <v>206.150000000001</v>
      </c>
      <c r="Q185" s="7" t="n">
        <f aca="false">MAX(E184-E185,0)</f>
        <v>0</v>
      </c>
      <c r="R185" s="7" t="n">
        <f aca="false">(R184*13+P185)/14</f>
        <v>82.7227577735893</v>
      </c>
      <c r="S185" s="7" t="n">
        <f aca="false">(S184*13+Q185)/14</f>
        <v>92.2600066867075</v>
      </c>
      <c r="T185" s="7" t="n">
        <f aca="false">IF(S185=0,100,100-100/(1+R185/S185))</f>
        <v>47.2748033377647</v>
      </c>
      <c r="U185" s="7" t="n">
        <f aca="false">E185*2/13+U184*11/13</f>
        <v>11248.498926745</v>
      </c>
      <c r="V185" s="7" t="n">
        <f aca="false">E185*2/27+V184*25/27</f>
        <v>11313.9280249267</v>
      </c>
      <c r="W185" s="7" t="n">
        <f aca="false">U185-V185</f>
        <v>-65.4290981817831</v>
      </c>
      <c r="X185" s="7" t="n">
        <f aca="false">W185*2/10+X184*8/10</f>
        <v>21.9214782106867</v>
      </c>
      <c r="Y185" s="7" t="n">
        <f aca="false">W185-X185</f>
        <v>-87.3505763924698</v>
      </c>
      <c r="Z185" s="7" t="s">
        <v>78</v>
      </c>
      <c r="AA185" s="7" t="str">
        <f aca="false">IFERROR(INDEX(02_轉折點45!B:B,MATCH(A185,02_轉折點45!A:A,0)),"")</f>
        <v/>
      </c>
      <c r="AB185" s="7" t="n">
        <f aca="false">COUNTIFS(05_訊號明細!A:A,A185,05_訊號明細!C:C,"TOP")</f>
        <v>0</v>
      </c>
      <c r="AC185" s="7" t="n">
        <f aca="false">COUNTIFS(05_訊號明細!A:A,A185,05_訊號明細!C:C,"BOTTOM")</f>
        <v>0</v>
      </c>
    </row>
    <row r="186" customFormat="false" ht="15" hidden="false" customHeight="false" outlineLevel="0" collapsed="false">
      <c r="A186" s="7" t="s">
        <v>227</v>
      </c>
      <c r="B186" s="7" t="n">
        <v>11167.22</v>
      </c>
      <c r="C186" s="7" t="n">
        <v>11179.59</v>
      </c>
      <c r="D186" s="7" t="n">
        <v>10806.05</v>
      </c>
      <c r="E186" s="7" t="n">
        <v>10833.33</v>
      </c>
      <c r="F186" s="7" t="n">
        <v>4097</v>
      </c>
      <c r="G186" s="7" t="n">
        <f aca="false">AVERAGE(E182:E186)</f>
        <v>11003.57</v>
      </c>
      <c r="H186" s="7" t="n">
        <f aca="false">AVERAGE(E177:E186)</f>
        <v>11122.36</v>
      </c>
      <c r="I186" s="7" t="n">
        <f aca="false">AVERAGE(E167:E186)</f>
        <v>11489.963</v>
      </c>
      <c r="J186" s="7" t="n">
        <f aca="false">AVERAGE(E137:E186)</f>
        <v>11210.3048</v>
      </c>
      <c r="K186" s="7" t="n">
        <f aca="false">AVERAGE(E87:E186)</f>
        <v>10490.275</v>
      </c>
      <c r="M186" s="7" t="n">
        <f aca="false">I186</f>
        <v>11489.963</v>
      </c>
      <c r="N186" s="7" t="n">
        <f aca="false">I186+2*STDEV(E167:E186)</f>
        <v>12462.7782153653</v>
      </c>
      <c r="O186" s="7" t="n">
        <f aca="false">I186-2*STDEV(E167:E186)</f>
        <v>10517.1477846347</v>
      </c>
      <c r="P186" s="7" t="n">
        <f aca="false">MAX(E186-E185,0)</f>
        <v>0</v>
      </c>
      <c r="Q186" s="7" t="n">
        <f aca="false">MAX(E185-E186,0)</f>
        <v>353.040000000001</v>
      </c>
      <c r="R186" s="7" t="n">
        <f aca="false">(R185*13+P186)/14</f>
        <v>76.81398936119</v>
      </c>
      <c r="S186" s="7" t="n">
        <f aca="false">(S185*13+Q186)/14</f>
        <v>110.887149066228</v>
      </c>
      <c r="T186" s="7" t="n">
        <f aca="false">IF(S186=0,100,100-100/(1+R186/S186))</f>
        <v>40.9235607225115</v>
      </c>
      <c r="U186" s="7" t="n">
        <f aca="false">E186*2/13+U185*11/13</f>
        <v>11184.6267841688</v>
      </c>
      <c r="V186" s="7" t="n">
        <f aca="false">E186*2/27+V185*25/27</f>
        <v>11278.3281712285</v>
      </c>
      <c r="W186" s="7" t="n">
        <f aca="false">U186-V186</f>
        <v>-93.7013870596529</v>
      </c>
      <c r="X186" s="7" t="n">
        <f aca="false">W186*2/10+X185*8/10</f>
        <v>-1.20309484338119</v>
      </c>
      <c r="Y186" s="7" t="n">
        <f aca="false">W186-X186</f>
        <v>-92.4982922162717</v>
      </c>
      <c r="Z186" s="7" t="s">
        <v>78</v>
      </c>
      <c r="AA186" s="7" t="str">
        <f aca="false">IFERROR(INDEX(02_轉折點45!B:B,MATCH(A186,02_轉折點45!A:A,0)),"")</f>
        <v/>
      </c>
      <c r="AB186" s="7" t="n">
        <f aca="false">COUNTIFS(05_訊號明細!A:A,A186,05_訊號明細!C:C,"TOP")</f>
        <v>1</v>
      </c>
      <c r="AC186" s="7" t="n">
        <f aca="false">COUNTIFS(05_訊號明細!A:A,A186,05_訊號明細!C:C,"BOTTOM")</f>
        <v>0</v>
      </c>
    </row>
    <row r="187" customFormat="false" ht="15" hidden="false" customHeight="false" outlineLevel="0" collapsed="false">
      <c r="A187" s="7" t="s">
        <v>228</v>
      </c>
      <c r="B187" s="7" t="n">
        <v>10746.35</v>
      </c>
      <c r="C187" s="7" t="n">
        <v>11026.43</v>
      </c>
      <c r="D187" s="7" t="n">
        <v>10728.41</v>
      </c>
      <c r="E187" s="7" t="n">
        <v>10896.47</v>
      </c>
      <c r="F187" s="7" t="n">
        <v>4086</v>
      </c>
      <c r="G187" s="7" t="n">
        <f aca="false">AVERAGE(E183:E187)</f>
        <v>10966.674</v>
      </c>
      <c r="H187" s="7" t="n">
        <f aca="false">AVERAGE(E178:E187)</f>
        <v>11096.595</v>
      </c>
      <c r="I187" s="7" t="n">
        <f aca="false">AVERAGE(E168:E187)</f>
        <v>11436.1895</v>
      </c>
      <c r="J187" s="7" t="n">
        <f aca="false">AVERAGE(E138:E187)</f>
        <v>11214.2006</v>
      </c>
      <c r="K187" s="7" t="n">
        <f aca="false">AVERAGE(E88:E187)</f>
        <v>10510.8986</v>
      </c>
      <c r="M187" s="7" t="n">
        <f aca="false">I187</f>
        <v>11436.1895</v>
      </c>
      <c r="N187" s="7" t="n">
        <f aca="false">I187+2*STDEV(E168:E187)</f>
        <v>12415.7012131451</v>
      </c>
      <c r="O187" s="7" t="n">
        <f aca="false">I187-2*STDEV(E168:E187)</f>
        <v>10456.6777868549</v>
      </c>
      <c r="P187" s="7" t="n">
        <f aca="false">MAX(E187-E186,0)</f>
        <v>63.1399999999994</v>
      </c>
      <c r="Q187" s="7" t="n">
        <f aca="false">MAX(E186-E187,0)</f>
        <v>0</v>
      </c>
      <c r="R187" s="7" t="n">
        <f aca="false">(R186*13+P187)/14</f>
        <v>75.8372758353907</v>
      </c>
      <c r="S187" s="7" t="n">
        <f aca="false">(S186*13+Q187)/14</f>
        <v>102.966638418641</v>
      </c>
      <c r="T187" s="7" t="n">
        <f aca="false">IF(S187=0,100,100-100/(1+R187/S187))</f>
        <v>42.4136552892498</v>
      </c>
      <c r="U187" s="7" t="n">
        <f aca="false">E187*2/13+U186*11/13</f>
        <v>11140.2949712198</v>
      </c>
      <c r="V187" s="7" t="n">
        <f aca="false">E187*2/27+V186*25/27</f>
        <v>11250.0423807671</v>
      </c>
      <c r="W187" s="7" t="n">
        <f aca="false">U187-V187</f>
        <v>-109.747409547335</v>
      </c>
      <c r="X187" s="7" t="n">
        <f aca="false">W187*2/10+X186*8/10</f>
        <v>-22.911957784172</v>
      </c>
      <c r="Y187" s="7" t="n">
        <f aca="false">W187-X187</f>
        <v>-86.8354517631633</v>
      </c>
      <c r="Z187" s="7" t="s">
        <v>78</v>
      </c>
      <c r="AA187" s="7" t="str">
        <f aca="false">IFERROR(INDEX(02_轉折點45!B:B,MATCH(A187,02_轉折點45!A:A,0)),"")</f>
        <v/>
      </c>
      <c r="AB187" s="7" t="n">
        <f aca="false">COUNTIFS(05_訊號明細!A:A,A187,05_訊號明細!C:C,"TOP")</f>
        <v>0</v>
      </c>
      <c r="AC187" s="7" t="n">
        <f aca="false">COUNTIFS(05_訊號明細!A:A,A187,05_訊號明細!C:C,"BOTTOM")</f>
        <v>0</v>
      </c>
    </row>
    <row r="188" customFormat="false" ht="15" hidden="false" customHeight="false" outlineLevel="0" collapsed="false">
      <c r="A188" s="7" t="s">
        <v>229</v>
      </c>
      <c r="B188" s="7" t="n">
        <v>10910.5</v>
      </c>
      <c r="C188" s="7" t="n">
        <v>11177.73</v>
      </c>
      <c r="D188" s="7" t="n">
        <v>10851.68</v>
      </c>
      <c r="E188" s="7" t="n">
        <v>11151.13</v>
      </c>
      <c r="F188" s="7" t="n">
        <v>3785</v>
      </c>
      <c r="G188" s="7" t="n">
        <f aca="false">AVERAGE(E184:E188)</f>
        <v>11009.504</v>
      </c>
      <c r="H188" s="7" t="n">
        <f aca="false">AVERAGE(E179:E188)</f>
        <v>11102.968</v>
      </c>
      <c r="I188" s="7" t="n">
        <f aca="false">AVERAGE(E169:E188)</f>
        <v>11397.438</v>
      </c>
      <c r="J188" s="7" t="n">
        <f aca="false">AVERAGE(E139:E188)</f>
        <v>11224.694</v>
      </c>
      <c r="K188" s="7" t="n">
        <f aca="false">AVERAGE(E89:E188)</f>
        <v>10533.1037</v>
      </c>
      <c r="M188" s="7" t="n">
        <f aca="false">I188</f>
        <v>11397.438</v>
      </c>
      <c r="N188" s="7" t="n">
        <f aca="false">I188+2*STDEV(E169:E188)</f>
        <v>12356.4407094545</v>
      </c>
      <c r="O188" s="7" t="n">
        <f aca="false">I188-2*STDEV(E169:E188)</f>
        <v>10438.4352905455</v>
      </c>
      <c r="P188" s="7" t="n">
        <f aca="false">MAX(E188-E187,0)</f>
        <v>254.66</v>
      </c>
      <c r="Q188" s="7" t="n">
        <f aca="false">MAX(E187-E188,0)</f>
        <v>0</v>
      </c>
      <c r="R188" s="7" t="n">
        <f aca="false">(R187*13+P188)/14</f>
        <v>88.6103275614342</v>
      </c>
      <c r="S188" s="7" t="n">
        <f aca="false">(S187*13+Q188)/14</f>
        <v>95.6118785315949</v>
      </c>
      <c r="T188" s="7" t="n">
        <f aca="false">IF(S188=0,100,100-100/(1+R188/S188))</f>
        <v>48.0996995099969</v>
      </c>
      <c r="U188" s="7" t="n">
        <f aca="false">E188*2/13+U187*11/13</f>
        <v>11141.9618987244</v>
      </c>
      <c r="V188" s="7" t="n">
        <f aca="false">E188*2/27+V187*25/27</f>
        <v>11242.7155377473</v>
      </c>
      <c r="W188" s="7" t="n">
        <f aca="false">U188-V188</f>
        <v>-100.753639022896</v>
      </c>
      <c r="X188" s="7" t="n">
        <f aca="false">W188*2/10+X187*8/10</f>
        <v>-38.4802940319168</v>
      </c>
      <c r="Y188" s="7" t="n">
        <f aca="false">W188-X188</f>
        <v>-62.2733449909793</v>
      </c>
      <c r="Z188" s="7" t="s">
        <v>78</v>
      </c>
      <c r="AA188" s="7" t="str">
        <f aca="false">IFERROR(INDEX(02_轉折點45!B:B,MATCH(A188,02_轉折點45!A:A,0)),"")</f>
        <v/>
      </c>
      <c r="AB188" s="7" t="n">
        <f aca="false">COUNTIFS(05_訊號明細!A:A,A188,05_訊號明細!C:C,"TOP")</f>
        <v>0</v>
      </c>
      <c r="AC188" s="7" t="n">
        <f aca="false">COUNTIFS(05_訊號明細!A:A,A188,05_訊號明細!C:C,"BOTTOM")</f>
        <v>0</v>
      </c>
    </row>
    <row r="189" customFormat="false" ht="15" hidden="false" customHeight="false" outlineLevel="0" collapsed="false">
      <c r="A189" s="7" t="s">
        <v>230</v>
      </c>
      <c r="B189" s="7" t="n">
        <v>11332.32</v>
      </c>
      <c r="C189" s="7" t="n">
        <v>11369.4</v>
      </c>
      <c r="D189" s="7" t="n">
        <v>11243.24</v>
      </c>
      <c r="E189" s="7" t="n">
        <v>11364.45</v>
      </c>
      <c r="F189" s="7" t="n">
        <v>3592</v>
      </c>
      <c r="G189" s="7" t="n">
        <f aca="false">AVERAGE(E185:E189)</f>
        <v>11086.35</v>
      </c>
      <c r="H189" s="7" t="n">
        <f aca="false">AVERAGE(E180:E189)</f>
        <v>11111.637</v>
      </c>
      <c r="I189" s="7" t="n">
        <f aca="false">AVERAGE(E170:E189)</f>
        <v>11365.868</v>
      </c>
      <c r="J189" s="7" t="n">
        <f aca="false">AVERAGE(E140:E189)</f>
        <v>11239.0786</v>
      </c>
      <c r="K189" s="7" t="n">
        <f aca="false">AVERAGE(E90:E189)</f>
        <v>10556.8996</v>
      </c>
      <c r="M189" s="7" t="n">
        <f aca="false">I189</f>
        <v>11365.868</v>
      </c>
      <c r="N189" s="7" t="n">
        <f aca="false">I189+2*STDEV(E170:E189)</f>
        <v>12282.5631422216</v>
      </c>
      <c r="O189" s="7" t="n">
        <f aca="false">I189-2*STDEV(E170:E189)</f>
        <v>10449.1728577784</v>
      </c>
      <c r="P189" s="7" t="n">
        <f aca="false">MAX(E189-E188,0)</f>
        <v>213.320000000002</v>
      </c>
      <c r="Q189" s="7" t="n">
        <f aca="false">MAX(E188-E189,0)</f>
        <v>0</v>
      </c>
      <c r="R189" s="7" t="n">
        <f aca="false">(R188*13+P189)/14</f>
        <v>97.5181613070462</v>
      </c>
      <c r="S189" s="7" t="n">
        <f aca="false">(S188*13+Q189)/14</f>
        <v>88.782458636481</v>
      </c>
      <c r="T189" s="7" t="n">
        <f aca="false">IF(S189=0,100,100-100/(1+R189/S189))</f>
        <v>52.3445178747159</v>
      </c>
      <c r="U189" s="7" t="n">
        <f aca="false">E189*2/13+U188*11/13</f>
        <v>11176.1908373822</v>
      </c>
      <c r="V189" s="7" t="n">
        <f aca="false">E189*2/27+V188*25/27</f>
        <v>11251.7329053216</v>
      </c>
      <c r="W189" s="7" t="n">
        <f aca="false">U189-V189</f>
        <v>-75.5420679393865</v>
      </c>
      <c r="X189" s="7" t="n">
        <f aca="false">W189*2/10+X188*8/10</f>
        <v>-45.8926488134108</v>
      </c>
      <c r="Y189" s="7" t="n">
        <f aca="false">W189-X189</f>
        <v>-29.6494191259757</v>
      </c>
      <c r="Z189" s="7" t="s">
        <v>78</v>
      </c>
      <c r="AA189" s="7" t="str">
        <f aca="false">IFERROR(INDEX(02_轉折點45!B:B,MATCH(A189,02_轉折點45!A:A,0)),"")</f>
        <v/>
      </c>
      <c r="AB189" s="7" t="n">
        <f aca="false">COUNTIFS(05_訊號明細!A:A,A189,05_訊號明細!C:C,"TOP")</f>
        <v>0</v>
      </c>
      <c r="AC189" s="7" t="n">
        <f aca="false">COUNTIFS(05_訊號明細!A:A,A189,05_訊號明細!C:C,"BOTTOM")</f>
        <v>0</v>
      </c>
    </row>
    <row r="190" customFormat="false" ht="15" hidden="false" customHeight="false" outlineLevel="0" collapsed="false">
      <c r="A190" s="7" t="s">
        <v>231</v>
      </c>
      <c r="B190" s="7" t="n">
        <v>11354.7</v>
      </c>
      <c r="C190" s="7" t="n">
        <v>11396.22</v>
      </c>
      <c r="D190" s="7" t="n">
        <v>11305.79</v>
      </c>
      <c r="E190" s="7" t="n">
        <v>11322.95</v>
      </c>
      <c r="F190" s="7" t="n">
        <v>3389</v>
      </c>
      <c r="G190" s="7" t="n">
        <f aca="false">AVERAGE(E186:E190)</f>
        <v>11113.666</v>
      </c>
      <c r="H190" s="7" t="n">
        <f aca="false">AVERAGE(E181:E190)</f>
        <v>11100.045</v>
      </c>
      <c r="I190" s="7" t="n">
        <f aca="false">AVERAGE(E171:E190)</f>
        <v>11326.4805</v>
      </c>
      <c r="J190" s="7" t="n">
        <f aca="false">AVERAGE(E141:E190)</f>
        <v>11246.496</v>
      </c>
      <c r="K190" s="7" t="n">
        <f aca="false">AVERAGE(E91:E190)</f>
        <v>10579.1103</v>
      </c>
      <c r="M190" s="7" t="n">
        <f aca="false">I190</f>
        <v>11326.4805</v>
      </c>
      <c r="N190" s="7" t="n">
        <f aca="false">I190+2*STDEV(E171:E190)</f>
        <v>12173.4698637927</v>
      </c>
      <c r="O190" s="7" t="n">
        <f aca="false">I190-2*STDEV(E171:E190)</f>
        <v>10479.4911362073</v>
      </c>
      <c r="P190" s="7" t="n">
        <f aca="false">MAX(E190-E189,0)</f>
        <v>0</v>
      </c>
      <c r="Q190" s="7" t="n">
        <f aca="false">MAX(E189-E190,0)</f>
        <v>41.5</v>
      </c>
      <c r="R190" s="7" t="n">
        <f aca="false">(R189*13+P190)/14</f>
        <v>90.5525783565429</v>
      </c>
      <c r="S190" s="7" t="n">
        <f aca="false">(S189*13+Q190)/14</f>
        <v>85.4051401624466</v>
      </c>
      <c r="T190" s="7" t="n">
        <f aca="false">IF(S190=0,100,100-100/(1+R190/S190))</f>
        <v>51.4626917868172</v>
      </c>
      <c r="U190" s="7" t="n">
        <f aca="false">E190*2/13+U189*11/13</f>
        <v>11198.7691700926</v>
      </c>
      <c r="V190" s="7" t="n">
        <f aca="false">E190*2/27+V189*25/27</f>
        <v>11257.0082456681</v>
      </c>
      <c r="W190" s="7" t="n">
        <f aca="false">U190-V190</f>
        <v>-58.2390755755041</v>
      </c>
      <c r="X190" s="7" t="n">
        <f aca="false">W190*2/10+X189*8/10</f>
        <v>-48.3619341658294</v>
      </c>
      <c r="Y190" s="7" t="n">
        <f aca="false">W190-X190</f>
        <v>-9.87714140967467</v>
      </c>
      <c r="Z190" s="7" t="s">
        <v>78</v>
      </c>
      <c r="AA190" s="7" t="str">
        <f aca="false">IFERROR(INDEX(02_轉折點45!B:B,MATCH(A190,02_轉折點45!A:A,0)),"")</f>
        <v/>
      </c>
      <c r="AB190" s="7" t="n">
        <f aca="false">COUNTIFS(05_訊號明細!A:A,A190,05_訊號明細!C:C,"TOP")</f>
        <v>0</v>
      </c>
      <c r="AC190" s="7" t="n">
        <f aca="false">COUNTIFS(05_訊號明細!A:A,A190,05_訊號明細!C:C,"BOTTOM")</f>
        <v>0</v>
      </c>
    </row>
    <row r="191" customFormat="false" ht="15" hidden="false" customHeight="false" outlineLevel="0" collapsed="false">
      <c r="A191" s="7" t="s">
        <v>232</v>
      </c>
      <c r="B191" s="7" t="n">
        <v>11328.55</v>
      </c>
      <c r="C191" s="7" t="n">
        <v>11535.01</v>
      </c>
      <c r="D191" s="7" t="n">
        <v>11328.55</v>
      </c>
      <c r="E191" s="7" t="n">
        <v>11418.06</v>
      </c>
      <c r="F191" s="7" t="n">
        <v>4261</v>
      </c>
      <c r="G191" s="7" t="n">
        <f aca="false">AVERAGE(E187:E191)</f>
        <v>11230.612</v>
      </c>
      <c r="H191" s="7" t="n">
        <f aca="false">AVERAGE(E182:E191)</f>
        <v>11117.091</v>
      </c>
      <c r="I191" s="7" t="n">
        <f aca="false">AVERAGE(E172:E191)</f>
        <v>11282.7405</v>
      </c>
      <c r="J191" s="7" t="n">
        <f aca="false">AVERAGE(E142:E191)</f>
        <v>11258.1958</v>
      </c>
      <c r="K191" s="7" t="n">
        <f aca="false">AVERAGE(E92:E191)</f>
        <v>10601.0874</v>
      </c>
      <c r="M191" s="7" t="n">
        <f aca="false">I191</f>
        <v>11282.7405</v>
      </c>
      <c r="N191" s="7" t="n">
        <f aca="false">I191+2*STDEV(E172:E191)</f>
        <v>12000.0220465859</v>
      </c>
      <c r="O191" s="7" t="n">
        <f aca="false">I191-2*STDEV(E172:E191)</f>
        <v>10565.4589534141</v>
      </c>
      <c r="P191" s="7" t="n">
        <f aca="false">MAX(E191-E190,0)</f>
        <v>95.1099999999988</v>
      </c>
      <c r="Q191" s="7" t="n">
        <f aca="false">MAX(E190-E191,0)</f>
        <v>0</v>
      </c>
      <c r="R191" s="7" t="n">
        <f aca="false">(R190*13+P191)/14</f>
        <v>90.8781084739326</v>
      </c>
      <c r="S191" s="7" t="n">
        <f aca="false">(S190*13+Q191)/14</f>
        <v>79.3047730079862</v>
      </c>
      <c r="T191" s="7" t="n">
        <f aca="false">IF(S191=0,100,100-100/(1+R191/S191))</f>
        <v>53.4002642819208</v>
      </c>
      <c r="U191" s="7" t="n">
        <f aca="false">E191*2/13+U190*11/13</f>
        <v>11232.5062208476</v>
      </c>
      <c r="V191" s="7" t="n">
        <f aca="false">E191*2/27+V190*25/27</f>
        <v>11268.9380052483</v>
      </c>
      <c r="W191" s="7" t="n">
        <f aca="false">U191-V191</f>
        <v>-36.4317844006619</v>
      </c>
      <c r="X191" s="7" t="n">
        <f aca="false">W191*2/10+X190*8/10</f>
        <v>-45.9759042127959</v>
      </c>
      <c r="Y191" s="7" t="n">
        <f aca="false">W191-X191</f>
        <v>9.54411981213406</v>
      </c>
      <c r="Z191" s="7" t="s">
        <v>78</v>
      </c>
      <c r="AA191" s="7" t="str">
        <f aca="false">IFERROR(INDEX(02_轉折點45!B:B,MATCH(A191,02_轉折點45!A:A,0)),"")</f>
        <v/>
      </c>
      <c r="AB191" s="7" t="n">
        <f aca="false">COUNTIFS(05_訊號明細!A:A,A191,05_訊號明細!C:C,"TOP")</f>
        <v>0</v>
      </c>
      <c r="AC191" s="7" t="n">
        <f aca="false">COUNTIFS(05_訊號明細!A:A,A191,05_訊號明細!C:C,"BOTTOM")</f>
        <v>0</v>
      </c>
    </row>
    <row r="192" customFormat="false" ht="15" hidden="false" customHeight="false" outlineLevel="0" collapsed="false">
      <c r="A192" s="7" t="s">
        <v>233</v>
      </c>
      <c r="B192" s="7" t="n">
        <v>11554.96</v>
      </c>
      <c r="C192" s="7" t="n">
        <v>11606.73</v>
      </c>
      <c r="D192" s="7" t="n">
        <v>11488.6</v>
      </c>
      <c r="E192" s="7" t="n">
        <v>11583.2</v>
      </c>
      <c r="F192" s="7" t="n">
        <v>4006</v>
      </c>
      <c r="G192" s="7" t="n">
        <f aca="false">AVERAGE(E188:E192)</f>
        <v>11367.958</v>
      </c>
      <c r="H192" s="7" t="n">
        <f aca="false">AVERAGE(E183:E192)</f>
        <v>11167.316</v>
      </c>
      <c r="I192" s="7" t="n">
        <f aca="false">AVERAGE(E173:E192)</f>
        <v>11240.8735</v>
      </c>
      <c r="J192" s="7" t="n">
        <f aca="false">AVERAGE(E143:E192)</f>
        <v>11272.4448</v>
      </c>
      <c r="K192" s="7" t="n">
        <f aca="false">AVERAGE(E93:E192)</f>
        <v>10623.9302</v>
      </c>
      <c r="M192" s="7" t="n">
        <f aca="false">I192</f>
        <v>11240.8735</v>
      </c>
      <c r="N192" s="7" t="n">
        <f aca="false">I192+2*STDEV(E173:E192)</f>
        <v>11744.4339131958</v>
      </c>
      <c r="O192" s="7" t="n">
        <f aca="false">I192-2*STDEV(E173:E192)</f>
        <v>10737.3130868042</v>
      </c>
      <c r="P192" s="7" t="n">
        <f aca="false">MAX(E192-E191,0)</f>
        <v>165.140000000001</v>
      </c>
      <c r="Q192" s="7" t="n">
        <f aca="false">MAX(E191-E192,0)</f>
        <v>0</v>
      </c>
      <c r="R192" s="7" t="n">
        <f aca="false">(R191*13+P192)/14</f>
        <v>96.1825292972232</v>
      </c>
      <c r="S192" s="7" t="n">
        <f aca="false">(S191*13+Q192)/14</f>
        <v>73.6401463645586</v>
      </c>
      <c r="T192" s="7" t="n">
        <f aca="false">IF(S192=0,100,100-100/(1+R192/S192))</f>
        <v>56.6370356151849</v>
      </c>
      <c r="U192" s="7" t="n">
        <f aca="false">E192*2/13+U191*11/13</f>
        <v>11286.459109948</v>
      </c>
      <c r="V192" s="7" t="n">
        <f aca="false">E192*2/27+V191*25/27</f>
        <v>11292.2166715262</v>
      </c>
      <c r="W192" s="7" t="n">
        <f aca="false">U192-V192</f>
        <v>-5.75756157819887</v>
      </c>
      <c r="X192" s="7" t="n">
        <f aca="false">W192*2/10+X191*8/10</f>
        <v>-37.9322356858765</v>
      </c>
      <c r="Y192" s="7" t="n">
        <f aca="false">W192-X192</f>
        <v>32.1746741076776</v>
      </c>
      <c r="Z192" s="7" t="s">
        <v>78</v>
      </c>
      <c r="AA192" s="7" t="str">
        <f aca="false">IFERROR(INDEX(02_轉折點45!B:B,MATCH(A192,02_轉折點45!A:A,0)),"")</f>
        <v/>
      </c>
      <c r="AB192" s="7" t="n">
        <f aca="false">COUNTIFS(05_訊號明細!A:A,A192,05_訊號明細!C:C,"TOP")</f>
        <v>0</v>
      </c>
      <c r="AC192" s="7" t="n">
        <f aca="false">COUNTIFS(05_訊號明細!A:A,A192,05_訊號明細!C:C,"BOTTOM")</f>
        <v>0</v>
      </c>
    </row>
    <row r="193" customFormat="false" ht="15" hidden="false" customHeight="false" outlineLevel="0" collapsed="false">
      <c r="A193" s="7" t="s">
        <v>234</v>
      </c>
      <c r="B193" s="7" t="n">
        <v>11328.85</v>
      </c>
      <c r="C193" s="7" t="n">
        <v>11479.08</v>
      </c>
      <c r="D193" s="7" t="n">
        <v>11225.17</v>
      </c>
      <c r="E193" s="7" t="n">
        <v>11255.69</v>
      </c>
      <c r="F193" s="7" t="n">
        <v>3732</v>
      </c>
      <c r="G193" s="7" t="n">
        <f aca="false">AVERAGE(E189:E193)</f>
        <v>11388.87</v>
      </c>
      <c r="H193" s="7" t="n">
        <f aca="false">AVERAGE(E184:E193)</f>
        <v>11199.187</v>
      </c>
      <c r="I193" s="7" t="n">
        <f aca="false">AVERAGE(E174:E193)</f>
        <v>11215.0895</v>
      </c>
      <c r="J193" s="7" t="n">
        <f aca="false">AVERAGE(E144:E193)</f>
        <v>11285.9468</v>
      </c>
      <c r="K193" s="7" t="n">
        <f aca="false">AVERAGE(E94:E193)</f>
        <v>10645.3626</v>
      </c>
      <c r="M193" s="7" t="n">
        <f aca="false">I193</f>
        <v>11215.0895</v>
      </c>
      <c r="N193" s="7" t="n">
        <f aca="false">I193+2*STDEV(E174:E193)</f>
        <v>11652.7793385832</v>
      </c>
      <c r="O193" s="7" t="n">
        <f aca="false">I193-2*STDEV(E174:E193)</f>
        <v>10777.3996614168</v>
      </c>
      <c r="P193" s="7" t="n">
        <f aca="false">MAX(E193-E192,0)</f>
        <v>0</v>
      </c>
      <c r="Q193" s="7" t="n">
        <f aca="false">MAX(E192-E193,0)</f>
        <v>327.51</v>
      </c>
      <c r="R193" s="7" t="n">
        <f aca="false">(R192*13+P193)/14</f>
        <v>89.3123486331358</v>
      </c>
      <c r="S193" s="7" t="n">
        <f aca="false">(S192*13+Q193)/14</f>
        <v>91.7737073385187</v>
      </c>
      <c r="T193" s="7" t="n">
        <f aca="false">IF(S193=0,100,100-100/(1+R193/S193))</f>
        <v>49.3203897748571</v>
      </c>
      <c r="U193" s="7" t="n">
        <f aca="false">E193*2/13+U192*11/13</f>
        <v>11281.7254007252</v>
      </c>
      <c r="V193" s="7" t="n">
        <f aca="false">E193*2/27+V192*25/27</f>
        <v>11289.5109921539</v>
      </c>
      <c r="W193" s="7" t="n">
        <f aca="false">U193-V193</f>
        <v>-7.78559142865561</v>
      </c>
      <c r="X193" s="7" t="n">
        <f aca="false">W193*2/10+X192*8/10</f>
        <v>-31.9029068344323</v>
      </c>
      <c r="Y193" s="7" t="n">
        <f aca="false">W193-X193</f>
        <v>24.1173154057767</v>
      </c>
      <c r="Z193" s="7" t="s">
        <v>78</v>
      </c>
      <c r="AA193" s="7" t="str">
        <f aca="false">IFERROR(INDEX(02_轉折點45!B:B,MATCH(A193,02_轉折點45!A:A,0)),"")</f>
        <v/>
      </c>
      <c r="AB193" s="7" t="n">
        <f aca="false">COUNTIFS(05_訊號明細!A:A,A193,05_訊號明細!C:C,"TOP")</f>
        <v>0</v>
      </c>
      <c r="AC193" s="7" t="n">
        <f aca="false">COUNTIFS(05_訊號明細!A:A,A193,05_訊號明細!C:C,"BOTTOM")</f>
        <v>0</v>
      </c>
    </row>
    <row r="194" customFormat="false" ht="15" hidden="false" customHeight="false" outlineLevel="0" collapsed="false">
      <c r="A194" s="7" t="s">
        <v>235</v>
      </c>
      <c r="B194" s="7" t="n">
        <v>11345.24</v>
      </c>
      <c r="C194" s="7" t="n">
        <v>11512.06</v>
      </c>
      <c r="D194" s="7" t="n">
        <v>11336.07</v>
      </c>
      <c r="E194" s="7" t="n">
        <v>11509.06</v>
      </c>
      <c r="F194" s="7" t="n">
        <v>3624</v>
      </c>
      <c r="G194" s="7" t="n">
        <f aca="false">AVERAGE(E190:E194)</f>
        <v>11417.792</v>
      </c>
      <c r="H194" s="7" t="n">
        <f aca="false">AVERAGE(E185:E194)</f>
        <v>11252.071</v>
      </c>
      <c r="I194" s="7" t="n">
        <f aca="false">AVERAGE(E175:E194)</f>
        <v>11209.436</v>
      </c>
      <c r="J194" s="7" t="n">
        <f aca="false">AVERAGE(E145:E194)</f>
        <v>11306.4654</v>
      </c>
      <c r="K194" s="7" t="n">
        <f aca="false">AVERAGE(E95:E194)</f>
        <v>10670.4524</v>
      </c>
      <c r="M194" s="7" t="n">
        <f aca="false">I194</f>
        <v>11209.436</v>
      </c>
      <c r="N194" s="7" t="n">
        <f aca="false">I194+2*STDEV(E175:E194)</f>
        <v>11627.4680612937</v>
      </c>
      <c r="O194" s="7" t="n">
        <f aca="false">I194-2*STDEV(E175:E194)</f>
        <v>10791.4039387063</v>
      </c>
      <c r="P194" s="7" t="n">
        <f aca="false">MAX(E194-E193,0)</f>
        <v>253.369999999999</v>
      </c>
      <c r="Q194" s="7" t="n">
        <f aca="false">MAX(E193-E194,0)</f>
        <v>0</v>
      </c>
      <c r="R194" s="7" t="n">
        <f aca="false">(R193*13+P194)/14</f>
        <v>101.030752302197</v>
      </c>
      <c r="S194" s="7" t="n">
        <f aca="false">(S193*13+Q194)/14</f>
        <v>85.2184425286245</v>
      </c>
      <c r="T194" s="7" t="n">
        <f aca="false">IF(S194=0,100,100-100/(1+R194/S194))</f>
        <v>54.244933726542</v>
      </c>
      <c r="U194" s="7" t="n">
        <f aca="false">E194*2/13+U193*11/13</f>
        <v>11316.6999544598</v>
      </c>
      <c r="V194" s="7" t="n">
        <f aca="false">E194*2/27+V193*25/27</f>
        <v>11305.7738816239</v>
      </c>
      <c r="W194" s="7" t="n">
        <f aca="false">U194-V194</f>
        <v>10.9260728358422</v>
      </c>
      <c r="X194" s="7" t="n">
        <f aca="false">W194*2/10+X193*8/10</f>
        <v>-23.3371109003774</v>
      </c>
      <c r="Y194" s="7" t="n">
        <f aca="false">W194-X194</f>
        <v>34.2631837362196</v>
      </c>
      <c r="Z194" s="7" t="s">
        <v>78</v>
      </c>
      <c r="AA194" s="7" t="str">
        <f aca="false">IFERROR(INDEX(02_轉折點45!B:B,MATCH(A194,02_轉折點45!A:A,0)),"")</f>
        <v/>
      </c>
      <c r="AB194" s="7" t="n">
        <f aca="false">COUNTIFS(05_訊號明細!A:A,A194,05_訊號明細!C:C,"TOP")</f>
        <v>0</v>
      </c>
      <c r="AC194" s="7" t="n">
        <f aca="false">COUNTIFS(05_訊號明細!A:A,A194,05_訊號明細!C:C,"BOTTOM")</f>
        <v>1</v>
      </c>
    </row>
    <row r="195" customFormat="false" ht="15" hidden="false" customHeight="false" outlineLevel="0" collapsed="false">
      <c r="A195" s="7" t="s">
        <v>236</v>
      </c>
      <c r="B195" s="7" t="n">
        <v>11476.68</v>
      </c>
      <c r="C195" s="7" t="n">
        <v>11536.42</v>
      </c>
      <c r="D195" s="7" t="n">
        <v>11256.26</v>
      </c>
      <c r="E195" s="7" t="n">
        <v>11291.27</v>
      </c>
      <c r="F195" s="7" t="n">
        <v>4391</v>
      </c>
      <c r="G195" s="7" t="n">
        <f aca="false">AVERAGE(E191:E195)</f>
        <v>11411.456</v>
      </c>
      <c r="H195" s="7" t="n">
        <f aca="false">AVERAGE(E186:E195)</f>
        <v>11262.561</v>
      </c>
      <c r="I195" s="7" t="n">
        <f aca="false">AVERAGE(E176:E195)</f>
        <v>11220.5865</v>
      </c>
      <c r="J195" s="7" t="n">
        <f aca="false">AVERAGE(E146:E195)</f>
        <v>11318.8032</v>
      </c>
      <c r="K195" s="7" t="n">
        <f aca="false">AVERAGE(E96:E195)</f>
        <v>10692.4209</v>
      </c>
      <c r="M195" s="7" t="n">
        <f aca="false">I195</f>
        <v>11220.5865</v>
      </c>
      <c r="N195" s="7" t="n">
        <f aca="false">I195+2*STDEV(E176:E195)</f>
        <v>11634.6411081084</v>
      </c>
      <c r="O195" s="7" t="n">
        <f aca="false">I195-2*STDEV(E176:E195)</f>
        <v>10806.5318918916</v>
      </c>
      <c r="P195" s="7" t="n">
        <f aca="false">MAX(E195-E194,0)</f>
        <v>0</v>
      </c>
      <c r="Q195" s="7" t="n">
        <f aca="false">MAX(E194-E195,0)</f>
        <v>217.789999999999</v>
      </c>
      <c r="R195" s="7" t="n">
        <f aca="false">(R194*13+P195)/14</f>
        <v>93.8142699948977</v>
      </c>
      <c r="S195" s="7" t="n">
        <f aca="false">(S194*13+Q195)/14</f>
        <v>94.6878394908655</v>
      </c>
      <c r="T195" s="7" t="n">
        <f aca="false">IF(S195=0,100,100-100/(1+R195/S195))</f>
        <v>49.7682865464076</v>
      </c>
      <c r="U195" s="7" t="n">
        <f aca="false">E195*2/13+U194*11/13</f>
        <v>11312.7876537737</v>
      </c>
      <c r="V195" s="7" t="n">
        <f aca="false">E195*2/27+V194*25/27</f>
        <v>11304.6995200222</v>
      </c>
      <c r="W195" s="7" t="n">
        <f aca="false">U195-V195</f>
        <v>8.08813375149293</v>
      </c>
      <c r="X195" s="7" t="n">
        <f aca="false">W195*2/10+X194*8/10</f>
        <v>-17.0520619700034</v>
      </c>
      <c r="Y195" s="7" t="n">
        <f aca="false">W195-X195</f>
        <v>25.1401957214963</v>
      </c>
      <c r="Z195" s="7" t="s">
        <v>78</v>
      </c>
      <c r="AA195" s="7" t="str">
        <f aca="false">IFERROR(INDEX(02_轉折點45!B:B,MATCH(A195,02_轉折點45!A:A,0)),"")</f>
        <v/>
      </c>
      <c r="AB195" s="7" t="n">
        <f aca="false">COUNTIFS(05_訊號明細!A:A,A195,05_訊號明細!C:C,"TOP")</f>
        <v>0</v>
      </c>
      <c r="AC195" s="7" t="n">
        <f aca="false">COUNTIFS(05_訊號明細!A:A,A195,05_訊號明細!C:C,"BOTTOM")</f>
        <v>0</v>
      </c>
    </row>
    <row r="196" customFormat="false" ht="15" hidden="false" customHeight="false" outlineLevel="0" collapsed="false">
      <c r="A196" s="7" t="s">
        <v>237</v>
      </c>
      <c r="B196" s="7" t="n">
        <v>11412.65</v>
      </c>
      <c r="C196" s="7" t="n">
        <v>11519.55</v>
      </c>
      <c r="D196" s="7" t="n">
        <v>11382.48</v>
      </c>
      <c r="E196" s="7" t="n">
        <v>11503.19</v>
      </c>
      <c r="F196" s="7" t="n">
        <v>3911</v>
      </c>
      <c r="G196" s="7" t="n">
        <f aca="false">AVERAGE(E192:E196)</f>
        <v>11428.482</v>
      </c>
      <c r="H196" s="7" t="n">
        <f aca="false">AVERAGE(E187:E196)</f>
        <v>11329.547</v>
      </c>
      <c r="I196" s="7" t="n">
        <f aca="false">AVERAGE(E177:E196)</f>
        <v>11225.9535</v>
      </c>
      <c r="J196" s="7" t="n">
        <f aca="false">AVERAGE(E147:E196)</f>
        <v>11338.217</v>
      </c>
      <c r="K196" s="7" t="n">
        <f aca="false">AVERAGE(E97:E196)</f>
        <v>10715.9264</v>
      </c>
      <c r="M196" s="7" t="n">
        <f aca="false">I196</f>
        <v>11225.9535</v>
      </c>
      <c r="N196" s="7" t="n">
        <f aca="false">I196+2*STDEV(E177:E196)</f>
        <v>11652.1773447861</v>
      </c>
      <c r="O196" s="7" t="n">
        <f aca="false">I196-2*STDEV(E177:E196)</f>
        <v>10799.7296552139</v>
      </c>
      <c r="P196" s="7" t="n">
        <f aca="false">MAX(E196-E195,0)</f>
        <v>211.92</v>
      </c>
      <c r="Q196" s="7" t="n">
        <f aca="false">MAX(E195-E196,0)</f>
        <v>0</v>
      </c>
      <c r="R196" s="7" t="n">
        <f aca="false">(R195*13+P196)/14</f>
        <v>102.250393566691</v>
      </c>
      <c r="S196" s="7" t="n">
        <f aca="false">(S195*13+Q196)/14</f>
        <v>87.9244223843751</v>
      </c>
      <c r="T196" s="7" t="n">
        <f aca="false">IF(S196=0,100,100-100/(1+R196/S196))</f>
        <v>53.7665268954439</v>
      </c>
      <c r="U196" s="7" t="n">
        <f aca="false">E196*2/13+U195*11/13</f>
        <v>11342.0803224239</v>
      </c>
      <c r="V196" s="7" t="n">
        <f aca="false">E196*2/27+V195*25/27</f>
        <v>11319.4025185391</v>
      </c>
      <c r="W196" s="7" t="n">
        <f aca="false">U196-V196</f>
        <v>22.6778038848224</v>
      </c>
      <c r="X196" s="7" t="n">
        <f aca="false">W196*2/10+X195*8/10</f>
        <v>-9.1060887990382</v>
      </c>
      <c r="Y196" s="7" t="n">
        <f aca="false">W196-X196</f>
        <v>31.7838926838606</v>
      </c>
      <c r="Z196" s="7" t="s">
        <v>78</v>
      </c>
      <c r="AA196" s="7" t="str">
        <f aca="false">IFERROR(INDEX(02_轉折點45!B:B,MATCH(A196,02_轉折點45!A:A,0)),"")</f>
        <v/>
      </c>
      <c r="AB196" s="7" t="n">
        <f aca="false">COUNTIFS(05_訊號明細!A:A,A196,05_訊號明細!C:C,"TOP")</f>
        <v>0</v>
      </c>
      <c r="AC196" s="7" t="n">
        <f aca="false">COUNTIFS(05_訊號明細!A:A,A196,05_訊號明細!C:C,"BOTTOM")</f>
        <v>0</v>
      </c>
    </row>
    <row r="197" customFormat="false" ht="15" hidden="false" customHeight="false" outlineLevel="0" collapsed="false">
      <c r="A197" s="7" t="s">
        <v>238</v>
      </c>
      <c r="B197" s="7" t="n">
        <v>11576.44</v>
      </c>
      <c r="C197" s="7" t="n">
        <v>11582.78</v>
      </c>
      <c r="D197" s="7" t="n">
        <v>11510.24</v>
      </c>
      <c r="E197" s="7" t="n">
        <v>11550.94</v>
      </c>
      <c r="F197" s="7" t="n">
        <v>3508</v>
      </c>
      <c r="G197" s="7" t="n">
        <f aca="false">AVERAGE(E193:E197)</f>
        <v>11422.03</v>
      </c>
      <c r="H197" s="7" t="n">
        <f aca="false">AVERAGE(E188:E197)</f>
        <v>11394.994</v>
      </c>
      <c r="I197" s="7" t="n">
        <f aca="false">AVERAGE(E178:E197)</f>
        <v>11245.7945</v>
      </c>
      <c r="J197" s="7" t="n">
        <f aca="false">AVERAGE(E148:E197)</f>
        <v>11355.9762</v>
      </c>
      <c r="K197" s="7" t="n">
        <f aca="false">AVERAGE(E98:E197)</f>
        <v>10738.1165</v>
      </c>
      <c r="M197" s="7" t="n">
        <f aca="false">I197</f>
        <v>11245.7945</v>
      </c>
      <c r="N197" s="7" t="n">
        <f aca="false">I197+2*STDEV(E178:E197)</f>
        <v>11694.3007941986</v>
      </c>
      <c r="O197" s="7" t="n">
        <f aca="false">I197-2*STDEV(E178:E197)</f>
        <v>10797.2882058014</v>
      </c>
      <c r="P197" s="7" t="n">
        <f aca="false">MAX(E197-E196,0)</f>
        <v>47.75</v>
      </c>
      <c r="Q197" s="7" t="n">
        <f aca="false">MAX(E196-E197,0)</f>
        <v>0</v>
      </c>
      <c r="R197" s="7" t="n">
        <f aca="false">(R196*13+P197)/14</f>
        <v>98.3575083119271</v>
      </c>
      <c r="S197" s="7" t="n">
        <f aca="false">(S196*13+Q197)/14</f>
        <v>81.6441064997769</v>
      </c>
      <c r="T197" s="7" t="n">
        <f aca="false">IF(S197=0,100,100-100/(1+R197/S197))</f>
        <v>54.6425699651733</v>
      </c>
      <c r="U197" s="7" t="n">
        <f aca="false">E197*2/13+U196*11/13</f>
        <v>11374.2125805125</v>
      </c>
      <c r="V197" s="7" t="n">
        <f aca="false">E197*2/27+V196*25/27</f>
        <v>11336.5534430917</v>
      </c>
      <c r="W197" s="7" t="n">
        <f aca="false">U197-V197</f>
        <v>37.6591374207928</v>
      </c>
      <c r="X197" s="7" t="n">
        <f aca="false">W197*2/10+X196*8/10</f>
        <v>0.246956444928009</v>
      </c>
      <c r="Y197" s="7" t="n">
        <f aca="false">W197-X197</f>
        <v>37.4121809758648</v>
      </c>
      <c r="Z197" s="7" t="s">
        <v>78</v>
      </c>
      <c r="AA197" s="7" t="str">
        <f aca="false">IFERROR(INDEX(02_轉折點45!B:B,MATCH(A197,02_轉折點45!A:A,0)),"")</f>
        <v/>
      </c>
      <c r="AB197" s="7" t="n">
        <f aca="false">COUNTIFS(05_訊號明細!A:A,A197,05_訊號明細!C:C,"TOP")</f>
        <v>0</v>
      </c>
      <c r="AC197" s="7" t="n">
        <f aca="false">COUNTIFS(05_訊號明細!A:A,A197,05_訊號明細!C:C,"BOTTOM")</f>
        <v>0</v>
      </c>
    </row>
    <row r="198" customFormat="false" ht="15" hidden="false" customHeight="false" outlineLevel="0" collapsed="false">
      <c r="A198" s="7" t="s">
        <v>239</v>
      </c>
      <c r="B198" s="7" t="n">
        <v>11615.57</v>
      </c>
      <c r="C198" s="7" t="n">
        <v>11727.6</v>
      </c>
      <c r="D198" s="7" t="n">
        <v>11600.86</v>
      </c>
      <c r="E198" s="7" t="n">
        <v>11725.85</v>
      </c>
      <c r="F198" s="7" t="n">
        <v>3504</v>
      </c>
      <c r="G198" s="7" t="n">
        <f aca="false">AVERAGE(E194:E198)</f>
        <v>11516.062</v>
      </c>
      <c r="H198" s="7" t="n">
        <f aca="false">AVERAGE(E189:E198)</f>
        <v>11452.466</v>
      </c>
      <c r="I198" s="7" t="n">
        <f aca="false">AVERAGE(E179:E198)</f>
        <v>11277.717</v>
      </c>
      <c r="J198" s="7" t="n">
        <f aca="false">AVERAGE(E149:E198)</f>
        <v>11376.183</v>
      </c>
      <c r="K198" s="7" t="n">
        <f aca="false">AVERAGE(E99:E198)</f>
        <v>10762.3896</v>
      </c>
      <c r="M198" s="7" t="n">
        <f aca="false">I198</f>
        <v>11277.717</v>
      </c>
      <c r="N198" s="7" t="n">
        <f aca="false">I198+2*STDEV(E179:E198)</f>
        <v>11767.7188369504</v>
      </c>
      <c r="O198" s="7" t="n">
        <f aca="false">I198-2*STDEV(E179:E198)</f>
        <v>10787.7151630496</v>
      </c>
      <c r="P198" s="7" t="n">
        <f aca="false">MAX(E198-E197,0)</f>
        <v>174.91</v>
      </c>
      <c r="Q198" s="7" t="n">
        <f aca="false">MAX(E197-E198,0)</f>
        <v>0</v>
      </c>
      <c r="R198" s="7" t="n">
        <f aca="false">(R197*13+P198)/14</f>
        <v>103.825543432504</v>
      </c>
      <c r="S198" s="7" t="n">
        <f aca="false">(S197*13+Q198)/14</f>
        <v>75.8123846069357</v>
      </c>
      <c r="T198" s="7" t="n">
        <f aca="false">IF(S198=0,100,100-100/(1+R198/S198))</f>
        <v>57.7971169928596</v>
      </c>
      <c r="U198" s="7" t="n">
        <f aca="false">E198*2/13+U197*11/13</f>
        <v>11428.310645049</v>
      </c>
      <c r="V198" s="7" t="n">
        <f aca="false">E198*2/27+V197*25/27</f>
        <v>11365.3902250849</v>
      </c>
      <c r="W198" s="7" t="n">
        <f aca="false">U198-V198</f>
        <v>62.9204199641245</v>
      </c>
      <c r="X198" s="7" t="n">
        <f aca="false">W198*2/10+X197*8/10</f>
        <v>12.7816491487673</v>
      </c>
      <c r="Y198" s="7" t="n">
        <f aca="false">W198-X198</f>
        <v>50.1387708153572</v>
      </c>
      <c r="Z198" s="8" t="s">
        <v>42</v>
      </c>
      <c r="AA198" s="7" t="str">
        <f aca="false">IFERROR(INDEX(02_轉折點45!B:B,MATCH(A198,02_轉折點45!A:A,0)),"")</f>
        <v/>
      </c>
      <c r="AB198" s="7" t="n">
        <f aca="false">COUNTIFS(05_訊號明細!A:A,A198,05_訊號明細!C:C,"TOP")</f>
        <v>0</v>
      </c>
      <c r="AC198" s="7" t="n">
        <f aca="false">COUNTIFS(05_訊號明細!A:A,A198,05_訊號明細!C:C,"BOTTOM")</f>
        <v>0</v>
      </c>
    </row>
    <row r="199" customFormat="false" ht="15" hidden="false" customHeight="false" outlineLevel="0" collapsed="false">
      <c r="A199" s="7" t="s">
        <v>240</v>
      </c>
      <c r="B199" s="7" t="n">
        <v>11900.12</v>
      </c>
      <c r="C199" s="7" t="n">
        <v>12204.75</v>
      </c>
      <c r="D199" s="7" t="n">
        <v>11880.23</v>
      </c>
      <c r="E199" s="7" t="n">
        <v>12088.11</v>
      </c>
      <c r="F199" s="7" t="n">
        <v>3885</v>
      </c>
      <c r="G199" s="7" t="n">
        <f aca="false">AVERAGE(E195:E199)</f>
        <v>11631.872</v>
      </c>
      <c r="H199" s="7" t="n">
        <f aca="false">AVERAGE(E190:E199)</f>
        <v>11524.832</v>
      </c>
      <c r="I199" s="7" t="n">
        <f aca="false">AVERAGE(E180:E199)</f>
        <v>11318.2345</v>
      </c>
      <c r="J199" s="7" t="n">
        <f aca="false">AVERAGE(E150:E199)</f>
        <v>11399.8276</v>
      </c>
      <c r="K199" s="7" t="n">
        <f aca="false">AVERAGE(E100:E199)</f>
        <v>10788.4205</v>
      </c>
      <c r="M199" s="7" t="n">
        <f aca="false">I199</f>
        <v>11318.2345</v>
      </c>
      <c r="N199" s="7" t="n">
        <f aca="false">I199+2*STDEV(E180:E199)</f>
        <v>11927.7013951754</v>
      </c>
      <c r="O199" s="7" t="n">
        <f aca="false">I199-2*STDEV(E180:E199)</f>
        <v>10708.7676048246</v>
      </c>
      <c r="P199" s="7" t="n">
        <f aca="false">MAX(E199-E198,0)</f>
        <v>362.26</v>
      </c>
      <c r="Q199" s="7" t="n">
        <f aca="false">MAX(E198-E199,0)</f>
        <v>0</v>
      </c>
      <c r="R199" s="7" t="n">
        <f aca="false">(R198*13+P199)/14</f>
        <v>122.285147473039</v>
      </c>
      <c r="S199" s="7" t="n">
        <f aca="false">(S198*13+Q199)/14</f>
        <v>70.3972142778689</v>
      </c>
      <c r="T199" s="7" t="n">
        <f aca="false">IF(S199=0,100,100-100/(1+R199/S199))</f>
        <v>63.4646297470261</v>
      </c>
      <c r="U199" s="7" t="n">
        <f aca="false">E199*2/13+U198*11/13</f>
        <v>11529.8182381184</v>
      </c>
      <c r="V199" s="7" t="n">
        <f aca="false">E199*2/27+V198*25/27</f>
        <v>11418.9250232268</v>
      </c>
      <c r="W199" s="7" t="n">
        <f aca="false">U199-V199</f>
        <v>110.893214891647</v>
      </c>
      <c r="X199" s="7" t="n">
        <f aca="false">W199*2/10+X198*8/10</f>
        <v>32.4039622973431</v>
      </c>
      <c r="Y199" s="7" t="n">
        <f aca="false">W199-X199</f>
        <v>78.4892525943034</v>
      </c>
      <c r="Z199" s="7" t="s">
        <v>78</v>
      </c>
      <c r="AA199" s="7" t="str">
        <f aca="false">IFERROR(INDEX(02_轉折點45!B:B,MATCH(A199,02_轉折點45!A:A,0)),"")</f>
        <v/>
      </c>
      <c r="AB199" s="7" t="n">
        <f aca="false">COUNTIFS(05_訊號明細!A:A,A199,05_訊號明細!C:C,"TOP")</f>
        <v>2</v>
      </c>
      <c r="AC199" s="7" t="n">
        <f aca="false">COUNTIFS(05_訊號明細!A:A,A199,05_訊號明細!C:C,"BOTTOM")</f>
        <v>0</v>
      </c>
    </row>
    <row r="200" customFormat="false" ht="15" hidden="false" customHeight="false" outlineLevel="0" collapsed="false">
      <c r="A200" s="7" t="s">
        <v>241</v>
      </c>
      <c r="B200" s="7" t="n">
        <v>12131.07</v>
      </c>
      <c r="C200" s="7" t="n">
        <v>12187.78</v>
      </c>
      <c r="D200" s="7" t="n">
        <v>12032.75</v>
      </c>
      <c r="E200" s="7" t="n">
        <v>12083.17</v>
      </c>
      <c r="F200" s="7" t="n">
        <v>3634</v>
      </c>
      <c r="G200" s="7" t="n">
        <f aca="false">AVERAGE(E196:E200)</f>
        <v>11790.252</v>
      </c>
      <c r="H200" s="7" t="n">
        <f aca="false">AVERAGE(E191:E200)</f>
        <v>11600.854</v>
      </c>
      <c r="I200" s="7" t="n">
        <f aca="false">AVERAGE(E181:E200)</f>
        <v>11350.4495</v>
      </c>
      <c r="J200" s="7" t="n">
        <f aca="false">AVERAGE(E151:E200)</f>
        <v>11420.3894</v>
      </c>
      <c r="K200" s="7" t="n">
        <f aca="false">AVERAGE(E101:E200)</f>
        <v>10815.4723</v>
      </c>
      <c r="M200" s="7" t="n">
        <f aca="false">I200</f>
        <v>11350.4495</v>
      </c>
      <c r="N200" s="7" t="n">
        <f aca="false">I200+2*STDEV(E181:E200)</f>
        <v>12048.447279863</v>
      </c>
      <c r="O200" s="7" t="n">
        <f aca="false">I200-2*STDEV(E181:E200)</f>
        <v>10652.451720137</v>
      </c>
      <c r="P200" s="7" t="n">
        <f aca="false">MAX(E200-E199,0)</f>
        <v>0</v>
      </c>
      <c r="Q200" s="7" t="n">
        <f aca="false">MAX(E199-E200,0)</f>
        <v>4.94000000000051</v>
      </c>
      <c r="R200" s="7" t="n">
        <f aca="false">(R199*13+P200)/14</f>
        <v>113.550494082108</v>
      </c>
      <c r="S200" s="7" t="n">
        <f aca="false">(S199*13+Q200)/14</f>
        <v>65.7216989723068</v>
      </c>
      <c r="T200" s="7" t="n">
        <f aca="false">IF(S200=0,100,100-100/(1+R200/S200))</f>
        <v>63.3397138437648</v>
      </c>
      <c r="U200" s="7" t="n">
        <f aca="false">E200*2/13+U199*11/13</f>
        <v>11614.9492784079</v>
      </c>
      <c r="V200" s="7" t="n">
        <f aca="false">E200*2/27+V199*25/27</f>
        <v>11468.1283548396</v>
      </c>
      <c r="W200" s="7" t="n">
        <f aca="false">U200-V200</f>
        <v>146.820923568286</v>
      </c>
      <c r="X200" s="7" t="n">
        <f aca="false">W200*2/10+X199*8/10</f>
        <v>55.2873545515318</v>
      </c>
      <c r="Y200" s="7" t="n">
        <f aca="false">W200-X200</f>
        <v>91.5335690167544</v>
      </c>
      <c r="Z200" s="8" t="s">
        <v>42</v>
      </c>
      <c r="AA200" s="7" t="str">
        <f aca="false">IFERROR(INDEX(02_轉折點45!B:B,MATCH(A200,02_轉折點45!A:A,0)),"")</f>
        <v/>
      </c>
      <c r="AB200" s="7" t="n">
        <f aca="false">COUNTIFS(05_訊號明細!A:A,A200,05_訊號明細!C:C,"TOP")</f>
        <v>0</v>
      </c>
      <c r="AC200" s="7" t="n">
        <f aca="false">COUNTIFS(05_訊號明細!A:A,A200,05_訊號明細!C:C,"BOTTOM")</f>
        <v>0</v>
      </c>
    </row>
    <row r="201" customFormat="false" ht="15" hidden="false" customHeight="false" outlineLevel="0" collapsed="false">
      <c r="A201" s="7" t="s">
        <v>242</v>
      </c>
      <c r="B201" s="7" t="n">
        <v>12105.1</v>
      </c>
      <c r="C201" s="7" t="n">
        <v>12159.21</v>
      </c>
      <c r="D201" s="7" t="n">
        <v>11913.57</v>
      </c>
      <c r="E201" s="7" t="n">
        <v>11985.36</v>
      </c>
      <c r="F201" s="7" t="n">
        <v>3410</v>
      </c>
      <c r="G201" s="7" t="n">
        <f aca="false">AVERAGE(E197:E201)</f>
        <v>11886.686</v>
      </c>
      <c r="H201" s="7" t="n">
        <f aca="false">AVERAGE(E192:E201)</f>
        <v>11657.584</v>
      </c>
      <c r="I201" s="7" t="n">
        <f aca="false">AVERAGE(E182:E201)</f>
        <v>11387.3375</v>
      </c>
      <c r="J201" s="7" t="n">
        <f aca="false">AVERAGE(E152:E201)</f>
        <v>11438.1658</v>
      </c>
      <c r="K201" s="7" t="n">
        <f aca="false">AVERAGE(E102:E201)</f>
        <v>10841.186</v>
      </c>
      <c r="M201" s="7" t="n">
        <f aca="false">I201</f>
        <v>11387.3375</v>
      </c>
      <c r="N201" s="7" t="n">
        <f aca="false">I201+2*STDEV(E182:E201)</f>
        <v>12138.4101520013</v>
      </c>
      <c r="O201" s="7" t="n">
        <f aca="false">I201-2*STDEV(E182:E201)</f>
        <v>10636.2648479987</v>
      </c>
      <c r="P201" s="7" t="n">
        <f aca="false">MAX(E201-E200,0)</f>
        <v>0</v>
      </c>
      <c r="Q201" s="7" t="n">
        <f aca="false">MAX(E200-E201,0)</f>
        <v>97.8099999999995</v>
      </c>
      <c r="R201" s="7" t="n">
        <f aca="false">(R200*13+P201)/14</f>
        <v>105.439744504814</v>
      </c>
      <c r="S201" s="7" t="n">
        <f aca="false">(S200*13+Q201)/14</f>
        <v>68.0137204742849</v>
      </c>
      <c r="T201" s="7" t="n">
        <f aca="false">IF(S201=0,100,100-100/(1+R201/S201))</f>
        <v>60.788491321012</v>
      </c>
      <c r="U201" s="7" t="n">
        <f aca="false">E201*2/13+U200*11/13</f>
        <v>11671.9355432682</v>
      </c>
      <c r="V201" s="7" t="n">
        <f aca="false">E201*2/27+V200*25/27</f>
        <v>11506.4418100367</v>
      </c>
      <c r="W201" s="7" t="n">
        <f aca="false">U201-V201</f>
        <v>165.493733231544</v>
      </c>
      <c r="X201" s="7" t="n">
        <f aca="false">W201*2/10+X200*8/10</f>
        <v>77.3286302875342</v>
      </c>
      <c r="Y201" s="7" t="n">
        <f aca="false">W201-X201</f>
        <v>88.1651029440098</v>
      </c>
      <c r="Z201" s="8" t="s">
        <v>42</v>
      </c>
      <c r="AA201" s="7" t="str">
        <f aca="false">IFERROR(INDEX(02_轉折點45!B:B,MATCH(A201,02_轉折點45!A:A,0)),"")</f>
        <v/>
      </c>
      <c r="AB201" s="7" t="n">
        <f aca="false">COUNTIFS(05_訊號明細!A:A,A201,05_訊號明細!C:C,"TOP")</f>
        <v>0</v>
      </c>
      <c r="AC201" s="7" t="n">
        <f aca="false">COUNTIFS(05_訊號明細!A:A,A201,05_訊號明細!C:C,"BOTTOM")</f>
        <v>0</v>
      </c>
    </row>
    <row r="202" customFormat="false" ht="15" hidden="false" customHeight="false" outlineLevel="0" collapsed="false">
      <c r="A202" s="7" t="s">
        <v>243</v>
      </c>
      <c r="B202" s="7" t="n">
        <v>11767.27</v>
      </c>
      <c r="C202" s="7" t="n">
        <v>11928.63</v>
      </c>
      <c r="D202" s="7" t="n">
        <v>11765.49</v>
      </c>
      <c r="E202" s="7" t="n">
        <v>11898.57</v>
      </c>
      <c r="F202" s="7" t="n">
        <v>3325</v>
      </c>
      <c r="G202" s="7" t="n">
        <f aca="false">AVERAGE(E198:E202)</f>
        <v>11956.212</v>
      </c>
      <c r="H202" s="7" t="n">
        <f aca="false">AVERAGE(E193:E202)</f>
        <v>11689.121</v>
      </c>
      <c r="I202" s="7" t="n">
        <f aca="false">AVERAGE(E183:E202)</f>
        <v>11428.2185</v>
      </c>
      <c r="J202" s="7" t="n">
        <f aca="false">AVERAGE(E153:E202)</f>
        <v>11453.6284</v>
      </c>
      <c r="K202" s="7" t="n">
        <f aca="false">AVERAGE(E103:E202)</f>
        <v>10866.2719</v>
      </c>
      <c r="L202" s="7" t="n">
        <f aca="false">AVERAGE(E3:E202)</f>
        <v>9791.17935</v>
      </c>
      <c r="M202" s="7" t="n">
        <f aca="false">I202</f>
        <v>11428.2185</v>
      </c>
      <c r="N202" s="7" t="n">
        <f aca="false">I202+2*STDEV(E183:E202)</f>
        <v>12197.8504498313</v>
      </c>
      <c r="O202" s="7" t="n">
        <f aca="false">I202-2*STDEV(E183:E202)</f>
        <v>10658.5865501687</v>
      </c>
      <c r="P202" s="7" t="n">
        <f aca="false">MAX(E202-E201,0)</f>
        <v>0</v>
      </c>
      <c r="Q202" s="7" t="n">
        <f aca="false">MAX(E201-E202,0)</f>
        <v>86.7900000000009</v>
      </c>
      <c r="R202" s="7" t="n">
        <f aca="false">(R201*13+P202)/14</f>
        <v>97.9083341830419</v>
      </c>
      <c r="S202" s="7" t="n">
        <f aca="false">(S201*13+Q202)/14</f>
        <v>69.3548832975503</v>
      </c>
      <c r="T202" s="7" t="n">
        <f aca="false">IF(S202=0,100,100-100/(1+R202/S202))</f>
        <v>58.5354841654905</v>
      </c>
      <c r="U202" s="7" t="n">
        <f aca="false">E202*2/13+U201*11/13</f>
        <v>11706.8023827654</v>
      </c>
      <c r="V202" s="7" t="n">
        <f aca="false">E202*2/27+V201*25/27</f>
        <v>11535.4883426266</v>
      </c>
      <c r="W202" s="7" t="n">
        <f aca="false">U202-V202</f>
        <v>171.314040138865</v>
      </c>
      <c r="X202" s="7" t="n">
        <f aca="false">W202*2/10+X201*8/10</f>
        <v>96.1257122578003</v>
      </c>
      <c r="Y202" s="7" t="n">
        <f aca="false">W202-X202</f>
        <v>75.1883278810643</v>
      </c>
      <c r="Z202" s="8" t="s">
        <v>42</v>
      </c>
      <c r="AA202" s="7" t="str">
        <f aca="false">IFERROR(INDEX(02_轉折點45!B:B,MATCH(A202,02_轉折點45!A:A,0)),"")</f>
        <v/>
      </c>
      <c r="AB202" s="7" t="n">
        <f aca="false">COUNTIFS(05_訊號明細!A:A,A202,05_訊號明細!C:C,"TOP")</f>
        <v>0</v>
      </c>
      <c r="AC202" s="7" t="n">
        <f aca="false">COUNTIFS(05_訊號明細!A:A,A202,05_訊號明細!C:C,"BOTTOM")</f>
        <v>0</v>
      </c>
    </row>
    <row r="203" customFormat="false" ht="15" hidden="false" customHeight="false" outlineLevel="0" collapsed="false">
      <c r="A203" s="7" t="s">
        <v>244</v>
      </c>
      <c r="B203" s="7" t="n">
        <v>11952.12</v>
      </c>
      <c r="C203" s="7" t="n">
        <v>12034.13</v>
      </c>
      <c r="D203" s="7" t="n">
        <v>11824.14</v>
      </c>
      <c r="E203" s="7" t="n">
        <v>11852.17</v>
      </c>
      <c r="F203" s="7" t="n">
        <v>3167</v>
      </c>
      <c r="G203" s="7" t="n">
        <f aca="false">AVERAGE(E199:E203)</f>
        <v>11981.476</v>
      </c>
      <c r="H203" s="7" t="n">
        <f aca="false">AVERAGE(E194:E203)</f>
        <v>11748.769</v>
      </c>
      <c r="I203" s="7" t="n">
        <f aca="false">AVERAGE(E184:E203)</f>
        <v>11473.978</v>
      </c>
      <c r="J203" s="7" t="n">
        <f aca="false">AVERAGE(E154:E203)</f>
        <v>11465.3302</v>
      </c>
      <c r="K203" s="7" t="n">
        <f aca="false">AVERAGE(E104:E203)</f>
        <v>10890.3731</v>
      </c>
      <c r="L203" s="7" t="n">
        <f aca="false">AVERAGE(E4:E203)</f>
        <v>9806.0791</v>
      </c>
      <c r="M203" s="7" t="n">
        <f aca="false">I203</f>
        <v>11473.978</v>
      </c>
      <c r="N203" s="7" t="n">
        <f aca="false">I203+2*STDEV(E184:E203)</f>
        <v>12229.3272507123</v>
      </c>
      <c r="O203" s="7" t="n">
        <f aca="false">I203-2*STDEV(E184:E203)</f>
        <v>10718.6287492877</v>
      </c>
      <c r="P203" s="7" t="n">
        <f aca="false">MAX(E203-E202,0)</f>
        <v>0</v>
      </c>
      <c r="Q203" s="7" t="n">
        <f aca="false">MAX(E202-E203,0)</f>
        <v>46.3999999999996</v>
      </c>
      <c r="R203" s="7" t="n">
        <f aca="false">(R202*13+P203)/14</f>
        <v>90.9148817413961</v>
      </c>
      <c r="S203" s="7" t="n">
        <f aca="false">(S202*13+Q203)/14</f>
        <v>67.7152487762967</v>
      </c>
      <c r="T203" s="7" t="n">
        <f aca="false">IF(S203=0,100,100-100/(1+R203/S203))</f>
        <v>57.3124925540271</v>
      </c>
      <c r="U203" s="7" t="n">
        <f aca="false">E203*2/13+U202*11/13</f>
        <v>11729.1666315707</v>
      </c>
      <c r="V203" s="7" t="n">
        <f aca="false">E203*2/27+V202*25/27</f>
        <v>11558.9462431727</v>
      </c>
      <c r="W203" s="7" t="n">
        <f aca="false">U203-V203</f>
        <v>170.220388398004</v>
      </c>
      <c r="X203" s="7" t="n">
        <f aca="false">W203*2/10+X202*8/10</f>
        <v>110.944647485841</v>
      </c>
      <c r="Y203" s="7" t="n">
        <f aca="false">W203-X203</f>
        <v>59.2757409121627</v>
      </c>
      <c r="Z203" s="8" t="s">
        <v>42</v>
      </c>
      <c r="AA203" s="7" t="str">
        <f aca="false">IFERROR(INDEX(02_轉折點45!B:B,MATCH(A203,02_轉折點45!A:A,0)),"")</f>
        <v/>
      </c>
      <c r="AB203" s="7" t="n">
        <f aca="false">COUNTIFS(05_訊號明細!A:A,A203,05_訊號明細!C:C,"TOP")</f>
        <v>0</v>
      </c>
      <c r="AC203" s="7" t="n">
        <f aca="false">COUNTIFS(05_訊號明細!A:A,A203,05_訊號明細!C:C,"BOTTOM")</f>
        <v>0</v>
      </c>
    </row>
    <row r="204" customFormat="false" ht="15" hidden="false" customHeight="false" outlineLevel="0" collapsed="false">
      <c r="A204" s="7" t="s">
        <v>245</v>
      </c>
      <c r="B204" s="7" t="n">
        <v>11913.01</v>
      </c>
      <c r="C204" s="7" t="n">
        <v>11962.47</v>
      </c>
      <c r="D204" s="7" t="n">
        <v>11606.48</v>
      </c>
      <c r="E204" s="7" t="n">
        <v>11634.35</v>
      </c>
      <c r="F204" s="7" t="n">
        <v>3477</v>
      </c>
      <c r="G204" s="7" t="n">
        <f aca="false">AVERAGE(E200:E204)</f>
        <v>11890.724</v>
      </c>
      <c r="H204" s="7" t="n">
        <f aca="false">AVERAGE(E195:E204)</f>
        <v>11761.298</v>
      </c>
      <c r="I204" s="7" t="n">
        <f aca="false">AVERAGE(E185:E204)</f>
        <v>11506.6845</v>
      </c>
      <c r="J204" s="7" t="n">
        <f aca="false">AVERAGE(E155:E204)</f>
        <v>11475.2294</v>
      </c>
      <c r="K204" s="7" t="n">
        <f aca="false">AVERAGE(E105:E204)</f>
        <v>10912.5495</v>
      </c>
      <c r="L204" s="7" t="n">
        <f aca="false">AVERAGE(E5:E204)</f>
        <v>9820.28135</v>
      </c>
      <c r="M204" s="7" t="n">
        <f aca="false">I204</f>
        <v>11506.6845</v>
      </c>
      <c r="N204" s="7" t="n">
        <f aca="false">I204+2*STDEV(E185:E204)</f>
        <v>12227.8899591694</v>
      </c>
      <c r="O204" s="7" t="n">
        <f aca="false">I204-2*STDEV(E185:E204)</f>
        <v>10785.4790408306</v>
      </c>
      <c r="P204" s="7" t="n">
        <f aca="false">MAX(E204-E203,0)</f>
        <v>0</v>
      </c>
      <c r="Q204" s="7" t="n">
        <f aca="false">MAX(E203-E204,0)</f>
        <v>217.82</v>
      </c>
      <c r="R204" s="7" t="n">
        <f aca="false">(R203*13+P204)/14</f>
        <v>84.4209616170106</v>
      </c>
      <c r="S204" s="7" t="n">
        <f aca="false">(S203*13+Q204)/14</f>
        <v>78.4370167208469</v>
      </c>
      <c r="T204" s="7" t="n">
        <f aca="false">IF(S204=0,100,100-100/(1+R204/S204))</f>
        <v>51.8371666396809</v>
      </c>
      <c r="U204" s="7" t="n">
        <f aca="false">E204*2/13+U203*11/13</f>
        <v>11714.5794574829</v>
      </c>
      <c r="V204" s="7" t="n">
        <f aca="false">E204*2/27+V203*25/27</f>
        <v>11564.5317066414</v>
      </c>
      <c r="W204" s="7" t="n">
        <f aca="false">U204-V204</f>
        <v>150.047750841512</v>
      </c>
      <c r="X204" s="7" t="n">
        <f aca="false">W204*2/10+X203*8/10</f>
        <v>118.765268156975</v>
      </c>
      <c r="Y204" s="7" t="n">
        <f aca="false">W204-X204</f>
        <v>31.2824826845364</v>
      </c>
      <c r="Z204" s="7" t="s">
        <v>78</v>
      </c>
      <c r="AA204" s="7" t="str">
        <f aca="false">IFERROR(INDEX(02_轉折點45!B:B,MATCH(A204,02_轉折點45!A:A,0)),"")</f>
        <v/>
      </c>
      <c r="AB204" s="7" t="n">
        <f aca="false">COUNTIFS(05_訊號明細!A:A,A204,05_訊號明細!C:C,"TOP")</f>
        <v>2</v>
      </c>
      <c r="AC204" s="7" t="n">
        <f aca="false">COUNTIFS(05_訊號明細!A:A,A204,05_訊號明細!C:C,"BOTTOM")</f>
        <v>0</v>
      </c>
    </row>
    <row r="205" customFormat="false" ht="15" hidden="false" customHeight="false" outlineLevel="0" collapsed="false">
      <c r="A205" s="7" t="s">
        <v>246</v>
      </c>
      <c r="B205" s="7" t="n">
        <v>11679.08</v>
      </c>
      <c r="C205" s="7" t="n">
        <v>11801.4</v>
      </c>
      <c r="D205" s="7" t="n">
        <v>11613.76</v>
      </c>
      <c r="E205" s="7" t="n">
        <v>11677.84</v>
      </c>
      <c r="F205" s="7" t="n">
        <v>3510</v>
      </c>
      <c r="G205" s="7" t="n">
        <f aca="false">AVERAGE(E201:E205)</f>
        <v>11809.658</v>
      </c>
      <c r="H205" s="7" t="n">
        <f aca="false">AVERAGE(E196:E205)</f>
        <v>11799.955</v>
      </c>
      <c r="I205" s="7" t="n">
        <f aca="false">AVERAGE(E186:E205)</f>
        <v>11531.258</v>
      </c>
      <c r="J205" s="7" t="n">
        <f aca="false">AVERAGE(E156:E205)</f>
        <v>11487.0828</v>
      </c>
      <c r="K205" s="7" t="n">
        <f aca="false">AVERAGE(E106:E205)</f>
        <v>10933.7726</v>
      </c>
      <c r="L205" s="7" t="n">
        <f aca="false">AVERAGE(E6:E205)</f>
        <v>9834.42795</v>
      </c>
      <c r="M205" s="7" t="n">
        <f aca="false">I205</f>
        <v>11531.258</v>
      </c>
      <c r="N205" s="7" t="n">
        <f aca="false">I205+2*STDEV(E186:E205)</f>
        <v>12239.8916639982</v>
      </c>
      <c r="O205" s="7" t="n">
        <f aca="false">I205-2*STDEV(E186:E205)</f>
        <v>10822.6243360018</v>
      </c>
      <c r="P205" s="7" t="n">
        <f aca="false">MAX(E205-E204,0)</f>
        <v>43.4899999999998</v>
      </c>
      <c r="Q205" s="7" t="n">
        <f aca="false">MAX(E204-E205,0)</f>
        <v>0</v>
      </c>
      <c r="R205" s="7" t="n">
        <f aca="false">(R204*13+P205)/14</f>
        <v>81.4973215015099</v>
      </c>
      <c r="S205" s="7" t="n">
        <f aca="false">(S204*13+Q205)/14</f>
        <v>72.8343726693579</v>
      </c>
      <c r="T205" s="7" t="n">
        <f aca="false">IF(S205=0,100,100-100/(1+R205/S205))</f>
        <v>52.8066007046358</v>
      </c>
      <c r="U205" s="7" t="n">
        <f aca="false">E205*2/13+U204*11/13</f>
        <v>11708.9272332548</v>
      </c>
      <c r="V205" s="7" t="n">
        <f aca="false">E205*2/27+V204*25/27</f>
        <v>11572.9249135569</v>
      </c>
      <c r="W205" s="7" t="n">
        <f aca="false">U205-V205</f>
        <v>136.002319697916</v>
      </c>
      <c r="X205" s="7" t="n">
        <f aca="false">W205*2/10+X204*8/10</f>
        <v>122.212678465163</v>
      </c>
      <c r="Y205" s="7" t="n">
        <f aca="false">W205-X205</f>
        <v>13.789641232753</v>
      </c>
      <c r="Z205" s="7" t="s">
        <v>78</v>
      </c>
      <c r="AA205" s="7" t="str">
        <f aca="false">IFERROR(INDEX(02_轉折點45!B:B,MATCH(A205,02_轉折點45!A:A,0)),"")</f>
        <v/>
      </c>
      <c r="AB205" s="7" t="n">
        <f aca="false">COUNTIFS(05_訊號明細!A:A,A205,05_訊號明細!C:C,"TOP")</f>
        <v>0</v>
      </c>
      <c r="AC205" s="7" t="n">
        <f aca="false">COUNTIFS(05_訊號明細!A:A,A205,05_訊號明細!C:C,"BOTTOM")</f>
        <v>0</v>
      </c>
    </row>
    <row r="206" customFormat="false" ht="15" hidden="false" customHeight="false" outlineLevel="0" collapsed="false">
      <c r="A206" s="7" t="s">
        <v>247</v>
      </c>
      <c r="B206" s="7" t="n">
        <v>11686.19</v>
      </c>
      <c r="C206" s="7" t="n">
        <v>11789.46</v>
      </c>
      <c r="D206" s="7" t="n">
        <v>11646.48</v>
      </c>
      <c r="E206" s="7" t="n">
        <v>11665.37</v>
      </c>
      <c r="F206" s="7" t="n">
        <v>3467</v>
      </c>
      <c r="G206" s="7" t="n">
        <f aca="false">AVERAGE(E202:E206)</f>
        <v>11745.66</v>
      </c>
      <c r="H206" s="7" t="n">
        <f aca="false">AVERAGE(E197:E206)</f>
        <v>11816.173</v>
      </c>
      <c r="I206" s="7" t="n">
        <f aca="false">AVERAGE(E187:E206)</f>
        <v>11572.86</v>
      </c>
      <c r="J206" s="7" t="n">
        <f aca="false">AVERAGE(E157:E206)</f>
        <v>11502.8686</v>
      </c>
      <c r="K206" s="7" t="n">
        <f aca="false">AVERAGE(E107:E206)</f>
        <v>10954.4374</v>
      </c>
      <c r="L206" s="7" t="n">
        <f aca="false">AVERAGE(E7:E206)</f>
        <v>9848.52255</v>
      </c>
      <c r="M206" s="7" t="n">
        <f aca="false">I206</f>
        <v>11572.86</v>
      </c>
      <c r="N206" s="7" t="n">
        <f aca="false">I206+2*STDEV(E187:E206)</f>
        <v>12202.2349511849</v>
      </c>
      <c r="O206" s="7" t="n">
        <f aca="false">I206-2*STDEV(E187:E206)</f>
        <v>10943.4850488151</v>
      </c>
      <c r="P206" s="7" t="n">
        <f aca="false">MAX(E206-E205,0)</f>
        <v>0</v>
      </c>
      <c r="Q206" s="7" t="n">
        <f aca="false">MAX(E205-E206,0)</f>
        <v>12.4699999999993</v>
      </c>
      <c r="R206" s="7" t="n">
        <f aca="false">(R205*13+P206)/14</f>
        <v>75.676084251402</v>
      </c>
      <c r="S206" s="7" t="n">
        <f aca="false">(S205*13+Q206)/14</f>
        <v>68.5226317644037</v>
      </c>
      <c r="T206" s="7" t="n">
        <f aca="false">IF(S206=0,100,100-100/(1+R206/S206))</f>
        <v>52.4804147653486</v>
      </c>
      <c r="U206" s="7" t="n">
        <f aca="false">E206*2/13+U205*11/13</f>
        <v>11702.2261204464</v>
      </c>
      <c r="V206" s="7" t="n">
        <f aca="false">E206*2/27+V205*25/27</f>
        <v>11579.7726977378</v>
      </c>
      <c r="W206" s="7" t="n">
        <f aca="false">U206-V206</f>
        <v>122.453422708517</v>
      </c>
      <c r="X206" s="7" t="n">
        <f aca="false">W206*2/10+X205*8/10</f>
        <v>122.260827313834</v>
      </c>
      <c r="Y206" s="7" t="n">
        <f aca="false">W206-X206</f>
        <v>0.192595394682826</v>
      </c>
      <c r="Z206" s="7" t="s">
        <v>78</v>
      </c>
      <c r="AA206" s="7" t="str">
        <f aca="false">IFERROR(INDEX(02_轉折點45!B:B,MATCH(A206,02_轉折點45!A:A,0)),"")</f>
        <v/>
      </c>
      <c r="AB206" s="7" t="n">
        <f aca="false">COUNTIFS(05_訊號明細!A:A,A206,05_訊號明細!C:C,"TOP")</f>
        <v>1</v>
      </c>
      <c r="AC206" s="7" t="n">
        <f aca="false">COUNTIFS(05_訊號明細!A:A,A206,05_訊號明細!C:C,"BOTTOM")</f>
        <v>0</v>
      </c>
    </row>
    <row r="207" customFormat="false" ht="15" hidden="false" customHeight="false" outlineLevel="0" collapsed="false">
      <c r="A207" s="7" t="s">
        <v>248</v>
      </c>
      <c r="B207" s="7" t="n">
        <v>11712.64</v>
      </c>
      <c r="C207" s="7" t="n">
        <v>11739.22</v>
      </c>
      <c r="D207" s="7" t="n">
        <v>11529.73</v>
      </c>
      <c r="E207" s="7" t="n">
        <v>11662.91</v>
      </c>
      <c r="F207" s="7" t="n">
        <v>3434</v>
      </c>
      <c r="G207" s="7" t="n">
        <f aca="false">AVERAGE(E203:E207)</f>
        <v>11698.528</v>
      </c>
      <c r="H207" s="7" t="n">
        <f aca="false">AVERAGE(E198:E207)</f>
        <v>11827.37</v>
      </c>
      <c r="I207" s="7" t="n">
        <f aca="false">AVERAGE(E188:E207)</f>
        <v>11611.182</v>
      </c>
      <c r="J207" s="7" t="n">
        <f aca="false">AVERAGE(E158:E207)</f>
        <v>11512.9724</v>
      </c>
      <c r="K207" s="7" t="n">
        <f aca="false">AVERAGE(E108:E207)</f>
        <v>10974.4934</v>
      </c>
      <c r="L207" s="7" t="n">
        <f aca="false">AVERAGE(E8:E207)</f>
        <v>9862.27525</v>
      </c>
      <c r="M207" s="7" t="n">
        <f aca="false">I207</f>
        <v>11611.182</v>
      </c>
      <c r="N207" s="7" t="n">
        <f aca="false">I207+2*STDEV(E188:E207)</f>
        <v>12154.6155276874</v>
      </c>
      <c r="O207" s="7" t="n">
        <f aca="false">I207-2*STDEV(E188:E207)</f>
        <v>11067.7484723126</v>
      </c>
      <c r="P207" s="7" t="n">
        <f aca="false">MAX(E207-E206,0)</f>
        <v>0</v>
      </c>
      <c r="Q207" s="7" t="n">
        <f aca="false">MAX(E206-E207,0)</f>
        <v>2.46000000000095</v>
      </c>
      <c r="R207" s="7" t="n">
        <f aca="false">(R206*13+P207)/14</f>
        <v>70.2706496620162</v>
      </c>
      <c r="S207" s="7" t="n">
        <f aca="false">(S206*13+Q207)/14</f>
        <v>63.8038723526606</v>
      </c>
      <c r="T207" s="7" t="n">
        <f aca="false">IF(S207=0,100,100-100/(1+R207/S207))</f>
        <v>52.4116354144629</v>
      </c>
      <c r="U207" s="7" t="n">
        <f aca="false">E207*2/13+U206*11/13</f>
        <v>11696.1774865315</v>
      </c>
      <c r="V207" s="7" t="n">
        <f aca="false">E207*2/27+V206*25/27</f>
        <v>11585.9310164239</v>
      </c>
      <c r="W207" s="7" t="n">
        <f aca="false">U207-V207</f>
        <v>110.246470107606</v>
      </c>
      <c r="X207" s="7" t="n">
        <f aca="false">W207*2/10+X206*8/10</f>
        <v>119.857955872588</v>
      </c>
      <c r="Y207" s="7" t="n">
        <f aca="false">W207-X207</f>
        <v>-9.61148576498243</v>
      </c>
      <c r="Z207" s="7" t="s">
        <v>78</v>
      </c>
      <c r="AA207" s="7" t="str">
        <f aca="false">IFERROR(INDEX(02_轉折點45!B:B,MATCH(A207,02_轉折點45!A:A,0)),"")</f>
        <v/>
      </c>
      <c r="AB207" s="7" t="n">
        <f aca="false">COUNTIFS(05_訊號明細!A:A,A207,05_訊號明細!C:C,"TOP")</f>
        <v>0</v>
      </c>
      <c r="AC207" s="7" t="n">
        <f aca="false">COUNTIFS(05_訊號明細!A:A,A207,05_訊號明細!C:C,"BOTTOM")</f>
        <v>0</v>
      </c>
    </row>
    <row r="208" customFormat="false" ht="15" hidden="false" customHeight="false" outlineLevel="0" collapsed="false">
      <c r="A208" s="7" t="s">
        <v>249</v>
      </c>
      <c r="B208" s="7" t="n">
        <v>11680.73</v>
      </c>
      <c r="C208" s="7" t="n">
        <v>11693.01</v>
      </c>
      <c r="D208" s="7" t="n">
        <v>11569.09</v>
      </c>
      <c r="E208" s="7" t="n">
        <v>11692.57</v>
      </c>
      <c r="F208" s="7" t="n">
        <v>3146</v>
      </c>
      <c r="G208" s="7" t="n">
        <f aca="false">AVERAGE(E204:E208)</f>
        <v>11666.608</v>
      </c>
      <c r="H208" s="7" t="n">
        <f aca="false">AVERAGE(E199:E208)</f>
        <v>11824.042</v>
      </c>
      <c r="I208" s="7" t="n">
        <f aca="false">AVERAGE(E189:E208)</f>
        <v>11638.254</v>
      </c>
      <c r="J208" s="7" t="n">
        <f aca="false">AVERAGE(E159:E208)</f>
        <v>11523.2564</v>
      </c>
      <c r="K208" s="7" t="n">
        <f aca="false">AVERAGE(E109:E208)</f>
        <v>10994.3722</v>
      </c>
      <c r="L208" s="7" t="n">
        <f aca="false">AVERAGE(E9:E208)</f>
        <v>9875.78995</v>
      </c>
      <c r="M208" s="7" t="n">
        <f aca="false">I208</f>
        <v>11638.254</v>
      </c>
      <c r="N208" s="7" t="n">
        <f aca="false">I208+2*STDEV(E189:E208)</f>
        <v>12137.3243558628</v>
      </c>
      <c r="O208" s="7" t="n">
        <f aca="false">I208-2*STDEV(E189:E208)</f>
        <v>11139.1836441372</v>
      </c>
      <c r="P208" s="7" t="n">
        <f aca="false">MAX(E208-E207,0)</f>
        <v>29.6599999999999</v>
      </c>
      <c r="Q208" s="7" t="n">
        <f aca="false">MAX(E207-E208,0)</f>
        <v>0</v>
      </c>
      <c r="R208" s="7" t="n">
        <f aca="false">(R207*13+P208)/14</f>
        <v>67.3698889718721</v>
      </c>
      <c r="S208" s="7" t="n">
        <f aca="false">(S207*13+Q208)/14</f>
        <v>59.2464528988991</v>
      </c>
      <c r="T208" s="7" t="n">
        <f aca="false">IF(S208=0,100,100-100/(1+R208/S208))</f>
        <v>53.2078940020491</v>
      </c>
      <c r="U208" s="7" t="n">
        <f aca="false">E208*2/13+U207*11/13</f>
        <v>11695.6224886036</v>
      </c>
      <c r="V208" s="7" t="n">
        <f aca="false">E208*2/27+V207*25/27</f>
        <v>11593.8302003925</v>
      </c>
      <c r="W208" s="7" t="n">
        <f aca="false">U208-V208</f>
        <v>101.792288211078</v>
      </c>
      <c r="X208" s="7" t="n">
        <f aca="false">W208*2/10+X207*8/10</f>
        <v>116.244822340286</v>
      </c>
      <c r="Y208" s="7" t="n">
        <f aca="false">W208-X208</f>
        <v>-14.4525341292084</v>
      </c>
      <c r="Z208" s="7" t="s">
        <v>78</v>
      </c>
      <c r="AA208" s="7" t="str">
        <f aca="false">IFERROR(INDEX(02_轉折點45!B:B,MATCH(A208,02_轉折點45!A:A,0)),"")</f>
        <v/>
      </c>
      <c r="AB208" s="7" t="n">
        <f aca="false">COUNTIFS(05_訊號明細!A:A,A208,05_訊號明細!C:C,"TOP")</f>
        <v>0</v>
      </c>
      <c r="AC208" s="7" t="n">
        <f aca="false">COUNTIFS(05_訊號明細!A:A,A208,05_訊號明細!C:C,"BOTTOM")</f>
        <v>0</v>
      </c>
    </row>
    <row r="209" customFormat="false" ht="15" hidden="false" customHeight="false" outlineLevel="0" collapsed="false">
      <c r="A209" s="7" t="s">
        <v>250</v>
      </c>
      <c r="B209" s="7" t="n">
        <v>11584.17</v>
      </c>
      <c r="C209" s="7" t="n">
        <v>11708.08</v>
      </c>
      <c r="D209" s="7" t="n">
        <v>11360.73</v>
      </c>
      <c r="E209" s="7" t="n">
        <v>11504.52</v>
      </c>
      <c r="F209" s="7" t="n">
        <v>3205</v>
      </c>
      <c r="G209" s="7" t="n">
        <f aca="false">AVERAGE(E205:E209)</f>
        <v>11640.642</v>
      </c>
      <c r="H209" s="7" t="n">
        <f aca="false">AVERAGE(E200:E209)</f>
        <v>11765.683</v>
      </c>
      <c r="I209" s="7" t="n">
        <f aca="false">AVERAGE(E190:E209)</f>
        <v>11645.2575</v>
      </c>
      <c r="J209" s="7" t="n">
        <f aca="false">AVERAGE(E160:E209)</f>
        <v>11530.0578</v>
      </c>
      <c r="K209" s="7" t="n">
        <f aca="false">AVERAGE(E110:E209)</f>
        <v>11013.1208</v>
      </c>
      <c r="L209" s="7" t="n">
        <f aca="false">AVERAGE(E10:E209)</f>
        <v>9888.47935</v>
      </c>
      <c r="M209" s="7" t="n">
        <f aca="false">I209</f>
        <v>11645.2575</v>
      </c>
      <c r="N209" s="7" t="n">
        <f aca="false">I209+2*STDEV(E190:E209)</f>
        <v>12131.9268392903</v>
      </c>
      <c r="O209" s="7" t="n">
        <f aca="false">I209-2*STDEV(E190:E209)</f>
        <v>11158.5881607097</v>
      </c>
      <c r="P209" s="7" t="n">
        <f aca="false">MAX(E209-E208,0)</f>
        <v>0</v>
      </c>
      <c r="Q209" s="7" t="n">
        <f aca="false">MAX(E208-E209,0)</f>
        <v>188.049999999999</v>
      </c>
      <c r="R209" s="7" t="n">
        <f aca="false">(R208*13+P209)/14</f>
        <v>62.5577540453098</v>
      </c>
      <c r="S209" s="7" t="n">
        <f aca="false">(S208*13+Q209)/14</f>
        <v>68.4467062632634</v>
      </c>
      <c r="T209" s="7" t="n">
        <f aca="false">IF(S209=0,100,100-100/(1+R209/S209))</f>
        <v>47.7523848409121</v>
      </c>
      <c r="U209" s="7" t="n">
        <f aca="false">E209*2/13+U208*11/13</f>
        <v>11666.2221057415</v>
      </c>
      <c r="V209" s="7" t="n">
        <f aca="false">E209*2/27+V208*25/27</f>
        <v>11587.2146299931</v>
      </c>
      <c r="W209" s="7" t="n">
        <f aca="false">U209-V209</f>
        <v>79.0074757484326</v>
      </c>
      <c r="X209" s="7" t="n">
        <f aca="false">W209*2/10+X208*8/10</f>
        <v>108.797353021916</v>
      </c>
      <c r="Y209" s="7" t="n">
        <f aca="false">W209-X209</f>
        <v>-29.789877273483</v>
      </c>
      <c r="Z209" s="7" t="s">
        <v>78</v>
      </c>
      <c r="AA209" s="7" t="str">
        <f aca="false">IFERROR(INDEX(02_轉折點45!B:B,MATCH(A209,02_轉折點45!A:A,0)),"")</f>
        <v/>
      </c>
      <c r="AB209" s="7" t="n">
        <f aca="false">COUNTIFS(05_訊號明細!A:A,A209,05_訊號明細!C:C,"TOP")</f>
        <v>1</v>
      </c>
      <c r="AC209" s="7" t="n">
        <f aca="false">COUNTIFS(05_訊號明細!A:A,A209,05_訊號明細!C:C,"BOTTOM")</f>
        <v>0</v>
      </c>
    </row>
    <row r="210" customFormat="false" ht="15" hidden="false" customHeight="false" outlineLevel="0" collapsed="false">
      <c r="A210" s="7" t="s">
        <v>251</v>
      </c>
      <c r="B210" s="7" t="n">
        <v>11560.86</v>
      </c>
      <c r="C210" s="7" t="n">
        <v>11633.49</v>
      </c>
      <c r="D210" s="7" t="n">
        <v>11503.1</v>
      </c>
      <c r="E210" s="7" t="n">
        <v>11598.95</v>
      </c>
      <c r="F210" s="7" t="n">
        <v>3105</v>
      </c>
      <c r="G210" s="7" t="n">
        <f aca="false">AVERAGE(E206:E210)</f>
        <v>11624.864</v>
      </c>
      <c r="H210" s="7" t="n">
        <f aca="false">AVERAGE(E201:E210)</f>
        <v>11717.261</v>
      </c>
      <c r="I210" s="7" t="n">
        <f aca="false">AVERAGE(E191:E210)</f>
        <v>11659.0575</v>
      </c>
      <c r="J210" s="7" t="n">
        <f aca="false">AVERAGE(E161:E210)</f>
        <v>11536.2654</v>
      </c>
      <c r="K210" s="7" t="n">
        <f aca="false">AVERAGE(E111:E210)</f>
        <v>11030.8664</v>
      </c>
      <c r="L210" s="7" t="n">
        <f aca="false">AVERAGE(E11:E210)</f>
        <v>9901.12085</v>
      </c>
      <c r="M210" s="7" t="n">
        <f aca="false">I210</f>
        <v>11659.0575</v>
      </c>
      <c r="N210" s="7" t="n">
        <f aca="false">I210+2*STDEV(E191:E210)</f>
        <v>12122.3357334567</v>
      </c>
      <c r="O210" s="7" t="n">
        <f aca="false">I210-2*STDEV(E191:E210)</f>
        <v>11195.7792665433</v>
      </c>
      <c r="P210" s="7" t="n">
        <f aca="false">MAX(E210-E209,0)</f>
        <v>94.4300000000003</v>
      </c>
      <c r="Q210" s="7" t="n">
        <f aca="false">MAX(E209-E210,0)</f>
        <v>0</v>
      </c>
      <c r="R210" s="7" t="n">
        <f aca="false">(R209*13+P210)/14</f>
        <v>64.8343430420734</v>
      </c>
      <c r="S210" s="7" t="n">
        <f aca="false">(S209*13+Q210)/14</f>
        <v>63.5576558158875</v>
      </c>
      <c r="T210" s="7" t="n">
        <f aca="false">IF(S210=0,100,100-100/(1+R210/S210))</f>
        <v>50.4971833282222</v>
      </c>
      <c r="U210" s="7" t="n">
        <f aca="false">E210*2/13+U209*11/13</f>
        <v>11655.8725510121</v>
      </c>
      <c r="V210" s="7" t="n">
        <f aca="false">E210*2/27+V209*25/27</f>
        <v>11588.0839166603</v>
      </c>
      <c r="W210" s="7" t="n">
        <f aca="false">U210-V210</f>
        <v>67.7886343517912</v>
      </c>
      <c r="X210" s="7" t="n">
        <f aca="false">W210*2/10+X209*8/10</f>
        <v>100.595609287891</v>
      </c>
      <c r="Y210" s="7" t="n">
        <f aca="false">W210-X210</f>
        <v>-32.8069749360995</v>
      </c>
      <c r="Z210" s="7" t="s">
        <v>78</v>
      </c>
      <c r="AA210" s="7" t="str">
        <f aca="false">IFERROR(INDEX(02_轉折點45!B:B,MATCH(A210,02_轉折點45!A:A,0)),"")</f>
        <v/>
      </c>
      <c r="AB210" s="7" t="n">
        <f aca="false">COUNTIFS(05_訊號明細!A:A,A210,05_訊號明細!C:C,"TOP")</f>
        <v>0</v>
      </c>
      <c r="AC210" s="7" t="n">
        <f aca="false">COUNTIFS(05_訊號明細!A:A,A210,05_訊號明細!C:C,"BOTTOM")</f>
        <v>0</v>
      </c>
    </row>
    <row r="211" customFormat="false" ht="15" hidden="false" customHeight="false" outlineLevel="0" collapsed="false">
      <c r="A211" s="7" t="s">
        <v>252</v>
      </c>
      <c r="B211" s="7" t="n">
        <v>11400.48</v>
      </c>
      <c r="C211" s="7" t="n">
        <v>11426.1</v>
      </c>
      <c r="D211" s="7" t="n">
        <v>11136.1</v>
      </c>
      <c r="E211" s="7" t="n">
        <v>11142.76</v>
      </c>
      <c r="F211" s="7" t="n">
        <v>3931</v>
      </c>
      <c r="G211" s="7" t="n">
        <f aca="false">AVERAGE(E207:E211)</f>
        <v>11520.342</v>
      </c>
      <c r="H211" s="7" t="n">
        <f aca="false">AVERAGE(E202:E211)</f>
        <v>11633.001</v>
      </c>
      <c r="I211" s="7" t="n">
        <f aca="false">AVERAGE(E192:E211)</f>
        <v>11645.2925</v>
      </c>
      <c r="J211" s="7" t="n">
        <f aca="false">AVERAGE(E162:E211)</f>
        <v>11531.14</v>
      </c>
      <c r="K211" s="7" t="n">
        <f aca="false">AVERAGE(E112:E211)</f>
        <v>11043.2788</v>
      </c>
      <c r="L211" s="7" t="n">
        <f aca="false">AVERAGE(E12:E211)</f>
        <v>9911.66755</v>
      </c>
      <c r="M211" s="7" t="n">
        <f aca="false">I211</f>
        <v>11645.2925</v>
      </c>
      <c r="N211" s="7" t="n">
        <f aca="false">I211+2*STDEV(E192:E211)</f>
        <v>12152.9539571429</v>
      </c>
      <c r="O211" s="7" t="n">
        <f aca="false">I211-2*STDEV(E192:E211)</f>
        <v>11137.6310428571</v>
      </c>
      <c r="P211" s="7" t="n">
        <f aca="false">MAX(E211-E210,0)</f>
        <v>0</v>
      </c>
      <c r="Q211" s="7" t="n">
        <f aca="false">MAX(E210-E211,0)</f>
        <v>456.190000000001</v>
      </c>
      <c r="R211" s="7" t="n">
        <f aca="false">(R210*13+P211)/14</f>
        <v>60.2033185390682</v>
      </c>
      <c r="S211" s="7" t="n">
        <f aca="false">(S210*13+Q211)/14</f>
        <v>91.6028232576098</v>
      </c>
      <c r="T211" s="7" t="n">
        <f aca="false">IF(S211=0,100,100-100/(1+R211/S211))</f>
        <v>39.6580255756066</v>
      </c>
      <c r="U211" s="7" t="n">
        <f aca="false">E211*2/13+U210*11/13</f>
        <v>11576.9321585487</v>
      </c>
      <c r="V211" s="7" t="n">
        <f aca="false">E211*2/27+V210*25/27</f>
        <v>11555.0969598706</v>
      </c>
      <c r="W211" s="7" t="n">
        <f aca="false">U211-V211</f>
        <v>21.8351986780453</v>
      </c>
      <c r="X211" s="7" t="n">
        <f aca="false">W211*2/10+X210*8/10</f>
        <v>84.8435271659216</v>
      </c>
      <c r="Y211" s="7" t="n">
        <f aca="false">W211-X211</f>
        <v>-63.0083284878763</v>
      </c>
      <c r="Z211" s="7" t="s">
        <v>78</v>
      </c>
      <c r="AA211" s="7" t="str">
        <f aca="false">IFERROR(INDEX(02_轉折點45!B:B,MATCH(A211,02_轉折點45!A:A,0)),"")</f>
        <v/>
      </c>
      <c r="AB211" s="7" t="n">
        <f aca="false">COUNTIFS(05_訊號明細!A:A,A211,05_訊號明細!C:C,"TOP")</f>
        <v>1</v>
      </c>
      <c r="AC211" s="7" t="n">
        <f aca="false">COUNTIFS(05_訊號明細!A:A,A211,05_訊號明細!C:C,"BOTTOM")</f>
        <v>0</v>
      </c>
    </row>
    <row r="212" customFormat="false" ht="15" hidden="false" customHeight="false" outlineLevel="0" collapsed="false">
      <c r="A212" s="7" t="s">
        <v>253</v>
      </c>
      <c r="B212" s="7" t="n">
        <v>11214.33</v>
      </c>
      <c r="C212" s="7" t="n">
        <v>11467.37</v>
      </c>
      <c r="D212" s="7" t="n">
        <v>11187.08</v>
      </c>
      <c r="E212" s="7" t="n">
        <v>11350.74</v>
      </c>
      <c r="F212" s="7" t="n">
        <v>3244</v>
      </c>
      <c r="G212" s="7" t="n">
        <f aca="false">AVERAGE(E208:E212)</f>
        <v>11457.908</v>
      </c>
      <c r="H212" s="7" t="n">
        <f aca="false">AVERAGE(E203:E212)</f>
        <v>11578.218</v>
      </c>
      <c r="I212" s="7" t="n">
        <f aca="false">AVERAGE(E193:E212)</f>
        <v>11633.6695</v>
      </c>
      <c r="J212" s="7" t="n">
        <f aca="false">AVERAGE(E163:E212)</f>
        <v>11531.782</v>
      </c>
      <c r="K212" s="7" t="n">
        <f aca="false">AVERAGE(E113:E212)</f>
        <v>11057.1145</v>
      </c>
      <c r="L212" s="7" t="n">
        <f aca="false">AVERAGE(E13:E212)</f>
        <v>9923.2429</v>
      </c>
      <c r="M212" s="7" t="n">
        <f aca="false">I212</f>
        <v>11633.6695</v>
      </c>
      <c r="N212" s="7" t="n">
        <f aca="false">I212+2*STDEV(E193:E212)</f>
        <v>12157.6973318633</v>
      </c>
      <c r="O212" s="7" t="n">
        <f aca="false">I212-2*STDEV(E193:E212)</f>
        <v>11109.6416681367</v>
      </c>
      <c r="P212" s="7" t="n">
        <f aca="false">MAX(E212-E211,0)</f>
        <v>207.98</v>
      </c>
      <c r="Q212" s="7" t="n">
        <f aca="false">MAX(E211-E212,0)</f>
        <v>0</v>
      </c>
      <c r="R212" s="7" t="n">
        <f aca="false">(R211*13+P212)/14</f>
        <v>70.7587957862776</v>
      </c>
      <c r="S212" s="7" t="n">
        <f aca="false">(S211*13+Q212)/14</f>
        <v>85.0597644534949</v>
      </c>
      <c r="T212" s="7" t="n">
        <f aca="false">IF(S212=0,100,100-100/(1+R212/S212))</f>
        <v>45.4110188653999</v>
      </c>
      <c r="U212" s="7" t="n">
        <f aca="false">E212*2/13+U211*11/13</f>
        <v>11542.1333649258</v>
      </c>
      <c r="V212" s="7" t="n">
        <f aca="false">E212*2/27+V211*25/27</f>
        <v>11539.9594072876</v>
      </c>
      <c r="W212" s="7" t="n">
        <f aca="false">U212-V212</f>
        <v>2.1739576381824</v>
      </c>
      <c r="X212" s="7" t="n">
        <f aca="false">W212*2/10+X211*8/10</f>
        <v>68.3096132603738</v>
      </c>
      <c r="Y212" s="7" t="n">
        <f aca="false">W212-X212</f>
        <v>-66.1356556221914</v>
      </c>
      <c r="Z212" s="7" t="s">
        <v>78</v>
      </c>
      <c r="AA212" s="7" t="str">
        <f aca="false">IFERROR(INDEX(02_轉折點45!B:B,MATCH(A212,02_轉折點45!A:A,0)),"")</f>
        <v/>
      </c>
      <c r="AB212" s="7" t="n">
        <f aca="false">COUNTIFS(05_訊號明細!A:A,A212,05_訊號明細!C:C,"TOP")</f>
        <v>0</v>
      </c>
      <c r="AC212" s="7" t="n">
        <f aca="false">COUNTIFS(05_訊號明細!A:A,A212,05_訊號明細!C:C,"BOTTOM")</f>
        <v>0</v>
      </c>
    </row>
    <row r="213" customFormat="false" ht="15" hidden="false" customHeight="false" outlineLevel="0" collapsed="false">
      <c r="A213" s="7" t="s">
        <v>254</v>
      </c>
      <c r="B213" s="7" t="n">
        <v>11265.7</v>
      </c>
      <c r="C213" s="7" t="n">
        <v>11293.76</v>
      </c>
      <c r="D213" s="7" t="n">
        <v>10960.02</v>
      </c>
      <c r="E213" s="7" t="n">
        <v>11052.95</v>
      </c>
      <c r="F213" s="7" t="n">
        <v>3672</v>
      </c>
      <c r="G213" s="7" t="n">
        <f aca="false">AVERAGE(E209:E213)</f>
        <v>11329.984</v>
      </c>
      <c r="H213" s="7" t="n">
        <f aca="false">AVERAGE(E204:E213)</f>
        <v>11498.296</v>
      </c>
      <c r="I213" s="7" t="n">
        <f aca="false">AVERAGE(E194:E213)</f>
        <v>11623.5325</v>
      </c>
      <c r="J213" s="7" t="n">
        <f aca="false">AVERAGE(E164:E213)</f>
        <v>11523.3</v>
      </c>
      <c r="K213" s="7" t="n">
        <f aca="false">AVERAGE(E114:E213)</f>
        <v>11066.7014</v>
      </c>
      <c r="L213" s="7" t="n">
        <f aca="false">AVERAGE(E14:E213)</f>
        <v>9932.88265</v>
      </c>
      <c r="M213" s="7" t="n">
        <f aca="false">I213</f>
        <v>11623.5325</v>
      </c>
      <c r="N213" s="7" t="n">
        <f aca="false">I213+2*STDEV(E194:E213)</f>
        <v>12184.8628766054</v>
      </c>
      <c r="O213" s="7" t="n">
        <f aca="false">I213-2*STDEV(E194:E213)</f>
        <v>11062.2021233946</v>
      </c>
      <c r="P213" s="7" t="n">
        <f aca="false">MAX(E213-E212,0)</f>
        <v>0</v>
      </c>
      <c r="Q213" s="7" t="n">
        <f aca="false">MAX(E212-E213,0)</f>
        <v>297.789999999999</v>
      </c>
      <c r="R213" s="7" t="n">
        <f aca="false">(R212*13+P213)/14</f>
        <v>65.7045960872578</v>
      </c>
      <c r="S213" s="7" t="n">
        <f aca="false">(S212*13+Q213)/14</f>
        <v>100.254781278245</v>
      </c>
      <c r="T213" s="7" t="n">
        <f aca="false">IF(S213=0,100,100-100/(1+R213/S213))</f>
        <v>39.5907704224223</v>
      </c>
      <c r="U213" s="7" t="n">
        <f aca="false">E213*2/13+U212*11/13</f>
        <v>11466.8743857064</v>
      </c>
      <c r="V213" s="7" t="n">
        <f aca="false">E213*2/27+V212*25/27</f>
        <v>11503.8846363774</v>
      </c>
      <c r="W213" s="7" t="n">
        <f aca="false">U213-V213</f>
        <v>-37.0102506709736</v>
      </c>
      <c r="X213" s="7" t="n">
        <f aca="false">W213*2/10+X212*8/10</f>
        <v>47.2456404741043</v>
      </c>
      <c r="Y213" s="7" t="n">
        <f aca="false">W213-X213</f>
        <v>-84.2558911450779</v>
      </c>
      <c r="Z213" s="7" t="s">
        <v>78</v>
      </c>
      <c r="AA213" s="7" t="str">
        <f aca="false">IFERROR(INDEX(02_轉折點45!B:B,MATCH(A213,02_轉折點45!A:A,0)),"")</f>
        <v/>
      </c>
      <c r="AB213" s="7" t="n">
        <f aca="false">COUNTIFS(05_訊號明細!A:A,A213,05_訊號明細!C:C,"TOP")</f>
        <v>0</v>
      </c>
      <c r="AC213" s="7" t="n">
        <f aca="false">COUNTIFS(05_訊號明細!A:A,A213,05_訊號明細!C:C,"BOTTOM")</f>
        <v>0</v>
      </c>
    </row>
    <row r="214" customFormat="false" ht="15" hidden="false" customHeight="false" outlineLevel="0" collapsed="false">
      <c r="A214" s="7" t="s">
        <v>255</v>
      </c>
      <c r="B214" s="7" t="n">
        <v>11152.48</v>
      </c>
      <c r="C214" s="7" t="n">
        <v>11222.52</v>
      </c>
      <c r="D214" s="7" t="n">
        <v>10957.11</v>
      </c>
      <c r="E214" s="7" t="n">
        <v>11084.76</v>
      </c>
      <c r="F214" s="7" t="n">
        <v>3209</v>
      </c>
      <c r="G214" s="7" t="n">
        <f aca="false">AVERAGE(E210:E214)</f>
        <v>11246.032</v>
      </c>
      <c r="H214" s="7" t="n">
        <f aca="false">AVERAGE(E205:E214)</f>
        <v>11443.337</v>
      </c>
      <c r="I214" s="7" t="n">
        <f aca="false">AVERAGE(E195:E214)</f>
        <v>11602.3175</v>
      </c>
      <c r="J214" s="7" t="n">
        <f aca="false">AVERAGE(E165:E214)</f>
        <v>11513.892</v>
      </c>
      <c r="K214" s="7" t="n">
        <f aca="false">AVERAGE(E115:E214)</f>
        <v>11081.6642</v>
      </c>
      <c r="L214" s="7" t="n">
        <f aca="false">AVERAGE(E15:E214)</f>
        <v>9942.4378</v>
      </c>
      <c r="M214" s="7" t="n">
        <f aca="false">I214</f>
        <v>11602.3175</v>
      </c>
      <c r="N214" s="7" t="n">
        <f aca="false">I214+2*STDEV(E195:E214)</f>
        <v>12211.8654497697</v>
      </c>
      <c r="O214" s="7" t="n">
        <f aca="false">I214-2*STDEV(E195:E214)</f>
        <v>10992.7695502303</v>
      </c>
      <c r="P214" s="7" t="n">
        <f aca="false">MAX(E214-E213,0)</f>
        <v>31.8099999999995</v>
      </c>
      <c r="Q214" s="7" t="n">
        <f aca="false">MAX(E213-E214,0)</f>
        <v>0</v>
      </c>
      <c r="R214" s="7" t="n">
        <f aca="false">(R213*13+P214)/14</f>
        <v>63.2835535095965</v>
      </c>
      <c r="S214" s="7" t="n">
        <f aca="false">(S213*13+Q214)/14</f>
        <v>93.0937254726562</v>
      </c>
      <c r="T214" s="7" t="n">
        <f aca="false">IF(S214=0,100,100-100/(1+R214/S214))</f>
        <v>40.468509185902</v>
      </c>
      <c r="U214" s="7" t="n">
        <f aca="false">E214*2/13+U213*11/13</f>
        <v>11408.0875571362</v>
      </c>
      <c r="V214" s="7" t="n">
        <f aca="false">E214*2/27+V213*25/27</f>
        <v>11472.8383670161</v>
      </c>
      <c r="W214" s="7" t="n">
        <f aca="false">U214-V214</f>
        <v>-64.7508098799062</v>
      </c>
      <c r="X214" s="7" t="n">
        <f aca="false">W214*2/10+X213*8/10</f>
        <v>24.8463504033022</v>
      </c>
      <c r="Y214" s="7" t="n">
        <f aca="false">W214-X214</f>
        <v>-89.5971602832084</v>
      </c>
      <c r="Z214" s="7" t="s">
        <v>78</v>
      </c>
      <c r="AA214" s="7" t="str">
        <f aca="false">IFERROR(INDEX(02_轉折點45!B:B,MATCH(A214,02_轉折點45!A:A,0)),"")</f>
        <v/>
      </c>
      <c r="AB214" s="7" t="n">
        <f aca="false">COUNTIFS(05_訊號明細!A:A,A214,05_訊號明細!C:C,"TOP")</f>
        <v>0</v>
      </c>
      <c r="AC214" s="7" t="n">
        <f aca="false">COUNTIFS(05_訊號明細!A:A,A214,05_訊號明細!C:C,"BOTTOM")</f>
        <v>0</v>
      </c>
    </row>
    <row r="215" customFormat="false" ht="15" hidden="false" customHeight="false" outlineLevel="0" collapsed="false">
      <c r="A215" s="7" t="s">
        <v>256</v>
      </c>
      <c r="B215" s="7" t="n">
        <v>11155.85</v>
      </c>
      <c r="C215" s="7" t="n">
        <v>11356.08</v>
      </c>
      <c r="D215" s="7" t="n">
        <v>11115.55</v>
      </c>
      <c r="E215" s="7" t="n">
        <v>11279.91</v>
      </c>
      <c r="F215" s="7" t="n">
        <v>3217</v>
      </c>
      <c r="G215" s="7" t="n">
        <f aca="false">AVERAGE(E211:E215)</f>
        <v>11182.224</v>
      </c>
      <c r="H215" s="7" t="n">
        <f aca="false">AVERAGE(E206:E215)</f>
        <v>11403.544</v>
      </c>
      <c r="I215" s="7" t="n">
        <f aca="false">AVERAGE(E196:E215)</f>
        <v>11601.7495</v>
      </c>
      <c r="J215" s="7" t="n">
        <f aca="false">AVERAGE(E166:E215)</f>
        <v>11506.9668</v>
      </c>
      <c r="K215" s="7" t="n">
        <f aca="false">AVERAGE(E116:E215)</f>
        <v>11097.8255</v>
      </c>
      <c r="L215" s="7" t="n">
        <f aca="false">AVERAGE(E16:E215)</f>
        <v>9953.0042</v>
      </c>
      <c r="M215" s="7" t="n">
        <f aca="false">I215</f>
        <v>11601.7495</v>
      </c>
      <c r="N215" s="7" t="n">
        <f aca="false">I215+2*STDEV(E196:E215)</f>
        <v>12212.5377630615</v>
      </c>
      <c r="O215" s="7" t="n">
        <f aca="false">I215-2*STDEV(E196:E215)</f>
        <v>10990.9612369385</v>
      </c>
      <c r="P215" s="7" t="n">
        <f aca="false">MAX(E215-E214,0)</f>
        <v>195.15</v>
      </c>
      <c r="Q215" s="7" t="n">
        <f aca="false">MAX(E214-E215,0)</f>
        <v>0</v>
      </c>
      <c r="R215" s="7" t="n">
        <f aca="false">(R214*13+P215)/14</f>
        <v>72.7025854017681</v>
      </c>
      <c r="S215" s="7" t="n">
        <f aca="false">(S214*13+Q215)/14</f>
        <v>86.4441736531808</v>
      </c>
      <c r="T215" s="7" t="n">
        <f aca="false">IF(S215=0,100,100-100/(1+R215/S215))</f>
        <v>45.6827307282242</v>
      </c>
      <c r="U215" s="7" t="n">
        <f aca="false">E215*2/13+U214*11/13</f>
        <v>11388.3679329614</v>
      </c>
      <c r="V215" s="7" t="n">
        <f aca="false">E215*2/27+V214*25/27</f>
        <v>11458.5473768668</v>
      </c>
      <c r="W215" s="7" t="n">
        <f aca="false">U215-V215</f>
        <v>-70.1794439053665</v>
      </c>
      <c r="X215" s="7" t="n">
        <f aca="false">W215*2/10+X214*8/10</f>
        <v>5.84119154156846</v>
      </c>
      <c r="Y215" s="7" t="n">
        <f aca="false">W215-X215</f>
        <v>-76.020635446935</v>
      </c>
      <c r="Z215" s="7" t="s">
        <v>78</v>
      </c>
      <c r="AA215" s="7" t="str">
        <f aca="false">IFERROR(INDEX(02_轉折點45!B:B,MATCH(A215,02_轉折點45!A:A,0)),"")</f>
        <v/>
      </c>
      <c r="AB215" s="7" t="n">
        <f aca="false">COUNTIFS(05_訊號明細!A:A,A215,05_訊號明細!C:C,"TOP")</f>
        <v>0</v>
      </c>
      <c r="AC215" s="7" t="n">
        <f aca="false">COUNTIFS(05_訊號明細!A:A,A215,05_訊號明細!C:C,"BOTTOM")</f>
        <v>0</v>
      </c>
    </row>
    <row r="216" customFormat="false" ht="15" hidden="false" customHeight="false" outlineLevel="0" collapsed="false">
      <c r="A216" s="7" t="s">
        <v>257</v>
      </c>
      <c r="B216" s="7" t="n">
        <v>11627.76</v>
      </c>
      <c r="C216" s="7" t="n">
        <v>11846.46</v>
      </c>
      <c r="D216" s="7" t="n">
        <v>11564.91</v>
      </c>
      <c r="E216" s="7" t="n">
        <v>11777.02</v>
      </c>
      <c r="F216" s="7" t="n">
        <v>3621</v>
      </c>
      <c r="G216" s="7" t="n">
        <f aca="false">AVERAGE(E212:E216)</f>
        <v>11309.076</v>
      </c>
      <c r="H216" s="7" t="n">
        <f aca="false">AVERAGE(E207:E216)</f>
        <v>11414.709</v>
      </c>
      <c r="I216" s="7" t="n">
        <f aca="false">AVERAGE(E197:E216)</f>
        <v>11615.441</v>
      </c>
      <c r="J216" s="7" t="n">
        <f aca="false">AVERAGE(E167:E216)</f>
        <v>11508.071</v>
      </c>
      <c r="K216" s="7" t="n">
        <f aca="false">AVERAGE(E117:E216)</f>
        <v>11117.8268</v>
      </c>
      <c r="L216" s="7" t="n">
        <f aca="false">AVERAGE(E17:E216)</f>
        <v>9965.9464</v>
      </c>
      <c r="M216" s="7" t="n">
        <f aca="false">I216</f>
        <v>11615.441</v>
      </c>
      <c r="N216" s="7" t="n">
        <f aca="false">I216+2*STDEV(E197:E216)</f>
        <v>12229.1960626791</v>
      </c>
      <c r="O216" s="7" t="n">
        <f aca="false">I216-2*STDEV(E197:E216)</f>
        <v>11001.6859373209</v>
      </c>
      <c r="P216" s="7" t="n">
        <f aca="false">MAX(E216-E215,0)</f>
        <v>497.110000000001</v>
      </c>
      <c r="Q216" s="7" t="n">
        <f aca="false">MAX(E215-E216,0)</f>
        <v>0</v>
      </c>
      <c r="R216" s="7" t="n">
        <f aca="false">(R215*13+P216)/14</f>
        <v>103.017400730213</v>
      </c>
      <c r="S216" s="7" t="n">
        <f aca="false">(S215*13+Q216)/14</f>
        <v>80.2695898208107</v>
      </c>
      <c r="T216" s="7" t="n">
        <f aca="false">IF(S216=0,100,100-100/(1+R216/S216))</f>
        <v>56.2055170530693</v>
      </c>
      <c r="U216" s="7" t="n">
        <f aca="false">E216*2/13+U215*11/13</f>
        <v>11448.1605586597</v>
      </c>
      <c r="V216" s="7" t="n">
        <f aca="false">E216*2/27+V215*25/27</f>
        <v>11482.1379415433</v>
      </c>
      <c r="W216" s="7" t="n">
        <f aca="false">U216-V216</f>
        <v>-33.9773828836587</v>
      </c>
      <c r="X216" s="7" t="n">
        <f aca="false">W216*2/10+X215*8/10</f>
        <v>-2.12252334347697</v>
      </c>
      <c r="Y216" s="7" t="n">
        <f aca="false">W216-X216</f>
        <v>-31.8548595401817</v>
      </c>
      <c r="Z216" s="7" t="s">
        <v>78</v>
      </c>
      <c r="AA216" s="7" t="str">
        <f aca="false">IFERROR(INDEX(02_轉折點45!B:B,MATCH(A216,02_轉折點45!A:A,0)),"")</f>
        <v/>
      </c>
      <c r="AB216" s="7" t="n">
        <f aca="false">COUNTIFS(05_訊號明細!A:A,A216,05_訊號明細!C:C,"TOP")</f>
        <v>0</v>
      </c>
      <c r="AC216" s="7" t="n">
        <f aca="false">COUNTIFS(05_訊號明細!A:A,A216,05_訊號明細!C:C,"BOTTOM")</f>
        <v>2</v>
      </c>
    </row>
    <row r="217" customFormat="false" ht="15" hidden="false" customHeight="false" outlineLevel="0" collapsed="false">
      <c r="A217" s="7" t="s">
        <v>258</v>
      </c>
      <c r="B217" s="7" t="n">
        <v>12021.77</v>
      </c>
      <c r="C217" s="7" t="n">
        <v>12117.04</v>
      </c>
      <c r="D217" s="7" t="n">
        <v>11977.07</v>
      </c>
      <c r="E217" s="7" t="n">
        <v>12078.07</v>
      </c>
      <c r="F217" s="7" t="n">
        <v>3848</v>
      </c>
      <c r="G217" s="7" t="n">
        <f aca="false">AVERAGE(E213:E217)</f>
        <v>11454.542</v>
      </c>
      <c r="H217" s="7" t="n">
        <f aca="false">AVERAGE(E208:E217)</f>
        <v>11456.225</v>
      </c>
      <c r="I217" s="7" t="n">
        <f aca="false">AVERAGE(E198:E217)</f>
        <v>11641.7975</v>
      </c>
      <c r="J217" s="7" t="n">
        <f aca="false">AVERAGE(E168:E217)</f>
        <v>11510.1936</v>
      </c>
      <c r="K217" s="7" t="n">
        <f aca="false">AVERAGE(E118:E217)</f>
        <v>11139.1138</v>
      </c>
      <c r="L217" s="7" t="n">
        <f aca="false">AVERAGE(E18:E217)</f>
        <v>9980.25185</v>
      </c>
      <c r="M217" s="7" t="n">
        <f aca="false">I217</f>
        <v>11641.7975</v>
      </c>
      <c r="N217" s="7" t="n">
        <f aca="false">I217+2*STDEV(E198:E217)</f>
        <v>12288.2899758589</v>
      </c>
      <c r="O217" s="7" t="n">
        <f aca="false">I217-2*STDEV(E198:E217)</f>
        <v>10995.3050241412</v>
      </c>
      <c r="P217" s="7" t="n">
        <f aca="false">MAX(E217-E216,0)</f>
        <v>301.049999999999</v>
      </c>
      <c r="Q217" s="7" t="n">
        <f aca="false">MAX(E216-E217,0)</f>
        <v>0</v>
      </c>
      <c r="R217" s="7" t="n">
        <f aca="false">(R216*13+P217)/14</f>
        <v>117.162586392341</v>
      </c>
      <c r="S217" s="7" t="n">
        <f aca="false">(S216*13+Q217)/14</f>
        <v>74.5360476907528</v>
      </c>
      <c r="T217" s="7" t="n">
        <f aca="false">IF(S217=0,100,100-100/(1+R217/S217))</f>
        <v>61.1181122665463</v>
      </c>
      <c r="U217" s="7" t="n">
        <f aca="false">E217*2/13+U216*11/13</f>
        <v>11545.0697034813</v>
      </c>
      <c r="V217" s="7" t="n">
        <f aca="false">E217*2/27+V216*25/27</f>
        <v>11526.2810569846</v>
      </c>
      <c r="W217" s="7" t="n">
        <f aca="false">U217-V217</f>
        <v>18.7886464966978</v>
      </c>
      <c r="X217" s="7" t="n">
        <f aca="false">W217*2/10+X216*8/10</f>
        <v>2.05971062455797</v>
      </c>
      <c r="Y217" s="7" t="n">
        <f aca="false">W217-X217</f>
        <v>16.7289358721398</v>
      </c>
      <c r="Z217" s="7" t="s">
        <v>78</v>
      </c>
      <c r="AA217" s="7" t="str">
        <f aca="false">IFERROR(INDEX(02_轉折點45!B:B,MATCH(A217,02_轉折點45!A:A,0)),"")</f>
        <v/>
      </c>
      <c r="AB217" s="7" t="n">
        <f aca="false">COUNTIFS(05_訊號明細!A:A,A217,05_訊號明細!C:C,"TOP")</f>
        <v>1</v>
      </c>
      <c r="AC217" s="7" t="n">
        <f aca="false">COUNTIFS(05_訊號明細!A:A,A217,05_訊號明細!C:C,"BOTTOM")</f>
        <v>0</v>
      </c>
    </row>
    <row r="218" customFormat="false" ht="15" hidden="false" customHeight="false" outlineLevel="0" collapsed="false">
      <c r="A218" s="7" t="s">
        <v>259</v>
      </c>
      <c r="B218" s="7" t="n">
        <v>12044.29</v>
      </c>
      <c r="C218" s="7" t="n">
        <v>12116.91</v>
      </c>
      <c r="D218" s="7" t="n">
        <v>11895.5</v>
      </c>
      <c r="E218" s="7" t="n">
        <v>12091.35</v>
      </c>
      <c r="F218" s="7" t="n">
        <v>4183</v>
      </c>
      <c r="G218" s="7" t="n">
        <f aca="false">AVERAGE(E214:E218)</f>
        <v>11662.222</v>
      </c>
      <c r="H218" s="7" t="n">
        <f aca="false">AVERAGE(E209:E218)</f>
        <v>11496.103</v>
      </c>
      <c r="I218" s="7" t="n">
        <f aca="false">AVERAGE(E199:E218)</f>
        <v>11660.0725</v>
      </c>
      <c r="J218" s="7" t="n">
        <f aca="false">AVERAGE(E169:E218)</f>
        <v>11513.4974</v>
      </c>
      <c r="K218" s="7" t="n">
        <f aca="false">AVERAGE(E119:E218)</f>
        <v>11160.2025</v>
      </c>
      <c r="L218" s="7" t="n">
        <f aca="false">AVERAGE(E19:E218)</f>
        <v>9995.00125</v>
      </c>
      <c r="M218" s="7" t="n">
        <f aca="false">I218</f>
        <v>11660.0725</v>
      </c>
      <c r="N218" s="7" t="n">
        <f aca="false">I218+2*STDEV(E199:E218)</f>
        <v>12336.5381744511</v>
      </c>
      <c r="O218" s="7" t="n">
        <f aca="false">I218-2*STDEV(E199:E218)</f>
        <v>10983.6068255489</v>
      </c>
      <c r="P218" s="7" t="n">
        <f aca="false">MAX(E218-E217,0)</f>
        <v>13.2800000000007</v>
      </c>
      <c r="Q218" s="7" t="n">
        <f aca="false">MAX(E217-E218,0)</f>
        <v>0</v>
      </c>
      <c r="R218" s="7" t="n">
        <f aca="false">(R217*13+P218)/14</f>
        <v>109.742401650031</v>
      </c>
      <c r="S218" s="7" t="n">
        <f aca="false">(S217*13+Q218)/14</f>
        <v>69.2120442842704</v>
      </c>
      <c r="T218" s="7" t="n">
        <f aca="false">IF(S218=0,100,100-100/(1+R218/S218))</f>
        <v>61.3242107940253</v>
      </c>
      <c r="U218" s="7" t="n">
        <f aca="false">E218*2/13+U217*11/13</f>
        <v>11629.1128260226</v>
      </c>
      <c r="V218" s="7" t="n">
        <f aca="false">E218*2/27+V217*25/27</f>
        <v>11568.1380157264</v>
      </c>
      <c r="W218" s="7" t="n">
        <f aca="false">U218-V218</f>
        <v>60.9748102961603</v>
      </c>
      <c r="X218" s="7" t="n">
        <f aca="false">W218*2/10+X217*8/10</f>
        <v>13.8427305588784</v>
      </c>
      <c r="Y218" s="7" t="n">
        <f aca="false">W218-X218</f>
        <v>47.1320797372819</v>
      </c>
      <c r="Z218" s="8" t="s">
        <v>42</v>
      </c>
      <c r="AA218" s="7" t="str">
        <f aca="false">IFERROR(INDEX(02_轉折點45!B:B,MATCH(A218,02_轉折點45!A:A,0)),"")</f>
        <v/>
      </c>
      <c r="AB218" s="7" t="n">
        <f aca="false">COUNTIFS(05_訊號明細!A:A,A218,05_訊號明細!C:C,"TOP")</f>
        <v>0</v>
      </c>
      <c r="AC218" s="7" t="n">
        <f aca="false">COUNTIFS(05_訊號明細!A:A,A218,05_訊號明細!C:C,"BOTTOM")</f>
        <v>0</v>
      </c>
    </row>
    <row r="219" customFormat="false" ht="15" hidden="false" customHeight="false" outlineLevel="0" collapsed="false">
      <c r="A219" s="7" t="s">
        <v>260</v>
      </c>
      <c r="B219" s="7" t="n">
        <v>12194.71</v>
      </c>
      <c r="C219" s="7" t="n">
        <v>12268.66</v>
      </c>
      <c r="D219" s="7" t="n">
        <v>11818.24</v>
      </c>
      <c r="E219" s="7" t="n">
        <v>11830.39</v>
      </c>
      <c r="F219" s="7" t="n">
        <v>5864</v>
      </c>
      <c r="G219" s="7" t="n">
        <f aca="false">AVERAGE(E215:E219)</f>
        <v>11811.348</v>
      </c>
      <c r="H219" s="7" t="n">
        <f aca="false">AVERAGE(E210:E219)</f>
        <v>11528.69</v>
      </c>
      <c r="I219" s="7" t="n">
        <f aca="false">AVERAGE(E200:E219)</f>
        <v>11647.1865</v>
      </c>
      <c r="J219" s="7" t="n">
        <f aca="false">AVERAGE(E170:E219)</f>
        <v>11510.1882</v>
      </c>
      <c r="K219" s="7" t="n">
        <f aca="false">AVERAGE(E120:E219)</f>
        <v>11178.3859</v>
      </c>
      <c r="L219" s="7" t="n">
        <f aca="false">AVERAGE(E20:E219)</f>
        <v>10009.3923</v>
      </c>
      <c r="M219" s="7" t="n">
        <f aca="false">I219</f>
        <v>11647.1865</v>
      </c>
      <c r="N219" s="7" t="n">
        <f aca="false">I219+2*STDEV(E200:E219)</f>
        <v>12298.6784817506</v>
      </c>
      <c r="O219" s="7" t="n">
        <f aca="false">I219-2*STDEV(E200:E219)</f>
        <v>10995.6945182494</v>
      </c>
      <c r="P219" s="7" t="n">
        <f aca="false">MAX(E219-E218,0)</f>
        <v>0</v>
      </c>
      <c r="Q219" s="7" t="n">
        <f aca="false">MAX(E218-E219,0)</f>
        <v>260.960000000001</v>
      </c>
      <c r="R219" s="7" t="n">
        <f aca="false">(R218*13+P219)/14</f>
        <v>101.903658675029</v>
      </c>
      <c r="S219" s="7" t="n">
        <f aca="false">(S218*13+Q219)/14</f>
        <v>82.908326835394</v>
      </c>
      <c r="T219" s="7" t="n">
        <f aca="false">IF(S219=0,100,100-100/(1+R219/S219))</f>
        <v>55.1390963056786</v>
      </c>
      <c r="U219" s="7" t="n">
        <f aca="false">E219*2/13+U218*11/13</f>
        <v>11660.078545096</v>
      </c>
      <c r="V219" s="7" t="n">
        <f aca="false">E219*2/27+V218*25/27</f>
        <v>11587.5640886356</v>
      </c>
      <c r="W219" s="7" t="n">
        <f aca="false">U219-V219</f>
        <v>72.5144564604525</v>
      </c>
      <c r="X219" s="7" t="n">
        <f aca="false">W219*2/10+X218*8/10</f>
        <v>25.5770757391932</v>
      </c>
      <c r="Y219" s="7" t="n">
        <f aca="false">W219-X219</f>
        <v>46.9373807212592</v>
      </c>
      <c r="Z219" s="8" t="s">
        <v>42</v>
      </c>
      <c r="AA219" s="7" t="str">
        <f aca="false">IFERROR(INDEX(02_轉折點45!B:B,MATCH(A219,02_轉折點45!A:A,0)),"")</f>
        <v/>
      </c>
      <c r="AB219" s="7" t="n">
        <f aca="false">COUNTIFS(05_訊號明細!A:A,A219,05_訊號明細!C:C,"TOP")</f>
        <v>0</v>
      </c>
      <c r="AC219" s="7" t="n">
        <f aca="false">COUNTIFS(05_訊號明細!A:A,A219,05_訊號明細!C:C,"BOTTOM")</f>
        <v>0</v>
      </c>
    </row>
    <row r="220" customFormat="false" ht="15" hidden="false" customHeight="false" outlineLevel="0" collapsed="false">
      <c r="A220" s="7" t="s">
        <v>261</v>
      </c>
      <c r="B220" s="7" t="n">
        <v>11704.46</v>
      </c>
      <c r="C220" s="7" t="n">
        <v>11761.95</v>
      </c>
      <c r="D220" s="7" t="n">
        <v>11512.46</v>
      </c>
      <c r="E220" s="7" t="n">
        <v>11624.29</v>
      </c>
      <c r="F220" s="7" t="n">
        <v>4737</v>
      </c>
      <c r="G220" s="7" t="n">
        <f aca="false">AVERAGE(E216:E220)</f>
        <v>11880.224</v>
      </c>
      <c r="H220" s="7" t="n">
        <f aca="false">AVERAGE(E211:E220)</f>
        <v>11531.224</v>
      </c>
      <c r="I220" s="7" t="n">
        <f aca="false">AVERAGE(E201:E220)</f>
        <v>11624.2425</v>
      </c>
      <c r="J220" s="7" t="n">
        <f aca="false">AVERAGE(E171:E220)</f>
        <v>11500.46</v>
      </c>
      <c r="K220" s="7" t="n">
        <f aca="false">AVERAGE(E121:E220)</f>
        <v>11194.5424</v>
      </c>
      <c r="L220" s="7" t="n">
        <f aca="false">AVERAGE(E21:E220)</f>
        <v>10022.0591</v>
      </c>
      <c r="M220" s="7" t="n">
        <f aca="false">I220</f>
        <v>11624.2425</v>
      </c>
      <c r="N220" s="7" t="n">
        <f aca="false">I220+2*STDEV(E201:E220)</f>
        <v>12242.5615550236</v>
      </c>
      <c r="O220" s="7" t="n">
        <f aca="false">I220-2*STDEV(E201:E220)</f>
        <v>11005.9234449764</v>
      </c>
      <c r="P220" s="7" t="n">
        <f aca="false">MAX(E220-E219,0)</f>
        <v>0</v>
      </c>
      <c r="Q220" s="7" t="n">
        <f aca="false">MAX(E219-E220,0)</f>
        <v>206.099999999999</v>
      </c>
      <c r="R220" s="7" t="n">
        <f aca="false">(R219*13+P220)/14</f>
        <v>94.6248259125266</v>
      </c>
      <c r="S220" s="7" t="n">
        <f aca="false">(S219*13+Q220)/14</f>
        <v>91.7077320614372</v>
      </c>
      <c r="T220" s="7" t="n">
        <f aca="false">IF(S220=0,100,100-100/(1+R220/S220))</f>
        <v>50.7827654712648</v>
      </c>
      <c r="U220" s="7" t="n">
        <f aca="false">E220*2/13+U219*11/13</f>
        <v>11654.5726150813</v>
      </c>
      <c r="V220" s="7" t="n">
        <f aca="false">E220*2/27+V219*25/27</f>
        <v>11590.2845265144</v>
      </c>
      <c r="W220" s="7" t="n">
        <f aca="false">U220-V220</f>
        <v>64.288088566831</v>
      </c>
      <c r="X220" s="7" t="n">
        <f aca="false">W220*2/10+X219*8/10</f>
        <v>33.3192783047208</v>
      </c>
      <c r="Y220" s="7" t="n">
        <f aca="false">W220-X220</f>
        <v>30.9688102621102</v>
      </c>
      <c r="Z220" s="8" t="s">
        <v>42</v>
      </c>
      <c r="AA220" s="7" t="str">
        <f aca="false">IFERROR(INDEX(02_轉折點45!B:B,MATCH(A220,02_轉折點45!A:A,0)),"")</f>
        <v/>
      </c>
      <c r="AB220" s="7" t="n">
        <f aca="false">COUNTIFS(05_訊號明細!A:A,A220,05_訊號明細!C:C,"TOP")</f>
        <v>1</v>
      </c>
      <c r="AC220" s="7" t="n">
        <f aca="false">COUNTIFS(05_訊號明細!A:A,A220,05_訊號明細!C:C,"BOTTOM")</f>
        <v>0</v>
      </c>
    </row>
    <row r="221" customFormat="false" ht="15" hidden="false" customHeight="false" outlineLevel="0" collapsed="false">
      <c r="A221" s="7" t="s">
        <v>262</v>
      </c>
      <c r="B221" s="7" t="n">
        <v>11734.81</v>
      </c>
      <c r="C221" s="7" t="n">
        <v>11904.13</v>
      </c>
      <c r="D221" s="7" t="n">
        <v>11714.32</v>
      </c>
      <c r="E221" s="7" t="n">
        <v>11892.93</v>
      </c>
      <c r="F221" s="7" t="n">
        <v>3855</v>
      </c>
      <c r="G221" s="7" t="n">
        <f aca="false">AVERAGE(E217:E221)</f>
        <v>11903.406</v>
      </c>
      <c r="H221" s="7" t="n">
        <f aca="false">AVERAGE(E212:E221)</f>
        <v>11606.241</v>
      </c>
      <c r="I221" s="7" t="n">
        <f aca="false">AVERAGE(E202:E221)</f>
        <v>11619.621</v>
      </c>
      <c r="J221" s="7" t="n">
        <f aca="false">AVERAGE(E172:E221)</f>
        <v>11492.4614</v>
      </c>
      <c r="K221" s="7" t="n">
        <f aca="false">AVERAGE(E122:E221)</f>
        <v>11212.1684</v>
      </c>
      <c r="L221" s="7" t="n">
        <f aca="false">AVERAGE(E22:E221)</f>
        <v>10036.0157</v>
      </c>
      <c r="M221" s="7" t="n">
        <f aca="false">I221</f>
        <v>11619.621</v>
      </c>
      <c r="N221" s="7" t="n">
        <f aca="false">I221+2*STDEV(E202:E221)</f>
        <v>12227.8752083148</v>
      </c>
      <c r="O221" s="7" t="n">
        <f aca="false">I221-2*STDEV(E202:E221)</f>
        <v>11011.3667916852</v>
      </c>
      <c r="P221" s="7" t="n">
        <f aca="false">MAX(E221-E220,0)</f>
        <v>268.639999999999</v>
      </c>
      <c r="Q221" s="7" t="n">
        <f aca="false">MAX(E220-E221,0)</f>
        <v>0</v>
      </c>
      <c r="R221" s="7" t="n">
        <f aca="false">(R220*13+P221)/14</f>
        <v>107.054481204489</v>
      </c>
      <c r="S221" s="7" t="n">
        <f aca="false">(S220*13+Q221)/14</f>
        <v>85.1571797713346</v>
      </c>
      <c r="T221" s="7" t="n">
        <f aca="false">IF(S221=0,100,100-100/(1+R221/S221))</f>
        <v>55.6961428151616</v>
      </c>
      <c r="U221" s="7" t="n">
        <f aca="false">E221*2/13+U220*11/13</f>
        <v>11691.2429819918</v>
      </c>
      <c r="V221" s="7" t="n">
        <f aca="false">E221*2/27+V220*25/27</f>
        <v>11612.7027097356</v>
      </c>
      <c r="W221" s="7" t="n">
        <f aca="false">U221-V221</f>
        <v>78.5402722562521</v>
      </c>
      <c r="X221" s="7" t="n">
        <f aca="false">W221*2/10+X220*8/10</f>
        <v>42.3634770950271</v>
      </c>
      <c r="Y221" s="7" t="n">
        <f aca="false">W221-X221</f>
        <v>36.1767951612251</v>
      </c>
      <c r="Z221" s="8" t="s">
        <v>42</v>
      </c>
      <c r="AA221" s="7" t="str">
        <f aca="false">IFERROR(INDEX(02_轉折點45!B:B,MATCH(A221,02_轉折點45!A:A,0)),"")</f>
        <v/>
      </c>
      <c r="AB221" s="7" t="n">
        <f aca="false">COUNTIFS(05_訊號明細!A:A,A221,05_訊號明細!C:C,"TOP")</f>
        <v>1</v>
      </c>
      <c r="AC221" s="7" t="n">
        <f aca="false">COUNTIFS(05_訊號明細!A:A,A221,05_訊號明細!C:C,"BOTTOM")</f>
        <v>0</v>
      </c>
    </row>
    <row r="222" customFormat="false" ht="15" hidden="false" customHeight="false" outlineLevel="0" collapsed="false">
      <c r="A222" s="7" t="s">
        <v>263</v>
      </c>
      <c r="B222" s="7" t="n">
        <v>11924.15</v>
      </c>
      <c r="C222" s="7" t="n">
        <v>11976.89</v>
      </c>
      <c r="D222" s="7" t="n">
        <v>11786.09</v>
      </c>
      <c r="E222" s="7" t="n">
        <v>11827.14</v>
      </c>
      <c r="F222" s="7" t="n">
        <v>3887</v>
      </c>
      <c r="G222" s="7" t="n">
        <f aca="false">AVERAGE(E218:E222)</f>
        <v>11853.22</v>
      </c>
      <c r="H222" s="7" t="n">
        <f aca="false">AVERAGE(E213:E222)</f>
        <v>11653.881</v>
      </c>
      <c r="I222" s="7" t="n">
        <f aca="false">AVERAGE(E203:E222)</f>
        <v>11616.0495</v>
      </c>
      <c r="J222" s="7" t="n">
        <f aca="false">AVERAGE(E173:E222)</f>
        <v>11480.5934</v>
      </c>
      <c r="K222" s="7" t="n">
        <f aca="false">AVERAGE(E123:E222)</f>
        <v>11228.3416</v>
      </c>
      <c r="L222" s="7" t="n">
        <f aca="false">AVERAGE(E23:E222)</f>
        <v>10049.47095</v>
      </c>
      <c r="M222" s="7" t="n">
        <f aca="false">I222</f>
        <v>11616.0495</v>
      </c>
      <c r="N222" s="7" t="n">
        <f aca="false">I222+2*STDEV(E203:E222)</f>
        <v>12218.2156062487</v>
      </c>
      <c r="O222" s="7" t="n">
        <f aca="false">I222-2*STDEV(E203:E222)</f>
        <v>11013.8833937513</v>
      </c>
      <c r="P222" s="7" t="n">
        <f aca="false">MAX(E222-E221,0)</f>
        <v>0</v>
      </c>
      <c r="Q222" s="7" t="n">
        <f aca="false">MAX(E221-E222,0)</f>
        <v>65.7900000000009</v>
      </c>
      <c r="R222" s="7" t="n">
        <f aca="false">(R221*13+P222)/14</f>
        <v>99.4077325470255</v>
      </c>
      <c r="S222" s="7" t="n">
        <f aca="false">(S221*13+Q222)/14</f>
        <v>83.7738097876679</v>
      </c>
      <c r="T222" s="7" t="n">
        <f aca="false">IF(S222=0,100,100-100/(1+R222/S222))</f>
        <v>54.2673302561217</v>
      </c>
      <c r="U222" s="7" t="n">
        <f aca="false">E222*2/13+U221*11/13</f>
        <v>11712.1502155316</v>
      </c>
      <c r="V222" s="7" t="n">
        <f aca="false">E222*2/27+V221*25/27</f>
        <v>11628.5869534589</v>
      </c>
      <c r="W222" s="7" t="n">
        <f aca="false">U222-V222</f>
        <v>83.5632620726774</v>
      </c>
      <c r="X222" s="7" t="n">
        <f aca="false">W222*2/10+X221*8/10</f>
        <v>50.6034340905571</v>
      </c>
      <c r="Y222" s="7" t="n">
        <f aca="false">W222-X222</f>
        <v>32.9598279821203</v>
      </c>
      <c r="Z222" s="8" t="s">
        <v>42</v>
      </c>
      <c r="AA222" s="7" t="str">
        <f aca="false">IFERROR(INDEX(02_轉折點45!B:B,MATCH(A222,02_轉折點45!A:A,0)),"")</f>
        <v/>
      </c>
      <c r="AB222" s="7" t="n">
        <f aca="false">COUNTIFS(05_訊號明細!A:A,A222,05_訊號明細!C:C,"TOP")</f>
        <v>0</v>
      </c>
      <c r="AC222" s="7" t="n">
        <f aca="false">COUNTIFS(05_訊號明細!A:A,A222,05_訊號明細!C:C,"BOTTOM")</f>
        <v>0</v>
      </c>
    </row>
    <row r="223" customFormat="false" ht="15" hidden="false" customHeight="false" outlineLevel="0" collapsed="false">
      <c r="A223" s="7" t="s">
        <v>264</v>
      </c>
      <c r="B223" s="7" t="n">
        <v>11910.62</v>
      </c>
      <c r="C223" s="7" t="n">
        <v>11957.09</v>
      </c>
      <c r="D223" s="7" t="n">
        <v>11808.95</v>
      </c>
      <c r="E223" s="7" t="n">
        <v>11937.84</v>
      </c>
      <c r="F223" s="7" t="n">
        <v>3654</v>
      </c>
      <c r="G223" s="7" t="n">
        <f aca="false">AVERAGE(E219:E223)</f>
        <v>11822.518</v>
      </c>
      <c r="H223" s="7" t="n">
        <f aca="false">AVERAGE(E214:E223)</f>
        <v>11742.37</v>
      </c>
      <c r="I223" s="7" t="n">
        <f aca="false">AVERAGE(E204:E223)</f>
        <v>11620.333</v>
      </c>
      <c r="J223" s="7" t="n">
        <f aca="false">AVERAGE(E174:E223)</f>
        <v>11483.9228</v>
      </c>
      <c r="K223" s="7" t="n">
        <f aca="false">AVERAGE(E124:E223)</f>
        <v>11247.693</v>
      </c>
      <c r="L223" s="7" t="n">
        <f aca="false">AVERAGE(E24:E223)</f>
        <v>10064.2026</v>
      </c>
      <c r="M223" s="7" t="n">
        <f aca="false">I223</f>
        <v>11620.333</v>
      </c>
      <c r="N223" s="7" t="n">
        <f aca="false">I223+2*STDEV(E204:E223)</f>
        <v>12230.733793374</v>
      </c>
      <c r="O223" s="7" t="n">
        <f aca="false">I223-2*STDEV(E204:E223)</f>
        <v>11009.932206626</v>
      </c>
      <c r="P223" s="7" t="n">
        <f aca="false">MAX(E223-E222,0)</f>
        <v>110.700000000001</v>
      </c>
      <c r="Q223" s="7" t="n">
        <f aca="false">MAX(E222-E223,0)</f>
        <v>0</v>
      </c>
      <c r="R223" s="7" t="n">
        <f aca="false">(R222*13+P223)/14</f>
        <v>100.214323079381</v>
      </c>
      <c r="S223" s="7" t="n">
        <f aca="false">(S222*13+Q223)/14</f>
        <v>77.7899662314059</v>
      </c>
      <c r="T223" s="7" t="n">
        <f aca="false">IF(S223=0,100,100-100/(1+R223/S223))</f>
        <v>56.2988248583221</v>
      </c>
      <c r="U223" s="7" t="n">
        <f aca="false">E223*2/13+U222*11/13</f>
        <v>11746.8717208344</v>
      </c>
      <c r="V223" s="7" t="n">
        <f aca="false">E223*2/27+V222*25/27</f>
        <v>11651.494586536</v>
      </c>
      <c r="W223" s="7" t="n">
        <f aca="false">U223-V223</f>
        <v>95.3771342983964</v>
      </c>
      <c r="X223" s="7" t="n">
        <f aca="false">W223*2/10+X222*8/10</f>
        <v>59.558174132125</v>
      </c>
      <c r="Y223" s="7" t="n">
        <f aca="false">W223-X223</f>
        <v>35.8189601662714</v>
      </c>
      <c r="Z223" s="8" t="s">
        <v>42</v>
      </c>
      <c r="AA223" s="7" t="str">
        <f aca="false">IFERROR(INDEX(02_轉折點45!B:B,MATCH(A223,02_轉折點45!A:A,0)),"")</f>
        <v/>
      </c>
      <c r="AB223" s="7" t="n">
        <f aca="false">COUNTIFS(05_訊號明細!A:A,A223,05_訊號明細!C:C,"TOP")</f>
        <v>0</v>
      </c>
      <c r="AC223" s="7" t="n">
        <f aca="false">COUNTIFS(05_訊號明細!A:A,A223,05_訊號明細!C:C,"BOTTOM")</f>
        <v>0</v>
      </c>
    </row>
    <row r="224" customFormat="false" ht="15" hidden="false" customHeight="false" outlineLevel="0" collapsed="false">
      <c r="A224" s="7" t="s">
        <v>265</v>
      </c>
      <c r="B224" s="7" t="n">
        <v>11925.36</v>
      </c>
      <c r="C224" s="7" t="n">
        <v>12035.5</v>
      </c>
      <c r="D224" s="7" t="n">
        <v>11891.85</v>
      </c>
      <c r="E224" s="7" t="n">
        <v>12013.38</v>
      </c>
      <c r="F224" s="7" t="n">
        <v>4173</v>
      </c>
      <c r="G224" s="7" t="n">
        <f aca="false">AVERAGE(E220:E224)</f>
        <v>11859.116</v>
      </c>
      <c r="H224" s="7" t="n">
        <f aca="false">AVERAGE(E215:E224)</f>
        <v>11835.232</v>
      </c>
      <c r="I224" s="7" t="n">
        <f aca="false">AVERAGE(E205:E224)</f>
        <v>11639.2845</v>
      </c>
      <c r="J224" s="7" t="n">
        <f aca="false">AVERAGE(E175:E224)</f>
        <v>11491.7478</v>
      </c>
      <c r="K224" s="7" t="n">
        <f aca="false">AVERAGE(E125:E224)</f>
        <v>11266.8085</v>
      </c>
      <c r="L224" s="7" t="n">
        <f aca="false">AVERAGE(E25:E224)</f>
        <v>10078.63835</v>
      </c>
      <c r="M224" s="7" t="n">
        <f aca="false">I224</f>
        <v>11639.2845</v>
      </c>
      <c r="N224" s="7" t="n">
        <f aca="false">I224+2*STDEV(E205:E224)</f>
        <v>12274.5473368586</v>
      </c>
      <c r="O224" s="7" t="n">
        <f aca="false">I224-2*STDEV(E205:E224)</f>
        <v>11004.0216631414</v>
      </c>
      <c r="P224" s="7" t="n">
        <f aca="false">MAX(E224-E223,0)</f>
        <v>75.5399999999991</v>
      </c>
      <c r="Q224" s="7" t="n">
        <f aca="false">MAX(E223-E224,0)</f>
        <v>0</v>
      </c>
      <c r="R224" s="7" t="n">
        <f aca="false">(R223*13+P224)/14</f>
        <v>98.4518714308536</v>
      </c>
      <c r="S224" s="7" t="n">
        <f aca="false">(S223*13+Q224)/14</f>
        <v>72.2335400720198</v>
      </c>
      <c r="T224" s="7" t="n">
        <f aca="false">IF(S224=0,100,100-100/(1+R224/S224))</f>
        <v>57.680308213802</v>
      </c>
      <c r="U224" s="7" t="n">
        <f aca="false">E224*2/13+U223*11/13</f>
        <v>11787.8729945522</v>
      </c>
      <c r="V224" s="7" t="n">
        <f aca="false">E224*2/27+V223*25/27</f>
        <v>11678.3009134593</v>
      </c>
      <c r="W224" s="7" t="n">
        <f aca="false">U224-V224</f>
        <v>109.572081092922</v>
      </c>
      <c r="X224" s="7" t="n">
        <f aca="false">W224*2/10+X223*8/10</f>
        <v>69.5609555242843</v>
      </c>
      <c r="Y224" s="7" t="n">
        <f aca="false">W224-X224</f>
        <v>40.0111255686372</v>
      </c>
      <c r="Z224" s="8" t="s">
        <v>42</v>
      </c>
      <c r="AA224" s="7" t="str">
        <f aca="false">IFERROR(INDEX(02_轉折點45!B:B,MATCH(A224,02_轉折點45!A:A,0)),"")</f>
        <v/>
      </c>
      <c r="AB224" s="7" t="n">
        <f aca="false">COUNTIFS(05_訊號明細!A:A,A224,05_訊號明細!C:C,"TOP")</f>
        <v>0</v>
      </c>
      <c r="AC224" s="7" t="n">
        <f aca="false">COUNTIFS(05_訊號明細!A:A,A224,05_訊號明細!C:C,"BOTTOM")</f>
        <v>0</v>
      </c>
    </row>
    <row r="225" customFormat="false" ht="15" hidden="false" customHeight="false" outlineLevel="0" collapsed="false">
      <c r="A225" s="7" t="s">
        <v>266</v>
      </c>
      <c r="B225" s="7" t="n">
        <v>12030.27</v>
      </c>
      <c r="C225" s="7" t="n">
        <v>12047.13</v>
      </c>
      <c r="D225" s="7" t="n">
        <v>11964.2</v>
      </c>
      <c r="E225" s="7" t="n">
        <v>11977.49</v>
      </c>
      <c r="F225" s="7" t="n">
        <v>4145</v>
      </c>
      <c r="G225" s="7" t="n">
        <f aca="false">AVERAGE(E221:E225)</f>
        <v>11929.756</v>
      </c>
      <c r="H225" s="7" t="n">
        <f aca="false">AVERAGE(E216:E225)</f>
        <v>11904.99</v>
      </c>
      <c r="I225" s="7" t="n">
        <f aca="false">AVERAGE(E206:E225)</f>
        <v>11654.267</v>
      </c>
      <c r="J225" s="7" t="n">
        <f aca="false">AVERAGE(E176:E225)</f>
        <v>11509.9324</v>
      </c>
      <c r="K225" s="7" t="n">
        <f aca="false">AVERAGE(E126:E225)</f>
        <v>11288.0898</v>
      </c>
      <c r="L225" s="7" t="n">
        <f aca="false">AVERAGE(E26:E225)</f>
        <v>10091.8555</v>
      </c>
      <c r="M225" s="7" t="n">
        <f aca="false">I225</f>
        <v>11654.267</v>
      </c>
      <c r="N225" s="7" t="n">
        <f aca="false">I225+2*STDEV(E206:E225)</f>
        <v>12307.2458533724</v>
      </c>
      <c r="O225" s="7" t="n">
        <f aca="false">I225-2*STDEV(E206:E225)</f>
        <v>11001.2881466276</v>
      </c>
      <c r="P225" s="7" t="n">
        <f aca="false">MAX(E225-E224,0)</f>
        <v>0</v>
      </c>
      <c r="Q225" s="7" t="n">
        <f aca="false">MAX(E224-E225,0)</f>
        <v>35.8899999999994</v>
      </c>
      <c r="R225" s="7" t="n">
        <f aca="false">(R224*13+P225)/14</f>
        <v>91.4195949000783</v>
      </c>
      <c r="S225" s="7" t="n">
        <f aca="false">(S224*13+Q225)/14</f>
        <v>69.6375729240183</v>
      </c>
      <c r="T225" s="7" t="n">
        <f aca="false">IF(S225=0,100,100-100/(1+R225/S225))</f>
        <v>56.762201977825</v>
      </c>
      <c r="U225" s="7" t="n">
        <f aca="false">E225*2/13+U224*11/13</f>
        <v>11817.0448415442</v>
      </c>
      <c r="V225" s="7" t="n">
        <f aca="false">E225*2/27+V224*25/27</f>
        <v>11700.4630680178</v>
      </c>
      <c r="W225" s="7" t="n">
        <f aca="false">U225-V225</f>
        <v>116.581773526317</v>
      </c>
      <c r="X225" s="7" t="n">
        <f aca="false">W225*2/10+X224*8/10</f>
        <v>78.9651191246909</v>
      </c>
      <c r="Y225" s="7" t="n">
        <f aca="false">W225-X225</f>
        <v>37.6166544016263</v>
      </c>
      <c r="Z225" s="8" t="s">
        <v>42</v>
      </c>
      <c r="AA225" s="7" t="str">
        <f aca="false">IFERROR(INDEX(02_轉折點45!B:B,MATCH(A225,02_轉折點45!A:A,0)),"")</f>
        <v/>
      </c>
      <c r="AB225" s="7" t="n">
        <f aca="false">COUNTIFS(05_訊號明細!A:A,A225,05_訊號明細!C:C,"TOP")</f>
        <v>0</v>
      </c>
      <c r="AC225" s="7" t="n">
        <f aca="false">COUNTIFS(05_訊號明細!A:A,A225,05_訊號明細!C:C,"BOTTOM")</f>
        <v>0</v>
      </c>
    </row>
    <row r="226" customFormat="false" ht="15" hidden="false" customHeight="false" outlineLevel="0" collapsed="false">
      <c r="A226" s="7" t="s">
        <v>267</v>
      </c>
      <c r="B226" s="7" t="n">
        <v>11963.36</v>
      </c>
      <c r="C226" s="7" t="n">
        <v>12027.15</v>
      </c>
      <c r="D226" s="7" t="n">
        <v>11892.54</v>
      </c>
      <c r="E226" s="7" t="n">
        <v>11894.71</v>
      </c>
      <c r="F226" s="7" t="n">
        <v>4731</v>
      </c>
      <c r="G226" s="7" t="n">
        <f aca="false">AVERAGE(E222:E226)</f>
        <v>11930.112</v>
      </c>
      <c r="H226" s="7" t="n">
        <f aca="false">AVERAGE(E217:E226)</f>
        <v>11916.759</v>
      </c>
      <c r="I226" s="7" t="n">
        <f aca="false">AVERAGE(E207:E226)</f>
        <v>11665.734</v>
      </c>
      <c r="J226" s="7" t="n">
        <f aca="false">AVERAGE(E177:E226)</f>
        <v>11519.9096</v>
      </c>
      <c r="K226" s="7" t="n">
        <f aca="false">AVERAGE(E127:E226)</f>
        <v>11307.4253</v>
      </c>
      <c r="L226" s="7" t="n">
        <f aca="false">AVERAGE(E27:E226)</f>
        <v>10104.49165</v>
      </c>
      <c r="M226" s="7" t="n">
        <f aca="false">I226</f>
        <v>11665.734</v>
      </c>
      <c r="N226" s="7" t="n">
        <f aca="false">I226+2*STDEV(E207:E226)</f>
        <v>12327.5292119055</v>
      </c>
      <c r="O226" s="7" t="n">
        <f aca="false">I226-2*STDEV(E207:E226)</f>
        <v>11003.9387880945</v>
      </c>
      <c r="P226" s="7" t="n">
        <f aca="false">MAX(E226-E225,0)</f>
        <v>0</v>
      </c>
      <c r="Q226" s="7" t="n">
        <f aca="false">MAX(E225-E226,0)</f>
        <v>82.7800000000007</v>
      </c>
      <c r="R226" s="7" t="n">
        <f aca="false">(R225*13+P226)/14</f>
        <v>84.889623835787</v>
      </c>
      <c r="S226" s="7" t="n">
        <f aca="false">(S225*13+Q226)/14</f>
        <v>70.5763177151599</v>
      </c>
      <c r="T226" s="7" t="n">
        <f aca="false">IF(S226=0,100,100-100/(1+R226/S226))</f>
        <v>54.6033574871241</v>
      </c>
      <c r="U226" s="7" t="n">
        <f aca="false">E226*2/13+U225*11/13</f>
        <v>11828.9933274604</v>
      </c>
      <c r="V226" s="7" t="n">
        <f aca="false">E226*2/27+V225*25/27</f>
        <v>11714.8517296461</v>
      </c>
      <c r="W226" s="7" t="n">
        <f aca="false">U226-V226</f>
        <v>114.141597814296</v>
      </c>
      <c r="X226" s="7" t="n">
        <f aca="false">W226*2/10+X225*8/10</f>
        <v>86.0004148626119</v>
      </c>
      <c r="Y226" s="7" t="n">
        <f aca="false">W226-X226</f>
        <v>28.141182951684</v>
      </c>
      <c r="Z226" s="8" t="s">
        <v>42</v>
      </c>
      <c r="AA226" s="7" t="str">
        <f aca="false">IFERROR(INDEX(02_轉折點45!B:B,MATCH(A226,02_轉折點45!A:A,0)),"")</f>
        <v/>
      </c>
      <c r="AB226" s="7" t="n">
        <f aca="false">COUNTIFS(05_訊號明細!A:A,A226,05_訊號明細!C:C,"TOP")</f>
        <v>0</v>
      </c>
      <c r="AC226" s="7" t="n">
        <f aca="false">COUNTIFS(05_訊號明細!A:A,A226,05_訊號明細!C:C,"BOTTOM")</f>
        <v>0</v>
      </c>
    </row>
    <row r="227" customFormat="false" ht="15" hidden="false" customHeight="false" outlineLevel="0" collapsed="false">
      <c r="A227" s="7" t="s">
        <v>268</v>
      </c>
      <c r="B227" s="7" t="n">
        <v>11863.12</v>
      </c>
      <c r="C227" s="7" t="n">
        <v>12000.29</v>
      </c>
      <c r="D227" s="7" t="n">
        <v>11842.66</v>
      </c>
      <c r="E227" s="7" t="n">
        <v>11985.43</v>
      </c>
      <c r="F227" s="7" t="n">
        <v>5385</v>
      </c>
      <c r="G227" s="7" t="n">
        <f aca="false">AVERAGE(E223:E227)</f>
        <v>11961.77</v>
      </c>
      <c r="H227" s="7" t="n">
        <f aca="false">AVERAGE(E218:E227)</f>
        <v>11907.495</v>
      </c>
      <c r="I227" s="7" t="n">
        <f aca="false">AVERAGE(E208:E227)</f>
        <v>11681.86</v>
      </c>
      <c r="J227" s="7" t="n">
        <f aca="false">AVERAGE(E178:E227)</f>
        <v>11536.5358</v>
      </c>
      <c r="K227" s="7" t="n">
        <f aca="false">AVERAGE(E128:E227)</f>
        <v>11325.7111</v>
      </c>
      <c r="L227" s="7" t="n">
        <f aca="false">AVERAGE(E28:E227)</f>
        <v>10117.1892</v>
      </c>
      <c r="M227" s="7" t="n">
        <f aca="false">I227</f>
        <v>11681.86</v>
      </c>
      <c r="N227" s="7" t="n">
        <f aca="false">I227+2*STDEV(E208:E227)</f>
        <v>12358.9074424487</v>
      </c>
      <c r="O227" s="7" t="n">
        <f aca="false">I227-2*STDEV(E208:E227)</f>
        <v>11004.8125575513</v>
      </c>
      <c r="P227" s="7" t="n">
        <f aca="false">MAX(E227-E226,0)</f>
        <v>90.7200000000012</v>
      </c>
      <c r="Q227" s="7" t="n">
        <f aca="false">MAX(E226-E227,0)</f>
        <v>0</v>
      </c>
      <c r="R227" s="7" t="n">
        <f aca="false">(R226*13+P227)/14</f>
        <v>85.306079276088</v>
      </c>
      <c r="S227" s="7" t="n">
        <f aca="false">(S226*13+Q227)/14</f>
        <v>65.5351521640771</v>
      </c>
      <c r="T227" s="7" t="n">
        <f aca="false">IF(S227=0,100,100-100/(1+R227/S227))</f>
        <v>56.5535553254395</v>
      </c>
      <c r="U227" s="7" t="n">
        <f aca="false">E227*2/13+U226*11/13</f>
        <v>11853.0605078511</v>
      </c>
      <c r="V227" s="7" t="n">
        <f aca="false">E227*2/27+V226*25/27</f>
        <v>11734.8945644872</v>
      </c>
      <c r="W227" s="7" t="n">
        <f aca="false">U227-V227</f>
        <v>118.165943363972</v>
      </c>
      <c r="X227" s="7" t="n">
        <f aca="false">W227*2/10+X226*8/10</f>
        <v>92.433520562884</v>
      </c>
      <c r="Y227" s="7" t="n">
        <f aca="false">W227-X227</f>
        <v>25.7324228010885</v>
      </c>
      <c r="Z227" s="8" t="s">
        <v>42</v>
      </c>
      <c r="AA227" s="7" t="str">
        <f aca="false">IFERROR(INDEX(02_轉折點45!B:B,MATCH(A227,02_轉折點45!A:A,0)),"")</f>
        <v/>
      </c>
      <c r="AB227" s="7" t="n">
        <f aca="false">COUNTIFS(05_訊號明細!A:A,A227,05_訊號明細!C:C,"TOP")</f>
        <v>0</v>
      </c>
      <c r="AC227" s="7" t="n">
        <f aca="false">COUNTIFS(05_訊號明細!A:A,A227,05_訊號明細!C:C,"BOTTOM")</f>
        <v>0</v>
      </c>
    </row>
    <row r="228" customFormat="false" ht="15" hidden="false" customHeight="false" outlineLevel="0" collapsed="false">
      <c r="A228" s="7" t="s">
        <v>269</v>
      </c>
      <c r="B228" s="7" t="n">
        <v>11976</v>
      </c>
      <c r="C228" s="7" t="n">
        <v>12017.42</v>
      </c>
      <c r="D228" s="7" t="n">
        <v>11903.57</v>
      </c>
      <c r="E228" s="7" t="n">
        <v>11906.44</v>
      </c>
      <c r="F228" s="7" t="n">
        <v>5351</v>
      </c>
      <c r="G228" s="7" t="n">
        <f aca="false">AVERAGE(E224:E228)</f>
        <v>11955.49</v>
      </c>
      <c r="H228" s="7" t="n">
        <f aca="false">AVERAGE(E219:E228)</f>
        <v>11889.004</v>
      </c>
      <c r="I228" s="7" t="n">
        <f aca="false">AVERAGE(E209:E228)</f>
        <v>11692.5535</v>
      </c>
      <c r="J228" s="7" t="n">
        <f aca="false">AVERAGE(E179:E228)</f>
        <v>11552.9166</v>
      </c>
      <c r="K228" s="7" t="n">
        <f aca="false">AVERAGE(E129:E228)</f>
        <v>11341.983</v>
      </c>
      <c r="L228" s="7" t="n">
        <f aca="false">AVERAGE(E29:E228)</f>
        <v>10129.7159</v>
      </c>
      <c r="M228" s="7" t="n">
        <f aca="false">I228</f>
        <v>11692.5535</v>
      </c>
      <c r="N228" s="7" t="n">
        <f aca="false">I228+2*STDEV(E209:E228)</f>
        <v>12377.0283029279</v>
      </c>
      <c r="O228" s="7" t="n">
        <f aca="false">I228-2*STDEV(E209:E228)</f>
        <v>11008.0786970721</v>
      </c>
      <c r="P228" s="7" t="n">
        <f aca="false">MAX(E228-E227,0)</f>
        <v>0</v>
      </c>
      <c r="Q228" s="7" t="n">
        <f aca="false">MAX(E227-E228,0)</f>
        <v>78.9899999999998</v>
      </c>
      <c r="R228" s="7" t="n">
        <f aca="false">(R227*13+P228)/14</f>
        <v>79.2127878992246</v>
      </c>
      <c r="S228" s="7" t="n">
        <f aca="false">(S227*13+Q228)/14</f>
        <v>66.4962127237858</v>
      </c>
      <c r="T228" s="7" t="n">
        <f aca="false">IF(S228=0,100,100-100/(1+R228/S228))</f>
        <v>54.3636889694756</v>
      </c>
      <c r="U228" s="7" t="n">
        <f aca="false">E228*2/13+U227*11/13</f>
        <v>11861.2727374125</v>
      </c>
      <c r="V228" s="7" t="n">
        <f aca="false">E228*2/27+V227*25/27</f>
        <v>11747.6016337844</v>
      </c>
      <c r="W228" s="7" t="n">
        <f aca="false">U228-V228</f>
        <v>113.67110362809</v>
      </c>
      <c r="X228" s="7" t="n">
        <f aca="false">W228*2/10+X227*8/10</f>
        <v>96.6810371759253</v>
      </c>
      <c r="Y228" s="7" t="n">
        <f aca="false">W228-X228</f>
        <v>16.9900664521651</v>
      </c>
      <c r="Z228" s="8" t="s">
        <v>42</v>
      </c>
      <c r="AA228" s="7" t="str">
        <f aca="false">IFERROR(INDEX(02_轉折點45!B:B,MATCH(A228,02_轉折點45!A:A,0)),"")</f>
        <v/>
      </c>
      <c r="AB228" s="7" t="n">
        <f aca="false">COUNTIFS(05_訊號明細!A:A,A228,05_訊號明細!C:C,"TOP")</f>
        <v>0</v>
      </c>
      <c r="AC228" s="7" t="n">
        <f aca="false">COUNTIFS(05_訊號明細!A:A,A228,05_訊號明細!C:C,"BOTTOM")</f>
        <v>0</v>
      </c>
    </row>
    <row r="229" customFormat="false" ht="15" hidden="false" customHeight="false" outlineLevel="0" collapsed="false">
      <c r="A229" s="7" t="s">
        <v>270</v>
      </c>
      <c r="B229" s="7" t="n">
        <v>11959.89</v>
      </c>
      <c r="C229" s="7" t="n">
        <v>12001.83</v>
      </c>
      <c r="D229" s="7" t="n">
        <v>11817.53</v>
      </c>
      <c r="E229" s="7" t="n">
        <v>11905.94</v>
      </c>
      <c r="F229" s="7" t="n">
        <v>5473</v>
      </c>
      <c r="G229" s="7" t="n">
        <f aca="false">AVERAGE(E225:E229)</f>
        <v>11934.002</v>
      </c>
      <c r="H229" s="7" t="n">
        <f aca="false">AVERAGE(E220:E229)</f>
        <v>11896.559</v>
      </c>
      <c r="I229" s="7" t="n">
        <f aca="false">AVERAGE(E210:E229)</f>
        <v>11712.6245</v>
      </c>
      <c r="J229" s="7" t="n">
        <f aca="false">AVERAGE(E180:E229)</f>
        <v>11565.4802</v>
      </c>
      <c r="K229" s="7" t="n">
        <f aca="false">AVERAGE(E130:E229)</f>
        <v>11357.6235</v>
      </c>
      <c r="L229" s="7" t="n">
        <f aca="false">AVERAGE(E30:E229)</f>
        <v>10141.6614</v>
      </c>
      <c r="M229" s="7" t="n">
        <f aca="false">I229</f>
        <v>11712.6245</v>
      </c>
      <c r="N229" s="7" t="n">
        <f aca="false">I229+2*STDEV(E210:E229)</f>
        <v>12397.4252994177</v>
      </c>
      <c r="O229" s="7" t="n">
        <f aca="false">I229-2*STDEV(E210:E229)</f>
        <v>11027.8237005823</v>
      </c>
      <c r="P229" s="7" t="n">
        <f aca="false">MAX(E229-E228,0)</f>
        <v>0</v>
      </c>
      <c r="Q229" s="7" t="n">
        <f aca="false">MAX(E228-E229,0)</f>
        <v>0.5</v>
      </c>
      <c r="R229" s="7" t="n">
        <f aca="false">(R228*13+P229)/14</f>
        <v>73.5547316207086</v>
      </c>
      <c r="S229" s="7" t="n">
        <f aca="false">(S228*13+Q229)/14</f>
        <v>61.7821975292297</v>
      </c>
      <c r="T229" s="7" t="n">
        <f aca="false">IF(S229=0,100,100-100/(1+R229/S229))</f>
        <v>54.349342845823</v>
      </c>
      <c r="U229" s="7" t="n">
        <f aca="false">E229*2/13+U228*11/13</f>
        <v>11868.1446239644</v>
      </c>
      <c r="V229" s="7" t="n">
        <f aca="false">E229*2/27+V228*25/27</f>
        <v>11759.3304016522</v>
      </c>
      <c r="W229" s="7" t="n">
        <f aca="false">U229-V229</f>
        <v>108.81422231219</v>
      </c>
      <c r="X229" s="7" t="n">
        <f aca="false">W229*2/10+X228*8/10</f>
        <v>99.1076742031783</v>
      </c>
      <c r="Y229" s="7" t="n">
        <f aca="false">W229-X229</f>
        <v>9.7065481090121</v>
      </c>
      <c r="Z229" s="8" t="s">
        <v>42</v>
      </c>
      <c r="AA229" s="7" t="str">
        <f aca="false">IFERROR(INDEX(02_轉折點45!B:B,MATCH(A229,02_轉折點45!A:A,0)),"")</f>
        <v/>
      </c>
      <c r="AB229" s="7" t="n">
        <f aca="false">COUNTIFS(05_訊號明細!A:A,A229,05_訊號明細!C:C,"TOP")</f>
        <v>0</v>
      </c>
      <c r="AC229" s="7" t="n">
        <f aca="false">COUNTIFS(05_訊號明細!A:A,A229,05_訊號明細!C:C,"BOTTOM")</f>
        <v>0</v>
      </c>
    </row>
    <row r="230" customFormat="false" ht="15" hidden="false" customHeight="false" outlineLevel="0" collapsed="false">
      <c r="A230" s="7" t="s">
        <v>271</v>
      </c>
      <c r="B230" s="7" t="n">
        <v>11952.7</v>
      </c>
      <c r="C230" s="7" t="n">
        <v>12094.16</v>
      </c>
      <c r="D230" s="7" t="n">
        <v>11878.31</v>
      </c>
      <c r="E230" s="7" t="n">
        <v>12079.81</v>
      </c>
      <c r="F230" s="7" t="n">
        <v>6340</v>
      </c>
      <c r="G230" s="7" t="n">
        <f aca="false">AVERAGE(E226:E230)</f>
        <v>11954.466</v>
      </c>
      <c r="H230" s="7" t="n">
        <f aca="false">AVERAGE(E221:E230)</f>
        <v>11942.111</v>
      </c>
      <c r="I230" s="7" t="n">
        <f aca="false">AVERAGE(E211:E230)</f>
        <v>11736.6675</v>
      </c>
      <c r="J230" s="7" t="n">
        <f aca="false">AVERAGE(E181:E230)</f>
        <v>11578.299</v>
      </c>
      <c r="K230" s="7" t="n">
        <f aca="false">AVERAGE(E131:E230)</f>
        <v>11372.381</v>
      </c>
      <c r="L230" s="7" t="n">
        <f aca="false">AVERAGE(E31:E230)</f>
        <v>10154.47115</v>
      </c>
      <c r="M230" s="7" t="n">
        <f aca="false">I230</f>
        <v>11736.6675</v>
      </c>
      <c r="N230" s="7" t="n">
        <f aca="false">I230+2*STDEV(E211:E230)</f>
        <v>12438.2243586591</v>
      </c>
      <c r="O230" s="7" t="n">
        <f aca="false">I230-2*STDEV(E211:E230)</f>
        <v>11035.1106413409</v>
      </c>
      <c r="P230" s="7" t="n">
        <f aca="false">MAX(E230-E229,0)</f>
        <v>173.869999999999</v>
      </c>
      <c r="Q230" s="7" t="n">
        <f aca="false">MAX(E229-E230,0)</f>
        <v>0</v>
      </c>
      <c r="R230" s="7" t="n">
        <f aca="false">(R229*13+P230)/14</f>
        <v>80.720107933515</v>
      </c>
      <c r="S230" s="7" t="n">
        <f aca="false">(S229*13+Q230)/14</f>
        <v>57.369183419999</v>
      </c>
      <c r="T230" s="7" t="n">
        <f aca="false">IF(S230=0,100,100-100/(1+R230/S230))</f>
        <v>58.4550091772637</v>
      </c>
      <c r="U230" s="7" t="n">
        <f aca="false">E230*2/13+U229*11/13</f>
        <v>11900.7085279699</v>
      </c>
      <c r="V230" s="7" t="n">
        <f aca="false">E230*2/27+V229*25/27</f>
        <v>11783.0696311595</v>
      </c>
      <c r="W230" s="7" t="n">
        <f aca="false">U230-V230</f>
        <v>117.638896810422</v>
      </c>
      <c r="X230" s="7" t="n">
        <f aca="false">W230*2/10+X229*8/10</f>
        <v>102.813918724627</v>
      </c>
      <c r="Y230" s="7" t="n">
        <f aca="false">W230-X230</f>
        <v>14.824978085795</v>
      </c>
      <c r="Z230" s="8" t="s">
        <v>42</v>
      </c>
      <c r="AA230" s="7" t="str">
        <f aca="false">IFERROR(INDEX(02_轉折點45!B:B,MATCH(A230,02_轉折點45!A:A,0)),"")</f>
        <v/>
      </c>
      <c r="AB230" s="7" t="n">
        <f aca="false">COUNTIFS(05_訊號明細!A:A,A230,05_訊號明細!C:C,"TOP")</f>
        <v>0</v>
      </c>
      <c r="AC230" s="7" t="n">
        <f aca="false">COUNTIFS(05_訊號明細!A:A,A230,05_訊號明細!C:C,"BOTTOM")</f>
        <v>0</v>
      </c>
    </row>
    <row r="231" customFormat="false" ht="15" hidden="false" customHeight="false" outlineLevel="0" collapsed="false">
      <c r="A231" s="7" t="s">
        <v>272</v>
      </c>
      <c r="B231" s="7" t="n">
        <v>12112.11</v>
      </c>
      <c r="C231" s="7" t="n">
        <v>12174.99</v>
      </c>
      <c r="D231" s="7" t="n">
        <v>12081.51</v>
      </c>
      <c r="E231" s="7" t="n">
        <v>12152.22</v>
      </c>
      <c r="F231" s="7" t="n">
        <v>4449</v>
      </c>
      <c r="G231" s="7" t="n">
        <f aca="false">AVERAGE(E227:E231)</f>
        <v>12005.968</v>
      </c>
      <c r="H231" s="7" t="n">
        <f aca="false">AVERAGE(E222:E231)</f>
        <v>11968.04</v>
      </c>
      <c r="I231" s="7" t="n">
        <f aca="false">AVERAGE(E212:E231)</f>
        <v>11787.1405</v>
      </c>
      <c r="J231" s="7" t="n">
        <f aca="false">AVERAGE(E182:E231)</f>
        <v>11596.3914</v>
      </c>
      <c r="K231" s="7" t="n">
        <f aca="false">AVERAGE(E132:E231)</f>
        <v>11388.6631</v>
      </c>
      <c r="L231" s="7" t="n">
        <f aca="false">AVERAGE(E32:E231)</f>
        <v>10167.16625</v>
      </c>
      <c r="M231" s="7" t="n">
        <f aca="false">I231</f>
        <v>11787.1405</v>
      </c>
      <c r="N231" s="7" t="n">
        <f aca="false">I231+2*STDEV(E212:E231)</f>
        <v>12453.137482812</v>
      </c>
      <c r="O231" s="7" t="n">
        <f aca="false">I231-2*STDEV(E212:E231)</f>
        <v>11121.143517188</v>
      </c>
      <c r="P231" s="7" t="n">
        <f aca="false">MAX(E231-E230,0)</f>
        <v>72.4099999999999</v>
      </c>
      <c r="Q231" s="7" t="n">
        <f aca="false">MAX(E230-E231,0)</f>
        <v>0</v>
      </c>
      <c r="R231" s="7" t="n">
        <f aca="false">(R230*13+P231)/14</f>
        <v>80.1265287954068</v>
      </c>
      <c r="S231" s="7" t="n">
        <f aca="false">(S230*13+Q231)/14</f>
        <v>53.2713846042848</v>
      </c>
      <c r="T231" s="7" t="n">
        <f aca="false">IF(S231=0,100,100-100/(1+R231/S231))</f>
        <v>60.0658036946416</v>
      </c>
      <c r="U231" s="7" t="n">
        <f aca="false">E231*2/13+U230*11/13</f>
        <v>11939.4026005899</v>
      </c>
      <c r="V231" s="7" t="n">
        <f aca="false">E231*2/27+V230*25/27</f>
        <v>11810.4141029254</v>
      </c>
      <c r="W231" s="7" t="n">
        <f aca="false">U231-V231</f>
        <v>128.988497664473</v>
      </c>
      <c r="X231" s="7" t="n">
        <f aca="false">W231*2/10+X230*8/10</f>
        <v>108.048834512596</v>
      </c>
      <c r="Y231" s="7" t="n">
        <f aca="false">W231-X231</f>
        <v>20.9396631518772</v>
      </c>
      <c r="Z231" s="8" t="s">
        <v>42</v>
      </c>
      <c r="AA231" s="7" t="str">
        <f aca="false">IFERROR(INDEX(02_轉折點45!B:B,MATCH(A231,02_轉折點45!A:A,0)),"")</f>
        <v/>
      </c>
      <c r="AB231" s="7" t="n">
        <f aca="false">COUNTIFS(05_訊號明細!A:A,A231,05_訊號明細!C:C,"TOP")</f>
        <v>0</v>
      </c>
      <c r="AC231" s="7" t="n">
        <f aca="false">COUNTIFS(05_訊號明細!A:A,A231,05_訊號明細!C:C,"BOTTOM")</f>
        <v>0</v>
      </c>
    </row>
    <row r="232" customFormat="false" ht="15" hidden="false" customHeight="false" outlineLevel="0" collapsed="false">
      <c r="A232" s="7" t="s">
        <v>273</v>
      </c>
      <c r="B232" s="7" t="n">
        <v>12220.37</v>
      </c>
      <c r="C232" s="7" t="n">
        <v>12306.71</v>
      </c>
      <c r="D232" s="7" t="n">
        <v>12214.45</v>
      </c>
      <c r="E232" s="7" t="n">
        <v>12258.21</v>
      </c>
      <c r="F232" s="7" t="n">
        <v>3402</v>
      </c>
      <c r="G232" s="7" t="n">
        <f aca="false">AVERAGE(E228:E232)</f>
        <v>12060.524</v>
      </c>
      <c r="H232" s="7" t="n">
        <f aca="false">AVERAGE(E223:E232)</f>
        <v>12011.147</v>
      </c>
      <c r="I232" s="7" t="n">
        <f aca="false">AVERAGE(E213:E232)</f>
        <v>11832.514</v>
      </c>
      <c r="J232" s="7" t="n">
        <f aca="false">AVERAGE(E183:E232)</f>
        <v>11619.9366</v>
      </c>
      <c r="K232" s="7" t="n">
        <f aca="false">AVERAGE(E133:E232)</f>
        <v>11404.5782</v>
      </c>
      <c r="L232" s="7" t="n">
        <f aca="false">AVERAGE(E33:E232)</f>
        <v>10180.4788</v>
      </c>
      <c r="M232" s="7" t="n">
        <f aca="false">I232</f>
        <v>11832.514</v>
      </c>
      <c r="N232" s="7" t="n">
        <f aca="false">I232+2*STDEV(E213:E232)</f>
        <v>12496.9738752576</v>
      </c>
      <c r="O232" s="7" t="n">
        <f aca="false">I232-2*STDEV(E213:E232)</f>
        <v>11168.0541247424</v>
      </c>
      <c r="P232" s="7" t="n">
        <f aca="false">MAX(E232-E231,0)</f>
        <v>105.99</v>
      </c>
      <c r="Q232" s="7" t="n">
        <f aca="false">MAX(E231-E232,0)</f>
        <v>0</v>
      </c>
      <c r="R232" s="7" t="n">
        <f aca="false">(R231*13+P232)/14</f>
        <v>81.9739195957349</v>
      </c>
      <c r="S232" s="7" t="n">
        <f aca="false">(S231*13+Q232)/14</f>
        <v>49.4662857039787</v>
      </c>
      <c r="T232" s="7" t="n">
        <f aca="false">IF(S232=0,100,100-100/(1+R232/S232))</f>
        <v>62.3659400172236</v>
      </c>
      <c r="U232" s="7" t="n">
        <f aca="false">E232*2/13+U231*11/13</f>
        <v>11988.4498928069</v>
      </c>
      <c r="V232" s="7" t="n">
        <f aca="false">E232*2/27+V231*25/27</f>
        <v>11843.5841693754</v>
      </c>
      <c r="W232" s="7" t="n">
        <f aca="false">U232-V232</f>
        <v>144.865723431441</v>
      </c>
      <c r="X232" s="7" t="n">
        <f aca="false">W232*2/10+X231*8/10</f>
        <v>115.412212296365</v>
      </c>
      <c r="Y232" s="7" t="n">
        <f aca="false">W232-X232</f>
        <v>29.4535111350761</v>
      </c>
      <c r="Z232" s="8" t="s">
        <v>42</v>
      </c>
      <c r="AA232" s="7" t="str">
        <f aca="false">IFERROR(INDEX(02_轉折點45!B:B,MATCH(A232,02_轉折點45!A:A,0)),"")</f>
        <v/>
      </c>
      <c r="AB232" s="7" t="n">
        <f aca="false">COUNTIFS(05_訊號明細!A:A,A232,05_訊號明細!C:C,"TOP")</f>
        <v>0</v>
      </c>
      <c r="AC232" s="7" t="n">
        <f aca="false">COUNTIFS(05_訊號明細!A:A,A232,05_訊號明細!C:C,"BOTTOM")</f>
        <v>0</v>
      </c>
    </row>
    <row r="233" customFormat="false" ht="15" hidden="false" customHeight="false" outlineLevel="0" collapsed="false">
      <c r="A233" s="7" t="s">
        <v>274</v>
      </c>
      <c r="B233" s="7" t="n">
        <v>12278.78</v>
      </c>
      <c r="C233" s="7" t="n">
        <v>12299.61</v>
      </c>
      <c r="D233" s="7" t="n">
        <v>12090.93</v>
      </c>
      <c r="E233" s="7" t="n">
        <v>12268.32</v>
      </c>
      <c r="F233" s="7" t="n">
        <v>7760</v>
      </c>
      <c r="G233" s="7" t="n">
        <f aca="false">AVERAGE(E229:E233)</f>
        <v>12132.9</v>
      </c>
      <c r="H233" s="7" t="n">
        <f aca="false">AVERAGE(E224:E233)</f>
        <v>12044.195</v>
      </c>
      <c r="I233" s="7" t="n">
        <f aca="false">AVERAGE(E214:E233)</f>
        <v>11893.2825</v>
      </c>
      <c r="J233" s="7" t="n">
        <f aca="false">AVERAGE(E184:E233)</f>
        <v>11646.5634</v>
      </c>
      <c r="K233" s="7" t="n">
        <f aca="false">AVERAGE(E134:E233)</f>
        <v>11419.7155</v>
      </c>
      <c r="L233" s="7" t="n">
        <f aca="false">AVERAGE(E34:E233)</f>
        <v>10193.7025</v>
      </c>
      <c r="M233" s="7" t="n">
        <f aca="false">I233</f>
        <v>11893.2825</v>
      </c>
      <c r="N233" s="7" t="n">
        <f aca="false">I233+2*STDEV(E214:E233)</f>
        <v>12474.6617177364</v>
      </c>
      <c r="O233" s="7" t="n">
        <f aca="false">I233-2*STDEV(E214:E233)</f>
        <v>11311.9032822636</v>
      </c>
      <c r="P233" s="7" t="n">
        <f aca="false">MAX(E233-E232,0)</f>
        <v>10.1100000000006</v>
      </c>
      <c r="Q233" s="7" t="n">
        <f aca="false">MAX(E232-E233,0)</f>
        <v>0</v>
      </c>
      <c r="R233" s="7" t="n">
        <f aca="false">(R232*13+P233)/14</f>
        <v>76.8407824817539</v>
      </c>
      <c r="S233" s="7" t="n">
        <f aca="false">(S232*13+Q233)/14</f>
        <v>45.932979582266</v>
      </c>
      <c r="T233" s="7" t="n">
        <f aca="false">IF(S233=0,100,100-100/(1+R233/S233))</f>
        <v>62.5872997535789</v>
      </c>
      <c r="U233" s="7" t="n">
        <f aca="false">E233*2/13+U232*11/13</f>
        <v>12031.506832375</v>
      </c>
      <c r="V233" s="7" t="n">
        <f aca="false">E233*2/27+V232*25/27</f>
        <v>11875.046082755</v>
      </c>
      <c r="W233" s="7" t="n">
        <f aca="false">U233-V233</f>
        <v>156.460749620021</v>
      </c>
      <c r="X233" s="7" t="n">
        <f aca="false">W233*2/10+X232*8/10</f>
        <v>123.621919761096</v>
      </c>
      <c r="Y233" s="7" t="n">
        <f aca="false">W233-X233</f>
        <v>32.8388298589242</v>
      </c>
      <c r="Z233" s="8" t="s">
        <v>42</v>
      </c>
      <c r="AA233" s="7" t="str">
        <f aca="false">IFERROR(INDEX(02_轉折點45!B:B,MATCH(A233,02_轉折點45!A:A,0)),"")</f>
        <v/>
      </c>
      <c r="AB233" s="7" t="n">
        <f aca="false">COUNTIFS(05_訊號明細!A:A,A233,05_訊號明細!C:C,"TOP")</f>
        <v>0</v>
      </c>
      <c r="AC233" s="7" t="n">
        <f aca="false">COUNTIFS(05_訊號明細!A:A,A233,05_訊號明細!C:C,"BOTTOM")</f>
        <v>1</v>
      </c>
    </row>
    <row r="234" customFormat="false" ht="15" hidden="false" customHeight="false" outlineLevel="0" collapsed="false">
      <c r="A234" s="7" t="s">
        <v>275</v>
      </c>
      <c r="B234" s="7" t="n">
        <v>12387.62</v>
      </c>
      <c r="C234" s="7" t="n">
        <v>12510.02</v>
      </c>
      <c r="D234" s="7" t="n">
        <v>12338.36</v>
      </c>
      <c r="E234" s="7" t="n">
        <v>12455.33</v>
      </c>
      <c r="F234" s="7" t="n">
        <v>6512</v>
      </c>
      <c r="G234" s="7" t="n">
        <f aca="false">AVERAGE(E230:E234)</f>
        <v>12242.778</v>
      </c>
      <c r="H234" s="7" t="n">
        <f aca="false">AVERAGE(E225:E234)</f>
        <v>12088.39</v>
      </c>
      <c r="I234" s="7" t="n">
        <f aca="false">AVERAGE(E215:E234)</f>
        <v>11961.811</v>
      </c>
      <c r="J234" s="7" t="n">
        <f aca="false">AVERAGE(E185:E234)</f>
        <v>11676.0656</v>
      </c>
      <c r="K234" s="7" t="n">
        <f aca="false">AVERAGE(E135:E234)</f>
        <v>11435.9055</v>
      </c>
      <c r="L234" s="7" t="n">
        <f aca="false">AVERAGE(E35:E234)</f>
        <v>10207.83015</v>
      </c>
      <c r="M234" s="7" t="n">
        <f aca="false">I234</f>
        <v>11961.811</v>
      </c>
      <c r="N234" s="7" t="n">
        <f aca="false">I234+2*STDEV(E215:E234)</f>
        <v>12458.9129546765</v>
      </c>
      <c r="O234" s="7" t="n">
        <f aca="false">I234-2*STDEV(E215:E234)</f>
        <v>11464.7090453235</v>
      </c>
      <c r="P234" s="7" t="n">
        <f aca="false">MAX(E234-E233,0)</f>
        <v>187.01</v>
      </c>
      <c r="Q234" s="7" t="n">
        <f aca="false">MAX(E233-E234,0)</f>
        <v>0</v>
      </c>
      <c r="R234" s="7" t="n">
        <f aca="false">(R233*13+P234)/14</f>
        <v>84.7100123044857</v>
      </c>
      <c r="S234" s="7" t="n">
        <f aca="false">(S233*13+Q234)/14</f>
        <v>42.652052469247</v>
      </c>
      <c r="T234" s="7" t="n">
        <f aca="false">IF(S234=0,100,100-100/(1+R234/S234))</f>
        <v>66.5111801186474</v>
      </c>
      <c r="U234" s="7" t="n">
        <f aca="false">E234*2/13+U233*11/13</f>
        <v>12096.710396625</v>
      </c>
      <c r="V234" s="7" t="n">
        <f aca="false">E234*2/27+V233*25/27</f>
        <v>11918.030076625</v>
      </c>
      <c r="W234" s="7" t="n">
        <f aca="false">U234-V234</f>
        <v>178.680320000018</v>
      </c>
      <c r="X234" s="7" t="n">
        <f aca="false">W234*2/10+X233*8/10</f>
        <v>134.633599808881</v>
      </c>
      <c r="Y234" s="7" t="n">
        <f aca="false">W234-X234</f>
        <v>44.046720191137</v>
      </c>
      <c r="Z234" s="8" t="s">
        <v>42</v>
      </c>
      <c r="AA234" s="7" t="str">
        <f aca="false">IFERROR(INDEX(02_轉折點45!B:B,MATCH(A234,02_轉折點45!A:A,0)),"")</f>
        <v/>
      </c>
      <c r="AB234" s="7" t="n">
        <f aca="false">COUNTIFS(05_訊號明細!A:A,A234,05_訊號明細!C:C,"TOP")</f>
        <v>1</v>
      </c>
      <c r="AC234" s="7" t="n">
        <f aca="false">COUNTIFS(05_訊號明細!A:A,A234,05_訊號明細!C:C,"BOTTOM")</f>
        <v>0</v>
      </c>
    </row>
    <row r="235" customFormat="false" ht="15" hidden="false" customHeight="false" outlineLevel="0" collapsed="false">
      <c r="A235" s="7" t="s">
        <v>276</v>
      </c>
      <c r="B235" s="7" t="n">
        <v>12390.58</v>
      </c>
      <c r="C235" s="7" t="n">
        <v>12472.25</v>
      </c>
      <c r="D235" s="7" t="n">
        <v>12318.27</v>
      </c>
      <c r="E235" s="7" t="n">
        <v>12456.41</v>
      </c>
      <c r="F235" s="7" t="n">
        <v>5195</v>
      </c>
      <c r="G235" s="7" t="n">
        <f aca="false">AVERAGE(E231:E235)</f>
        <v>12318.098</v>
      </c>
      <c r="H235" s="7" t="n">
        <f aca="false">AVERAGE(E226:E235)</f>
        <v>12136.282</v>
      </c>
      <c r="I235" s="7" t="n">
        <f aca="false">AVERAGE(E216:E235)</f>
        <v>12020.636</v>
      </c>
      <c r="J235" s="7" t="n">
        <f aca="false">AVERAGE(E186:E235)</f>
        <v>11701.4664</v>
      </c>
      <c r="K235" s="7" t="n">
        <f aca="false">AVERAGE(E136:E235)</f>
        <v>11454.4475</v>
      </c>
      <c r="L235" s="7" t="n">
        <f aca="false">AVERAGE(E36:E235)</f>
        <v>10221.51855</v>
      </c>
      <c r="M235" s="7" t="n">
        <f aca="false">I235</f>
        <v>12020.636</v>
      </c>
      <c r="N235" s="7" t="n">
        <f aca="false">I235+2*STDEV(E216:E235)</f>
        <v>12452.0853964058</v>
      </c>
      <c r="O235" s="7" t="n">
        <f aca="false">I235-2*STDEV(E216:E235)</f>
        <v>11589.1866035942</v>
      </c>
      <c r="P235" s="7" t="n">
        <f aca="false">MAX(E235-E234,0)</f>
        <v>1.07999999999993</v>
      </c>
      <c r="Q235" s="7" t="n">
        <f aca="false">MAX(E234-E235,0)</f>
        <v>0</v>
      </c>
      <c r="R235" s="7" t="n">
        <f aca="false">(R234*13+P235)/14</f>
        <v>78.7364399970225</v>
      </c>
      <c r="S235" s="7" t="n">
        <f aca="false">(S234*13+Q235)/14</f>
        <v>39.6054772928722</v>
      </c>
      <c r="T235" s="7" t="n">
        <f aca="false">IF(S235=0,100,100-100/(1+R235/S235))</f>
        <v>66.5330102808347</v>
      </c>
      <c r="U235" s="7" t="n">
        <f aca="false">E235*2/13+U234*11/13</f>
        <v>12152.0487971442</v>
      </c>
      <c r="V235" s="7" t="n">
        <f aca="false">E235*2/27+V234*25/27</f>
        <v>11957.9100709491</v>
      </c>
      <c r="W235" s="7" t="n">
        <f aca="false">U235-V235</f>
        <v>194.138726195171</v>
      </c>
      <c r="X235" s="7" t="n">
        <f aca="false">W235*2/10+X234*8/10</f>
        <v>146.534625086139</v>
      </c>
      <c r="Y235" s="7" t="n">
        <f aca="false">W235-X235</f>
        <v>47.6041011090325</v>
      </c>
      <c r="Z235" s="8" t="s">
        <v>42</v>
      </c>
      <c r="AA235" s="7" t="str">
        <f aca="false">IFERROR(INDEX(02_轉折點45!B:B,MATCH(A235,02_轉折點45!A:A,0)),"")</f>
        <v/>
      </c>
      <c r="AB235" s="7" t="n">
        <f aca="false">COUNTIFS(05_訊號明細!A:A,A235,05_訊號明細!C:C,"TOP")</f>
        <v>1</v>
      </c>
      <c r="AC235" s="7" t="n">
        <f aca="false">COUNTIFS(05_訊號明細!A:A,A235,05_訊號明細!C:C,"BOTTOM")</f>
        <v>0</v>
      </c>
    </row>
    <row r="236" customFormat="false" ht="15" hidden="false" customHeight="false" outlineLevel="0" collapsed="false">
      <c r="A236" s="7" t="s">
        <v>277</v>
      </c>
      <c r="B236" s="7" t="n">
        <v>12469.16</v>
      </c>
      <c r="C236" s="7" t="n">
        <v>12538.92</v>
      </c>
      <c r="D236" s="7" t="n">
        <v>12445.36</v>
      </c>
      <c r="E236" s="7" t="n">
        <v>12467.13</v>
      </c>
      <c r="F236" s="7" t="n">
        <v>5210</v>
      </c>
      <c r="G236" s="7" t="n">
        <f aca="false">AVERAGE(E232:E236)</f>
        <v>12381.08</v>
      </c>
      <c r="H236" s="7" t="n">
        <f aca="false">AVERAGE(E227:E236)</f>
        <v>12193.524</v>
      </c>
      <c r="I236" s="7" t="n">
        <f aca="false">AVERAGE(E217:E236)</f>
        <v>12055.1415</v>
      </c>
      <c r="J236" s="7" t="n">
        <f aca="false">AVERAGE(E187:E236)</f>
        <v>11734.1424</v>
      </c>
      <c r="K236" s="7" t="n">
        <f aca="false">AVERAGE(E137:E236)</f>
        <v>11472.2236</v>
      </c>
      <c r="L236" s="7" t="n">
        <f aca="false">AVERAGE(E37:E236)</f>
        <v>10235.71505</v>
      </c>
      <c r="M236" s="7" t="n">
        <f aca="false">I236</f>
        <v>12055.1415</v>
      </c>
      <c r="N236" s="7" t="n">
        <f aca="false">I236+2*STDEV(E217:E236)</f>
        <v>12514.0650250717</v>
      </c>
      <c r="O236" s="7" t="n">
        <f aca="false">I236-2*STDEV(E217:E236)</f>
        <v>11596.2179749283</v>
      </c>
      <c r="P236" s="7" t="n">
        <f aca="false">MAX(E236-E235,0)</f>
        <v>10.7199999999993</v>
      </c>
      <c r="Q236" s="7" t="n">
        <f aca="false">MAX(E235-E236,0)</f>
        <v>0</v>
      </c>
      <c r="R236" s="7" t="n">
        <f aca="false">(R235*13+P236)/14</f>
        <v>73.878122854378</v>
      </c>
      <c r="S236" s="7" t="n">
        <f aca="false">(S235*13+Q236)/14</f>
        <v>36.7765146290956</v>
      </c>
      <c r="T236" s="7" t="n">
        <f aca="false">IF(S236=0,100,100-100/(1+R236/S236))</f>
        <v>66.7645970693382</v>
      </c>
      <c r="U236" s="7" t="n">
        <f aca="false">E236*2/13+U235*11/13</f>
        <v>12200.5228283528</v>
      </c>
      <c r="V236" s="7" t="n">
        <f aca="false">E236*2/27+V235*25/27</f>
        <v>11995.6300656936</v>
      </c>
      <c r="W236" s="7" t="n">
        <f aca="false">U236-V236</f>
        <v>204.892762659234</v>
      </c>
      <c r="X236" s="7" t="n">
        <f aca="false">W236*2/10+X235*8/10</f>
        <v>158.206252600758</v>
      </c>
      <c r="Y236" s="7" t="n">
        <f aca="false">W236-X236</f>
        <v>46.6865100584762</v>
      </c>
      <c r="Z236" s="8" t="s">
        <v>42</v>
      </c>
      <c r="AA236" s="7" t="str">
        <f aca="false">IFERROR(INDEX(02_轉折點45!B:B,MATCH(A236,02_轉折點45!A:A,0)),"")</f>
        <v/>
      </c>
      <c r="AB236" s="7" t="n">
        <f aca="false">COUNTIFS(05_訊號明細!A:A,A236,05_訊號明細!C:C,"TOP")</f>
        <v>1</v>
      </c>
      <c r="AC236" s="7" t="n">
        <f aca="false">COUNTIFS(05_訊號明細!A:A,A236,05_訊號明細!C:C,"BOTTOM")</f>
        <v>0</v>
      </c>
    </row>
    <row r="237" customFormat="false" ht="15" hidden="false" customHeight="false" outlineLevel="0" collapsed="false">
      <c r="A237" s="7" t="s">
        <v>278</v>
      </c>
      <c r="B237" s="7" t="n">
        <v>12479.91</v>
      </c>
      <c r="C237" s="7" t="n">
        <v>12531.21</v>
      </c>
      <c r="D237" s="7" t="n">
        <v>12450.51</v>
      </c>
      <c r="E237" s="7" t="n">
        <v>12528.48</v>
      </c>
      <c r="F237" s="7" t="n">
        <v>5087</v>
      </c>
      <c r="G237" s="7" t="n">
        <f aca="false">AVERAGE(E233:E237)</f>
        <v>12435.134</v>
      </c>
      <c r="H237" s="7" t="n">
        <f aca="false">AVERAGE(E228:E237)</f>
        <v>12247.829</v>
      </c>
      <c r="I237" s="7" t="n">
        <f aca="false">AVERAGE(E218:E237)</f>
        <v>12077.662</v>
      </c>
      <c r="J237" s="7" t="n">
        <f aca="false">AVERAGE(E188:E237)</f>
        <v>11766.7826</v>
      </c>
      <c r="K237" s="7" t="n">
        <f aca="false">AVERAGE(E138:E237)</f>
        <v>11490.4916</v>
      </c>
      <c r="L237" s="7" t="n">
        <f aca="false">AVERAGE(E38:E237)</f>
        <v>10251.124</v>
      </c>
      <c r="M237" s="7" t="n">
        <f aca="false">I237</f>
        <v>12077.662</v>
      </c>
      <c r="N237" s="7" t="n">
        <f aca="false">I237+2*STDEV(E218:E237)</f>
        <v>12583.1646617495</v>
      </c>
      <c r="O237" s="7" t="n">
        <f aca="false">I237-2*STDEV(E218:E237)</f>
        <v>11572.1593382505</v>
      </c>
      <c r="P237" s="7" t="n">
        <f aca="false">MAX(E237-E236,0)</f>
        <v>61.3500000000004</v>
      </c>
      <c r="Q237" s="7" t="n">
        <f aca="false">MAX(E236-E237,0)</f>
        <v>0</v>
      </c>
      <c r="R237" s="7" t="n">
        <f aca="false">(R236*13+P237)/14</f>
        <v>72.9832569362081</v>
      </c>
      <c r="S237" s="7" t="n">
        <f aca="false">(S236*13+Q237)/14</f>
        <v>34.1496207270173</v>
      </c>
      <c r="T237" s="7" t="n">
        <f aca="false">IF(S237=0,100,100-100/(1+R237/S237))</f>
        <v>68.1240516712643</v>
      </c>
      <c r="U237" s="7" t="n">
        <f aca="false">E237*2/13+U236*11/13</f>
        <v>12250.977777837</v>
      </c>
      <c r="V237" s="7" t="n">
        <f aca="false">E237*2/27+V236*25/27</f>
        <v>12035.1004311978</v>
      </c>
      <c r="W237" s="7" t="n">
        <f aca="false">U237-V237</f>
        <v>215.877346639238</v>
      </c>
      <c r="X237" s="7" t="n">
        <f aca="false">W237*2/10+X236*8/10</f>
        <v>169.740471408454</v>
      </c>
      <c r="Y237" s="7" t="n">
        <f aca="false">W237-X237</f>
        <v>46.1368752307839</v>
      </c>
      <c r="Z237" s="8" t="s">
        <v>42</v>
      </c>
      <c r="AA237" s="7" t="str">
        <f aca="false">IFERROR(INDEX(02_轉折點45!B:B,MATCH(A237,02_轉折點45!A:A,0)),"")</f>
        <v/>
      </c>
      <c r="AB237" s="7" t="n">
        <f aca="false">COUNTIFS(05_訊號明細!A:A,A237,05_訊號明細!C:C,"TOP")</f>
        <v>1</v>
      </c>
      <c r="AC237" s="7" t="n">
        <f aca="false">COUNTIFS(05_訊號明細!A:A,A237,05_訊號明細!C:C,"BOTTOM")</f>
        <v>0</v>
      </c>
    </row>
    <row r="238" customFormat="false" ht="15" hidden="false" customHeight="false" outlineLevel="0" collapsed="false">
      <c r="A238" s="7" t="s">
        <v>279</v>
      </c>
      <c r="B238" s="7" t="n">
        <v>12523.57</v>
      </c>
      <c r="C238" s="7" t="n">
        <v>12610</v>
      </c>
      <c r="D238" s="7" t="n">
        <v>12523.12</v>
      </c>
      <c r="E238" s="7" t="n">
        <v>12596.47</v>
      </c>
      <c r="F238" s="7" t="n">
        <v>4772</v>
      </c>
      <c r="G238" s="7" t="n">
        <f aca="false">AVERAGE(E234:E238)</f>
        <v>12500.764</v>
      </c>
      <c r="H238" s="7" t="n">
        <f aca="false">AVERAGE(E229:E238)</f>
        <v>12316.832</v>
      </c>
      <c r="I238" s="7" t="n">
        <f aca="false">AVERAGE(E219:E238)</f>
        <v>12102.918</v>
      </c>
      <c r="J238" s="7" t="n">
        <f aca="false">AVERAGE(E189:E238)</f>
        <v>11795.6894</v>
      </c>
      <c r="K238" s="7" t="n">
        <f aca="false">AVERAGE(E139:E238)</f>
        <v>11510.1917</v>
      </c>
      <c r="L238" s="7" t="n">
        <f aca="false">AVERAGE(E39:E238)</f>
        <v>10268.7082</v>
      </c>
      <c r="M238" s="7" t="n">
        <f aca="false">I238</f>
        <v>12102.918</v>
      </c>
      <c r="N238" s="7" t="n">
        <f aca="false">I238+2*STDEV(E219:E238)</f>
        <v>12659.2213134654</v>
      </c>
      <c r="O238" s="7" t="n">
        <f aca="false">I238-2*STDEV(E219:E238)</f>
        <v>11546.6146865346</v>
      </c>
      <c r="P238" s="7" t="n">
        <f aca="false">MAX(E238-E237,0)</f>
        <v>67.9899999999998</v>
      </c>
      <c r="Q238" s="7" t="n">
        <f aca="false">MAX(E237-E238,0)</f>
        <v>0</v>
      </c>
      <c r="R238" s="7" t="n">
        <f aca="false">(R237*13+P238)/14</f>
        <v>72.626595726479</v>
      </c>
      <c r="S238" s="7" t="n">
        <f aca="false">(S237*13+Q238)/14</f>
        <v>31.7103621036589</v>
      </c>
      <c r="T238" s="7" t="n">
        <f aca="false">IF(S238=0,100,100-100/(1+R238/S238))</f>
        <v>69.6077375044</v>
      </c>
      <c r="U238" s="7" t="n">
        <f aca="false">E238*2/13+U237*11/13</f>
        <v>12304.1304274005</v>
      </c>
      <c r="V238" s="7" t="n">
        <f aca="false">E238*2/27+V237*25/27</f>
        <v>12076.6833622202</v>
      </c>
      <c r="W238" s="7" t="n">
        <f aca="false">U238-V238</f>
        <v>227.447065180388</v>
      </c>
      <c r="X238" s="7" t="n">
        <f aca="false">W238*2/10+X237*8/10</f>
        <v>181.281790162841</v>
      </c>
      <c r="Y238" s="7" t="n">
        <f aca="false">W238-X238</f>
        <v>46.1652750175471</v>
      </c>
      <c r="Z238" s="8" t="s">
        <v>42</v>
      </c>
      <c r="AA238" s="7" t="str">
        <f aca="false">IFERROR(INDEX(02_轉折點45!B:B,MATCH(A238,02_轉折點45!A:A,0)),"")</f>
        <v/>
      </c>
      <c r="AB238" s="7" t="n">
        <f aca="false">COUNTIFS(05_訊號明細!A:A,A238,05_訊號明細!C:C,"TOP")</f>
        <v>1</v>
      </c>
      <c r="AC238" s="7" t="n">
        <f aca="false">COUNTIFS(05_訊號明細!A:A,A238,05_訊號明細!C:C,"BOTTOM")</f>
        <v>0</v>
      </c>
    </row>
    <row r="239" customFormat="false" ht="15" hidden="false" customHeight="false" outlineLevel="0" collapsed="false">
      <c r="A239" s="7" t="s">
        <v>280</v>
      </c>
      <c r="B239" s="7" t="n">
        <v>12574.84</v>
      </c>
      <c r="C239" s="7" t="n">
        <v>12651.35</v>
      </c>
      <c r="D239" s="7" t="n">
        <v>12504.97</v>
      </c>
      <c r="E239" s="7" t="n">
        <v>12635.72</v>
      </c>
      <c r="F239" s="7" t="n">
        <v>4809</v>
      </c>
      <c r="G239" s="7" t="n">
        <f aca="false">AVERAGE(E235:E239)</f>
        <v>12536.842</v>
      </c>
      <c r="H239" s="7" t="n">
        <f aca="false">AVERAGE(E230:E239)</f>
        <v>12389.81</v>
      </c>
      <c r="I239" s="7" t="n">
        <f aca="false">AVERAGE(E220:E239)</f>
        <v>12143.1845</v>
      </c>
      <c r="J239" s="7" t="n">
        <f aca="false">AVERAGE(E190:E239)</f>
        <v>11821.1148</v>
      </c>
      <c r="K239" s="7" t="n">
        <f aca="false">AVERAGE(E140:E239)</f>
        <v>11530.0967</v>
      </c>
      <c r="L239" s="7" t="n">
        <f aca="false">AVERAGE(E40:E239)</f>
        <v>10287.71245</v>
      </c>
      <c r="M239" s="7" t="n">
        <f aca="false">I239</f>
        <v>12143.1845</v>
      </c>
      <c r="N239" s="7" t="n">
        <f aca="false">I239+2*STDEV(E220:E239)</f>
        <v>12732.059820321</v>
      </c>
      <c r="O239" s="7" t="n">
        <f aca="false">I239-2*STDEV(E220:E239)</f>
        <v>11554.309179679</v>
      </c>
      <c r="P239" s="7" t="n">
        <f aca="false">MAX(E239-E238,0)</f>
        <v>39.25</v>
      </c>
      <c r="Q239" s="7" t="n">
        <f aca="false">MAX(E238-E239,0)</f>
        <v>0</v>
      </c>
      <c r="R239" s="7" t="n">
        <f aca="false">(R238*13+P239)/14</f>
        <v>70.2425531745876</v>
      </c>
      <c r="S239" s="7" t="n">
        <f aca="false">(S238*13+Q239)/14</f>
        <v>29.4453362391119</v>
      </c>
      <c r="T239" s="7" t="n">
        <f aca="false">IF(S239=0,100,100-100/(1+R239/S239))</f>
        <v>70.4624740153588</v>
      </c>
      <c r="U239" s="7" t="n">
        <f aca="false">E239*2/13+U238*11/13</f>
        <v>12355.1442078005</v>
      </c>
      <c r="V239" s="7" t="n">
        <f aca="false">E239*2/27+V238*25/27</f>
        <v>12118.0934835372</v>
      </c>
      <c r="W239" s="7" t="n">
        <f aca="false">U239-V239</f>
        <v>237.050724263279</v>
      </c>
      <c r="X239" s="7" t="n">
        <f aca="false">W239*2/10+X238*8/10</f>
        <v>192.435576982928</v>
      </c>
      <c r="Y239" s="7" t="n">
        <f aca="false">W239-X239</f>
        <v>44.615147280351</v>
      </c>
      <c r="Z239" s="8" t="s">
        <v>42</v>
      </c>
      <c r="AA239" s="7" t="str">
        <f aca="false">IFERROR(INDEX(02_轉折點45!B:B,MATCH(A239,02_轉折點45!A:A,0)),"")</f>
        <v/>
      </c>
      <c r="AB239" s="7" t="n">
        <f aca="false">COUNTIFS(05_訊號明細!A:A,A239,05_訊號明細!C:C,"TOP")</f>
        <v>1</v>
      </c>
      <c r="AC239" s="7" t="n">
        <f aca="false">COUNTIFS(05_訊號明細!A:A,A239,05_訊號明細!C:C,"BOTTOM")</f>
        <v>0</v>
      </c>
    </row>
    <row r="240" customFormat="false" ht="15" hidden="false" customHeight="false" outlineLevel="0" collapsed="false">
      <c r="A240" s="7" t="s">
        <v>281</v>
      </c>
      <c r="B240" s="7" t="n">
        <v>12626.97</v>
      </c>
      <c r="C240" s="7" t="n">
        <v>12643.24</v>
      </c>
      <c r="D240" s="7" t="n">
        <v>12311.3</v>
      </c>
      <c r="E240" s="7" t="n">
        <v>12364.64</v>
      </c>
      <c r="F240" s="7" t="n">
        <v>5168</v>
      </c>
      <c r="G240" s="7" t="n">
        <f aca="false">AVERAGE(E236:E240)</f>
        <v>12518.488</v>
      </c>
      <c r="H240" s="7" t="n">
        <f aca="false">AVERAGE(E231:E240)</f>
        <v>12418.293</v>
      </c>
      <c r="I240" s="7" t="n">
        <f aca="false">AVERAGE(E221:E240)</f>
        <v>12180.202</v>
      </c>
      <c r="J240" s="7" t="n">
        <f aca="false">AVERAGE(E191:E240)</f>
        <v>11841.9486</v>
      </c>
      <c r="K240" s="7" t="n">
        <f aca="false">AVERAGE(E141:E240)</f>
        <v>11544.2223</v>
      </c>
      <c r="L240" s="7" t="n">
        <f aca="false">AVERAGE(E41:E240)</f>
        <v>10305.16685</v>
      </c>
      <c r="M240" s="7" t="n">
        <f aca="false">I240</f>
        <v>12180.202</v>
      </c>
      <c r="N240" s="7" t="n">
        <f aca="false">I240+2*STDEV(E221:E240)</f>
        <v>12723.0138427363</v>
      </c>
      <c r="O240" s="7" t="n">
        <f aca="false">I240-2*STDEV(E221:E240)</f>
        <v>11637.3901572637</v>
      </c>
      <c r="P240" s="7" t="n">
        <f aca="false">MAX(E240-E239,0)</f>
        <v>0</v>
      </c>
      <c r="Q240" s="7" t="n">
        <f aca="false">MAX(E239-E240,0)</f>
        <v>271.08</v>
      </c>
      <c r="R240" s="7" t="n">
        <f aca="false">(R239*13+P240)/14</f>
        <v>65.2252279478314</v>
      </c>
      <c r="S240" s="7" t="n">
        <f aca="false">(S239*13+Q240)/14</f>
        <v>46.7049550791753</v>
      </c>
      <c r="T240" s="7" t="n">
        <f aca="false">IF(S240=0,100,100-100/(1+R240/S240))</f>
        <v>58.2731361496065</v>
      </c>
      <c r="U240" s="7" t="n">
        <f aca="false">E240*2/13+U239*11/13</f>
        <v>12356.6050989081</v>
      </c>
      <c r="V240" s="7" t="n">
        <f aca="false">E240*2/27+V239*25/27</f>
        <v>12136.3561884604</v>
      </c>
      <c r="W240" s="7" t="n">
        <f aca="false">U240-V240</f>
        <v>220.24891044773</v>
      </c>
      <c r="X240" s="7" t="n">
        <f aca="false">W240*2/10+X239*8/10</f>
        <v>197.998243675889</v>
      </c>
      <c r="Y240" s="7" t="n">
        <f aca="false">W240-X240</f>
        <v>22.2506667718413</v>
      </c>
      <c r="Z240" s="8" t="s">
        <v>42</v>
      </c>
      <c r="AA240" s="7" t="str">
        <f aca="false">IFERROR(INDEX(02_轉折點45!B:B,MATCH(A240,02_轉折點45!A:A,0)),"")</f>
        <v/>
      </c>
      <c r="AB240" s="7" t="n">
        <f aca="false">COUNTIFS(05_訊號明細!A:A,A240,05_訊號明細!C:C,"TOP")</f>
        <v>0</v>
      </c>
      <c r="AC240" s="7" t="n">
        <f aca="false">COUNTIFS(05_訊號明細!A:A,A240,05_訊號明細!C:C,"BOTTOM")</f>
        <v>0</v>
      </c>
    </row>
    <row r="241" customFormat="false" ht="15" hidden="false" customHeight="false" outlineLevel="0" collapsed="false">
      <c r="A241" s="7" t="s">
        <v>282</v>
      </c>
      <c r="B241" s="7" t="n">
        <v>12268.47</v>
      </c>
      <c r="C241" s="7" t="n">
        <v>12447.85</v>
      </c>
      <c r="D241" s="7" t="n">
        <v>12226.13</v>
      </c>
      <c r="E241" s="7" t="n">
        <v>12401.74</v>
      </c>
      <c r="F241" s="7" t="n">
        <v>4519</v>
      </c>
      <c r="G241" s="7" t="n">
        <f aca="false">AVERAGE(E237:E241)</f>
        <v>12505.41</v>
      </c>
      <c r="H241" s="7" t="n">
        <f aca="false">AVERAGE(E232:E241)</f>
        <v>12443.245</v>
      </c>
      <c r="I241" s="7" t="n">
        <f aca="false">AVERAGE(E222:E241)</f>
        <v>12205.6425</v>
      </c>
      <c r="J241" s="7" t="n">
        <f aca="false">AVERAGE(E192:E241)</f>
        <v>11861.6222</v>
      </c>
      <c r="K241" s="7" t="n">
        <f aca="false">AVERAGE(E142:E241)</f>
        <v>11559.909</v>
      </c>
      <c r="L241" s="7" t="n">
        <f aca="false">AVERAGE(E42:E241)</f>
        <v>10324.9922</v>
      </c>
      <c r="M241" s="7" t="n">
        <f aca="false">I241</f>
        <v>12205.6425</v>
      </c>
      <c r="N241" s="7" t="n">
        <f aca="false">I241+2*STDEV(E222:E241)</f>
        <v>12739.3823955681</v>
      </c>
      <c r="O241" s="7" t="n">
        <f aca="false">I241-2*STDEV(E222:E241)</f>
        <v>11671.9026044319</v>
      </c>
      <c r="P241" s="7" t="n">
        <f aca="false">MAX(E241-E240,0)</f>
        <v>37.1000000000004</v>
      </c>
      <c r="Q241" s="7" t="n">
        <f aca="false">MAX(E240-E241,0)</f>
        <v>0</v>
      </c>
      <c r="R241" s="7" t="n">
        <f aca="false">(R240*13+P241)/14</f>
        <v>63.2162830944149</v>
      </c>
      <c r="S241" s="7" t="n">
        <f aca="false">(S240*13+Q241)/14</f>
        <v>43.3688868592342</v>
      </c>
      <c r="T241" s="7" t="n">
        <f aca="false">IF(S241=0,100,100-100/(1+R241/S241))</f>
        <v>59.3105805637931</v>
      </c>
      <c r="U241" s="7" t="n">
        <f aca="false">E241*2/13+U240*11/13</f>
        <v>12363.5489298453</v>
      </c>
      <c r="V241" s="7" t="n">
        <f aca="false">E241*2/27+V240*25/27</f>
        <v>12156.0142485744</v>
      </c>
      <c r="W241" s="7" t="n">
        <f aca="false">U241-V241</f>
        <v>207.534681270903</v>
      </c>
      <c r="X241" s="7" t="n">
        <f aca="false">W241*2/10+X240*8/10</f>
        <v>199.905531194892</v>
      </c>
      <c r="Y241" s="7" t="n">
        <f aca="false">W241-X241</f>
        <v>7.62915007601157</v>
      </c>
      <c r="Z241" s="8" t="s">
        <v>42</v>
      </c>
      <c r="AA241" s="7" t="str">
        <f aca="false">IFERROR(INDEX(02_轉折點45!B:B,MATCH(A241,02_轉折點45!A:A,0)),"")</f>
        <v/>
      </c>
      <c r="AB241" s="7" t="n">
        <f aca="false">COUNTIFS(05_訊號明細!A:A,A241,05_訊號明細!C:C,"TOP")</f>
        <v>0</v>
      </c>
      <c r="AC241" s="7" t="n">
        <f aca="false">COUNTIFS(05_訊號明細!A:A,A241,05_訊號明細!C:C,"BOTTOM")</f>
        <v>0</v>
      </c>
    </row>
    <row r="242" customFormat="false" ht="15" hidden="false" customHeight="false" outlineLevel="0" collapsed="false">
      <c r="A242" s="7" t="s">
        <v>283</v>
      </c>
      <c r="B242" s="7" t="n">
        <v>12327.07</v>
      </c>
      <c r="C242" s="7" t="n">
        <v>12378.61</v>
      </c>
      <c r="D242" s="7" t="n">
        <v>12236.8</v>
      </c>
      <c r="E242" s="7" t="n">
        <v>12375.41</v>
      </c>
      <c r="F242" s="7" t="n">
        <v>4293</v>
      </c>
      <c r="G242" s="7" t="n">
        <f aca="false">AVERAGE(E238:E242)</f>
        <v>12474.796</v>
      </c>
      <c r="H242" s="7" t="n">
        <f aca="false">AVERAGE(E233:E242)</f>
        <v>12454.965</v>
      </c>
      <c r="I242" s="7" t="n">
        <f aca="false">AVERAGE(E223:E242)</f>
        <v>12233.056</v>
      </c>
      <c r="J242" s="7" t="n">
        <f aca="false">AVERAGE(E193:E242)</f>
        <v>11877.4664</v>
      </c>
      <c r="K242" s="7" t="n">
        <f aca="false">AVERAGE(E143:E242)</f>
        <v>11574.9556</v>
      </c>
      <c r="L242" s="7" t="n">
        <f aca="false">AVERAGE(E43:E242)</f>
        <v>10344.5601</v>
      </c>
      <c r="M242" s="7" t="n">
        <f aca="false">I242</f>
        <v>12233.056</v>
      </c>
      <c r="N242" s="7" t="n">
        <f aca="false">I242+2*STDEV(E223:E242)</f>
        <v>12740.6195658361</v>
      </c>
      <c r="O242" s="7" t="n">
        <f aca="false">I242-2*STDEV(E223:E242)</f>
        <v>11725.4924341639</v>
      </c>
      <c r="P242" s="7" t="n">
        <f aca="false">MAX(E242-E241,0)</f>
        <v>0</v>
      </c>
      <c r="Q242" s="7" t="n">
        <f aca="false">MAX(E241-E242,0)</f>
        <v>26.3299999999999</v>
      </c>
      <c r="R242" s="7" t="n">
        <f aca="false">(R241*13+P242)/14</f>
        <v>58.7008343019567</v>
      </c>
      <c r="S242" s="7" t="n">
        <f aca="false">(S241*13+Q242)/14</f>
        <v>42.1518235121461</v>
      </c>
      <c r="T242" s="7" t="n">
        <f aca="false">IF(S242=0,100,100-100/(1+R242/S242))</f>
        <v>58.2045486695624</v>
      </c>
      <c r="U242" s="7" t="n">
        <f aca="false">E242*2/13+U241*11/13</f>
        <v>12365.3737098691</v>
      </c>
      <c r="V242" s="7" t="n">
        <f aca="false">E242*2/27+V241*25/27</f>
        <v>12172.265785717</v>
      </c>
      <c r="W242" s="7" t="n">
        <f aca="false">U242-V242</f>
        <v>193.107924152066</v>
      </c>
      <c r="X242" s="7" t="n">
        <f aca="false">W242*2/10+X241*8/10</f>
        <v>198.546009786326</v>
      </c>
      <c r="Y242" s="7" t="n">
        <f aca="false">W242-X242</f>
        <v>-5.43808563426074</v>
      </c>
      <c r="Z242" s="8" t="s">
        <v>42</v>
      </c>
      <c r="AA242" s="7" t="str">
        <f aca="false">IFERROR(INDEX(02_轉折點45!B:B,MATCH(A242,02_轉折點45!A:A,0)),"")</f>
        <v/>
      </c>
      <c r="AB242" s="7" t="n">
        <f aca="false">COUNTIFS(05_訊號明細!A:A,A242,05_訊號明細!C:C,"TOP")</f>
        <v>0</v>
      </c>
      <c r="AC242" s="7" t="n">
        <f aca="false">COUNTIFS(05_訊號明細!A:A,A242,05_訊號明細!C:C,"BOTTOM")</f>
        <v>0</v>
      </c>
    </row>
    <row r="243" customFormat="false" ht="15" hidden="false" customHeight="false" outlineLevel="0" collapsed="false">
      <c r="A243" s="7" t="s">
        <v>284</v>
      </c>
      <c r="B243" s="7" t="n">
        <v>12427.86</v>
      </c>
      <c r="C243" s="7" t="n">
        <v>12544.31</v>
      </c>
      <c r="D243" s="7" t="n">
        <v>12426.25</v>
      </c>
      <c r="E243" s="7" t="n">
        <v>12462.21</v>
      </c>
      <c r="F243" s="7" t="n">
        <v>4492</v>
      </c>
      <c r="G243" s="7" t="n">
        <f aca="false">AVERAGE(E239:E243)</f>
        <v>12447.944</v>
      </c>
      <c r="H243" s="7" t="n">
        <f aca="false">AVERAGE(E234:E243)</f>
        <v>12474.354</v>
      </c>
      <c r="I243" s="7" t="n">
        <f aca="false">AVERAGE(E224:E243)</f>
        <v>12259.2745</v>
      </c>
      <c r="J243" s="7" t="n">
        <f aca="false">AVERAGE(E194:E243)</f>
        <v>11901.5968</v>
      </c>
      <c r="K243" s="7" t="n">
        <f aca="false">AVERAGE(E144:E243)</f>
        <v>11593.7718</v>
      </c>
      <c r="L243" s="7" t="n">
        <f aca="false">AVERAGE(E44:E243)</f>
        <v>10362.48125</v>
      </c>
      <c r="M243" s="7" t="n">
        <f aca="false">I243</f>
        <v>12259.2745</v>
      </c>
      <c r="N243" s="7" t="n">
        <f aca="false">I243+2*STDEV(E224:E243)</f>
        <v>12756.7014684973</v>
      </c>
      <c r="O243" s="7" t="n">
        <f aca="false">I243-2*STDEV(E224:E243)</f>
        <v>11761.8475315027</v>
      </c>
      <c r="P243" s="7" t="n">
        <f aca="false">MAX(E243-E242,0)</f>
        <v>86.7999999999993</v>
      </c>
      <c r="Q243" s="7" t="n">
        <f aca="false">MAX(E242-E243,0)</f>
        <v>0</v>
      </c>
      <c r="R243" s="7" t="n">
        <f aca="false">(R242*13+P243)/14</f>
        <v>60.7079175661026</v>
      </c>
      <c r="S243" s="7" t="n">
        <f aca="false">(S242*13+Q243)/14</f>
        <v>39.1409789755642</v>
      </c>
      <c r="T243" s="7" t="n">
        <f aca="false">IF(S243=0,100,100-100/(1+R243/S243))</f>
        <v>60.7997881486545</v>
      </c>
      <c r="U243" s="7" t="n">
        <f aca="false">E243*2/13+U242*11/13</f>
        <v>12380.2716006585</v>
      </c>
      <c r="V243" s="7" t="n">
        <f aca="false">E243*2/27+V242*25/27</f>
        <v>12193.7431349232</v>
      </c>
      <c r="W243" s="7" t="n">
        <f aca="false">U243-V243</f>
        <v>186.52846573529</v>
      </c>
      <c r="X243" s="7" t="n">
        <f aca="false">W243*2/10+X242*8/10</f>
        <v>196.142500976119</v>
      </c>
      <c r="Y243" s="7" t="n">
        <f aca="false">W243-X243</f>
        <v>-9.61403524082948</v>
      </c>
      <c r="Z243" s="8" t="s">
        <v>42</v>
      </c>
      <c r="AA243" s="7" t="str">
        <f aca="false">IFERROR(INDEX(02_轉折點45!B:B,MATCH(A243,02_轉折點45!A:A,0)),"")</f>
        <v/>
      </c>
      <c r="AB243" s="7" t="n">
        <f aca="false">COUNTIFS(05_訊號明細!A:A,A243,05_訊號明細!C:C,"TOP")</f>
        <v>1</v>
      </c>
      <c r="AC243" s="7" t="n">
        <f aca="false">COUNTIFS(05_訊號明細!A:A,A243,05_訊號明細!C:C,"BOTTOM")</f>
        <v>0</v>
      </c>
    </row>
    <row r="244" customFormat="false" ht="15" hidden="false" customHeight="false" outlineLevel="0" collapsed="false">
      <c r="A244" s="7" t="s">
        <v>285</v>
      </c>
      <c r="B244" s="7" t="n">
        <v>12565.28</v>
      </c>
      <c r="C244" s="7" t="n">
        <v>12596.84</v>
      </c>
      <c r="D244" s="7" t="n">
        <v>12467.57</v>
      </c>
      <c r="E244" s="7" t="n">
        <v>12595.92</v>
      </c>
      <c r="F244" s="7" t="n">
        <v>4424</v>
      </c>
      <c r="G244" s="7" t="n">
        <f aca="false">AVERAGE(E240:E244)</f>
        <v>12439.984</v>
      </c>
      <c r="H244" s="7" t="n">
        <f aca="false">AVERAGE(E235:E244)</f>
        <v>12488.413</v>
      </c>
      <c r="I244" s="7" t="n">
        <f aca="false">AVERAGE(E225:E244)</f>
        <v>12288.4015</v>
      </c>
      <c r="J244" s="7" t="n">
        <f aca="false">AVERAGE(E195:E244)</f>
        <v>11923.334</v>
      </c>
      <c r="K244" s="7" t="n">
        <f aca="false">AVERAGE(E145:E244)</f>
        <v>11614.8997</v>
      </c>
      <c r="L244" s="7" t="n">
        <f aca="false">AVERAGE(E45:E244)</f>
        <v>10382.4884</v>
      </c>
      <c r="M244" s="7" t="n">
        <f aca="false">I244</f>
        <v>12288.4015</v>
      </c>
      <c r="N244" s="7" t="n">
        <f aca="false">I244+2*STDEV(E225:E244)</f>
        <v>12793.3679903223</v>
      </c>
      <c r="O244" s="7" t="n">
        <f aca="false">I244-2*STDEV(E225:E244)</f>
        <v>11783.4350096777</v>
      </c>
      <c r="P244" s="7" t="n">
        <f aca="false">MAX(E244-E243,0)</f>
        <v>133.710000000001</v>
      </c>
      <c r="Q244" s="7" t="n">
        <f aca="false">MAX(E243-E244,0)</f>
        <v>0</v>
      </c>
      <c r="R244" s="7" t="n">
        <f aca="false">(R243*13+P244)/14</f>
        <v>65.9223520256667</v>
      </c>
      <c r="S244" s="7" t="n">
        <f aca="false">(S243*13+Q244)/14</f>
        <v>36.3451947630239</v>
      </c>
      <c r="T244" s="7" t="n">
        <f aca="false">IF(S244=0,100,100-100/(1+R244/S244))</f>
        <v>64.4606760362387</v>
      </c>
      <c r="U244" s="7" t="n">
        <f aca="false">E244*2/13+U243*11/13</f>
        <v>12413.4482774802</v>
      </c>
      <c r="V244" s="7" t="n">
        <f aca="false">E244*2/27+V243*25/27</f>
        <v>12223.5340138178</v>
      </c>
      <c r="W244" s="7" t="n">
        <f aca="false">U244-V244</f>
        <v>189.914263662482</v>
      </c>
      <c r="X244" s="7" t="n">
        <f aca="false">W244*2/10+X243*8/10</f>
        <v>194.896853513392</v>
      </c>
      <c r="Y244" s="7" t="n">
        <f aca="false">W244-X244</f>
        <v>-4.98258985090962</v>
      </c>
      <c r="Z244" s="8" t="s">
        <v>42</v>
      </c>
      <c r="AA244" s="7" t="str">
        <f aca="false">IFERROR(INDEX(02_轉折點45!B:B,MATCH(A244,02_轉折點45!A:A,0)),"")</f>
        <v/>
      </c>
      <c r="AB244" s="7" t="n">
        <f aca="false">COUNTIFS(05_訊號明細!A:A,A244,05_訊號明細!C:C,"TOP")</f>
        <v>0</v>
      </c>
      <c r="AC244" s="7" t="n">
        <f aca="false">COUNTIFS(05_訊號明細!A:A,A244,05_訊號明細!C:C,"BOTTOM")</f>
        <v>0</v>
      </c>
    </row>
    <row r="245" customFormat="false" ht="15" hidden="false" customHeight="false" outlineLevel="0" collapsed="false">
      <c r="A245" s="7" t="s">
        <v>286</v>
      </c>
      <c r="B245" s="7" t="n">
        <v>12607.87</v>
      </c>
      <c r="C245" s="7" t="n">
        <v>12698.11</v>
      </c>
      <c r="D245" s="7" t="n">
        <v>12568.71</v>
      </c>
      <c r="E245" s="7" t="n">
        <v>12668.16</v>
      </c>
      <c r="F245" s="7" t="n">
        <v>4593</v>
      </c>
      <c r="G245" s="7" t="n">
        <f aca="false">AVERAGE(E241:E245)</f>
        <v>12500.688</v>
      </c>
      <c r="H245" s="7" t="n">
        <f aca="false">AVERAGE(E236:E245)</f>
        <v>12509.588</v>
      </c>
      <c r="I245" s="7" t="n">
        <f aca="false">AVERAGE(E226:E245)</f>
        <v>12322.935</v>
      </c>
      <c r="J245" s="7" t="n">
        <f aca="false">AVERAGE(E196:E245)</f>
        <v>11950.8718</v>
      </c>
      <c r="K245" s="7" t="n">
        <f aca="false">AVERAGE(E146:E245)</f>
        <v>11634.8375</v>
      </c>
      <c r="L245" s="7" t="n">
        <f aca="false">AVERAGE(E46:E245)</f>
        <v>10401.0828</v>
      </c>
      <c r="M245" s="7" t="n">
        <f aca="false">I245</f>
        <v>12322.935</v>
      </c>
      <c r="N245" s="7" t="n">
        <f aca="false">I245+2*STDEV(E226:E245)</f>
        <v>12832.8178137193</v>
      </c>
      <c r="O245" s="7" t="n">
        <f aca="false">I245-2*STDEV(E226:E245)</f>
        <v>11813.0521862807</v>
      </c>
      <c r="P245" s="7" t="n">
        <f aca="false">MAX(E245-E244,0)</f>
        <v>72.2399999999998</v>
      </c>
      <c r="Q245" s="7" t="n">
        <f aca="false">MAX(E244-E245,0)</f>
        <v>0</v>
      </c>
      <c r="R245" s="7" t="n">
        <f aca="false">(R244*13+P245)/14</f>
        <v>66.373612595262</v>
      </c>
      <c r="S245" s="7" t="n">
        <f aca="false">(S244*13+Q245)/14</f>
        <v>33.7491094228079</v>
      </c>
      <c r="T245" s="7" t="n">
        <f aca="false">IF(S245=0,100,100-100/(1+R245/S245))</f>
        <v>66.2922573991577</v>
      </c>
      <c r="U245" s="7" t="n">
        <f aca="false">E245*2/13+U244*11/13</f>
        <v>12452.6346963294</v>
      </c>
      <c r="V245" s="7" t="n">
        <f aca="false">E245*2/27+V244*25/27</f>
        <v>12256.4692720535</v>
      </c>
      <c r="W245" s="7" t="n">
        <f aca="false">U245-V245</f>
        <v>196.165424275954</v>
      </c>
      <c r="X245" s="7" t="n">
        <f aca="false">W245*2/10+X244*8/10</f>
        <v>195.150567665904</v>
      </c>
      <c r="Y245" s="7" t="n">
        <f aca="false">W245-X245</f>
        <v>1.01485661005006</v>
      </c>
      <c r="Z245" s="8" t="s">
        <v>42</v>
      </c>
      <c r="AA245" s="7" t="str">
        <f aca="false">IFERROR(INDEX(02_轉折點45!B:B,MATCH(A245,02_轉折點45!A:A,0)),"")</f>
        <v/>
      </c>
      <c r="AB245" s="7" t="n">
        <f aca="false">COUNTIFS(05_訊號明細!A:A,A245,05_訊號明細!C:C,"TOP")</f>
        <v>0</v>
      </c>
      <c r="AC245" s="7" t="n">
        <f aca="false">COUNTIFS(05_訊號明細!A:A,A245,05_訊號明細!C:C,"BOTTOM")</f>
        <v>0</v>
      </c>
    </row>
    <row r="246" customFormat="false" ht="15" hidden="false" customHeight="false" outlineLevel="0" collapsed="false">
      <c r="A246" s="7" t="s">
        <v>287</v>
      </c>
      <c r="B246" s="7" t="n">
        <v>12741.64</v>
      </c>
      <c r="C246" s="7" t="n">
        <v>12760.97</v>
      </c>
      <c r="D246" s="7" t="n">
        <v>12685.98</v>
      </c>
      <c r="E246" s="7" t="n">
        <v>12752.06</v>
      </c>
      <c r="F246" s="7" t="n">
        <v>5030</v>
      </c>
      <c r="G246" s="7" t="n">
        <f aca="false">AVERAGE(E242:E246)</f>
        <v>12570.752</v>
      </c>
      <c r="H246" s="7" t="n">
        <f aca="false">AVERAGE(E237:E246)</f>
        <v>12538.081</v>
      </c>
      <c r="I246" s="7" t="n">
        <f aca="false">AVERAGE(E227:E246)</f>
        <v>12365.8025</v>
      </c>
      <c r="J246" s="7" t="n">
        <f aca="false">AVERAGE(E197:E246)</f>
        <v>11975.8492</v>
      </c>
      <c r="K246" s="7" t="n">
        <f aca="false">AVERAGE(E147:E246)</f>
        <v>11657.0331</v>
      </c>
      <c r="L246" s="7" t="n">
        <f aca="false">AVERAGE(E47:E246)</f>
        <v>10421.4848</v>
      </c>
      <c r="M246" s="7" t="n">
        <f aca="false">I246</f>
        <v>12365.8025</v>
      </c>
      <c r="N246" s="7" t="n">
        <f aca="false">I246+2*STDEV(E227:E246)</f>
        <v>12868.2023117614</v>
      </c>
      <c r="O246" s="7" t="n">
        <f aca="false">I246-2*STDEV(E227:E246)</f>
        <v>11863.4026882386</v>
      </c>
      <c r="P246" s="7" t="n">
        <f aca="false">MAX(E246-E245,0)</f>
        <v>83.8999999999996</v>
      </c>
      <c r="Q246" s="7" t="n">
        <f aca="false">MAX(E245-E246,0)</f>
        <v>0</v>
      </c>
      <c r="R246" s="7" t="n">
        <f aca="false">(R245*13+P246)/14</f>
        <v>67.6254974098861</v>
      </c>
      <c r="S246" s="7" t="n">
        <f aca="false">(S245*13+Q246)/14</f>
        <v>31.3384587497502</v>
      </c>
      <c r="T246" s="7" t="n">
        <f aca="false">IF(S246=0,100,100-100/(1+R246/S246))</f>
        <v>68.3334620341987</v>
      </c>
      <c r="U246" s="7" t="n">
        <f aca="false">E246*2/13+U245*11/13</f>
        <v>12498.7001276634</v>
      </c>
      <c r="V246" s="7" t="n">
        <f aca="false">E246*2/27+V245*25/27</f>
        <v>12293.1796963458</v>
      </c>
      <c r="W246" s="7" t="n">
        <f aca="false">U246-V246</f>
        <v>205.520431317551</v>
      </c>
      <c r="X246" s="7" t="n">
        <f aca="false">W246*2/10+X245*8/10</f>
        <v>197.224540396233</v>
      </c>
      <c r="Y246" s="7" t="n">
        <f aca="false">W246-X246</f>
        <v>8.29589092131744</v>
      </c>
      <c r="Z246" s="8" t="s">
        <v>42</v>
      </c>
      <c r="AA246" s="7" t="str">
        <f aca="false">IFERROR(INDEX(02_轉折點45!B:B,MATCH(A246,02_轉折點45!A:A,0)),"")</f>
        <v/>
      </c>
      <c r="AB246" s="7" t="n">
        <f aca="false">COUNTIFS(05_訊號明細!A:A,A246,05_訊號明細!C:C,"TOP")</f>
        <v>0</v>
      </c>
      <c r="AC246" s="7" t="n">
        <f aca="false">COUNTIFS(05_訊號明細!A:A,A246,05_訊號明細!C:C,"BOTTOM")</f>
        <v>0</v>
      </c>
    </row>
    <row r="247" customFormat="false" ht="15" hidden="false" customHeight="false" outlineLevel="0" collapsed="false">
      <c r="A247" s="7" t="s">
        <v>288</v>
      </c>
      <c r="B247" s="7" t="n">
        <v>12786.92</v>
      </c>
      <c r="C247" s="7" t="n">
        <v>12793.47</v>
      </c>
      <c r="D247" s="7" t="n">
        <v>12611.22</v>
      </c>
      <c r="E247" s="7" t="n">
        <v>12738.18</v>
      </c>
      <c r="F247" s="7" t="n">
        <v>7126</v>
      </c>
      <c r="G247" s="7" t="n">
        <f aca="false">AVERAGE(E243:E247)</f>
        <v>12643.306</v>
      </c>
      <c r="H247" s="7" t="n">
        <f aca="false">AVERAGE(E238:E247)</f>
        <v>12559.051</v>
      </c>
      <c r="I247" s="7" t="n">
        <f aca="false">AVERAGE(E228:E247)</f>
        <v>12403.44</v>
      </c>
      <c r="J247" s="7" t="n">
        <f aca="false">AVERAGE(E198:E247)</f>
        <v>11999.594</v>
      </c>
      <c r="K247" s="7" t="n">
        <f aca="false">AVERAGE(E148:E247)</f>
        <v>11677.7851</v>
      </c>
      <c r="L247" s="7" t="n">
        <f aca="false">AVERAGE(E48:E247)</f>
        <v>10442.524</v>
      </c>
      <c r="M247" s="7" t="n">
        <f aca="false">I247</f>
        <v>12403.44</v>
      </c>
      <c r="N247" s="7" t="n">
        <f aca="false">I247+2*STDEV(E228:E247)</f>
        <v>12898.5905028405</v>
      </c>
      <c r="O247" s="7" t="n">
        <f aca="false">I247-2*STDEV(E228:E247)</f>
        <v>11908.2894971595</v>
      </c>
      <c r="P247" s="7" t="n">
        <f aca="false">MAX(E247-E246,0)</f>
        <v>0</v>
      </c>
      <c r="Q247" s="7" t="n">
        <f aca="false">MAX(E246-E247,0)</f>
        <v>13.8799999999992</v>
      </c>
      <c r="R247" s="7" t="n">
        <f aca="false">(R246*13+P247)/14</f>
        <v>62.7951047377513</v>
      </c>
      <c r="S247" s="7" t="n">
        <f aca="false">(S246*13+Q247)/14</f>
        <v>30.0914259819108</v>
      </c>
      <c r="T247" s="7" t="n">
        <f aca="false">IF(S247=0,100,100-100/(1+R247/S247))</f>
        <v>67.6041017478317</v>
      </c>
      <c r="U247" s="7" t="n">
        <f aca="false">E247*2/13+U246*11/13</f>
        <v>12535.5431849459</v>
      </c>
      <c r="V247" s="7" t="n">
        <f aca="false">E247*2/27+V246*25/27</f>
        <v>12326.1426818017</v>
      </c>
      <c r="W247" s="7" t="n">
        <f aca="false">U247-V247</f>
        <v>209.400503144243</v>
      </c>
      <c r="X247" s="7" t="n">
        <f aca="false">W247*2/10+X246*8/10</f>
        <v>199.659732945835</v>
      </c>
      <c r="Y247" s="7" t="n">
        <f aca="false">W247-X247</f>
        <v>9.7407701984076</v>
      </c>
      <c r="Z247" s="8" t="s">
        <v>42</v>
      </c>
      <c r="AA247" s="7" t="str">
        <f aca="false">IFERROR(INDEX(02_轉折點45!B:B,MATCH(A247,02_轉折點45!A:A,0)),"")</f>
        <v/>
      </c>
      <c r="AB247" s="7" t="n">
        <f aca="false">COUNTIFS(05_訊號明細!A:A,A247,05_訊號明細!C:C,"TOP")</f>
        <v>0</v>
      </c>
      <c r="AC247" s="7" t="n">
        <f aca="false">COUNTIFS(05_訊號明細!A:A,A247,05_訊號明細!C:C,"BOTTOM")</f>
        <v>0</v>
      </c>
    </row>
    <row r="248" customFormat="false" ht="15" hidden="false" customHeight="false" outlineLevel="0" collapsed="false">
      <c r="A248" s="7" t="s">
        <v>289</v>
      </c>
      <c r="B248" s="7" t="n">
        <v>12575.6</v>
      </c>
      <c r="C248" s="7" t="n">
        <v>12706.44</v>
      </c>
      <c r="D248" s="7" t="n">
        <v>12474.03</v>
      </c>
      <c r="E248" s="7" t="n">
        <v>12690.26</v>
      </c>
      <c r="F248" s="7" t="n">
        <v>5193</v>
      </c>
      <c r="G248" s="7" t="n">
        <f aca="false">AVERAGE(E244:E248)</f>
        <v>12688.916</v>
      </c>
      <c r="H248" s="7" t="n">
        <f aca="false">AVERAGE(E239:E248)</f>
        <v>12568.43</v>
      </c>
      <c r="I248" s="7" t="n">
        <f aca="false">AVERAGE(E229:E248)</f>
        <v>12442.631</v>
      </c>
      <c r="J248" s="7" t="n">
        <f aca="false">AVERAGE(E199:E248)</f>
        <v>12018.8822</v>
      </c>
      <c r="K248" s="7" t="n">
        <f aca="false">AVERAGE(E149:E248)</f>
        <v>11697.5326</v>
      </c>
      <c r="L248" s="7" t="n">
        <f aca="false">AVERAGE(E49:E248)</f>
        <v>10466.23515</v>
      </c>
      <c r="M248" s="7" t="n">
        <f aca="false">I248</f>
        <v>12442.631</v>
      </c>
      <c r="N248" s="7" t="n">
        <f aca="false">I248+2*STDEV(E229:E248)</f>
        <v>12894.3213037725</v>
      </c>
      <c r="O248" s="7" t="n">
        <f aca="false">I248-2*STDEV(E229:E248)</f>
        <v>11990.9406962275</v>
      </c>
      <c r="P248" s="7" t="n">
        <f aca="false">MAX(E248-E247,0)</f>
        <v>0</v>
      </c>
      <c r="Q248" s="7" t="n">
        <f aca="false">MAX(E247-E248,0)</f>
        <v>47.9200000000001</v>
      </c>
      <c r="R248" s="7" t="n">
        <f aca="false">(R247*13+P248)/14</f>
        <v>58.3097401136263</v>
      </c>
      <c r="S248" s="7" t="n">
        <f aca="false">(S247*13+Q248)/14</f>
        <v>31.3648955546315</v>
      </c>
      <c r="T248" s="7" t="n">
        <f aca="false">IF(S248=0,100,100-100/(1+R248/S248))</f>
        <v>65.023671051575</v>
      </c>
      <c r="U248" s="7" t="n">
        <f aca="false">E248*2/13+U247*11/13</f>
        <v>12559.3457718773</v>
      </c>
      <c r="V248" s="7" t="n">
        <f aca="false">E248*2/27+V247*25/27</f>
        <v>12353.1143350016</v>
      </c>
      <c r="W248" s="7" t="n">
        <f aca="false">U248-V248</f>
        <v>206.231436875762</v>
      </c>
      <c r="X248" s="7" t="n">
        <f aca="false">W248*2/10+X247*8/10</f>
        <v>200.974073731821</v>
      </c>
      <c r="Y248" s="7" t="n">
        <f aca="false">W248-X248</f>
        <v>5.25736314394095</v>
      </c>
      <c r="Z248" s="8" t="s">
        <v>42</v>
      </c>
      <c r="AA248" s="7" t="str">
        <f aca="false">IFERROR(INDEX(02_轉折點45!B:B,MATCH(A248,02_轉折點45!A:A,0)),"")</f>
        <v/>
      </c>
      <c r="AB248" s="7" t="n">
        <f aca="false">COUNTIFS(05_訊號明細!A:A,A248,05_訊號明細!C:C,"TOP")</f>
        <v>0</v>
      </c>
      <c r="AC248" s="7" t="n">
        <f aca="false">COUNTIFS(05_訊號明細!A:A,A248,05_訊號明細!C:C,"BOTTOM")</f>
        <v>0</v>
      </c>
    </row>
    <row r="249" customFormat="false" ht="15" hidden="false" customHeight="false" outlineLevel="0" collapsed="false">
      <c r="A249" s="7" t="s">
        <v>290</v>
      </c>
      <c r="B249" s="7" t="n">
        <v>12715.48</v>
      </c>
      <c r="C249" s="7" t="n">
        <v>12761.23</v>
      </c>
      <c r="D249" s="7" t="n">
        <v>12606.42</v>
      </c>
      <c r="E249" s="7" t="n">
        <v>12717.56</v>
      </c>
      <c r="F249" s="7" t="n">
        <v>5812</v>
      </c>
      <c r="G249" s="7" t="n">
        <f aca="false">AVERAGE(E245:E249)</f>
        <v>12713.244</v>
      </c>
      <c r="H249" s="7" t="n">
        <f aca="false">AVERAGE(E240:E249)</f>
        <v>12576.614</v>
      </c>
      <c r="I249" s="7" t="n">
        <f aca="false">AVERAGE(E230:E249)</f>
        <v>12483.212</v>
      </c>
      <c r="J249" s="7" t="n">
        <f aca="false">AVERAGE(E200:E249)</f>
        <v>12031.4712</v>
      </c>
      <c r="K249" s="7" t="n">
        <f aca="false">AVERAGE(E150:E249)</f>
        <v>11715.6494</v>
      </c>
      <c r="L249" s="7" t="n">
        <f aca="false">AVERAGE(E50:E249)</f>
        <v>10487.9616</v>
      </c>
      <c r="M249" s="7" t="n">
        <f aca="false">I249</f>
        <v>12483.212</v>
      </c>
      <c r="N249" s="7" t="n">
        <f aca="false">I249+2*STDEV(E230:E249)</f>
        <v>12873.5497739235</v>
      </c>
      <c r="O249" s="7" t="n">
        <f aca="false">I249-2*STDEV(E230:E249)</f>
        <v>12092.8742260765</v>
      </c>
      <c r="P249" s="7" t="n">
        <f aca="false">MAX(E249-E248,0)</f>
        <v>27.2999999999993</v>
      </c>
      <c r="Q249" s="7" t="n">
        <f aca="false">MAX(E248-E249,0)</f>
        <v>0</v>
      </c>
      <c r="R249" s="7" t="n">
        <f aca="false">(R248*13+P249)/14</f>
        <v>56.0947586769386</v>
      </c>
      <c r="S249" s="7" t="n">
        <f aca="false">(S248*13+Q249)/14</f>
        <v>29.1245458721578</v>
      </c>
      <c r="T249" s="7" t="n">
        <f aca="false">IF(S249=0,100,100-100/(1+R249/S249))</f>
        <v>65.8240042837024</v>
      </c>
      <c r="U249" s="7" t="n">
        <f aca="false">E249*2/13+U248*11/13</f>
        <v>12583.6864223577</v>
      </c>
      <c r="V249" s="7" t="n">
        <f aca="false">E249*2/27+V248*25/27</f>
        <v>12380.1103101866</v>
      </c>
      <c r="W249" s="7" t="n">
        <f aca="false">U249-V249</f>
        <v>203.576112171104</v>
      </c>
      <c r="X249" s="7" t="n">
        <f aca="false">W249*2/10+X248*8/10</f>
        <v>201.494481419677</v>
      </c>
      <c r="Y249" s="7" t="n">
        <f aca="false">W249-X249</f>
        <v>2.08163075142662</v>
      </c>
      <c r="Z249" s="8" t="s">
        <v>42</v>
      </c>
      <c r="AA249" s="7" t="str">
        <f aca="false">IFERROR(INDEX(02_轉折點45!B:B,MATCH(A249,02_轉折點45!A:A,0)),"")</f>
        <v/>
      </c>
      <c r="AB249" s="7" t="n">
        <f aca="false">COUNTIFS(05_訊號明細!A:A,A249,05_訊號明細!C:C,"TOP")</f>
        <v>0</v>
      </c>
      <c r="AC249" s="7" t="n">
        <f aca="false">COUNTIFS(05_訊號明細!A:A,A249,05_訊號明細!C:C,"BOTTOM")</f>
        <v>0</v>
      </c>
    </row>
    <row r="250" customFormat="false" ht="15" hidden="false" customHeight="false" outlineLevel="0" collapsed="false">
      <c r="A250" s="7" t="s">
        <v>291</v>
      </c>
      <c r="B250" s="7" t="n">
        <v>12733.75</v>
      </c>
      <c r="C250" s="7" t="n">
        <v>12737.59</v>
      </c>
      <c r="D250" s="7" t="n">
        <v>12649.6</v>
      </c>
      <c r="E250" s="7" t="n">
        <v>12653.14</v>
      </c>
      <c r="F250" s="7" t="n">
        <v>7100</v>
      </c>
      <c r="G250" s="7" t="n">
        <f aca="false">AVERAGE(E246:E250)</f>
        <v>12710.24</v>
      </c>
      <c r="H250" s="7" t="n">
        <f aca="false">AVERAGE(E241:E250)</f>
        <v>12605.464</v>
      </c>
      <c r="I250" s="7" t="n">
        <f aca="false">AVERAGE(E231:E250)</f>
        <v>12511.8785</v>
      </c>
      <c r="J250" s="7" t="n">
        <f aca="false">AVERAGE(E201:E250)</f>
        <v>12042.8706</v>
      </c>
      <c r="K250" s="7" t="n">
        <f aca="false">AVERAGE(E151:E250)</f>
        <v>11731.63</v>
      </c>
      <c r="L250" s="7" t="n">
        <f aca="false">AVERAGE(E51:E250)</f>
        <v>10511.1967</v>
      </c>
      <c r="M250" s="7" t="n">
        <f aca="false">I250</f>
        <v>12511.8785</v>
      </c>
      <c r="N250" s="7" t="n">
        <f aca="false">I250+2*STDEV(E231:E250)</f>
        <v>12859.330573622</v>
      </c>
      <c r="O250" s="7" t="n">
        <f aca="false">I250-2*STDEV(E231:E250)</f>
        <v>12164.426426378</v>
      </c>
      <c r="P250" s="7" t="n">
        <f aca="false">MAX(E250-E249,0)</f>
        <v>0</v>
      </c>
      <c r="Q250" s="7" t="n">
        <f aca="false">MAX(E249-E250,0)</f>
        <v>64.4200000000001</v>
      </c>
      <c r="R250" s="7" t="n">
        <f aca="false">(R249*13+P250)/14</f>
        <v>52.0879902000144</v>
      </c>
      <c r="S250" s="7" t="n">
        <f aca="false">(S249*13+Q250)/14</f>
        <v>31.6456497384323</v>
      </c>
      <c r="T250" s="7" t="n">
        <f aca="false">IF(S250=0,100,100-100/(1+R250/S250))</f>
        <v>62.2067668840203</v>
      </c>
      <c r="U250" s="7" t="n">
        <f aca="false">E250*2/13+U249*11/13</f>
        <v>12594.3715881489</v>
      </c>
      <c r="V250" s="7" t="n">
        <f aca="false">E250*2/27+V249*25/27</f>
        <v>12400.3347316543</v>
      </c>
      <c r="W250" s="7" t="n">
        <f aca="false">U250-V250</f>
        <v>194.036856494566</v>
      </c>
      <c r="X250" s="7" t="n">
        <f aca="false">W250*2/10+X249*8/10</f>
        <v>200.002956434655</v>
      </c>
      <c r="Y250" s="7" t="n">
        <f aca="false">W250-X250</f>
        <v>-5.96609994008929</v>
      </c>
      <c r="Z250" s="8" t="s">
        <v>42</v>
      </c>
      <c r="AA250" s="7" t="str">
        <f aca="false">IFERROR(INDEX(02_轉折點45!B:B,MATCH(A250,02_轉折點45!A:A,0)),"")</f>
        <v/>
      </c>
      <c r="AB250" s="7" t="n">
        <f aca="false">COUNTIFS(05_訊號明細!A:A,A250,05_訊號明細!C:C,"TOP")</f>
        <v>0</v>
      </c>
      <c r="AC250" s="7" t="n">
        <f aca="false">COUNTIFS(05_訊號明細!A:A,A250,05_訊號明細!C:C,"BOTTOM")</f>
        <v>0</v>
      </c>
    </row>
    <row r="251" customFormat="false" ht="15" hidden="false" customHeight="false" outlineLevel="0" collapsed="false">
      <c r="A251" s="7" t="s">
        <v>292</v>
      </c>
      <c r="B251" s="7" t="n">
        <v>12668.2</v>
      </c>
      <c r="C251" s="7" t="n">
        <v>12732.55</v>
      </c>
      <c r="D251" s="7" t="n">
        <v>12665.8</v>
      </c>
      <c r="E251" s="7" t="n">
        <v>12711.01</v>
      </c>
      <c r="F251" s="7" t="n">
        <v>3306</v>
      </c>
      <c r="G251" s="7" t="n">
        <f aca="false">AVERAGE(E247:E251)</f>
        <v>12702.03</v>
      </c>
      <c r="H251" s="7" t="n">
        <f aca="false">AVERAGE(E242:E251)</f>
        <v>12636.391</v>
      </c>
      <c r="I251" s="7" t="n">
        <f aca="false">AVERAGE(E232:E251)</f>
        <v>12539.818</v>
      </c>
      <c r="J251" s="7" t="n">
        <f aca="false">AVERAGE(E202:E251)</f>
        <v>12057.3836</v>
      </c>
      <c r="K251" s="7" t="n">
        <f aca="false">AVERAGE(E152:E251)</f>
        <v>11747.7747</v>
      </c>
      <c r="L251" s="7" t="n">
        <f aca="false">AVERAGE(E52:E251)</f>
        <v>10538.4335</v>
      </c>
      <c r="M251" s="7" t="n">
        <f aca="false">I251</f>
        <v>12539.818</v>
      </c>
      <c r="N251" s="7" t="n">
        <f aca="false">I251+2*STDEV(E232:E251)</f>
        <v>12853.7475213965</v>
      </c>
      <c r="O251" s="7" t="n">
        <f aca="false">I251-2*STDEV(E232:E251)</f>
        <v>12225.8884786035</v>
      </c>
      <c r="P251" s="7" t="n">
        <f aca="false">MAX(E251-E250,0)</f>
        <v>57.8700000000008</v>
      </c>
      <c r="Q251" s="7" t="n">
        <f aca="false">MAX(E250-E251,0)</f>
        <v>0</v>
      </c>
      <c r="R251" s="7" t="n">
        <f aca="false">(R250*13+P251)/14</f>
        <v>52.5009909000135</v>
      </c>
      <c r="S251" s="7" t="n">
        <f aca="false">(S250*13+Q251)/14</f>
        <v>29.3852461856871</v>
      </c>
      <c r="T251" s="7" t="n">
        <f aca="false">IF(S251=0,100,100-100/(1+R251/S251))</f>
        <v>64.1145481444787</v>
      </c>
      <c r="U251" s="7" t="n">
        <f aca="false">E251*2/13+U250*11/13</f>
        <v>12612.3159592029</v>
      </c>
      <c r="V251" s="7" t="n">
        <f aca="false">E251*2/27+V250*25/27</f>
        <v>12423.3477144947</v>
      </c>
      <c r="W251" s="7" t="n">
        <f aca="false">U251-V251</f>
        <v>188.968244708165</v>
      </c>
      <c r="X251" s="7" t="n">
        <f aca="false">W251*2/10+X250*8/10</f>
        <v>197.796014089357</v>
      </c>
      <c r="Y251" s="7" t="n">
        <f aca="false">W251-X251</f>
        <v>-8.82776938119196</v>
      </c>
      <c r="Z251" s="8" t="s">
        <v>42</v>
      </c>
      <c r="AA251" s="7" t="str">
        <f aca="false">IFERROR(INDEX(02_轉折點45!B:B,MATCH(A251,02_轉折點45!A:A,0)),"")</f>
        <v/>
      </c>
      <c r="AB251" s="7" t="n">
        <f aca="false">COUNTIFS(05_訊號明細!A:A,A251,05_訊號明細!C:C,"TOP")</f>
        <v>0</v>
      </c>
      <c r="AC251" s="7" t="n">
        <f aca="false">COUNTIFS(05_訊號明細!A:A,A251,05_訊號明細!C:C,"BOTTOM")</f>
        <v>0</v>
      </c>
    </row>
    <row r="252" customFormat="false" ht="15" hidden="false" customHeight="false" outlineLevel="0" collapsed="false">
      <c r="A252" s="7" t="s">
        <v>293</v>
      </c>
      <c r="B252" s="7" t="n">
        <v>12813.97</v>
      </c>
      <c r="C252" s="7" t="n">
        <v>12861.91</v>
      </c>
      <c r="D252" s="7" t="n">
        <v>12747.05</v>
      </c>
      <c r="E252" s="7" t="n">
        <v>12838.86</v>
      </c>
      <c r="F252" s="7" t="n">
        <v>5109</v>
      </c>
      <c r="G252" s="7" t="n">
        <f aca="false">AVERAGE(E248:E252)</f>
        <v>12722.166</v>
      </c>
      <c r="H252" s="7" t="n">
        <f aca="false">AVERAGE(E243:E252)</f>
        <v>12682.736</v>
      </c>
      <c r="I252" s="7" t="n">
        <f aca="false">AVERAGE(E233:E252)</f>
        <v>12568.8505</v>
      </c>
      <c r="J252" s="7" t="n">
        <f aca="false">AVERAGE(E203:E252)</f>
        <v>12076.1894</v>
      </c>
      <c r="K252" s="7" t="n">
        <f aca="false">AVERAGE(E153:E252)</f>
        <v>11764.9089</v>
      </c>
      <c r="L252" s="7" t="n">
        <f aca="false">AVERAGE(E53:E252)</f>
        <v>10562.6515</v>
      </c>
      <c r="M252" s="7" t="n">
        <f aca="false">I252</f>
        <v>12568.8505</v>
      </c>
      <c r="N252" s="7" t="n">
        <f aca="false">I252+2*STDEV(E233:E252)</f>
        <v>12880.5136504466</v>
      </c>
      <c r="O252" s="7" t="n">
        <f aca="false">I252-2*STDEV(E233:E252)</f>
        <v>12257.1873495534</v>
      </c>
      <c r="P252" s="7" t="n">
        <f aca="false">MAX(E252-E251,0)</f>
        <v>127.85</v>
      </c>
      <c r="Q252" s="7" t="n">
        <f aca="false">MAX(E251-E252,0)</f>
        <v>0</v>
      </c>
      <c r="R252" s="7" t="n">
        <f aca="false">(R251*13+P252)/14</f>
        <v>57.883062978584</v>
      </c>
      <c r="S252" s="7" t="n">
        <f aca="false">(S251*13+Q252)/14</f>
        <v>27.2863000295666</v>
      </c>
      <c r="T252" s="7" t="n">
        <f aca="false">IF(S252=0,100,100-100/(1+R252/S252))</f>
        <v>67.9623058505729</v>
      </c>
      <c r="U252" s="7" t="n">
        <f aca="false">E252*2/13+U251*11/13</f>
        <v>12647.1688885563</v>
      </c>
      <c r="V252" s="7" t="n">
        <f aca="false">E252*2/27+V251*25/27</f>
        <v>12454.1264023099</v>
      </c>
      <c r="W252" s="7" t="n">
        <f aca="false">U252-V252</f>
        <v>193.042486246362</v>
      </c>
      <c r="X252" s="7" t="n">
        <f aca="false">W252*2/10+X251*8/10</f>
        <v>196.845308520758</v>
      </c>
      <c r="Y252" s="7" t="n">
        <f aca="false">W252-X252</f>
        <v>-3.80282227439568</v>
      </c>
      <c r="Z252" s="8" t="s">
        <v>42</v>
      </c>
      <c r="AA252" s="7" t="str">
        <f aca="false">IFERROR(INDEX(02_轉折點45!B:B,MATCH(A252,02_轉折點45!A:A,0)),"")</f>
        <v/>
      </c>
      <c r="AB252" s="7" t="n">
        <f aca="false">COUNTIFS(05_訊號明細!A:A,A252,05_訊號明細!C:C,"TOP")</f>
        <v>1</v>
      </c>
      <c r="AC252" s="7" t="n">
        <f aca="false">COUNTIFS(05_訊號明細!A:A,A252,05_訊號明細!C:C,"BOTTOM")</f>
        <v>0</v>
      </c>
    </row>
    <row r="253" customFormat="false" ht="15" hidden="false" customHeight="false" outlineLevel="0" collapsed="false">
      <c r="A253" s="7" t="s">
        <v>294</v>
      </c>
      <c r="B253" s="7" t="n">
        <v>12909.86</v>
      </c>
      <c r="C253" s="7" t="n">
        <v>12925.53</v>
      </c>
      <c r="D253" s="7" t="n">
        <v>12816.59</v>
      </c>
      <c r="E253" s="7" t="n">
        <v>12843.49</v>
      </c>
      <c r="F253" s="7" t="n">
        <v>4727</v>
      </c>
      <c r="G253" s="7" t="n">
        <f aca="false">AVERAGE(E249:E253)</f>
        <v>12752.812</v>
      </c>
      <c r="H253" s="7" t="n">
        <f aca="false">AVERAGE(E244:E253)</f>
        <v>12720.864</v>
      </c>
      <c r="I253" s="7" t="n">
        <f aca="false">AVERAGE(E234:E253)</f>
        <v>12597.609</v>
      </c>
      <c r="J253" s="7" t="n">
        <f aca="false">AVERAGE(E204:E253)</f>
        <v>12096.0158</v>
      </c>
      <c r="K253" s="7" t="n">
        <f aca="false">AVERAGE(E154:E253)</f>
        <v>11780.673</v>
      </c>
      <c r="L253" s="7" t="n">
        <f aca="false">AVERAGE(E54:E253)</f>
        <v>10591.76705</v>
      </c>
      <c r="M253" s="7" t="n">
        <f aca="false">I253</f>
        <v>12597.609</v>
      </c>
      <c r="N253" s="7" t="n">
        <f aca="false">I253+2*STDEV(E234:E253)</f>
        <v>12898.4685979523</v>
      </c>
      <c r="O253" s="7" t="n">
        <f aca="false">I253-2*STDEV(E234:E253)</f>
        <v>12296.7494020477</v>
      </c>
      <c r="P253" s="7" t="n">
        <f aca="false">MAX(E253-E252,0)</f>
        <v>4.6299999999992</v>
      </c>
      <c r="Q253" s="7" t="n">
        <f aca="false">MAX(E252-E253,0)</f>
        <v>0</v>
      </c>
      <c r="R253" s="7" t="n">
        <f aca="false">(R252*13+P253)/14</f>
        <v>54.0792727658279</v>
      </c>
      <c r="S253" s="7" t="n">
        <f aca="false">(S252*13+Q253)/14</f>
        <v>25.3372785988833</v>
      </c>
      <c r="T253" s="7" t="n">
        <f aca="false">IF(S253=0,100,100-100/(1+R253/S253))</f>
        <v>68.095720396464</v>
      </c>
      <c r="U253" s="7" t="n">
        <f aca="false">E253*2/13+U252*11/13</f>
        <v>12677.3721364707</v>
      </c>
      <c r="V253" s="7" t="n">
        <f aca="false">E253*2/27+V252*25/27</f>
        <v>12482.968150287</v>
      </c>
      <c r="W253" s="7" t="n">
        <f aca="false">U253-V253</f>
        <v>194.403986183739</v>
      </c>
      <c r="X253" s="7" t="n">
        <f aca="false">W253*2/10+X252*8/10</f>
        <v>196.357044053354</v>
      </c>
      <c r="Y253" s="7" t="n">
        <f aca="false">W253-X253</f>
        <v>-1.95305786961518</v>
      </c>
      <c r="Z253" s="8" t="s">
        <v>42</v>
      </c>
      <c r="AA253" s="7" t="str">
        <f aca="false">IFERROR(INDEX(02_轉折點45!B:B,MATCH(A253,02_轉折點45!A:A,0)),"")</f>
        <v/>
      </c>
      <c r="AB253" s="7" t="n">
        <f aca="false">COUNTIFS(05_訊號明細!A:A,A253,05_訊號明細!C:C,"TOP")</f>
        <v>1</v>
      </c>
      <c r="AC253" s="7" t="n">
        <f aca="false">COUNTIFS(05_訊號明細!A:A,A253,05_訊號明細!C:C,"BOTTOM")</f>
        <v>0</v>
      </c>
    </row>
    <row r="254" customFormat="false" ht="15" hidden="false" customHeight="false" outlineLevel="0" collapsed="false">
      <c r="A254" s="7" t="s">
        <v>295</v>
      </c>
      <c r="B254" s="7" t="n">
        <v>12900.03</v>
      </c>
      <c r="C254" s="7" t="n">
        <v>12917.45</v>
      </c>
      <c r="D254" s="7" t="n">
        <v>12828.79</v>
      </c>
      <c r="E254" s="7" t="n">
        <v>12845.36</v>
      </c>
      <c r="F254" s="7" t="n">
        <v>5343</v>
      </c>
      <c r="G254" s="7" t="n">
        <f aca="false">AVERAGE(E250:E254)</f>
        <v>12778.372</v>
      </c>
      <c r="H254" s="7" t="n">
        <f aca="false">AVERAGE(E245:E254)</f>
        <v>12745.808</v>
      </c>
      <c r="I254" s="7" t="n">
        <f aca="false">AVERAGE(E235:E254)</f>
        <v>12617.1105</v>
      </c>
      <c r="J254" s="7" t="n">
        <f aca="false">AVERAGE(E205:E254)</f>
        <v>12120.236</v>
      </c>
      <c r="K254" s="7" t="n">
        <f aca="false">AVERAGE(E155:E254)</f>
        <v>11797.7327</v>
      </c>
      <c r="L254" s="7" t="n">
        <f aca="false">AVERAGE(E55:E254)</f>
        <v>10618.6241</v>
      </c>
      <c r="M254" s="7" t="n">
        <f aca="false">I254</f>
        <v>12617.1105</v>
      </c>
      <c r="N254" s="7" t="n">
        <f aca="false">I254+2*STDEV(E235:E254)</f>
        <v>12929.4815472785</v>
      </c>
      <c r="O254" s="7" t="n">
        <f aca="false">I254-2*STDEV(E235:E254)</f>
        <v>12304.7394527215</v>
      </c>
      <c r="P254" s="7" t="n">
        <f aca="false">MAX(E254-E253,0)</f>
        <v>1.8700000000008</v>
      </c>
      <c r="Q254" s="7" t="n">
        <f aca="false">MAX(E253-E254,0)</f>
        <v>0</v>
      </c>
      <c r="R254" s="7" t="n">
        <f aca="false">(R253*13+P254)/14</f>
        <v>50.3500389968402</v>
      </c>
      <c r="S254" s="7" t="n">
        <f aca="false">(S253*13+Q254)/14</f>
        <v>23.5274729846773</v>
      </c>
      <c r="T254" s="7" t="n">
        <f aca="false">IF(S254=0,100,100-100/(1+R254/S254))</f>
        <v>68.1534037170021</v>
      </c>
      <c r="U254" s="7" t="n">
        <f aca="false">E254*2/13+U253*11/13</f>
        <v>12703.2164231675</v>
      </c>
      <c r="V254" s="7" t="n">
        <f aca="false">E254*2/27+V253*25/27</f>
        <v>12509.8119910064</v>
      </c>
      <c r="W254" s="7" t="n">
        <f aca="false">U254-V254</f>
        <v>193.404432161071</v>
      </c>
      <c r="X254" s="7" t="n">
        <f aca="false">W254*2/10+X253*8/10</f>
        <v>195.766521674898</v>
      </c>
      <c r="Y254" s="7" t="n">
        <f aca="false">W254-X254</f>
        <v>-2.36208951382673</v>
      </c>
      <c r="Z254" s="8" t="s">
        <v>42</v>
      </c>
      <c r="AA254" s="7" t="str">
        <f aca="false">IFERROR(INDEX(02_轉折點45!B:B,MATCH(A254,02_轉折點45!A:A,0)),"")</f>
        <v/>
      </c>
      <c r="AB254" s="7" t="n">
        <f aca="false">COUNTIFS(05_訊號明細!A:A,A254,05_訊號明細!C:C,"TOP")</f>
        <v>1</v>
      </c>
      <c r="AC254" s="7" t="n">
        <f aca="false">COUNTIFS(05_訊號明細!A:A,A254,05_訊號明細!C:C,"BOTTOM")</f>
        <v>0</v>
      </c>
    </row>
    <row r="255" customFormat="false" ht="15" hidden="false" customHeight="false" outlineLevel="0" collapsed="false">
      <c r="A255" s="7" t="s">
        <v>296</v>
      </c>
      <c r="B255" s="7" t="n">
        <v>12852.96</v>
      </c>
      <c r="C255" s="7" t="n">
        <v>12904.09</v>
      </c>
      <c r="D255" s="7" t="n">
        <v>12804.75</v>
      </c>
      <c r="E255" s="7" t="n">
        <v>12888.28</v>
      </c>
      <c r="F255" s="7" t="n">
        <v>4816</v>
      </c>
      <c r="G255" s="7" t="n">
        <f aca="false">AVERAGE(E251:E255)</f>
        <v>12825.4</v>
      </c>
      <c r="H255" s="7" t="n">
        <f aca="false">AVERAGE(E246:E255)</f>
        <v>12767.82</v>
      </c>
      <c r="I255" s="7" t="n">
        <f aca="false">AVERAGE(E236:E255)</f>
        <v>12638.704</v>
      </c>
      <c r="J255" s="7" t="n">
        <f aca="false">AVERAGE(E206:E255)</f>
        <v>12144.4448</v>
      </c>
      <c r="K255" s="7" t="n">
        <f aca="false">AVERAGE(E156:E255)</f>
        <v>11815.7638</v>
      </c>
      <c r="L255" s="7" t="n">
        <f aca="false">AVERAGE(E56:E255)</f>
        <v>10647.1896</v>
      </c>
      <c r="M255" s="7" t="n">
        <f aca="false">I255</f>
        <v>12638.704</v>
      </c>
      <c r="N255" s="7" t="n">
        <f aca="false">I255+2*STDEV(E236:E255)</f>
        <v>12963.7520451224</v>
      </c>
      <c r="O255" s="7" t="n">
        <f aca="false">I255-2*STDEV(E236:E255)</f>
        <v>12313.6559548776</v>
      </c>
      <c r="P255" s="7" t="n">
        <f aca="false">MAX(E255-E254,0)</f>
        <v>42.9200000000001</v>
      </c>
      <c r="Q255" s="7" t="n">
        <f aca="false">MAX(E254-E255,0)</f>
        <v>0</v>
      </c>
      <c r="R255" s="7" t="n">
        <f aca="false">(R254*13+P255)/14</f>
        <v>49.8193219256374</v>
      </c>
      <c r="S255" s="7" t="n">
        <f aca="false">(S254*13+Q255)/14</f>
        <v>21.8469392000575</v>
      </c>
      <c r="T255" s="7" t="n">
        <f aca="false">IF(S255=0,100,100-100/(1+R255/S255))</f>
        <v>69.5157262889153</v>
      </c>
      <c r="U255" s="7" t="n">
        <f aca="false">E255*2/13+U254*11/13</f>
        <v>12731.6877426802</v>
      </c>
      <c r="V255" s="7" t="n">
        <f aca="false">E255*2/27+V254*25/27</f>
        <v>12537.8466583393</v>
      </c>
      <c r="W255" s="7" t="n">
        <f aca="false">U255-V255</f>
        <v>193.841084340904</v>
      </c>
      <c r="X255" s="7" t="n">
        <f aca="false">W255*2/10+X254*8/10</f>
        <v>195.381434208099</v>
      </c>
      <c r="Y255" s="7" t="n">
        <f aca="false">W255-X255</f>
        <v>-1.54034986719509</v>
      </c>
      <c r="Z255" s="8" t="s">
        <v>42</v>
      </c>
      <c r="AA255" s="7" t="str">
        <f aca="false">IFERROR(INDEX(02_轉折點45!B:B,MATCH(A255,02_轉折點45!A:A,0)),"")</f>
        <v/>
      </c>
      <c r="AB255" s="7" t="n">
        <f aca="false">COUNTIFS(05_訊號明細!A:A,A255,05_訊號明細!C:C,"TOP")</f>
        <v>0</v>
      </c>
      <c r="AC255" s="7" t="n">
        <f aca="false">COUNTIFS(05_訊號明細!A:A,A255,05_訊號明細!C:C,"BOTTOM")</f>
        <v>0</v>
      </c>
    </row>
    <row r="256" customFormat="false" ht="15" hidden="false" customHeight="false" outlineLevel="0" collapsed="false">
      <c r="A256" s="7" t="s">
        <v>297</v>
      </c>
      <c r="B256" s="7" t="n">
        <v>12950.22</v>
      </c>
      <c r="C256" s="7" t="n">
        <v>12950.22</v>
      </c>
      <c r="D256" s="7" t="n">
        <v>12537.42</v>
      </c>
      <c r="E256" s="7" t="n">
        <v>12694.66</v>
      </c>
      <c r="F256" s="7" t="n">
        <v>6636</v>
      </c>
      <c r="G256" s="7" t="n">
        <f aca="false">AVERAGE(E252:E256)</f>
        <v>12822.13</v>
      </c>
      <c r="H256" s="7" t="n">
        <f aca="false">AVERAGE(E247:E256)</f>
        <v>12762.08</v>
      </c>
      <c r="I256" s="7" t="n">
        <f aca="false">AVERAGE(E237:E256)</f>
        <v>12650.0805</v>
      </c>
      <c r="J256" s="7" t="n">
        <f aca="false">AVERAGE(E207:E256)</f>
        <v>12165.0306</v>
      </c>
      <c r="K256" s="7" t="n">
        <f aca="false">AVERAGE(E157:E256)</f>
        <v>11833.9496</v>
      </c>
      <c r="L256" s="7" t="n">
        <f aca="false">AVERAGE(E57:E256)</f>
        <v>10674.2203</v>
      </c>
      <c r="M256" s="7" t="n">
        <f aca="false">I256</f>
        <v>12650.0805</v>
      </c>
      <c r="N256" s="7" t="n">
        <f aca="false">I256+2*STDEV(E237:E256)</f>
        <v>12965.6324947797</v>
      </c>
      <c r="O256" s="7" t="n">
        <f aca="false">I256-2*STDEV(E237:E256)</f>
        <v>12334.5285052203</v>
      </c>
      <c r="P256" s="7" t="n">
        <f aca="false">MAX(E256-E255,0)</f>
        <v>0</v>
      </c>
      <c r="Q256" s="7" t="n">
        <f aca="false">MAX(E255-E256,0)</f>
        <v>193.620000000001</v>
      </c>
      <c r="R256" s="7" t="n">
        <f aca="false">(R255*13+P256)/14</f>
        <v>46.260798930949</v>
      </c>
      <c r="S256" s="7" t="n">
        <f aca="false">(S255*13+Q256)/14</f>
        <v>34.1164435429106</v>
      </c>
      <c r="T256" s="7" t="n">
        <f aca="false">IF(S256=0,100,100-100/(1+R256/S256))</f>
        <v>57.5545981762114</v>
      </c>
      <c r="U256" s="7" t="n">
        <f aca="false">E256*2/13+U255*11/13</f>
        <v>12725.9911668832</v>
      </c>
      <c r="V256" s="7" t="n">
        <f aca="false">E256*2/27+V255*25/27</f>
        <v>12549.4624614253</v>
      </c>
      <c r="W256" s="7" t="n">
        <f aca="false">U256-V256</f>
        <v>176.528705457969</v>
      </c>
      <c r="X256" s="7" t="n">
        <f aca="false">W256*2/10+X255*8/10</f>
        <v>191.610888458073</v>
      </c>
      <c r="Y256" s="7" t="n">
        <f aca="false">W256-X256</f>
        <v>-15.0821830001036</v>
      </c>
      <c r="Z256" s="8" t="s">
        <v>42</v>
      </c>
      <c r="AA256" s="7" t="str">
        <f aca="false">IFERROR(INDEX(02_轉折點45!B:B,MATCH(A256,02_轉折點45!A:A,0)),"")</f>
        <v/>
      </c>
      <c r="AB256" s="7" t="n">
        <f aca="false">COUNTIFS(05_訊號明細!A:A,A256,05_訊號明細!C:C,"TOP")</f>
        <v>0</v>
      </c>
      <c r="AC256" s="7" t="n">
        <f aca="false">COUNTIFS(05_訊號明細!A:A,A256,05_訊號明細!C:C,"BOTTOM")</f>
        <v>0</v>
      </c>
    </row>
    <row r="257" customFormat="false" ht="15" hidden="false" customHeight="false" outlineLevel="0" collapsed="false">
      <c r="A257" s="7" t="s">
        <v>298</v>
      </c>
      <c r="B257" s="7" t="n">
        <v>12663.13</v>
      </c>
      <c r="C257" s="7" t="n">
        <v>12809.67</v>
      </c>
      <c r="D257" s="7" t="n">
        <v>12663.13</v>
      </c>
      <c r="E257" s="7" t="n">
        <v>12802.38</v>
      </c>
      <c r="F257" s="7" t="n">
        <v>6972</v>
      </c>
      <c r="G257" s="7" t="n">
        <f aca="false">AVERAGE(E253:E257)</f>
        <v>12814.834</v>
      </c>
      <c r="H257" s="7" t="n">
        <f aca="false">AVERAGE(E248:E257)</f>
        <v>12768.5</v>
      </c>
      <c r="I257" s="7" t="n">
        <f aca="false">AVERAGE(E238:E257)</f>
        <v>12663.7755</v>
      </c>
      <c r="J257" s="7" t="n">
        <f aca="false">AVERAGE(E208:E257)</f>
        <v>12187.82</v>
      </c>
      <c r="K257" s="7" t="n">
        <f aca="false">AVERAGE(E158:E257)</f>
        <v>11850.3962</v>
      </c>
      <c r="L257" s="7" t="n">
        <f aca="false">AVERAGE(E58:E257)</f>
        <v>10703.26075</v>
      </c>
      <c r="M257" s="7" t="n">
        <f aca="false">I257</f>
        <v>12663.7755</v>
      </c>
      <c r="N257" s="7" t="n">
        <f aca="false">I257+2*STDEV(E238:E257)</f>
        <v>12980.8773223636</v>
      </c>
      <c r="O257" s="7" t="n">
        <f aca="false">I257-2*STDEV(E238:E257)</f>
        <v>12346.6736776364</v>
      </c>
      <c r="P257" s="7" t="n">
        <f aca="false">MAX(E257-E256,0)</f>
        <v>107.719999999999</v>
      </c>
      <c r="Q257" s="7" t="n">
        <f aca="false">MAX(E256-E257,0)</f>
        <v>0</v>
      </c>
      <c r="R257" s="7" t="n">
        <f aca="false">(R256*13+P257)/14</f>
        <v>50.6507418644526</v>
      </c>
      <c r="S257" s="7" t="n">
        <f aca="false">(S256*13+Q257)/14</f>
        <v>31.679554718417</v>
      </c>
      <c r="T257" s="7" t="n">
        <f aca="false">IF(S257=0,100,100-100/(1+R257/S257))</f>
        <v>61.5213888042661</v>
      </c>
      <c r="U257" s="7" t="n">
        <f aca="false">E257*2/13+U256*11/13</f>
        <v>12737.7432950551</v>
      </c>
      <c r="V257" s="7" t="n">
        <f aca="false">E257*2/27+V256*25/27</f>
        <v>12568.1970939123</v>
      </c>
      <c r="W257" s="7" t="n">
        <f aca="false">U257-V257</f>
        <v>169.546201142761</v>
      </c>
      <c r="X257" s="7" t="n">
        <f aca="false">W257*2/10+X256*8/10</f>
        <v>187.197950995011</v>
      </c>
      <c r="Y257" s="7" t="n">
        <f aca="false">W257-X257</f>
        <v>-17.6517498522497</v>
      </c>
      <c r="Z257" s="8" t="s">
        <v>42</v>
      </c>
      <c r="AA257" s="7" t="str">
        <f aca="false">IFERROR(INDEX(02_轉折點45!B:B,MATCH(A257,02_轉折點45!A:A,0)),"")</f>
        <v/>
      </c>
      <c r="AB257" s="7" t="n">
        <f aca="false">COUNTIFS(05_訊號明細!A:A,A257,05_訊號明細!C:C,"TOP")</f>
        <v>1</v>
      </c>
      <c r="AC257" s="7" t="n">
        <f aca="false">COUNTIFS(05_訊號明細!A:A,A257,05_訊號明細!C:C,"BOTTOM")</f>
        <v>0</v>
      </c>
    </row>
    <row r="258" customFormat="false" ht="15" hidden="false" customHeight="false" outlineLevel="0" collapsed="false">
      <c r="A258" s="7" t="s">
        <v>299</v>
      </c>
      <c r="B258" s="7" t="n">
        <v>12601.26</v>
      </c>
      <c r="C258" s="7" t="n">
        <v>12803.29</v>
      </c>
      <c r="D258" s="7" t="n">
        <v>12569.42</v>
      </c>
      <c r="E258" s="7" t="n">
        <v>12623.35</v>
      </c>
      <c r="F258" s="7" t="n">
        <v>7690</v>
      </c>
      <c r="G258" s="7" t="n">
        <f aca="false">AVERAGE(E254:E258)</f>
        <v>12770.806</v>
      </c>
      <c r="H258" s="7" t="n">
        <f aca="false">AVERAGE(E249:E258)</f>
        <v>12761.809</v>
      </c>
      <c r="I258" s="7" t="n">
        <f aca="false">AVERAGE(E239:E258)</f>
        <v>12665.1195</v>
      </c>
      <c r="J258" s="7" t="n">
        <f aca="false">AVERAGE(E209:E258)</f>
        <v>12206.4356</v>
      </c>
      <c r="K258" s="7" t="n">
        <f aca="false">AVERAGE(E159:E258)</f>
        <v>11864.846</v>
      </c>
      <c r="L258" s="7" t="n">
        <f aca="false">AVERAGE(E59:E258)</f>
        <v>10731.3429</v>
      </c>
      <c r="M258" s="7" t="n">
        <f aca="false">I258</f>
        <v>12665.1195</v>
      </c>
      <c r="N258" s="7" t="n">
        <f aca="false">I258+2*STDEV(E239:E258)</f>
        <v>12981.2465568333</v>
      </c>
      <c r="O258" s="7" t="n">
        <f aca="false">I258-2*STDEV(E239:E258)</f>
        <v>12348.9924431667</v>
      </c>
      <c r="P258" s="7" t="n">
        <f aca="false">MAX(E258-E257,0)</f>
        <v>0</v>
      </c>
      <c r="Q258" s="7" t="n">
        <f aca="false">MAX(E257-E258,0)</f>
        <v>179.029999999999</v>
      </c>
      <c r="R258" s="7" t="n">
        <f aca="false">(R257*13+P258)/14</f>
        <v>47.0328317312774</v>
      </c>
      <c r="S258" s="7" t="n">
        <f aca="false">(S257*13+Q258)/14</f>
        <v>42.2045865242443</v>
      </c>
      <c r="T258" s="7" t="n">
        <f aca="false">IF(S258=0,100,100-100/(1+R258/S258))</f>
        <v>52.7052806442741</v>
      </c>
      <c r="U258" s="7" t="n">
        <f aca="false">E258*2/13+U257*11/13</f>
        <v>12720.144326585</v>
      </c>
      <c r="V258" s="7" t="n">
        <f aca="false">E258*2/27+V257*25/27</f>
        <v>12572.2824943632</v>
      </c>
      <c r="W258" s="7" t="n">
        <f aca="false">U258-V258</f>
        <v>147.86183222181</v>
      </c>
      <c r="X258" s="7" t="n">
        <f aca="false">W258*2/10+X257*8/10</f>
        <v>179.33072724037</v>
      </c>
      <c r="Y258" s="7" t="n">
        <f aca="false">W258-X258</f>
        <v>-31.4688950185605</v>
      </c>
      <c r="Z258" s="8" t="s">
        <v>42</v>
      </c>
      <c r="AA258" s="7" t="str">
        <f aca="false">IFERROR(INDEX(02_轉折點45!B:B,MATCH(A258,02_轉折點45!A:A,0)),"")</f>
        <v/>
      </c>
      <c r="AB258" s="7" t="n">
        <f aca="false">COUNTIFS(05_訊號明細!A:A,A258,05_訊號明細!C:C,"TOP")</f>
        <v>0</v>
      </c>
      <c r="AC258" s="7" t="n">
        <f aca="false">COUNTIFS(05_訊號明細!A:A,A258,05_訊號明細!C:C,"BOTTOM")</f>
        <v>0</v>
      </c>
    </row>
    <row r="259" customFormat="false" ht="15" hidden="false" customHeight="false" outlineLevel="0" collapsed="false">
      <c r="A259" s="7" t="s">
        <v>300</v>
      </c>
      <c r="B259" s="7" t="n">
        <v>12745.41</v>
      </c>
      <c r="C259" s="7" t="n">
        <v>12966.68</v>
      </c>
      <c r="D259" s="7" t="n">
        <v>12744.82</v>
      </c>
      <c r="E259" s="7" t="n">
        <v>12939.57</v>
      </c>
      <c r="F259" s="7" t="n">
        <v>6841</v>
      </c>
      <c r="G259" s="7" t="n">
        <f aca="false">AVERAGE(E255:E259)</f>
        <v>12789.648</v>
      </c>
      <c r="H259" s="7" t="n">
        <f aca="false">AVERAGE(E250:E259)</f>
        <v>12784.01</v>
      </c>
      <c r="I259" s="7" t="n">
        <f aca="false">AVERAGE(E240:E259)</f>
        <v>12680.312</v>
      </c>
      <c r="J259" s="7" t="n">
        <f aca="false">AVERAGE(E210:E259)</f>
        <v>12235.1366</v>
      </c>
      <c r="K259" s="7" t="n">
        <f aca="false">AVERAGE(E160:E259)</f>
        <v>11882.5972</v>
      </c>
      <c r="L259" s="7" t="n">
        <f aca="false">AVERAGE(E60:E259)</f>
        <v>10758.2716</v>
      </c>
      <c r="M259" s="7" t="n">
        <f aca="false">I259</f>
        <v>12680.312</v>
      </c>
      <c r="N259" s="7" t="n">
        <f aca="false">I259+2*STDEV(E240:E259)</f>
        <v>13018.897294088</v>
      </c>
      <c r="O259" s="7" t="n">
        <f aca="false">I259-2*STDEV(E240:E259)</f>
        <v>12341.726705912</v>
      </c>
      <c r="P259" s="7" t="n">
        <f aca="false">MAX(E259-E258,0)</f>
        <v>316.219999999999</v>
      </c>
      <c r="Q259" s="7" t="n">
        <f aca="false">MAX(E258-E259,0)</f>
        <v>0</v>
      </c>
      <c r="R259" s="7" t="n">
        <f aca="false">(R258*13+P259)/14</f>
        <v>66.2604866076147</v>
      </c>
      <c r="S259" s="7" t="n">
        <f aca="false">(S258*13+Q259)/14</f>
        <v>39.189973201084</v>
      </c>
      <c r="T259" s="7" t="n">
        <f aca="false">IF(S259=0,100,100-100/(1+R259/S259))</f>
        <v>62.8356545128586</v>
      </c>
      <c r="U259" s="7" t="n">
        <f aca="false">E259*2/13+U258*11/13</f>
        <v>12753.902122495</v>
      </c>
      <c r="V259" s="7" t="n">
        <f aca="false">E259*2/27+V258*25/27</f>
        <v>12599.4889762623</v>
      </c>
      <c r="W259" s="7" t="n">
        <f aca="false">U259-V259</f>
        <v>154.413146232781</v>
      </c>
      <c r="X259" s="7" t="n">
        <f aca="false">W259*2/10+X258*8/10</f>
        <v>174.347211038852</v>
      </c>
      <c r="Y259" s="7" t="n">
        <f aca="false">W259-X259</f>
        <v>-19.9340648060719</v>
      </c>
      <c r="Z259" s="8" t="s">
        <v>42</v>
      </c>
      <c r="AA259" s="7" t="str">
        <f aca="false">IFERROR(INDEX(02_轉折點45!B:B,MATCH(A259,02_轉折點45!A:A,0)),"")</f>
        <v/>
      </c>
      <c r="AB259" s="7" t="n">
        <f aca="false">COUNTIFS(05_訊號明細!A:A,A259,05_訊號明細!C:C,"TOP")</f>
        <v>2</v>
      </c>
      <c r="AC259" s="7" t="n">
        <f aca="false">COUNTIFS(05_訊號明細!A:A,A259,05_訊號明細!C:C,"BOTTOM")</f>
        <v>0</v>
      </c>
    </row>
    <row r="260" customFormat="false" ht="15" hidden="false" customHeight="false" outlineLevel="0" collapsed="false">
      <c r="A260" s="7" t="s">
        <v>301</v>
      </c>
      <c r="B260" s="7" t="n">
        <v>13037.24</v>
      </c>
      <c r="C260" s="7" t="n">
        <v>13113.09</v>
      </c>
      <c r="D260" s="7" t="n">
        <v>12939.73</v>
      </c>
      <c r="E260" s="7" t="n">
        <v>13105.2</v>
      </c>
      <c r="F260" s="7" t="n">
        <v>7289</v>
      </c>
      <c r="G260" s="7" t="n">
        <f aca="false">AVERAGE(E256:E260)</f>
        <v>12833.032</v>
      </c>
      <c r="H260" s="7" t="n">
        <f aca="false">AVERAGE(E251:E260)</f>
        <v>12829.216</v>
      </c>
      <c r="I260" s="7" t="n">
        <f aca="false">AVERAGE(E241:E260)</f>
        <v>12717.34</v>
      </c>
      <c r="J260" s="7" t="n">
        <f aca="false">AVERAGE(E211:E260)</f>
        <v>12265.2616</v>
      </c>
      <c r="K260" s="7" t="n">
        <f aca="false">AVERAGE(E161:E260)</f>
        <v>11900.7635</v>
      </c>
      <c r="L260" s="7" t="n">
        <f aca="false">AVERAGE(E61:E260)</f>
        <v>10786.4495</v>
      </c>
      <c r="M260" s="7" t="n">
        <f aca="false">I260</f>
        <v>12717.34</v>
      </c>
      <c r="N260" s="7" t="n">
        <f aca="false">I260+2*STDEV(E241:E260)</f>
        <v>13072.156350362</v>
      </c>
      <c r="O260" s="7" t="n">
        <f aca="false">I260-2*STDEV(E241:E260)</f>
        <v>12362.523649638</v>
      </c>
      <c r="P260" s="7" t="n">
        <f aca="false">MAX(E260-E259,0)</f>
        <v>165.630000000001</v>
      </c>
      <c r="Q260" s="7" t="n">
        <f aca="false">MAX(E259-E260,0)</f>
        <v>0</v>
      </c>
      <c r="R260" s="7" t="n">
        <f aca="false">(R259*13+P260)/14</f>
        <v>73.3583089927851</v>
      </c>
      <c r="S260" s="7" t="n">
        <f aca="false">(S259*13+Q260)/14</f>
        <v>36.3906894010065</v>
      </c>
      <c r="T260" s="7" t="n">
        <f aca="false">IF(S260=0,100,100-100/(1+R260/S260))</f>
        <v>66.8418938363039</v>
      </c>
      <c r="U260" s="7" t="n">
        <f aca="false">E260*2/13+U259*11/13</f>
        <v>12807.9479498035</v>
      </c>
      <c r="V260" s="7" t="n">
        <f aca="false">E260*2/27+V259*25/27</f>
        <v>12636.9490520947</v>
      </c>
      <c r="W260" s="7" t="n">
        <f aca="false">U260-V260</f>
        <v>170.998897708812</v>
      </c>
      <c r="X260" s="7" t="n">
        <f aca="false">W260*2/10+X259*8/10</f>
        <v>173.677548372844</v>
      </c>
      <c r="Y260" s="7" t="n">
        <f aca="false">W260-X260</f>
        <v>-2.67865066403203</v>
      </c>
      <c r="Z260" s="8" t="s">
        <v>42</v>
      </c>
      <c r="AA260" s="7" t="str">
        <f aca="false">IFERROR(INDEX(02_轉折點45!B:B,MATCH(A260,02_轉折點45!A:A,0)),"")</f>
        <v/>
      </c>
      <c r="AB260" s="7" t="n">
        <f aca="false">COUNTIFS(05_訊號明細!A:A,A260,05_訊號明細!C:C,"TOP")</f>
        <v>0</v>
      </c>
      <c r="AC260" s="7" t="n">
        <f aca="false">COUNTIFS(05_訊號明細!A:A,A260,05_訊號明細!C:C,"BOTTOM")</f>
        <v>0</v>
      </c>
    </row>
    <row r="261" customFormat="false" ht="15" hidden="false" customHeight="false" outlineLevel="0" collapsed="false">
      <c r="A261" s="7" t="s">
        <v>302</v>
      </c>
      <c r="B261" s="7" t="n">
        <v>12961.5</v>
      </c>
      <c r="C261" s="7" t="n">
        <v>13023.21</v>
      </c>
      <c r="D261" s="7" t="n">
        <v>12883.59</v>
      </c>
      <c r="E261" s="7" t="n">
        <v>12902.49</v>
      </c>
      <c r="F261" s="7" t="n">
        <v>6960</v>
      </c>
      <c r="G261" s="7" t="n">
        <f aca="false">AVERAGE(E257:E261)</f>
        <v>12874.598</v>
      </c>
      <c r="H261" s="7" t="n">
        <f aca="false">AVERAGE(E252:E261)</f>
        <v>12848.364</v>
      </c>
      <c r="I261" s="7" t="n">
        <f aca="false">AVERAGE(E242:E261)</f>
        <v>12742.3775</v>
      </c>
      <c r="J261" s="7" t="n">
        <f aca="false">AVERAGE(E212:E261)</f>
        <v>12300.4562</v>
      </c>
      <c r="K261" s="7" t="n">
        <f aca="false">AVERAGE(E162:E261)</f>
        <v>11915.7981</v>
      </c>
      <c r="L261" s="7" t="n">
        <f aca="false">AVERAGE(E62:E261)</f>
        <v>10811.4763</v>
      </c>
      <c r="M261" s="7" t="n">
        <f aca="false">I261</f>
        <v>12742.3775</v>
      </c>
      <c r="N261" s="7" t="n">
        <f aca="false">I261+2*STDEV(E242:E261)</f>
        <v>13073.2898548059</v>
      </c>
      <c r="O261" s="7" t="n">
        <f aca="false">I261-2*STDEV(E242:E261)</f>
        <v>12411.4651451941</v>
      </c>
      <c r="P261" s="7" t="n">
        <f aca="false">MAX(E261-E260,0)</f>
        <v>0</v>
      </c>
      <c r="Q261" s="7" t="n">
        <f aca="false">MAX(E260-E261,0)</f>
        <v>202.710000000001</v>
      </c>
      <c r="R261" s="7" t="n">
        <f aca="false">(R260*13+P261)/14</f>
        <v>68.1184297790148</v>
      </c>
      <c r="S261" s="7" t="n">
        <f aca="false">(S260*13+Q261)/14</f>
        <v>48.2706401580776</v>
      </c>
      <c r="T261" s="7" t="n">
        <f aca="false">IF(S261=0,100,100-100/(1+R261/S261))</f>
        <v>58.5264834711992</v>
      </c>
      <c r="U261" s="7" t="n">
        <f aca="false">E261*2/13+U260*11/13</f>
        <v>12822.492880603</v>
      </c>
      <c r="V261" s="7" t="n">
        <f aca="false">E261*2/27+V260*25/27</f>
        <v>12656.6187519395</v>
      </c>
      <c r="W261" s="7" t="n">
        <f aca="false">U261-V261</f>
        <v>165.874128663436</v>
      </c>
      <c r="X261" s="7" t="n">
        <f aca="false">W261*2/10+X260*8/10</f>
        <v>172.116864430963</v>
      </c>
      <c r="Y261" s="7" t="n">
        <f aca="false">W261-X261</f>
        <v>-6.24273576752685</v>
      </c>
      <c r="Z261" s="8" t="s">
        <v>42</v>
      </c>
      <c r="AA261" s="7" t="str">
        <f aca="false">IFERROR(INDEX(02_轉折點45!B:B,MATCH(A261,02_轉折點45!A:A,0)),"")</f>
        <v/>
      </c>
      <c r="AB261" s="7" t="n">
        <f aca="false">COUNTIFS(05_訊號明細!A:A,A261,05_訊號明細!C:C,"TOP")</f>
        <v>0</v>
      </c>
      <c r="AC261" s="7" t="n">
        <f aca="false">COUNTIFS(05_訊號明細!A:A,A261,05_訊號明細!C:C,"BOTTOM")</f>
        <v>0</v>
      </c>
    </row>
    <row r="262" customFormat="false" ht="15" hidden="false" customHeight="false" outlineLevel="0" collapsed="false">
      <c r="A262" s="7" t="s">
        <v>303</v>
      </c>
      <c r="B262" s="7" t="n">
        <v>12916.1</v>
      </c>
      <c r="C262" s="7" t="n">
        <v>12957.43</v>
      </c>
      <c r="D262" s="7" t="n">
        <v>12783.71</v>
      </c>
      <c r="E262" s="7" t="n">
        <v>12892.09</v>
      </c>
      <c r="F262" s="7" t="n">
        <v>7264</v>
      </c>
      <c r="G262" s="7" t="n">
        <f aca="false">AVERAGE(E258:E262)</f>
        <v>12892.54</v>
      </c>
      <c r="H262" s="7" t="n">
        <f aca="false">AVERAGE(E253:E262)</f>
        <v>12853.687</v>
      </c>
      <c r="I262" s="7" t="n">
        <f aca="false">AVERAGE(E243:E262)</f>
        <v>12768.2115</v>
      </c>
      <c r="J262" s="7" t="n">
        <f aca="false">AVERAGE(E213:E262)</f>
        <v>12331.2832</v>
      </c>
      <c r="K262" s="7" t="n">
        <f aca="false">AVERAGE(E163:E262)</f>
        <v>11931.5326</v>
      </c>
      <c r="L262" s="7" t="n">
        <f aca="false">AVERAGE(E63:E262)</f>
        <v>10837.9949</v>
      </c>
      <c r="M262" s="7" t="n">
        <f aca="false">I262</f>
        <v>12768.2115</v>
      </c>
      <c r="N262" s="7" t="n">
        <f aca="false">I262+2*STDEV(E243:E262)</f>
        <v>13056.4146307237</v>
      </c>
      <c r="O262" s="7" t="n">
        <f aca="false">I262-2*STDEV(E243:E262)</f>
        <v>12480.0083692763</v>
      </c>
      <c r="P262" s="7" t="n">
        <f aca="false">MAX(E262-E261,0)</f>
        <v>0</v>
      </c>
      <c r="Q262" s="7" t="n">
        <f aca="false">MAX(E261-E262,0)</f>
        <v>10.3999999999996</v>
      </c>
      <c r="R262" s="7" t="n">
        <f aca="false">(R261*13+P262)/14</f>
        <v>63.2528276519423</v>
      </c>
      <c r="S262" s="7" t="n">
        <f aca="false">(S261*13+Q262)/14</f>
        <v>45.5655944325006</v>
      </c>
      <c r="T262" s="7" t="n">
        <f aca="false">IF(S262=0,100,100-100/(1+R262/S262))</f>
        <v>58.1269480298641</v>
      </c>
      <c r="U262" s="7" t="n">
        <f aca="false">E262*2/13+U261*11/13</f>
        <v>12833.200129741</v>
      </c>
      <c r="V262" s="7" t="n">
        <f aca="false">E262*2/27+V261*25/27</f>
        <v>12674.0610666107</v>
      </c>
      <c r="W262" s="7" t="n">
        <f aca="false">U262-V262</f>
        <v>159.139063130295</v>
      </c>
      <c r="X262" s="7" t="n">
        <f aca="false">W262*2/10+X261*8/10</f>
        <v>169.521304170829</v>
      </c>
      <c r="Y262" s="7" t="n">
        <f aca="false">W262-X262</f>
        <v>-10.3822410405344</v>
      </c>
      <c r="Z262" s="8" t="s">
        <v>42</v>
      </c>
      <c r="AA262" s="7" t="str">
        <f aca="false">IFERROR(INDEX(02_轉折點45!B:B,MATCH(A262,02_轉折點45!A:A,0)),"")</f>
        <v/>
      </c>
      <c r="AB262" s="7" t="n">
        <f aca="false">COUNTIFS(05_訊號明細!A:A,A262,05_訊號明細!C:C,"TOP")</f>
        <v>0</v>
      </c>
      <c r="AC262" s="7" t="n">
        <f aca="false">COUNTIFS(05_訊號明細!A:A,A262,05_訊號明細!C:C,"BOTTOM")</f>
        <v>0</v>
      </c>
    </row>
    <row r="263" customFormat="false" ht="15" hidden="false" customHeight="false" outlineLevel="0" collapsed="false">
      <c r="A263" s="7" t="s">
        <v>304</v>
      </c>
      <c r="B263" s="7" t="n">
        <v>12911.87</v>
      </c>
      <c r="C263" s="7" t="n">
        <v>13008.85</v>
      </c>
      <c r="D263" s="7" t="n">
        <v>12878.02</v>
      </c>
      <c r="E263" s="7" t="n">
        <v>12973.63</v>
      </c>
      <c r="F263" s="7" t="n">
        <v>7105</v>
      </c>
      <c r="G263" s="7" t="n">
        <f aca="false">AVERAGE(E259:E263)</f>
        <v>12962.596</v>
      </c>
      <c r="H263" s="7" t="n">
        <f aca="false">AVERAGE(E254:E263)</f>
        <v>12866.701</v>
      </c>
      <c r="I263" s="7" t="n">
        <f aca="false">AVERAGE(E244:E263)</f>
        <v>12793.7825</v>
      </c>
      <c r="J263" s="7" t="n">
        <f aca="false">AVERAGE(E214:E263)</f>
        <v>12369.6968</v>
      </c>
      <c r="K263" s="7" t="n">
        <f aca="false">AVERAGE(E164:E263)</f>
        <v>11946.4984</v>
      </c>
      <c r="L263" s="7" t="n">
        <f aca="false">AVERAGE(E64:E263)</f>
        <v>10863.418</v>
      </c>
      <c r="M263" s="7" t="n">
        <f aca="false">I263</f>
        <v>12793.7825</v>
      </c>
      <c r="N263" s="7" t="n">
        <f aca="false">I263+2*STDEV(E244:E263)</f>
        <v>13057.370009877</v>
      </c>
      <c r="O263" s="7" t="n">
        <f aca="false">I263-2*STDEV(E244:E263)</f>
        <v>12530.194990123</v>
      </c>
      <c r="P263" s="7" t="n">
        <f aca="false">MAX(E263-E262,0)</f>
        <v>81.5399999999991</v>
      </c>
      <c r="Q263" s="7" t="n">
        <f aca="false">MAX(E262-E263,0)</f>
        <v>0</v>
      </c>
      <c r="R263" s="7" t="n">
        <f aca="false">(R262*13+P263)/14</f>
        <v>64.5590542482321</v>
      </c>
      <c r="S263" s="7" t="n">
        <f aca="false">(S262*13+Q263)/14</f>
        <v>42.3109091158934</v>
      </c>
      <c r="T263" s="7" t="n">
        <f aca="false">IF(S263=0,100,100-100/(1+R263/S263))</f>
        <v>60.4089794887153</v>
      </c>
      <c r="U263" s="7" t="n">
        <f aca="false">E263*2/13+U262*11/13</f>
        <v>12854.8047251654</v>
      </c>
      <c r="V263" s="7" t="n">
        <f aca="false">E263*2/27+V262*25/27</f>
        <v>12696.2513579728</v>
      </c>
      <c r="W263" s="7" t="n">
        <f aca="false">U263-V263</f>
        <v>158.553367192591</v>
      </c>
      <c r="X263" s="7" t="n">
        <f aca="false">W263*2/10+X262*8/10</f>
        <v>167.327716775182</v>
      </c>
      <c r="Y263" s="7" t="n">
        <f aca="false">W263-X263</f>
        <v>-8.77434958259016</v>
      </c>
      <c r="Z263" s="8" t="s">
        <v>42</v>
      </c>
      <c r="AA263" s="7" t="str">
        <f aca="false">IFERROR(INDEX(02_轉折點45!B:B,MATCH(A263,02_轉折點45!A:A,0)),"")</f>
        <v/>
      </c>
      <c r="AB263" s="7" t="n">
        <f aca="false">COUNTIFS(05_訊號明細!A:A,A263,05_訊號明細!C:C,"TOP")</f>
        <v>0</v>
      </c>
      <c r="AC263" s="7" t="n">
        <f aca="false">COUNTIFS(05_訊號明細!A:A,A263,05_訊號明細!C:C,"BOTTOM")</f>
        <v>0</v>
      </c>
    </row>
    <row r="264" customFormat="false" ht="15" hidden="false" customHeight="false" outlineLevel="0" collapsed="false">
      <c r="A264" s="7" t="s">
        <v>305</v>
      </c>
      <c r="B264" s="7" t="n">
        <v>13010.94</v>
      </c>
      <c r="C264" s="7" t="n">
        <v>13037.05</v>
      </c>
      <c r="D264" s="7" t="n">
        <v>12886.16</v>
      </c>
      <c r="E264" s="7" t="n">
        <v>12898.69</v>
      </c>
      <c r="F264" s="7" t="n">
        <v>6734</v>
      </c>
      <c r="G264" s="7" t="n">
        <f aca="false">AVERAGE(E260:E264)</f>
        <v>12954.42</v>
      </c>
      <c r="H264" s="7" t="n">
        <f aca="false">AVERAGE(E255:E264)</f>
        <v>12872.034</v>
      </c>
      <c r="I264" s="7" t="n">
        <f aca="false">AVERAGE(E245:E264)</f>
        <v>12808.921</v>
      </c>
      <c r="J264" s="7" t="n">
        <f aca="false">AVERAGE(E215:E264)</f>
        <v>12405.9754</v>
      </c>
      <c r="K264" s="7" t="n">
        <f aca="false">AVERAGE(E165:E264)</f>
        <v>11959.9337</v>
      </c>
      <c r="L264" s="7" t="n">
        <f aca="false">AVERAGE(E65:E264)</f>
        <v>10888.84395</v>
      </c>
      <c r="M264" s="7" t="n">
        <f aca="false">I264</f>
        <v>12808.921</v>
      </c>
      <c r="N264" s="7" t="n">
        <f aca="false">I264+2*STDEV(E245:E264)</f>
        <v>13059.0977013343</v>
      </c>
      <c r="O264" s="7" t="n">
        <f aca="false">I264-2*STDEV(E245:E264)</f>
        <v>12558.7442986657</v>
      </c>
      <c r="P264" s="7" t="n">
        <f aca="false">MAX(E264-E263,0)</f>
        <v>0</v>
      </c>
      <c r="Q264" s="7" t="n">
        <f aca="false">MAX(E263-E264,0)</f>
        <v>74.9399999999987</v>
      </c>
      <c r="R264" s="7" t="n">
        <f aca="false">(R263*13+P264)/14</f>
        <v>59.9476932305012</v>
      </c>
      <c r="S264" s="7" t="n">
        <f aca="false">(S263*13+Q264)/14</f>
        <v>44.641558464758</v>
      </c>
      <c r="T264" s="7" t="n">
        <f aca="false">IF(S264=0,100,100-100/(1+R264/S264))</f>
        <v>57.3172599084754</v>
      </c>
      <c r="U264" s="7" t="n">
        <f aca="false">E264*2/13+U263*11/13</f>
        <v>12861.5563059092</v>
      </c>
      <c r="V264" s="7" t="n">
        <f aca="false">E264*2/27+V263*25/27</f>
        <v>12711.2468129378</v>
      </c>
      <c r="W264" s="7" t="n">
        <f aca="false">U264-V264</f>
        <v>150.309492971395</v>
      </c>
      <c r="X264" s="7" t="n">
        <f aca="false">W264*2/10+X263*8/10</f>
        <v>163.924072014424</v>
      </c>
      <c r="Y264" s="7" t="n">
        <f aca="false">W264-X264</f>
        <v>-13.6145790430291</v>
      </c>
      <c r="Z264" s="8" t="s">
        <v>42</v>
      </c>
      <c r="AA264" s="7" t="str">
        <f aca="false">IFERROR(INDEX(02_轉折點45!B:B,MATCH(A264,02_轉折點45!A:A,0)),"")</f>
        <v/>
      </c>
      <c r="AB264" s="7" t="n">
        <f aca="false">COUNTIFS(05_訊號明細!A:A,A264,05_訊號明細!C:C,"TOP")</f>
        <v>0</v>
      </c>
      <c r="AC264" s="7" t="n">
        <f aca="false">COUNTIFS(05_訊號明細!A:A,A264,05_訊號明細!C:C,"BOTTOM")</f>
        <v>0</v>
      </c>
    </row>
    <row r="265" customFormat="false" ht="15" hidden="false" customHeight="false" outlineLevel="0" collapsed="false">
      <c r="A265" s="7" t="s">
        <v>306</v>
      </c>
      <c r="B265" s="7" t="n">
        <v>12898.09</v>
      </c>
      <c r="C265" s="7" t="n">
        <v>12941.29</v>
      </c>
      <c r="D265" s="7" t="n">
        <v>12758.1</v>
      </c>
      <c r="E265" s="7" t="n">
        <v>12803.93</v>
      </c>
      <c r="F265" s="7" t="n">
        <v>6458</v>
      </c>
      <c r="G265" s="7" t="n">
        <f aca="false">AVERAGE(E261:E265)</f>
        <v>12894.166</v>
      </c>
      <c r="H265" s="7" t="n">
        <f aca="false">AVERAGE(E256:E265)</f>
        <v>12863.599</v>
      </c>
      <c r="I265" s="7" t="n">
        <f aca="false">AVERAGE(E246:E265)</f>
        <v>12815.7095</v>
      </c>
      <c r="J265" s="7" t="n">
        <f aca="false">AVERAGE(E216:E265)</f>
        <v>12436.4558</v>
      </c>
      <c r="K265" s="7" t="n">
        <f aca="false">AVERAGE(E166:E265)</f>
        <v>11971.7113</v>
      </c>
      <c r="L265" s="7" t="n">
        <f aca="false">AVERAGE(E66:E265)</f>
        <v>10915.43215</v>
      </c>
      <c r="M265" s="7" t="n">
        <f aca="false">I265</f>
        <v>12815.7095</v>
      </c>
      <c r="N265" s="7" t="n">
        <f aca="false">I265+2*STDEV(E246:E265)</f>
        <v>13057.0148930058</v>
      </c>
      <c r="O265" s="7" t="n">
        <f aca="false">I265-2*STDEV(E246:E265)</f>
        <v>12574.4041069942</v>
      </c>
      <c r="P265" s="7" t="n">
        <f aca="false">MAX(E265-E264,0)</f>
        <v>0</v>
      </c>
      <c r="Q265" s="7" t="n">
        <f aca="false">MAX(E264-E265,0)</f>
        <v>94.7600000000002</v>
      </c>
      <c r="R265" s="7" t="n">
        <f aca="false">(R264*13+P265)/14</f>
        <v>55.6657151426083</v>
      </c>
      <c r="S265" s="7" t="n">
        <f aca="false">(S264*13+Q265)/14</f>
        <v>48.2214471458468</v>
      </c>
      <c r="T265" s="7" t="n">
        <f aca="false">IF(S265=0,100,100-100/(1+R265/S265))</f>
        <v>53.5828623252273</v>
      </c>
      <c r="U265" s="7" t="n">
        <f aca="false">E265*2/13+U264*11/13</f>
        <v>12852.6907203847</v>
      </c>
      <c r="V265" s="7" t="n">
        <f aca="false">E265*2/27+V264*25/27</f>
        <v>12718.1122342017</v>
      </c>
      <c r="W265" s="7" t="n">
        <f aca="false">U265-V265</f>
        <v>134.578486183034</v>
      </c>
      <c r="X265" s="7" t="n">
        <f aca="false">W265*2/10+X264*8/10</f>
        <v>158.054954848146</v>
      </c>
      <c r="Y265" s="7" t="n">
        <f aca="false">W265-X265</f>
        <v>-23.476468665112</v>
      </c>
      <c r="Z265" s="8" t="s">
        <v>42</v>
      </c>
      <c r="AA265" s="7" t="str">
        <f aca="false">IFERROR(INDEX(02_轉折點45!B:B,MATCH(A265,02_轉折點45!A:A,0)),"")</f>
        <v/>
      </c>
      <c r="AB265" s="7" t="n">
        <f aca="false">COUNTIFS(05_訊號明細!A:A,A265,05_訊號明細!C:C,"TOP")</f>
        <v>0</v>
      </c>
      <c r="AC265" s="7" t="n">
        <f aca="false">COUNTIFS(05_訊號明細!A:A,A265,05_訊號明細!C:C,"BOTTOM")</f>
        <v>0</v>
      </c>
    </row>
    <row r="266" customFormat="false" ht="15" hidden="false" customHeight="false" outlineLevel="0" collapsed="false">
      <c r="A266" s="7" t="s">
        <v>307</v>
      </c>
      <c r="B266" s="7" t="n">
        <v>12921.61</v>
      </c>
      <c r="C266" s="7" t="n">
        <v>13012.09</v>
      </c>
      <c r="D266" s="7" t="n">
        <v>12861.3</v>
      </c>
      <c r="E266" s="7" t="n">
        <v>12996.54</v>
      </c>
      <c r="F266" s="7" t="n">
        <v>6298</v>
      </c>
      <c r="G266" s="7" t="n">
        <f aca="false">AVERAGE(E262:E266)</f>
        <v>12912.976</v>
      </c>
      <c r="H266" s="7" t="n">
        <f aca="false">AVERAGE(E257:E266)</f>
        <v>12893.787</v>
      </c>
      <c r="I266" s="7" t="n">
        <f aca="false">AVERAGE(E247:E266)</f>
        <v>12827.9335</v>
      </c>
      <c r="J266" s="7" t="n">
        <f aca="false">AVERAGE(E217:E266)</f>
        <v>12460.8462</v>
      </c>
      <c r="K266" s="7" t="n">
        <f aca="false">AVERAGE(E167:E266)</f>
        <v>11984.4586</v>
      </c>
      <c r="L266" s="7" t="n">
        <f aca="false">AVERAGE(E67:E266)</f>
        <v>10942.23655</v>
      </c>
      <c r="M266" s="7" t="n">
        <f aca="false">I266</f>
        <v>12827.9335</v>
      </c>
      <c r="N266" s="7" t="n">
        <f aca="false">I266+2*STDEV(E247:E266)</f>
        <v>13080.1841179242</v>
      </c>
      <c r="O266" s="7" t="n">
        <f aca="false">I266-2*STDEV(E247:E266)</f>
        <v>12575.6828820758</v>
      </c>
      <c r="P266" s="7" t="n">
        <f aca="false">MAX(E266-E265,0)</f>
        <v>192.610000000001</v>
      </c>
      <c r="Q266" s="7" t="n">
        <f aca="false">MAX(E265-E266,0)</f>
        <v>0</v>
      </c>
      <c r="R266" s="7" t="n">
        <f aca="false">(R265*13+P266)/14</f>
        <v>65.4474497752791</v>
      </c>
      <c r="S266" s="7" t="n">
        <f aca="false">(S265*13+Q266)/14</f>
        <v>44.7770580640006</v>
      </c>
      <c r="T266" s="7" t="n">
        <f aca="false">IF(S266=0,100,100-100/(1+R266/S266))</f>
        <v>59.3764953532015</v>
      </c>
      <c r="U266" s="7" t="n">
        <f aca="false">E266*2/13+U265*11/13</f>
        <v>12874.8213787871</v>
      </c>
      <c r="V266" s="7" t="n">
        <f aca="false">E266*2/27+V265*25/27</f>
        <v>12738.7365131497</v>
      </c>
      <c r="W266" s="7" t="n">
        <f aca="false">U266-V266</f>
        <v>136.084865637362</v>
      </c>
      <c r="X266" s="7" t="n">
        <f aca="false">W266*2/10+X265*8/10</f>
        <v>153.660937005989</v>
      </c>
      <c r="Y266" s="7" t="n">
        <f aca="false">W266-X266</f>
        <v>-17.5760713686276</v>
      </c>
      <c r="Z266" s="8" t="s">
        <v>42</v>
      </c>
      <c r="AA266" s="7" t="str">
        <f aca="false">IFERROR(INDEX(02_轉折點45!B:B,MATCH(A266,02_轉折點45!A:A,0)),"")</f>
        <v/>
      </c>
      <c r="AB266" s="7" t="n">
        <f aca="false">COUNTIFS(05_訊號明細!A:A,A266,05_訊號明細!C:C,"TOP")</f>
        <v>0</v>
      </c>
      <c r="AC266" s="7" t="n">
        <f aca="false">COUNTIFS(05_訊號明細!A:A,A266,05_訊號明細!C:C,"BOTTOM")</f>
        <v>0</v>
      </c>
    </row>
    <row r="267" customFormat="false" ht="15" hidden="false" customHeight="false" outlineLevel="0" collapsed="false">
      <c r="A267" s="7" t="s">
        <v>308</v>
      </c>
      <c r="B267" s="7" t="n">
        <v>13155.12</v>
      </c>
      <c r="C267" s="7" t="n">
        <v>13332.26</v>
      </c>
      <c r="D267" s="7" t="n">
        <v>13138.3</v>
      </c>
      <c r="E267" s="7" t="n">
        <v>13296.45</v>
      </c>
      <c r="F267" s="7" t="n">
        <v>6821</v>
      </c>
      <c r="G267" s="7" t="n">
        <f aca="false">AVERAGE(E263:E267)</f>
        <v>12993.848</v>
      </c>
      <c r="H267" s="7" t="n">
        <f aca="false">AVERAGE(E258:E267)</f>
        <v>12943.194</v>
      </c>
      <c r="I267" s="7" t="n">
        <f aca="false">AVERAGE(E248:E267)</f>
        <v>12855.847</v>
      </c>
      <c r="J267" s="7" t="n">
        <f aca="false">AVERAGE(E218:E267)</f>
        <v>12485.2138</v>
      </c>
      <c r="K267" s="7" t="n">
        <f aca="false">AVERAGE(E168:E267)</f>
        <v>11997.7037</v>
      </c>
      <c r="L267" s="7" t="n">
        <f aca="false">AVERAGE(E68:E267)</f>
        <v>10971.07825</v>
      </c>
      <c r="M267" s="7" t="n">
        <f aca="false">I267</f>
        <v>12855.847</v>
      </c>
      <c r="N267" s="7" t="n">
        <f aca="false">I267+2*STDEV(E248:E267)</f>
        <v>13179.6770490007</v>
      </c>
      <c r="O267" s="7" t="n">
        <f aca="false">I267-2*STDEV(E248:E267)</f>
        <v>12532.0169509993</v>
      </c>
      <c r="P267" s="7" t="n">
        <f aca="false">MAX(E267-E266,0)</f>
        <v>299.91</v>
      </c>
      <c r="Q267" s="7" t="n">
        <f aca="false">MAX(E266-E267,0)</f>
        <v>0</v>
      </c>
      <c r="R267" s="7" t="n">
        <f aca="false">(R266*13+P267)/14</f>
        <v>82.1947747913306</v>
      </c>
      <c r="S267" s="7" t="n">
        <f aca="false">(S266*13+Q267)/14</f>
        <v>41.5786967737148</v>
      </c>
      <c r="T267" s="7" t="n">
        <f aca="false">IF(S267=0,100,100-100/(1+R267/S267))</f>
        <v>66.4074245894732</v>
      </c>
      <c r="U267" s="7" t="n">
        <f aca="false">E267*2/13+U266*11/13</f>
        <v>12939.6873205121</v>
      </c>
      <c r="V267" s="7" t="n">
        <f aca="false">E267*2/27+V266*25/27</f>
        <v>12780.0486232868</v>
      </c>
      <c r="W267" s="7" t="n">
        <f aca="false">U267-V267</f>
        <v>159.638697225371</v>
      </c>
      <c r="X267" s="7" t="n">
        <f aca="false">W267*2/10+X266*8/10</f>
        <v>154.856489049866</v>
      </c>
      <c r="Y267" s="7" t="n">
        <f aca="false">W267-X267</f>
        <v>4.78220817550547</v>
      </c>
      <c r="Z267" s="8" t="s">
        <v>42</v>
      </c>
      <c r="AA267" s="7" t="str">
        <f aca="false">IFERROR(INDEX(02_轉折點45!B:B,MATCH(A267,02_轉折點45!A:A,0)),"")</f>
        <v/>
      </c>
      <c r="AB267" s="7" t="n">
        <f aca="false">COUNTIFS(05_訊號明細!A:A,A267,05_訊號明細!C:C,"TOP")</f>
        <v>1</v>
      </c>
      <c r="AC267" s="7" t="n">
        <f aca="false">COUNTIFS(05_訊號明細!A:A,A267,05_訊號明細!C:C,"BOTTOM")</f>
        <v>0</v>
      </c>
    </row>
    <row r="268" customFormat="false" ht="15" hidden="false" customHeight="false" outlineLevel="0" collapsed="false">
      <c r="A268" s="7" t="s">
        <v>309</v>
      </c>
      <c r="B268" s="7" t="n">
        <v>13356.7</v>
      </c>
      <c r="C268" s="7" t="n">
        <v>13433.69</v>
      </c>
      <c r="D268" s="7" t="n">
        <v>13297.79</v>
      </c>
      <c r="E268" s="7" t="n">
        <v>13404.99</v>
      </c>
      <c r="F268" s="7" t="n">
        <v>7259</v>
      </c>
      <c r="G268" s="7" t="n">
        <f aca="false">AVERAGE(E264:E268)</f>
        <v>13080.12</v>
      </c>
      <c r="H268" s="7" t="n">
        <f aca="false">AVERAGE(E259:E268)</f>
        <v>13021.358</v>
      </c>
      <c r="I268" s="7" t="n">
        <f aca="false">AVERAGE(E249:E268)</f>
        <v>12891.5835</v>
      </c>
      <c r="J268" s="7" t="n">
        <f aca="false">AVERAGE(E219:E268)</f>
        <v>12511.4866</v>
      </c>
      <c r="K268" s="7" t="n">
        <f aca="false">AVERAGE(E169:E268)</f>
        <v>12012.492</v>
      </c>
      <c r="L268" s="7" t="n">
        <f aca="false">AVERAGE(E69:E268)</f>
        <v>10997.6949</v>
      </c>
      <c r="M268" s="7" t="n">
        <f aca="false">I268</f>
        <v>12891.5835</v>
      </c>
      <c r="N268" s="7" t="n">
        <f aca="false">I268+2*STDEV(E249:E268)</f>
        <v>13288.0707226666</v>
      </c>
      <c r="O268" s="7" t="n">
        <f aca="false">I268-2*STDEV(E249:E268)</f>
        <v>12495.0962773334</v>
      </c>
      <c r="P268" s="7" t="n">
        <f aca="false">MAX(E268-E267,0)</f>
        <v>108.539999999999</v>
      </c>
      <c r="Q268" s="7" t="n">
        <f aca="false">MAX(E267-E268,0)</f>
        <v>0</v>
      </c>
      <c r="R268" s="7" t="n">
        <f aca="false">(R267*13+P268)/14</f>
        <v>84.0765765919498</v>
      </c>
      <c r="S268" s="7" t="n">
        <f aca="false">(S267*13+Q268)/14</f>
        <v>38.6087898613066</v>
      </c>
      <c r="T268" s="7" t="n">
        <f aca="false">IF(S268=0,100,100-100/(1+R268/S268))</f>
        <v>68.5302404211209</v>
      </c>
      <c r="U268" s="7" t="n">
        <f aca="false">E268*2/13+U267*11/13</f>
        <v>13011.2723481257</v>
      </c>
      <c r="V268" s="7" t="n">
        <f aca="false">E268*2/27+V267*25/27</f>
        <v>12826.3405771174</v>
      </c>
      <c r="W268" s="7" t="n">
        <f aca="false">U268-V268</f>
        <v>184.931771008278</v>
      </c>
      <c r="X268" s="7" t="n">
        <f aca="false">W268*2/10+X267*8/10</f>
        <v>160.871545441548</v>
      </c>
      <c r="Y268" s="7" t="n">
        <f aca="false">W268-X268</f>
        <v>24.0602255667296</v>
      </c>
      <c r="Z268" s="8" t="s">
        <v>42</v>
      </c>
      <c r="AA268" s="7" t="str">
        <f aca="false">IFERROR(INDEX(02_轉折點45!B:B,MATCH(A268,02_轉折點45!A:A,0)),"")</f>
        <v/>
      </c>
      <c r="AB268" s="7" t="n">
        <f aca="false">COUNTIFS(05_訊號明細!A:A,A268,05_訊號明細!C:C,"TOP")</f>
        <v>0</v>
      </c>
      <c r="AC268" s="7" t="n">
        <f aca="false">COUNTIFS(05_訊號明細!A:A,A268,05_訊號明細!C:C,"BOTTOM")</f>
        <v>0</v>
      </c>
    </row>
    <row r="269" customFormat="false" ht="15" hidden="false" customHeight="false" outlineLevel="0" collapsed="false">
      <c r="A269" s="7" t="s">
        <v>310</v>
      </c>
      <c r="B269" s="7" t="n">
        <v>13356.18</v>
      </c>
      <c r="C269" s="7" t="n">
        <v>13404.77</v>
      </c>
      <c r="D269" s="7" t="n">
        <v>13336.9</v>
      </c>
      <c r="E269" s="7" t="n">
        <v>13366.4</v>
      </c>
      <c r="F269" s="7" t="n">
        <v>5973</v>
      </c>
      <c r="G269" s="7" t="n">
        <f aca="false">AVERAGE(E265:E269)</f>
        <v>13173.662</v>
      </c>
      <c r="H269" s="7" t="n">
        <f aca="false">AVERAGE(E260:E269)</f>
        <v>13064.041</v>
      </c>
      <c r="I269" s="7" t="n">
        <f aca="false">AVERAGE(E250:E269)</f>
        <v>12924.0255</v>
      </c>
      <c r="J269" s="7" t="n">
        <f aca="false">AVERAGE(E220:E269)</f>
        <v>12542.2068</v>
      </c>
      <c r="K269" s="7" t="n">
        <f aca="false">AVERAGE(E170:E269)</f>
        <v>12026.1975</v>
      </c>
      <c r="L269" s="7" t="n">
        <f aca="false">AVERAGE(E70:E269)</f>
        <v>11024.28035</v>
      </c>
      <c r="M269" s="7" t="n">
        <f aca="false">I269</f>
        <v>12924.0255</v>
      </c>
      <c r="N269" s="7" t="n">
        <f aca="false">I269+2*STDEV(E250:E269)</f>
        <v>13364.3189241939</v>
      </c>
      <c r="O269" s="7" t="n">
        <f aca="false">I269-2*STDEV(E250:E269)</f>
        <v>12483.7320758061</v>
      </c>
      <c r="P269" s="7" t="n">
        <f aca="false">MAX(E269-E268,0)</f>
        <v>0</v>
      </c>
      <c r="Q269" s="7" t="n">
        <f aca="false">MAX(E268-E269,0)</f>
        <v>38.5900000000001</v>
      </c>
      <c r="R269" s="7" t="n">
        <f aca="false">(R268*13+P269)/14</f>
        <v>78.0711068353819</v>
      </c>
      <c r="S269" s="7" t="n">
        <f aca="false">(S268*13+Q269)/14</f>
        <v>38.6074477283562</v>
      </c>
      <c r="T269" s="7" t="n">
        <f aca="false">IF(S269=0,100,100-100/(1+R269/S269))</f>
        <v>66.9112735646155</v>
      </c>
      <c r="U269" s="7" t="n">
        <f aca="false">E269*2/13+U268*11/13</f>
        <v>13065.9073714909</v>
      </c>
      <c r="V269" s="7" t="n">
        <f aca="false">E269*2/27+V268*25/27</f>
        <v>12866.3449788124</v>
      </c>
      <c r="W269" s="7" t="n">
        <f aca="false">U269-V269</f>
        <v>199.562392678554</v>
      </c>
      <c r="X269" s="7" t="n">
        <f aca="false">W269*2/10+X268*8/10</f>
        <v>168.609714888949</v>
      </c>
      <c r="Y269" s="7" t="n">
        <f aca="false">W269-X269</f>
        <v>30.9526777896045</v>
      </c>
      <c r="Z269" s="8" t="s">
        <v>42</v>
      </c>
      <c r="AA269" s="7" t="str">
        <f aca="false">IFERROR(INDEX(02_轉折點45!B:B,MATCH(A269,02_轉折點45!A:A,0)),"")</f>
        <v/>
      </c>
      <c r="AB269" s="7" t="n">
        <f aca="false">COUNTIFS(05_訊號明細!A:A,A269,05_訊號明細!C:C,"TOP")</f>
        <v>0</v>
      </c>
      <c r="AC269" s="7" t="n">
        <f aca="false">COUNTIFS(05_訊號明細!A:A,A269,05_訊號明細!C:C,"BOTTOM")</f>
        <v>0</v>
      </c>
    </row>
    <row r="270" customFormat="false" ht="15" hidden="false" customHeight="false" outlineLevel="0" collapsed="false">
      <c r="A270" s="7" t="s">
        <v>311</v>
      </c>
      <c r="B270" s="7" t="n">
        <v>13515.63</v>
      </c>
      <c r="C270" s="7" t="n">
        <v>13563.7</v>
      </c>
      <c r="D270" s="7" t="n">
        <v>13205.59</v>
      </c>
      <c r="E270" s="7" t="n">
        <v>13483.29</v>
      </c>
      <c r="F270" s="7" t="n">
        <v>7194</v>
      </c>
      <c r="G270" s="7" t="n">
        <f aca="false">AVERAGE(E266:E270)</f>
        <v>13309.534</v>
      </c>
      <c r="H270" s="7" t="n">
        <f aca="false">AVERAGE(E261:E270)</f>
        <v>13101.85</v>
      </c>
      <c r="I270" s="7" t="n">
        <f aca="false">AVERAGE(E251:E270)</f>
        <v>12965.533</v>
      </c>
      <c r="J270" s="7" t="n">
        <f aca="false">AVERAGE(E221:E270)</f>
        <v>12579.3868</v>
      </c>
      <c r="K270" s="7" t="n">
        <f aca="false">AVERAGE(E171:E270)</f>
        <v>12039.9234</v>
      </c>
      <c r="L270" s="7" t="n">
        <f aca="false">AVERAGE(E71:E270)</f>
        <v>11050.5491</v>
      </c>
      <c r="M270" s="7" t="n">
        <f aca="false">I270</f>
        <v>12965.533</v>
      </c>
      <c r="N270" s="7" t="n">
        <f aca="false">I270+2*STDEV(E251:E270)</f>
        <v>13452.3631979606</v>
      </c>
      <c r="O270" s="7" t="n">
        <f aca="false">I270-2*STDEV(E251:E270)</f>
        <v>12478.7028020394</v>
      </c>
      <c r="P270" s="7" t="n">
        <f aca="false">MAX(E270-E269,0)</f>
        <v>116.890000000001</v>
      </c>
      <c r="Q270" s="7" t="n">
        <f aca="false">MAX(E269-E270,0)</f>
        <v>0</v>
      </c>
      <c r="R270" s="7" t="n">
        <f aca="false">(R269*13+P270)/14</f>
        <v>80.8438849185691</v>
      </c>
      <c r="S270" s="7" t="n">
        <f aca="false">(S269*13+Q270)/14</f>
        <v>35.8497728906164</v>
      </c>
      <c r="T270" s="7" t="n">
        <f aca="false">IF(S270=0,100,100-100/(1+R270/S270))</f>
        <v>69.2787306836871</v>
      </c>
      <c r="U270" s="7" t="n">
        <f aca="false">E270*2/13+U269*11/13</f>
        <v>13130.1200835693</v>
      </c>
      <c r="V270" s="7" t="n">
        <f aca="false">E270*2/27+V269*25/27</f>
        <v>12912.0446100115</v>
      </c>
      <c r="W270" s="7" t="n">
        <f aca="false">U270-V270</f>
        <v>218.075473557788</v>
      </c>
      <c r="X270" s="7" t="n">
        <f aca="false">W270*2/10+X269*8/10</f>
        <v>178.502866622717</v>
      </c>
      <c r="Y270" s="7" t="n">
        <f aca="false">W270-X270</f>
        <v>39.5726069350713</v>
      </c>
      <c r="Z270" s="8" t="s">
        <v>42</v>
      </c>
      <c r="AA270" s="7" t="str">
        <f aca="false">IFERROR(INDEX(02_轉折點45!B:B,MATCH(A270,02_轉折點45!A:A,0)),"")</f>
        <v/>
      </c>
      <c r="AB270" s="7" t="n">
        <f aca="false">COUNTIFS(05_訊號明細!A:A,A270,05_訊號明細!C:C,"TOP")</f>
        <v>0</v>
      </c>
      <c r="AC270" s="7" t="n">
        <f aca="false">COUNTIFS(05_訊號明細!A:A,A270,05_訊號明細!C:C,"BOTTOM")</f>
        <v>0</v>
      </c>
    </row>
    <row r="271" customFormat="false" ht="15" hidden="false" customHeight="false" outlineLevel="0" collapsed="false">
      <c r="A271" s="7" t="s">
        <v>312</v>
      </c>
      <c r="B271" s="7" t="n">
        <v>13507.47</v>
      </c>
      <c r="C271" s="7" t="n">
        <v>13536.3</v>
      </c>
      <c r="D271" s="7" t="n">
        <v>13440.32</v>
      </c>
      <c r="E271" s="7" t="n">
        <v>13490.19</v>
      </c>
      <c r="F271" s="7" t="n">
        <v>6850</v>
      </c>
      <c r="G271" s="7" t="n">
        <f aca="false">AVERAGE(E267:E271)</f>
        <v>13408.264</v>
      </c>
      <c r="H271" s="7" t="n">
        <f aca="false">AVERAGE(E262:E271)</f>
        <v>13160.62</v>
      </c>
      <c r="I271" s="7" t="n">
        <f aca="false">AVERAGE(E252:E271)</f>
        <v>13004.492</v>
      </c>
      <c r="J271" s="7" t="n">
        <f aca="false">AVERAGE(E222:E271)</f>
        <v>12611.332</v>
      </c>
      <c r="K271" s="7" t="n">
        <f aca="false">AVERAGE(E172:E271)</f>
        <v>12051.8967</v>
      </c>
      <c r="L271" s="7" t="n">
        <f aca="false">AVERAGE(E72:E271)</f>
        <v>11076.8074</v>
      </c>
      <c r="M271" s="7" t="n">
        <f aca="false">I271</f>
        <v>13004.492</v>
      </c>
      <c r="N271" s="7" t="n">
        <f aca="false">I271+2*STDEV(E252:E271)</f>
        <v>13528.8250067449</v>
      </c>
      <c r="O271" s="7" t="n">
        <f aca="false">I271-2*STDEV(E252:E271)</f>
        <v>12480.1589932551</v>
      </c>
      <c r="P271" s="7" t="n">
        <f aca="false">MAX(E271-E270,0)</f>
        <v>6.89999999999964</v>
      </c>
      <c r="Q271" s="7" t="n">
        <f aca="false">MAX(E270-E271,0)</f>
        <v>0</v>
      </c>
      <c r="R271" s="7" t="n">
        <f aca="false">(R270*13+P271)/14</f>
        <v>75.5621788529569</v>
      </c>
      <c r="S271" s="7" t="n">
        <f aca="false">(S270*13+Q271)/14</f>
        <v>33.289074827001</v>
      </c>
      <c r="T271" s="7" t="n">
        <f aca="false">IF(S271=0,100,100-100/(1+R271/S271))</f>
        <v>69.4178305700761</v>
      </c>
      <c r="U271" s="7" t="n">
        <f aca="false">E271*2/13+U270*11/13</f>
        <v>13185.5154553278</v>
      </c>
      <c r="V271" s="7" t="n">
        <f aca="false">E271*2/27+V270*25/27</f>
        <v>12954.8701944551</v>
      </c>
      <c r="W271" s="7" t="n">
        <f aca="false">U271-V271</f>
        <v>230.645260872772</v>
      </c>
      <c r="X271" s="7" t="n">
        <f aca="false">W271*2/10+X270*8/10</f>
        <v>188.931345472728</v>
      </c>
      <c r="Y271" s="7" t="n">
        <f aca="false">W271-X271</f>
        <v>41.7139154000441</v>
      </c>
      <c r="Z271" s="8" t="s">
        <v>42</v>
      </c>
      <c r="AA271" s="7" t="str">
        <f aca="false">IFERROR(INDEX(02_轉折點45!B:B,MATCH(A271,02_轉折點45!A:A,0)),"")</f>
        <v/>
      </c>
      <c r="AB271" s="7" t="n">
        <f aca="false">COUNTIFS(05_訊號明細!A:A,A271,05_訊號明細!C:C,"TOP")</f>
        <v>0</v>
      </c>
      <c r="AC271" s="7" t="n">
        <f aca="false">COUNTIFS(05_訊號明細!A:A,A271,05_訊號明細!C:C,"BOTTOM")</f>
        <v>0</v>
      </c>
    </row>
    <row r="272" customFormat="false" ht="15" hidden="false" customHeight="false" outlineLevel="0" collapsed="false">
      <c r="A272" s="7" t="s">
        <v>313</v>
      </c>
      <c r="B272" s="7" t="n">
        <v>13371.16</v>
      </c>
      <c r="C272" s="7" t="n">
        <v>13393.51</v>
      </c>
      <c r="D272" s="7" t="n">
        <v>13034.14</v>
      </c>
      <c r="E272" s="7" t="n">
        <v>13112.65</v>
      </c>
      <c r="F272" s="7" t="n">
        <v>11621</v>
      </c>
      <c r="G272" s="7" t="n">
        <f aca="false">AVERAGE(E268:E272)</f>
        <v>13371.504</v>
      </c>
      <c r="H272" s="7" t="n">
        <f aca="false">AVERAGE(E263:E272)</f>
        <v>13182.676</v>
      </c>
      <c r="I272" s="7" t="n">
        <f aca="false">AVERAGE(E253:E272)</f>
        <v>13018.1815</v>
      </c>
      <c r="J272" s="7" t="n">
        <f aca="false">AVERAGE(E223:E272)</f>
        <v>12637.0422</v>
      </c>
      <c r="K272" s="7" t="n">
        <f aca="false">AVERAGE(E173:E272)</f>
        <v>12058.8178</v>
      </c>
      <c r="L272" s="7" t="n">
        <f aca="false">AVERAGE(E73:E272)</f>
        <v>11100.70695</v>
      </c>
      <c r="M272" s="7" t="n">
        <f aca="false">I272</f>
        <v>13018.1815</v>
      </c>
      <c r="N272" s="7" t="n">
        <f aca="false">I272+2*STDEV(E253:E272)</f>
        <v>13538.5883003227</v>
      </c>
      <c r="O272" s="7" t="n">
        <f aca="false">I272-2*STDEV(E253:E272)</f>
        <v>12497.7746996773</v>
      </c>
      <c r="P272" s="7" t="n">
        <f aca="false">MAX(E272-E271,0)</f>
        <v>0</v>
      </c>
      <c r="Q272" s="7" t="n">
        <f aca="false">MAX(E271-E272,0)</f>
        <v>377.540000000001</v>
      </c>
      <c r="R272" s="7" t="n">
        <f aca="false">(R271*13+P272)/14</f>
        <v>70.16488036346</v>
      </c>
      <c r="S272" s="7" t="n">
        <f aca="false">(S271*13+Q272)/14</f>
        <v>57.8784266250724</v>
      </c>
      <c r="T272" s="7" t="n">
        <f aca="false">IF(S272=0,100,100-100/(1+R272/S272))</f>
        <v>54.797772733052</v>
      </c>
      <c r="U272" s="7" t="n">
        <f aca="false">E272*2/13+U271*11/13</f>
        <v>13174.3053852774</v>
      </c>
      <c r="V272" s="7" t="n">
        <f aca="false">E272*2/27+V271*25/27</f>
        <v>12966.5575874584</v>
      </c>
      <c r="W272" s="7" t="n">
        <f aca="false">U272-V272</f>
        <v>207.747797819011</v>
      </c>
      <c r="X272" s="7" t="n">
        <f aca="false">W272*2/10+X271*8/10</f>
        <v>192.694635941985</v>
      </c>
      <c r="Y272" s="7" t="n">
        <f aca="false">W272-X272</f>
        <v>15.0531618770262</v>
      </c>
      <c r="Z272" s="8" t="s">
        <v>42</v>
      </c>
      <c r="AA272" s="7" t="str">
        <f aca="false">IFERROR(INDEX(02_轉折點45!B:B,MATCH(A272,02_轉折點45!A:A,0)),"")</f>
        <v/>
      </c>
      <c r="AB272" s="7" t="n">
        <f aca="false">COUNTIFS(05_訊號明細!A:A,A272,05_訊號明細!C:C,"TOP")</f>
        <v>0</v>
      </c>
      <c r="AC272" s="7" t="n">
        <f aca="false">COUNTIFS(05_訊號明細!A:A,A272,05_訊號明細!C:C,"BOTTOM")</f>
        <v>0</v>
      </c>
    </row>
    <row r="273" customFormat="false" ht="15" hidden="false" customHeight="false" outlineLevel="0" collapsed="false">
      <c r="A273" s="7" t="s">
        <v>314</v>
      </c>
      <c r="B273" s="7" t="n">
        <v>13163.32</v>
      </c>
      <c r="C273" s="7" t="n">
        <v>13401.85</v>
      </c>
      <c r="D273" s="7" t="n">
        <v>13150.1</v>
      </c>
      <c r="E273" s="7" t="n">
        <v>13201.53</v>
      </c>
      <c r="F273" s="7" t="n">
        <v>9959</v>
      </c>
      <c r="G273" s="7" t="n">
        <f aca="false">AVERAGE(E269:E273)</f>
        <v>13330.812</v>
      </c>
      <c r="H273" s="7" t="n">
        <f aca="false">AVERAGE(E264:E273)</f>
        <v>13205.466</v>
      </c>
      <c r="I273" s="7" t="n">
        <f aca="false">AVERAGE(E254:E273)</f>
        <v>13036.0835</v>
      </c>
      <c r="J273" s="7" t="n">
        <f aca="false">AVERAGE(E224:E273)</f>
        <v>12662.316</v>
      </c>
      <c r="K273" s="7" t="n">
        <f aca="false">AVERAGE(E174:E273)</f>
        <v>12073.1194</v>
      </c>
      <c r="L273" s="7" t="n">
        <f aca="false">AVERAGE(E74:E273)</f>
        <v>11123.2538</v>
      </c>
      <c r="M273" s="7" t="n">
        <f aca="false">I273</f>
        <v>13036.0835</v>
      </c>
      <c r="N273" s="7" t="n">
        <f aca="false">I273+2*STDEV(E254:E273)</f>
        <v>13555.8203362131</v>
      </c>
      <c r="O273" s="7" t="n">
        <f aca="false">I273-2*STDEV(E254:E273)</f>
        <v>12516.3466637869</v>
      </c>
      <c r="P273" s="7" t="n">
        <f aca="false">MAX(E273-E272,0)</f>
        <v>88.880000000001</v>
      </c>
      <c r="Q273" s="7" t="n">
        <f aca="false">MAX(E272-E273,0)</f>
        <v>0</v>
      </c>
      <c r="R273" s="7" t="n">
        <f aca="false">(R272*13+P273)/14</f>
        <v>71.501674623213</v>
      </c>
      <c r="S273" s="7" t="n">
        <f aca="false">(S272*13+Q273)/14</f>
        <v>53.7442532947101</v>
      </c>
      <c r="T273" s="7" t="n">
        <f aca="false">IF(S273=0,100,100-100/(1+R273/S273))</f>
        <v>57.0890214251675</v>
      </c>
      <c r="U273" s="7" t="n">
        <f aca="false">E273*2/13+U272*11/13</f>
        <v>13178.4937875424</v>
      </c>
      <c r="V273" s="7" t="n">
        <f aca="false">E273*2/27+V272*25/27</f>
        <v>12983.9629513504</v>
      </c>
      <c r="W273" s="7" t="n">
        <f aca="false">U273-V273</f>
        <v>194.530836192056</v>
      </c>
      <c r="X273" s="7" t="n">
        <f aca="false">W273*2/10+X272*8/10</f>
        <v>193.061875991999</v>
      </c>
      <c r="Y273" s="7" t="n">
        <f aca="false">W273-X273</f>
        <v>1.4689602000571</v>
      </c>
      <c r="Z273" s="8" t="s">
        <v>42</v>
      </c>
      <c r="AA273" s="7" t="str">
        <f aca="false">IFERROR(INDEX(02_轉折點45!B:B,MATCH(A273,02_轉折點45!A:A,0)),"")</f>
        <v/>
      </c>
      <c r="AB273" s="7" t="n">
        <f aca="false">COUNTIFS(05_訊號明細!A:A,A273,05_訊號明細!C:C,"TOP")</f>
        <v>0</v>
      </c>
      <c r="AC273" s="7" t="n">
        <f aca="false">COUNTIFS(05_訊號明細!A:A,A273,05_訊號明細!C:C,"BOTTOM")</f>
        <v>1</v>
      </c>
    </row>
    <row r="274" customFormat="false" ht="15" hidden="false" customHeight="false" outlineLevel="0" collapsed="false">
      <c r="A274" s="7" t="s">
        <v>315</v>
      </c>
      <c r="B274" s="7" t="n">
        <v>13124.7</v>
      </c>
      <c r="C274" s="7" t="n">
        <v>13167.87</v>
      </c>
      <c r="D274" s="7" t="n">
        <v>12845.43</v>
      </c>
      <c r="E274" s="7" t="n">
        <v>12925.38</v>
      </c>
      <c r="F274" s="7" t="n">
        <v>7872</v>
      </c>
      <c r="G274" s="7" t="n">
        <f aca="false">AVERAGE(E270:E274)</f>
        <v>13242.608</v>
      </c>
      <c r="H274" s="7" t="n">
        <f aca="false">AVERAGE(E265:E274)</f>
        <v>13208.135</v>
      </c>
      <c r="I274" s="7" t="n">
        <f aca="false">AVERAGE(E255:E274)</f>
        <v>13040.0845</v>
      </c>
      <c r="J274" s="7" t="n">
        <f aca="false">AVERAGE(E225:E274)</f>
        <v>12680.556</v>
      </c>
      <c r="K274" s="7" t="n">
        <f aca="false">AVERAGE(E175:E274)</f>
        <v>12086.1519</v>
      </c>
      <c r="L274" s="7" t="n">
        <f aca="false">AVERAGE(E75:E274)</f>
        <v>11144.9209</v>
      </c>
      <c r="M274" s="7" t="n">
        <f aca="false">I274</f>
        <v>13040.0845</v>
      </c>
      <c r="N274" s="7" t="n">
        <f aca="false">I274+2*STDEV(E255:E274)</f>
        <v>13554.8475934497</v>
      </c>
      <c r="O274" s="7" t="n">
        <f aca="false">I274-2*STDEV(E255:E274)</f>
        <v>12525.3214065503</v>
      </c>
      <c r="P274" s="7" t="n">
        <f aca="false">MAX(E274-E273,0)</f>
        <v>0</v>
      </c>
      <c r="Q274" s="7" t="n">
        <f aca="false">MAX(E273-E274,0)</f>
        <v>276.150000000001</v>
      </c>
      <c r="R274" s="7" t="n">
        <f aca="false">(R273*13+P274)/14</f>
        <v>66.3944121501263</v>
      </c>
      <c r="S274" s="7" t="n">
        <f aca="false">(S273*13+Q274)/14</f>
        <v>69.6303780593737</v>
      </c>
      <c r="T274" s="7" t="n">
        <f aca="false">IF(S274=0,100,100-100/(1+R274/S274))</f>
        <v>48.8105234699265</v>
      </c>
      <c r="U274" s="7" t="n">
        <f aca="false">E274*2/13+U273*11/13</f>
        <v>13139.5532048436</v>
      </c>
      <c r="V274" s="7" t="n">
        <f aca="false">E274*2/27+V273*25/27</f>
        <v>12979.6234734726</v>
      </c>
      <c r="W274" s="7" t="n">
        <f aca="false">U274-V274</f>
        <v>159.929731371027</v>
      </c>
      <c r="X274" s="7" t="n">
        <f aca="false">W274*2/10+X273*8/10</f>
        <v>186.435447067805</v>
      </c>
      <c r="Y274" s="7" t="n">
        <f aca="false">W274-X274</f>
        <v>-26.5057156967778</v>
      </c>
      <c r="Z274" s="8" t="s">
        <v>42</v>
      </c>
      <c r="AA274" s="7" t="str">
        <f aca="false">IFERROR(INDEX(02_轉折點45!B:B,MATCH(A274,02_轉折點45!A:A,0)),"")</f>
        <v/>
      </c>
      <c r="AB274" s="7" t="n">
        <f aca="false">COUNTIFS(05_訊號明細!A:A,A274,05_訊號明細!C:C,"TOP")</f>
        <v>1</v>
      </c>
      <c r="AC274" s="7" t="n">
        <f aca="false">COUNTIFS(05_訊號明細!A:A,A274,05_訊號明細!C:C,"BOTTOM")</f>
        <v>0</v>
      </c>
    </row>
    <row r="275" customFormat="false" ht="15" hidden="false" customHeight="false" outlineLevel="0" collapsed="false">
      <c r="A275" s="7" t="s">
        <v>316</v>
      </c>
      <c r="B275" s="7" t="n">
        <v>13067.65</v>
      </c>
      <c r="C275" s="7" t="n">
        <v>13280.22</v>
      </c>
      <c r="D275" s="7" t="n">
        <v>12983.1</v>
      </c>
      <c r="E275" s="7" t="n">
        <v>13248.9</v>
      </c>
      <c r="F275" s="7" t="n">
        <v>7093</v>
      </c>
      <c r="G275" s="7" t="n">
        <f aca="false">AVERAGE(E271:E275)</f>
        <v>13195.73</v>
      </c>
      <c r="H275" s="7" t="n">
        <f aca="false">AVERAGE(E266:E275)</f>
        <v>13252.632</v>
      </c>
      <c r="I275" s="7" t="n">
        <f aca="false">AVERAGE(E256:E275)</f>
        <v>13058.1155</v>
      </c>
      <c r="J275" s="7" t="n">
        <f aca="false">AVERAGE(E226:E275)</f>
        <v>12705.9842</v>
      </c>
      <c r="K275" s="7" t="n">
        <f aca="false">AVERAGE(E176:E275)</f>
        <v>12107.9583</v>
      </c>
      <c r="L275" s="7" t="n">
        <f aca="false">AVERAGE(E76:E275)</f>
        <v>11167.37625</v>
      </c>
      <c r="M275" s="7" t="n">
        <f aca="false">I275</f>
        <v>13058.1155</v>
      </c>
      <c r="N275" s="7" t="n">
        <f aca="false">I275+2*STDEV(E256:E275)</f>
        <v>13575.7451011415</v>
      </c>
      <c r="O275" s="7" t="n">
        <f aca="false">I275-2*STDEV(E256:E275)</f>
        <v>12540.4858988585</v>
      </c>
      <c r="P275" s="7" t="n">
        <f aca="false">MAX(E275-E274,0)</f>
        <v>323.52</v>
      </c>
      <c r="Q275" s="7" t="n">
        <f aca="false">MAX(E274-E275,0)</f>
        <v>0</v>
      </c>
      <c r="R275" s="7" t="n">
        <f aca="false">(R274*13+P275)/14</f>
        <v>84.7605255679745</v>
      </c>
      <c r="S275" s="7" t="n">
        <f aca="false">(S274*13+Q275)/14</f>
        <v>64.6567796265613</v>
      </c>
      <c r="T275" s="7" t="n">
        <f aca="false">IF(S275=0,100,100-100/(1+R275/S275))</f>
        <v>56.7273820509742</v>
      </c>
      <c r="U275" s="7" t="n">
        <f aca="false">E275*2/13+U274*11/13</f>
        <v>13156.3757887138</v>
      </c>
      <c r="V275" s="7" t="n">
        <f aca="false">E275*2/27+V274*25/27</f>
        <v>12999.569882845</v>
      </c>
      <c r="W275" s="7" t="n">
        <f aca="false">U275-V275</f>
        <v>156.80590586884</v>
      </c>
      <c r="X275" s="7" t="n">
        <f aca="false">W275*2/10+X274*8/10</f>
        <v>180.509538828012</v>
      </c>
      <c r="Y275" s="7" t="n">
        <f aca="false">W275-X275</f>
        <v>-23.703632959172</v>
      </c>
      <c r="Z275" s="7" t="s">
        <v>78</v>
      </c>
      <c r="AA275" s="7" t="str">
        <f aca="false">IFERROR(INDEX(02_轉折點45!B:B,MATCH(A275,02_轉折點45!A:A,0)),"")</f>
        <v/>
      </c>
      <c r="AB275" s="7" t="n">
        <f aca="false">COUNTIFS(05_訊號明細!A:A,A275,05_訊號明細!C:C,"TOP")</f>
        <v>2</v>
      </c>
      <c r="AC275" s="7" t="n">
        <f aca="false">COUNTIFS(05_訊號明細!A:A,A275,05_訊號明細!C:C,"BOTTOM")</f>
        <v>1</v>
      </c>
    </row>
    <row r="276" customFormat="false" ht="15" hidden="false" customHeight="false" outlineLevel="0" collapsed="false">
      <c r="A276" s="7" t="s">
        <v>317</v>
      </c>
      <c r="B276" s="7" t="n">
        <v>13371.37</v>
      </c>
      <c r="C276" s="7" t="n">
        <v>13501.23</v>
      </c>
      <c r="D276" s="7" t="n">
        <v>13363.76</v>
      </c>
      <c r="E276" s="7" t="n">
        <v>13456.12</v>
      </c>
      <c r="F276" s="7" t="n">
        <v>7325</v>
      </c>
      <c r="G276" s="7" t="n">
        <f aca="false">AVERAGE(E272:E276)</f>
        <v>13188.916</v>
      </c>
      <c r="H276" s="7" t="n">
        <f aca="false">AVERAGE(E267:E276)</f>
        <v>13298.59</v>
      </c>
      <c r="I276" s="7" t="n">
        <f aca="false">AVERAGE(E257:E276)</f>
        <v>13096.1885</v>
      </c>
      <c r="J276" s="7" t="n">
        <f aca="false">AVERAGE(E227:E276)</f>
        <v>12737.2124</v>
      </c>
      <c r="K276" s="7" t="n">
        <f aca="false">AVERAGE(E177:E276)</f>
        <v>12128.561</v>
      </c>
      <c r="L276" s="7" t="n">
        <f aca="false">AVERAGE(E77:E276)</f>
        <v>11190.4948</v>
      </c>
      <c r="M276" s="7" t="n">
        <f aca="false">I276</f>
        <v>13096.1885</v>
      </c>
      <c r="N276" s="7" t="n">
        <f aca="false">I276+2*STDEV(E257:E276)</f>
        <v>13613.2721303845</v>
      </c>
      <c r="O276" s="7" t="n">
        <f aca="false">I276-2*STDEV(E257:E276)</f>
        <v>12579.1048696155</v>
      </c>
      <c r="P276" s="7" t="n">
        <f aca="false">MAX(E276-E275,0)</f>
        <v>207.220000000001</v>
      </c>
      <c r="Q276" s="7" t="n">
        <f aca="false">MAX(E275-E276,0)</f>
        <v>0</v>
      </c>
      <c r="R276" s="7" t="n">
        <f aca="false">(R275*13+P276)/14</f>
        <v>93.5076308845478</v>
      </c>
      <c r="S276" s="7" t="n">
        <f aca="false">(S275*13+Q276)/14</f>
        <v>60.0384382246641</v>
      </c>
      <c r="T276" s="7" t="n">
        <f aca="false">IF(S276=0,100,100-100/(1+R276/S276))</f>
        <v>60.8987461724202</v>
      </c>
      <c r="U276" s="7" t="n">
        <f aca="false">E276*2/13+U275*11/13</f>
        <v>13202.4902827578</v>
      </c>
      <c r="V276" s="7" t="n">
        <f aca="false">E276*2/27+V275*25/27</f>
        <v>13033.3884100416</v>
      </c>
      <c r="W276" s="7" t="n">
        <f aca="false">U276-V276</f>
        <v>169.101872716201</v>
      </c>
      <c r="X276" s="7" t="n">
        <f aca="false">W276*2/10+X275*8/10</f>
        <v>178.228005605649</v>
      </c>
      <c r="Y276" s="7" t="n">
        <f aca="false">W276-X276</f>
        <v>-9.12613288944851</v>
      </c>
      <c r="Z276" s="7" t="s">
        <v>78</v>
      </c>
      <c r="AA276" s="7" t="str">
        <f aca="false">IFERROR(INDEX(02_轉折點45!B:B,MATCH(A276,02_轉折點45!A:A,0)),"")</f>
        <v/>
      </c>
      <c r="AB276" s="7" t="n">
        <f aca="false">COUNTIFS(05_訊號明細!A:A,A276,05_訊號明細!C:C,"TOP")</f>
        <v>0</v>
      </c>
      <c r="AC276" s="7" t="n">
        <f aca="false">COUNTIFS(05_訊號明細!A:A,A276,05_訊號明細!C:C,"BOTTOM")</f>
        <v>0</v>
      </c>
    </row>
    <row r="277" customFormat="false" ht="15" hidden="false" customHeight="false" outlineLevel="0" collapsed="false">
      <c r="A277" s="7" t="s">
        <v>318</v>
      </c>
      <c r="B277" s="7" t="n">
        <v>13555.03</v>
      </c>
      <c r="C277" s="7" t="n">
        <v>13561.45</v>
      </c>
      <c r="D277" s="7" t="n">
        <v>13400.08</v>
      </c>
      <c r="E277" s="7" t="n">
        <v>13402.37</v>
      </c>
      <c r="F277" s="7" t="n">
        <v>7547</v>
      </c>
      <c r="G277" s="7" t="n">
        <f aca="false">AVERAGE(E273:E277)</f>
        <v>13246.86</v>
      </c>
      <c r="H277" s="7" t="n">
        <f aca="false">AVERAGE(E268:E277)</f>
        <v>13309.182</v>
      </c>
      <c r="I277" s="7" t="n">
        <f aca="false">AVERAGE(E258:E277)</f>
        <v>13126.188</v>
      </c>
      <c r="J277" s="7" t="n">
        <f aca="false">AVERAGE(E228:E277)</f>
        <v>12765.5512</v>
      </c>
      <c r="K277" s="7" t="n">
        <f aca="false">AVERAGE(E178:E277)</f>
        <v>12151.0435</v>
      </c>
      <c r="L277" s="7" t="n">
        <f aca="false">AVERAGE(E78:E277)</f>
        <v>11213.8741</v>
      </c>
      <c r="M277" s="7" t="n">
        <f aca="false">I277</f>
        <v>13126.188</v>
      </c>
      <c r="N277" s="7" t="n">
        <f aca="false">I277+2*STDEV(E258:E277)</f>
        <v>13641.1142205956</v>
      </c>
      <c r="O277" s="7" t="n">
        <f aca="false">I277-2*STDEV(E258:E277)</f>
        <v>12611.2617794044</v>
      </c>
      <c r="P277" s="7" t="n">
        <f aca="false">MAX(E277-E276,0)</f>
        <v>0</v>
      </c>
      <c r="Q277" s="7" t="n">
        <f aca="false">MAX(E276-E277,0)</f>
        <v>53.75</v>
      </c>
      <c r="R277" s="7" t="n">
        <f aca="false">(R276*13+P277)/14</f>
        <v>86.8285143927944</v>
      </c>
      <c r="S277" s="7" t="n">
        <f aca="false">(S276*13+Q277)/14</f>
        <v>59.5892640657595</v>
      </c>
      <c r="T277" s="7" t="n">
        <f aca="false">IF(S277=0,100,100-100/(1+R277/S277))</f>
        <v>59.3018930534947</v>
      </c>
      <c r="U277" s="7" t="n">
        <f aca="false">E277*2/13+U276*11/13</f>
        <v>13233.2410084874</v>
      </c>
      <c r="V277" s="7" t="n">
        <f aca="false">E277*2/27+V276*25/27</f>
        <v>13060.7203796682</v>
      </c>
      <c r="W277" s="7" t="n">
        <f aca="false">U277-V277</f>
        <v>172.52062881922</v>
      </c>
      <c r="X277" s="7" t="n">
        <f aca="false">W277*2/10+X276*8/10</f>
        <v>177.086530248364</v>
      </c>
      <c r="Y277" s="7" t="n">
        <f aca="false">W277-X277</f>
        <v>-4.56590142914328</v>
      </c>
      <c r="Z277" s="8" t="s">
        <v>42</v>
      </c>
      <c r="AA277" s="7" t="str">
        <f aca="false">IFERROR(INDEX(02_轉折點45!B:B,MATCH(A277,02_轉折點45!A:A,0)),"")</f>
        <v/>
      </c>
      <c r="AB277" s="7" t="n">
        <f aca="false">COUNTIFS(05_訊號明細!A:A,A277,05_訊號明細!C:C,"TOP")</f>
        <v>0</v>
      </c>
      <c r="AC277" s="7" t="n">
        <f aca="false">COUNTIFS(05_訊號明細!A:A,A277,05_訊號明細!C:C,"BOTTOM")</f>
        <v>0</v>
      </c>
    </row>
    <row r="278" customFormat="false" ht="15" hidden="false" customHeight="false" outlineLevel="0" collapsed="false">
      <c r="A278" s="7" t="s">
        <v>319</v>
      </c>
      <c r="B278" s="7" t="n">
        <v>13454.85</v>
      </c>
      <c r="C278" s="7" t="n">
        <v>13563.13</v>
      </c>
      <c r="D278" s="7" t="n">
        <v>13406.44</v>
      </c>
      <c r="E278" s="7" t="n">
        <v>13560.89</v>
      </c>
      <c r="F278" s="7" t="n">
        <v>7295</v>
      </c>
      <c r="G278" s="7" t="n">
        <f aca="false">AVERAGE(E274:E278)</f>
        <v>13318.732</v>
      </c>
      <c r="H278" s="7" t="n">
        <f aca="false">AVERAGE(E269:E278)</f>
        <v>13324.772</v>
      </c>
      <c r="I278" s="7" t="n">
        <f aca="false">AVERAGE(E259:E278)</f>
        <v>13173.065</v>
      </c>
      <c r="J278" s="7" t="n">
        <f aca="false">AVERAGE(E229:E278)</f>
        <v>12798.6402</v>
      </c>
      <c r="K278" s="7" t="n">
        <f aca="false">AVERAGE(E179:E278)</f>
        <v>12175.7784</v>
      </c>
      <c r="L278" s="7" t="n">
        <f aca="false">AVERAGE(E79:E278)</f>
        <v>11239.66355</v>
      </c>
      <c r="M278" s="7" t="n">
        <f aca="false">I278</f>
        <v>13173.065</v>
      </c>
      <c r="N278" s="7" t="n">
        <f aca="false">I278+2*STDEV(E259:E278)</f>
        <v>13665.455200873</v>
      </c>
      <c r="O278" s="7" t="n">
        <f aca="false">I278-2*STDEV(E259:E278)</f>
        <v>12680.674799127</v>
      </c>
      <c r="P278" s="7" t="n">
        <f aca="false">MAX(E278-E277,0)</f>
        <v>158.519999999999</v>
      </c>
      <c r="Q278" s="7" t="n">
        <f aca="false">MAX(E277-E278,0)</f>
        <v>0</v>
      </c>
      <c r="R278" s="7" t="n">
        <f aca="false">(R277*13+P278)/14</f>
        <v>91.949334793309</v>
      </c>
      <c r="S278" s="7" t="n">
        <f aca="false">(S277*13+Q278)/14</f>
        <v>55.3328880610624</v>
      </c>
      <c r="T278" s="7" t="n">
        <f aca="false">IF(S278=0,100,100-100/(1+R278/S278))</f>
        <v>62.4307082085704</v>
      </c>
      <c r="U278" s="7" t="n">
        <f aca="false">E278*2/13+U277*11/13</f>
        <v>13283.6485456432</v>
      </c>
      <c r="V278" s="7" t="n">
        <f aca="false">E278*2/27+V277*25/27</f>
        <v>13097.7699811742</v>
      </c>
      <c r="W278" s="7" t="n">
        <f aca="false">U278-V278</f>
        <v>185.878564468943</v>
      </c>
      <c r="X278" s="7" t="n">
        <f aca="false">W278*2/10+X277*8/10</f>
        <v>178.84493709248</v>
      </c>
      <c r="Y278" s="7" t="n">
        <f aca="false">W278-X278</f>
        <v>7.03362737646376</v>
      </c>
      <c r="Z278" s="8" t="s">
        <v>42</v>
      </c>
      <c r="AA278" s="7" t="str">
        <f aca="false">IFERROR(INDEX(02_轉折點45!B:B,MATCH(A278,02_轉折點45!A:A,0)),"")</f>
        <v/>
      </c>
      <c r="AB278" s="7" t="n">
        <f aca="false">COUNTIFS(05_訊號明細!A:A,A278,05_訊號明細!C:C,"TOP")</f>
        <v>1</v>
      </c>
      <c r="AC278" s="7" t="n">
        <f aca="false">COUNTIFS(05_訊號明細!A:A,A278,05_訊號明細!C:C,"BOTTOM")</f>
        <v>0</v>
      </c>
    </row>
    <row r="279" customFormat="false" ht="15" hidden="false" customHeight="false" outlineLevel="0" collapsed="false">
      <c r="A279" s="7" t="s">
        <v>320</v>
      </c>
      <c r="B279" s="7" t="n">
        <v>13592.77</v>
      </c>
      <c r="C279" s="7" t="n">
        <v>13642.96</v>
      </c>
      <c r="D279" s="7" t="n">
        <v>13527.81</v>
      </c>
      <c r="E279" s="7" t="n">
        <v>13603.96</v>
      </c>
      <c r="F279" s="7" t="n">
        <v>6793</v>
      </c>
      <c r="G279" s="7" t="n">
        <f aca="false">AVERAGE(E275:E279)</f>
        <v>13454.448</v>
      </c>
      <c r="H279" s="7" t="n">
        <f aca="false">AVERAGE(E270:E279)</f>
        <v>13348.528</v>
      </c>
      <c r="I279" s="7" t="n">
        <f aca="false">AVERAGE(E260:E279)</f>
        <v>13206.2845</v>
      </c>
      <c r="J279" s="7" t="n">
        <f aca="false">AVERAGE(E230:E279)</f>
        <v>12832.6006</v>
      </c>
      <c r="K279" s="7" t="n">
        <f aca="false">AVERAGE(E180:E279)</f>
        <v>12199.0404</v>
      </c>
      <c r="L279" s="7" t="n">
        <f aca="false">AVERAGE(E80:E279)</f>
        <v>11264.36015</v>
      </c>
      <c r="M279" s="7" t="n">
        <f aca="false">I279</f>
        <v>13206.2845</v>
      </c>
      <c r="N279" s="7" t="n">
        <f aca="false">I279+2*STDEV(E260:E279)</f>
        <v>13721.4663083775</v>
      </c>
      <c r="O279" s="7" t="n">
        <f aca="false">I279-2*STDEV(E260:E279)</f>
        <v>12691.1026916225</v>
      </c>
      <c r="P279" s="7" t="n">
        <f aca="false">MAX(E279-E278,0)</f>
        <v>43.0699999999997</v>
      </c>
      <c r="Q279" s="7" t="n">
        <f aca="false">MAX(E278-E279,0)</f>
        <v>0</v>
      </c>
      <c r="R279" s="7" t="n">
        <f aca="false">(R278*13+P279)/14</f>
        <v>88.457953736644</v>
      </c>
      <c r="S279" s="7" t="n">
        <f aca="false">(S278*13+Q279)/14</f>
        <v>51.3805389138437</v>
      </c>
      <c r="T279" s="7" t="n">
        <f aca="false">IF(S279=0,100,100-100/(1+R279/S279))</f>
        <v>63.2572277203644</v>
      </c>
      <c r="U279" s="7" t="n">
        <f aca="false">E279*2/13+U278*11/13</f>
        <v>13332.9272309288</v>
      </c>
      <c r="V279" s="7" t="n">
        <f aca="false">E279*2/27+V278*25/27</f>
        <v>13135.2655381243</v>
      </c>
      <c r="W279" s="7" t="n">
        <f aca="false">U279-V279</f>
        <v>197.661692804551</v>
      </c>
      <c r="X279" s="7" t="n">
        <f aca="false">W279*2/10+X278*8/10</f>
        <v>182.608288234894</v>
      </c>
      <c r="Y279" s="7" t="n">
        <f aca="false">W279-X279</f>
        <v>15.0534045696575</v>
      </c>
      <c r="Z279" s="8" t="s">
        <v>42</v>
      </c>
      <c r="AA279" s="7" t="str">
        <f aca="false">IFERROR(INDEX(02_轉折點45!B:B,MATCH(A279,02_轉折點45!A:A,0)),"")</f>
        <v/>
      </c>
      <c r="AB279" s="7" t="n">
        <f aca="false">COUNTIFS(05_訊號明細!A:A,A279,05_訊號明細!C:C,"TOP")</f>
        <v>1</v>
      </c>
      <c r="AC279" s="7" t="n">
        <f aca="false">COUNTIFS(05_訊號明細!A:A,A279,05_訊號明細!C:C,"BOTTOM")</f>
        <v>0</v>
      </c>
    </row>
    <row r="280" customFormat="false" ht="15" hidden="false" customHeight="false" outlineLevel="0" collapsed="false">
      <c r="A280" s="7" t="s">
        <v>321</v>
      </c>
      <c r="B280" s="7" t="n">
        <v>13672.33</v>
      </c>
      <c r="C280" s="7" t="n">
        <v>13698.41</v>
      </c>
      <c r="D280" s="7" t="n">
        <v>13607.96</v>
      </c>
      <c r="E280" s="7" t="n">
        <v>13695.02</v>
      </c>
      <c r="F280" s="7" t="n">
        <v>8565</v>
      </c>
      <c r="G280" s="7" t="n">
        <f aca="false">AVERAGE(E276:E280)</f>
        <v>13543.672</v>
      </c>
      <c r="H280" s="7" t="n">
        <f aca="false">AVERAGE(E271:E280)</f>
        <v>13369.701</v>
      </c>
      <c r="I280" s="7" t="n">
        <f aca="false">AVERAGE(E261:E280)</f>
        <v>13235.7755</v>
      </c>
      <c r="J280" s="7" t="n">
        <f aca="false">AVERAGE(E231:E280)</f>
        <v>12864.9048</v>
      </c>
      <c r="K280" s="7" t="n">
        <f aca="false">AVERAGE(E181:E280)</f>
        <v>12221.6019</v>
      </c>
      <c r="L280" s="7" t="n">
        <f aca="false">AVERAGE(E81:E280)</f>
        <v>11289.62775</v>
      </c>
      <c r="M280" s="7" t="n">
        <f aca="false">I280</f>
        <v>13235.7755</v>
      </c>
      <c r="N280" s="7" t="n">
        <f aca="false">I280+2*STDEV(E261:E280)</f>
        <v>13792.4495207783</v>
      </c>
      <c r="O280" s="7" t="n">
        <f aca="false">I280-2*STDEV(E261:E280)</f>
        <v>12679.1014792217</v>
      </c>
      <c r="P280" s="7" t="n">
        <f aca="false">MAX(E280-E279,0)</f>
        <v>91.0600000000013</v>
      </c>
      <c r="Q280" s="7" t="n">
        <f aca="false">MAX(E279-E280,0)</f>
        <v>0</v>
      </c>
      <c r="R280" s="7" t="n">
        <f aca="false">(R279*13+P280)/14</f>
        <v>88.6438141840267</v>
      </c>
      <c r="S280" s="7" t="n">
        <f aca="false">(S279*13+Q280)/14</f>
        <v>47.7105004199977</v>
      </c>
      <c r="T280" s="7" t="n">
        <f aca="false">IF(S280=0,100,100-100/(1+R280/S280))</f>
        <v>65.0099077843265</v>
      </c>
      <c r="U280" s="7" t="n">
        <f aca="false">E280*2/13+U279*11/13</f>
        <v>13388.6338107859</v>
      </c>
      <c r="V280" s="7" t="n">
        <f aca="false">E280*2/27+V279*25/27</f>
        <v>13176.7288315966</v>
      </c>
      <c r="W280" s="7" t="n">
        <f aca="false">U280-V280</f>
        <v>211.904979189378</v>
      </c>
      <c r="X280" s="7" t="n">
        <f aca="false">W280*2/10+X279*8/10</f>
        <v>188.467626425791</v>
      </c>
      <c r="Y280" s="7" t="n">
        <f aca="false">W280-X280</f>
        <v>23.4373527635869</v>
      </c>
      <c r="Z280" s="8" t="s">
        <v>42</v>
      </c>
      <c r="AA280" s="7" t="str">
        <f aca="false">IFERROR(INDEX(02_轉折點45!B:B,MATCH(A280,02_轉折點45!A:A,0)),"")</f>
        <v/>
      </c>
      <c r="AB280" s="7" t="n">
        <f aca="false">COUNTIFS(05_訊號明細!A:A,A280,05_訊號明細!C:C,"TOP")</f>
        <v>1</v>
      </c>
      <c r="AC280" s="7" t="n">
        <f aca="false">COUNTIFS(05_訊號明細!A:A,A280,05_訊號明細!C:C,"BOTTOM")</f>
        <v>0</v>
      </c>
    </row>
    <row r="281" customFormat="false" ht="15" hidden="false" customHeight="false" outlineLevel="0" collapsed="false">
      <c r="A281" s="7" t="s">
        <v>322</v>
      </c>
      <c r="B281" s="7" t="n">
        <v>13667.14</v>
      </c>
      <c r="C281" s="7" t="n">
        <v>13741.79</v>
      </c>
      <c r="D281" s="7" t="n">
        <v>13664.7</v>
      </c>
      <c r="E281" s="7" t="n">
        <v>13687.08</v>
      </c>
      <c r="F281" s="7" t="n">
        <v>8767</v>
      </c>
      <c r="G281" s="7" t="n">
        <f aca="false">AVERAGE(E277:E281)</f>
        <v>13589.864</v>
      </c>
      <c r="H281" s="7" t="n">
        <f aca="false">AVERAGE(E272:E281)</f>
        <v>13389.39</v>
      </c>
      <c r="I281" s="7" t="n">
        <f aca="false">AVERAGE(E262:E281)</f>
        <v>13275.005</v>
      </c>
      <c r="J281" s="7" t="n">
        <f aca="false">AVERAGE(E232:E281)</f>
        <v>12895.602</v>
      </c>
      <c r="K281" s="7" t="n">
        <f aca="false">AVERAGE(E182:E281)</f>
        <v>12245.9967</v>
      </c>
      <c r="L281" s="7" t="n">
        <f aca="false">AVERAGE(E82:E281)</f>
        <v>11314.13015</v>
      </c>
      <c r="M281" s="7" t="n">
        <f aca="false">I281</f>
        <v>13275.005</v>
      </c>
      <c r="N281" s="7" t="n">
        <f aca="false">I281+2*STDEV(E262:E281)</f>
        <v>13843.2480520565</v>
      </c>
      <c r="O281" s="7" t="n">
        <f aca="false">I281-2*STDEV(E262:E281)</f>
        <v>12706.7619479435</v>
      </c>
      <c r="P281" s="7" t="n">
        <f aca="false">MAX(E281-E280,0)</f>
        <v>0</v>
      </c>
      <c r="Q281" s="7" t="n">
        <f aca="false">MAX(E280-E281,0)</f>
        <v>7.94000000000051</v>
      </c>
      <c r="R281" s="7" t="n">
        <f aca="false">(R280*13+P281)/14</f>
        <v>82.3121131708819</v>
      </c>
      <c r="S281" s="7" t="n">
        <f aca="false">(S280*13+Q281)/14</f>
        <v>44.8697503899979</v>
      </c>
      <c r="T281" s="7" t="n">
        <f aca="false">IF(S281=0,100,100-100/(1+R281/S281))</f>
        <v>64.7200087074369</v>
      </c>
      <c r="U281" s="7" t="n">
        <f aca="false">E281*2/13+U280*11/13</f>
        <v>13434.5486091266</v>
      </c>
      <c r="V281" s="7" t="n">
        <f aca="false">E281*2/27+V280*25/27</f>
        <v>13214.5326218487</v>
      </c>
      <c r="W281" s="7" t="n">
        <f aca="false">U281-V281</f>
        <v>220.015987277895</v>
      </c>
      <c r="X281" s="7" t="n">
        <f aca="false">W281*2/10+X280*8/10</f>
        <v>194.777298596212</v>
      </c>
      <c r="Y281" s="7" t="n">
        <f aca="false">W281-X281</f>
        <v>25.2386886816834</v>
      </c>
      <c r="Z281" s="8" t="s">
        <v>42</v>
      </c>
      <c r="AA281" s="7" t="str">
        <f aca="false">IFERROR(INDEX(02_轉折點45!B:B,MATCH(A281,02_轉折點45!A:A,0)),"")</f>
        <v/>
      </c>
      <c r="AB281" s="7" t="n">
        <f aca="false">COUNTIFS(05_訊號明細!A:A,A281,05_訊號明細!C:C,"TOP")</f>
        <v>0</v>
      </c>
      <c r="AC281" s="7" t="n">
        <f aca="false">COUNTIFS(05_訊號明細!A:A,A281,05_訊號明細!C:C,"BOTTOM")</f>
        <v>0</v>
      </c>
    </row>
    <row r="282" customFormat="false" ht="15" hidden="false" customHeight="false" outlineLevel="0" collapsed="false">
      <c r="A282" s="7" t="s">
        <v>323</v>
      </c>
      <c r="B282" s="7" t="n">
        <v>13751.42</v>
      </c>
      <c r="C282" s="7" t="n">
        <v>13770.91</v>
      </c>
      <c r="D282" s="7" t="n">
        <v>13531.93</v>
      </c>
      <c r="E282" s="7" t="n">
        <v>13655.27</v>
      </c>
      <c r="F282" s="7" t="n">
        <v>10786</v>
      </c>
      <c r="G282" s="7" t="n">
        <f aca="false">AVERAGE(E278:E282)</f>
        <v>13640.444</v>
      </c>
      <c r="H282" s="7" t="n">
        <f aca="false">AVERAGE(E273:E282)</f>
        <v>13443.652</v>
      </c>
      <c r="I282" s="7" t="n">
        <f aca="false">AVERAGE(E263:E282)</f>
        <v>13313.164</v>
      </c>
      <c r="J282" s="7" t="n">
        <f aca="false">AVERAGE(E233:E282)</f>
        <v>12923.5432</v>
      </c>
      <c r="K282" s="7" t="n">
        <f aca="false">AVERAGE(E183:E282)</f>
        <v>12271.7399</v>
      </c>
      <c r="L282" s="7" t="n">
        <f aca="false">AVERAGE(E83:E282)</f>
        <v>11338.2182</v>
      </c>
      <c r="M282" s="7" t="n">
        <f aca="false">I282</f>
        <v>13313.164</v>
      </c>
      <c r="N282" s="7" t="n">
        <f aca="false">I282+2*STDEV(E263:E282)</f>
        <v>13875.6081355894</v>
      </c>
      <c r="O282" s="7" t="n">
        <f aca="false">I282-2*STDEV(E263:E282)</f>
        <v>12750.7198644106</v>
      </c>
      <c r="P282" s="7" t="n">
        <f aca="false">MAX(E282-E281,0)</f>
        <v>0</v>
      </c>
      <c r="Q282" s="7" t="n">
        <f aca="false">MAX(E281-E282,0)</f>
        <v>31.8099999999995</v>
      </c>
      <c r="R282" s="7" t="n">
        <f aca="false">(R281*13+P282)/14</f>
        <v>76.4326765158189</v>
      </c>
      <c r="S282" s="7" t="n">
        <f aca="false">(S281*13+Q282)/14</f>
        <v>43.9369110764266</v>
      </c>
      <c r="T282" s="7" t="n">
        <f aca="false">IF(S282=0,100,100-100/(1+R282/S282))</f>
        <v>63.4983288093802</v>
      </c>
      <c r="U282" s="7" t="n">
        <f aca="false">E282*2/13+U281*11/13</f>
        <v>13468.505746184</v>
      </c>
      <c r="V282" s="7" t="n">
        <f aca="false">E282*2/27+V281*25/27</f>
        <v>13247.1798350451</v>
      </c>
      <c r="W282" s="7" t="n">
        <f aca="false">U282-V282</f>
        <v>221.325911138951</v>
      </c>
      <c r="X282" s="7" t="n">
        <f aca="false">W282*2/10+X281*8/10</f>
        <v>200.087021104759</v>
      </c>
      <c r="Y282" s="7" t="n">
        <f aca="false">W282-X282</f>
        <v>21.2388900341913</v>
      </c>
      <c r="Z282" s="8" t="s">
        <v>42</v>
      </c>
      <c r="AA282" s="7" t="str">
        <f aca="false">IFERROR(INDEX(02_轉折點45!B:B,MATCH(A282,02_轉折點45!A:A,0)),"")</f>
        <v/>
      </c>
      <c r="AB282" s="7" t="n">
        <f aca="false">COUNTIFS(05_訊號明細!A:A,A282,05_訊號明細!C:C,"TOP")</f>
        <v>0</v>
      </c>
      <c r="AC282" s="7" t="n">
        <f aca="false">COUNTIFS(05_訊號明細!A:A,A282,05_訊號明細!C:C,"BOTTOM")</f>
        <v>0</v>
      </c>
    </row>
    <row r="283" customFormat="false" ht="15" hidden="false" customHeight="false" outlineLevel="0" collapsed="false">
      <c r="A283" s="7" t="s">
        <v>324</v>
      </c>
      <c r="B283" s="7" t="n">
        <v>13723.63</v>
      </c>
      <c r="C283" s="7" t="n">
        <v>13747.2</v>
      </c>
      <c r="D283" s="7" t="n">
        <v>13637.19</v>
      </c>
      <c r="E283" s="7" t="n">
        <v>13734.35</v>
      </c>
      <c r="F283" s="7" t="n">
        <v>10917</v>
      </c>
      <c r="G283" s="7" t="n">
        <f aca="false">AVERAGE(E279:E283)</f>
        <v>13675.136</v>
      </c>
      <c r="H283" s="7" t="n">
        <f aca="false">AVERAGE(E274:E283)</f>
        <v>13496.934</v>
      </c>
      <c r="I283" s="7" t="n">
        <f aca="false">AVERAGE(E264:E283)</f>
        <v>13351.2</v>
      </c>
      <c r="J283" s="7" t="n">
        <f aca="false">AVERAGE(E234:E283)</f>
        <v>12952.8638</v>
      </c>
      <c r="K283" s="7" t="n">
        <f aca="false">AVERAGE(E184:E283)</f>
        <v>12299.7136</v>
      </c>
      <c r="L283" s="7" t="n">
        <f aca="false">AVERAGE(E84:E283)</f>
        <v>11363.50195</v>
      </c>
      <c r="M283" s="7" t="n">
        <f aca="false">I283</f>
        <v>13351.2</v>
      </c>
      <c r="N283" s="7" t="n">
        <f aca="false">I283+2*STDEV(E264:E283)</f>
        <v>13919.8198879096</v>
      </c>
      <c r="O283" s="7" t="n">
        <f aca="false">I283-2*STDEV(E264:E283)</f>
        <v>12782.5801120904</v>
      </c>
      <c r="P283" s="7" t="n">
        <f aca="false">MAX(E283-E282,0)</f>
        <v>79.0799999999999</v>
      </c>
      <c r="Q283" s="7" t="n">
        <f aca="false">MAX(E282-E283,0)</f>
        <v>0</v>
      </c>
      <c r="R283" s="7" t="n">
        <f aca="false">(R282*13+P283)/14</f>
        <v>76.6217710504033</v>
      </c>
      <c r="S283" s="7" t="n">
        <f aca="false">(S282*13+Q283)/14</f>
        <v>40.7985602852532</v>
      </c>
      <c r="T283" s="7" t="n">
        <f aca="false">IF(S283=0,100,100-100/(1+R283/S283))</f>
        <v>65.2542623401165</v>
      </c>
      <c r="U283" s="7" t="n">
        <f aca="false">E283*2/13+U282*11/13</f>
        <v>13509.4048621557</v>
      </c>
      <c r="V283" s="7" t="n">
        <f aca="false">E283*2/27+V282*25/27</f>
        <v>13283.2665139306</v>
      </c>
      <c r="W283" s="7" t="n">
        <f aca="false">U283-V283</f>
        <v>226.138348225091</v>
      </c>
      <c r="X283" s="7" t="n">
        <f aca="false">W283*2/10+X282*8/10</f>
        <v>205.297286528826</v>
      </c>
      <c r="Y283" s="7" t="n">
        <f aca="false">W283-X283</f>
        <v>20.8410616962655</v>
      </c>
      <c r="Z283" s="8" t="s">
        <v>42</v>
      </c>
      <c r="AA283" s="7" t="str">
        <f aca="false">IFERROR(INDEX(02_轉折點45!B:B,MATCH(A283,02_轉折點45!A:A,0)),"")</f>
        <v/>
      </c>
      <c r="AB283" s="7" t="n">
        <f aca="false">COUNTIFS(05_訊號明細!A:A,A283,05_訊號明細!C:C,"TOP")</f>
        <v>1</v>
      </c>
      <c r="AC283" s="7" t="n">
        <f aca="false">COUNTIFS(05_訊號明細!A:A,A283,05_訊號明細!C:C,"BOTTOM")</f>
        <v>0</v>
      </c>
    </row>
    <row r="284" customFormat="false" ht="15" hidden="false" customHeight="false" outlineLevel="0" collapsed="false">
      <c r="A284" s="7" t="s">
        <v>325</v>
      </c>
      <c r="B284" s="7" t="n">
        <v>13695.9</v>
      </c>
      <c r="C284" s="7" t="n">
        <v>13816.25</v>
      </c>
      <c r="D284" s="7" t="n">
        <v>13656.78</v>
      </c>
      <c r="E284" s="7" t="n">
        <v>13807.7</v>
      </c>
      <c r="F284" s="7" t="n">
        <v>7417</v>
      </c>
      <c r="G284" s="7" t="n">
        <f aca="false">AVERAGE(E280:E284)</f>
        <v>13715.884</v>
      </c>
      <c r="H284" s="7" t="n">
        <f aca="false">AVERAGE(E275:E284)</f>
        <v>13585.166</v>
      </c>
      <c r="I284" s="7" t="n">
        <f aca="false">AVERAGE(E265:E284)</f>
        <v>13396.6505</v>
      </c>
      <c r="J284" s="7" t="n">
        <f aca="false">AVERAGE(E235:E284)</f>
        <v>12979.9112</v>
      </c>
      <c r="K284" s="7" t="n">
        <f aca="false">AVERAGE(E185:E284)</f>
        <v>12327.9884</v>
      </c>
      <c r="L284" s="7" t="n">
        <f aca="false">AVERAGE(E85:E284)</f>
        <v>11387.62665</v>
      </c>
      <c r="M284" s="7" t="n">
        <f aca="false">I284</f>
        <v>13396.6505</v>
      </c>
      <c r="N284" s="7" t="n">
        <f aca="false">I284+2*STDEV(E265:E284)</f>
        <v>13958.2502322115</v>
      </c>
      <c r="O284" s="7" t="n">
        <f aca="false">I284-2*STDEV(E265:E284)</f>
        <v>12835.0507677885</v>
      </c>
      <c r="P284" s="7" t="n">
        <f aca="false">MAX(E284-E283,0)</f>
        <v>73.3500000000004</v>
      </c>
      <c r="Q284" s="7" t="n">
        <f aca="false">MAX(E283-E284,0)</f>
        <v>0</v>
      </c>
      <c r="R284" s="7" t="n">
        <f aca="false">(R283*13+P284)/14</f>
        <v>76.3880731182317</v>
      </c>
      <c r="S284" s="7" t="n">
        <f aca="false">(S283*13+Q284)/14</f>
        <v>37.8843774077352</v>
      </c>
      <c r="T284" s="7" t="n">
        <f aca="false">IF(S284=0,100,100-100/(1+R284/S284))</f>
        <v>66.847322138133</v>
      </c>
      <c r="U284" s="7" t="n">
        <f aca="false">E284*2/13+U283*11/13</f>
        <v>13555.2964218241</v>
      </c>
      <c r="V284" s="7" t="n">
        <f aca="false">E284*2/27+V283*25/27</f>
        <v>13322.1134388246</v>
      </c>
      <c r="W284" s="7" t="n">
        <f aca="false">U284-V284</f>
        <v>233.182982999417</v>
      </c>
      <c r="X284" s="7" t="n">
        <f aca="false">W284*2/10+X283*8/10</f>
        <v>210.874425822944</v>
      </c>
      <c r="Y284" s="7" t="n">
        <f aca="false">W284-X284</f>
        <v>22.3085571764727</v>
      </c>
      <c r="Z284" s="8" t="s">
        <v>42</v>
      </c>
      <c r="AA284" s="7" t="str">
        <f aca="false">IFERROR(INDEX(02_轉折點45!B:B,MATCH(A284,02_轉折點45!A:A,0)),"")</f>
        <v/>
      </c>
      <c r="AB284" s="7" t="n">
        <f aca="false">COUNTIFS(05_訊號明細!A:A,A284,05_訊號明細!C:C,"TOP")</f>
        <v>1</v>
      </c>
      <c r="AC284" s="7" t="n">
        <f aca="false">COUNTIFS(05_訊號明細!A:A,A284,05_訊號明細!C:C,"BOTTOM")</f>
        <v>0</v>
      </c>
    </row>
    <row r="285" customFormat="false" ht="15" hidden="false" customHeight="false" outlineLevel="0" collapsed="false">
      <c r="A285" s="7" t="s">
        <v>326</v>
      </c>
      <c r="B285" s="7" t="n">
        <v>13841.03</v>
      </c>
      <c r="C285" s="7" t="n">
        <v>13879.77</v>
      </c>
      <c r="D285" s="7" t="n">
        <v>13726.78</v>
      </c>
      <c r="E285" s="7" t="n">
        <v>13773.77</v>
      </c>
      <c r="F285" s="7" t="n">
        <v>7722</v>
      </c>
      <c r="G285" s="7" t="n">
        <f aca="false">AVERAGE(E281:E285)</f>
        <v>13731.634</v>
      </c>
      <c r="H285" s="7" t="n">
        <f aca="false">AVERAGE(E276:E285)</f>
        <v>13637.653</v>
      </c>
      <c r="I285" s="7" t="n">
        <f aca="false">AVERAGE(E266:E285)</f>
        <v>13445.1425</v>
      </c>
      <c r="J285" s="7" t="n">
        <f aca="false">AVERAGE(E236:E285)</f>
        <v>13006.2584</v>
      </c>
      <c r="K285" s="7" t="n">
        <f aca="false">AVERAGE(E186:E285)</f>
        <v>12353.8624</v>
      </c>
      <c r="L285" s="7" t="n">
        <f aca="false">AVERAGE(E86:E285)</f>
        <v>11411.49295</v>
      </c>
      <c r="M285" s="7" t="n">
        <f aca="false">I285</f>
        <v>13445.1425</v>
      </c>
      <c r="N285" s="7" t="n">
        <f aca="false">I285+2*STDEV(E266:E285)</f>
        <v>13956.486400382</v>
      </c>
      <c r="O285" s="7" t="n">
        <f aca="false">I285-2*STDEV(E266:E285)</f>
        <v>12933.798599618</v>
      </c>
      <c r="P285" s="7" t="n">
        <f aca="false">MAX(E285-E284,0)</f>
        <v>0</v>
      </c>
      <c r="Q285" s="7" t="n">
        <f aca="false">MAX(E284-E285,0)</f>
        <v>33.9300000000003</v>
      </c>
      <c r="R285" s="7" t="n">
        <f aca="false">(R284*13+P285)/14</f>
        <v>70.9317821812151</v>
      </c>
      <c r="S285" s="7" t="n">
        <f aca="false">(S284*13+Q285)/14</f>
        <v>37.6019218786112</v>
      </c>
      <c r="T285" s="7" t="n">
        <f aca="false">IF(S285=0,100,100-100/(1+R285/S285))</f>
        <v>65.3546129247702</v>
      </c>
      <c r="U285" s="7" t="n">
        <f aca="false">E285*2/13+U284*11/13</f>
        <v>13588.9077415434</v>
      </c>
      <c r="V285" s="7" t="n">
        <f aca="false">E285*2/27+V284*25/27</f>
        <v>13355.5694803932</v>
      </c>
      <c r="W285" s="7" t="n">
        <f aca="false">U285-V285</f>
        <v>233.338261150248</v>
      </c>
      <c r="X285" s="7" t="n">
        <f aca="false">W285*2/10+X284*8/10</f>
        <v>215.367192888405</v>
      </c>
      <c r="Y285" s="7" t="n">
        <f aca="false">W285-X285</f>
        <v>17.9710682618428</v>
      </c>
      <c r="Z285" s="8" t="s">
        <v>42</v>
      </c>
      <c r="AA285" s="7" t="str">
        <f aca="false">IFERROR(INDEX(02_轉折點45!B:B,MATCH(A285,02_轉折點45!A:A,0)),"")</f>
        <v/>
      </c>
      <c r="AB285" s="7" t="n">
        <f aca="false">COUNTIFS(05_訊號明細!A:A,A285,05_訊號明細!C:C,"TOP")</f>
        <v>0</v>
      </c>
      <c r="AC285" s="7" t="n">
        <f aca="false">COUNTIFS(05_訊號明細!A:A,A285,05_訊號明細!C:C,"BOTTOM")</f>
        <v>0</v>
      </c>
    </row>
    <row r="286" customFormat="false" ht="15" hidden="false" customHeight="false" outlineLevel="0" collapsed="false">
      <c r="A286" s="7" t="s">
        <v>327</v>
      </c>
      <c r="B286" s="7" t="n">
        <v>13636.15</v>
      </c>
      <c r="C286" s="7" t="n">
        <v>13713.14</v>
      </c>
      <c r="D286" s="7" t="n">
        <v>13552.66</v>
      </c>
      <c r="E286" s="7" t="n">
        <v>13699.71</v>
      </c>
      <c r="F286" s="7" t="n">
        <v>7281</v>
      </c>
      <c r="G286" s="7" t="n">
        <f aca="false">AVERAGE(E282:E286)</f>
        <v>13734.16</v>
      </c>
      <c r="H286" s="7" t="n">
        <f aca="false">AVERAGE(E277:E286)</f>
        <v>13662.012</v>
      </c>
      <c r="I286" s="7" t="n">
        <f aca="false">AVERAGE(E267:E286)</f>
        <v>13480.301</v>
      </c>
      <c r="J286" s="7" t="n">
        <f aca="false">AVERAGE(E237:E286)</f>
        <v>13030.91</v>
      </c>
      <c r="K286" s="7" t="n">
        <f aca="false">AVERAGE(E187:E286)</f>
        <v>12382.5262</v>
      </c>
      <c r="L286" s="7" t="n">
        <f aca="false">AVERAGE(E87:E286)</f>
        <v>11436.4006</v>
      </c>
      <c r="M286" s="7" t="n">
        <f aca="false">I286</f>
        <v>13480.301</v>
      </c>
      <c r="N286" s="7" t="n">
        <f aca="false">I286+2*STDEV(E267:E286)</f>
        <v>13957.316454407</v>
      </c>
      <c r="O286" s="7" t="n">
        <f aca="false">I286-2*STDEV(E267:E286)</f>
        <v>13003.285545593</v>
      </c>
      <c r="P286" s="7" t="n">
        <f aca="false">MAX(E286-E285,0)</f>
        <v>0</v>
      </c>
      <c r="Q286" s="7" t="n">
        <f aca="false">MAX(E285-E286,0)</f>
        <v>74.0600000000013</v>
      </c>
      <c r="R286" s="7" t="n">
        <f aca="false">(R285*13+P286)/14</f>
        <v>65.8652263111283</v>
      </c>
      <c r="S286" s="7" t="n">
        <f aca="false">(S285*13+Q286)/14</f>
        <v>40.2060703158534</v>
      </c>
      <c r="T286" s="7" t="n">
        <f aca="false">IF(S286=0,100,100-100/(1+R286/S286))</f>
        <v>62.0952400937974</v>
      </c>
      <c r="U286" s="7" t="n">
        <f aca="false">E286*2/13+U285*11/13</f>
        <v>13605.9542428444</v>
      </c>
      <c r="V286" s="7" t="n">
        <f aca="false">E286*2/27+V285*25/27</f>
        <v>13381.0613707344</v>
      </c>
      <c r="W286" s="7" t="n">
        <f aca="false">U286-V286</f>
        <v>224.892872110011</v>
      </c>
      <c r="X286" s="7" t="n">
        <f aca="false">W286*2/10+X285*8/10</f>
        <v>217.272328732726</v>
      </c>
      <c r="Y286" s="7" t="n">
        <f aca="false">W286-X286</f>
        <v>7.62054337728509</v>
      </c>
      <c r="Z286" s="8" t="s">
        <v>42</v>
      </c>
      <c r="AA286" s="7" t="str">
        <f aca="false">IFERROR(INDEX(02_轉折點45!B:B,MATCH(A286,02_轉折點45!A:A,0)),"")</f>
        <v/>
      </c>
      <c r="AB286" s="7" t="n">
        <f aca="false">COUNTIFS(05_訊號明細!A:A,A286,05_訊號明細!C:C,"TOP")</f>
        <v>0</v>
      </c>
      <c r="AC286" s="7" t="n">
        <f aca="false">COUNTIFS(05_訊號明細!A:A,A286,05_訊號明細!C:C,"BOTTOM")</f>
        <v>0</v>
      </c>
    </row>
    <row r="287" customFormat="false" ht="15" hidden="false" customHeight="false" outlineLevel="0" collapsed="false">
      <c r="A287" s="7" t="s">
        <v>328</v>
      </c>
      <c r="B287" s="7" t="n">
        <v>13556.01</v>
      </c>
      <c r="C287" s="7" t="n">
        <v>13669.94</v>
      </c>
      <c r="D287" s="7" t="n">
        <v>13477.17</v>
      </c>
      <c r="E287" s="7" t="n">
        <v>13637.51</v>
      </c>
      <c r="F287" s="7" t="n">
        <v>6499</v>
      </c>
      <c r="G287" s="7" t="n">
        <f aca="false">AVERAGE(E283:E287)</f>
        <v>13730.608</v>
      </c>
      <c r="H287" s="7" t="n">
        <f aca="false">AVERAGE(E278:E287)</f>
        <v>13685.526</v>
      </c>
      <c r="I287" s="7" t="n">
        <f aca="false">AVERAGE(E268:E287)</f>
        <v>13497.354</v>
      </c>
      <c r="J287" s="7" t="n">
        <f aca="false">AVERAGE(E238:E287)</f>
        <v>13053.0906</v>
      </c>
      <c r="K287" s="7" t="n">
        <f aca="false">AVERAGE(E188:E287)</f>
        <v>12409.9366</v>
      </c>
      <c r="L287" s="7" t="n">
        <f aca="false">AVERAGE(E88:E287)</f>
        <v>11460.4176</v>
      </c>
      <c r="M287" s="7" t="n">
        <f aca="false">I287</f>
        <v>13497.354</v>
      </c>
      <c r="N287" s="7" t="n">
        <f aca="false">I287+2*STDEV(E268:E287)</f>
        <v>13971.0694744714</v>
      </c>
      <c r="O287" s="7" t="n">
        <f aca="false">I287-2*STDEV(E268:E287)</f>
        <v>13023.6385255286</v>
      </c>
      <c r="P287" s="7" t="n">
        <f aca="false">MAX(E287-E286,0)</f>
        <v>0</v>
      </c>
      <c r="Q287" s="7" t="n">
        <f aca="false">MAX(E286-E287,0)</f>
        <v>62.1999999999989</v>
      </c>
      <c r="R287" s="7" t="n">
        <f aca="false">(R286*13+P287)/14</f>
        <v>61.1605672889049</v>
      </c>
      <c r="S287" s="7" t="n">
        <f aca="false">(S286*13+Q287)/14</f>
        <v>41.7770652932924</v>
      </c>
      <c r="T287" s="7" t="n">
        <f aca="false">IF(S287=0,100,100-100/(1+R287/S287))</f>
        <v>59.4151679562547</v>
      </c>
      <c r="U287" s="7" t="n">
        <f aca="false">E287*2/13+U286*11/13</f>
        <v>13610.8089747145</v>
      </c>
      <c r="V287" s="7" t="n">
        <f aca="false">E287*2/27+V286*25/27</f>
        <v>13400.0575654948</v>
      </c>
      <c r="W287" s="7" t="n">
        <f aca="false">U287-V287</f>
        <v>210.751409219685</v>
      </c>
      <c r="X287" s="7" t="n">
        <f aca="false">W287*2/10+X286*8/10</f>
        <v>215.968144830118</v>
      </c>
      <c r="Y287" s="7" t="n">
        <f aca="false">W287-X287</f>
        <v>-5.21673561043255</v>
      </c>
      <c r="Z287" s="8" t="s">
        <v>42</v>
      </c>
      <c r="AA287" s="7" t="str">
        <f aca="false">IFERROR(INDEX(02_轉折點45!B:B,MATCH(A287,02_轉折點45!A:A,0)),"")</f>
        <v/>
      </c>
      <c r="AB287" s="7" t="n">
        <f aca="false">COUNTIFS(05_訊號明細!A:A,A287,05_訊號明細!C:C,"TOP")</f>
        <v>0</v>
      </c>
      <c r="AC287" s="7" t="n">
        <f aca="false">COUNTIFS(05_訊號明細!A:A,A287,05_訊號明細!C:C,"BOTTOM")</f>
        <v>0</v>
      </c>
    </row>
    <row r="288" customFormat="false" ht="15" hidden="false" customHeight="false" outlineLevel="0" collapsed="false">
      <c r="A288" s="7" t="s">
        <v>329</v>
      </c>
      <c r="B288" s="7" t="n">
        <v>13686.23</v>
      </c>
      <c r="C288" s="7" t="n">
        <v>13701.69</v>
      </c>
      <c r="D288" s="7" t="n">
        <v>13545.45</v>
      </c>
      <c r="E288" s="7" t="n">
        <v>13580.78</v>
      </c>
      <c r="F288" s="7" t="n">
        <v>6738</v>
      </c>
      <c r="G288" s="7" t="n">
        <f aca="false">AVERAGE(E284:E288)</f>
        <v>13699.894</v>
      </c>
      <c r="H288" s="7" t="n">
        <f aca="false">AVERAGE(E279:E288)</f>
        <v>13687.515</v>
      </c>
      <c r="I288" s="7" t="n">
        <f aca="false">AVERAGE(E269:E288)</f>
        <v>13506.1435</v>
      </c>
      <c r="J288" s="7" t="n">
        <f aca="false">AVERAGE(E239:E288)</f>
        <v>13072.7768</v>
      </c>
      <c r="K288" s="7" t="n">
        <f aca="false">AVERAGE(E189:E288)</f>
        <v>12434.2331</v>
      </c>
      <c r="L288" s="7" t="n">
        <f aca="false">AVERAGE(E89:E288)</f>
        <v>11483.6684</v>
      </c>
      <c r="M288" s="7" t="n">
        <f aca="false">I288</f>
        <v>13506.1435</v>
      </c>
      <c r="N288" s="7" t="n">
        <f aca="false">I288+2*STDEV(E269:E288)</f>
        <v>13979.1659983756</v>
      </c>
      <c r="O288" s="7" t="n">
        <f aca="false">I288-2*STDEV(E269:E288)</f>
        <v>13033.1210016244</v>
      </c>
      <c r="P288" s="7" t="n">
        <f aca="false">MAX(E288-E287,0)</f>
        <v>0</v>
      </c>
      <c r="Q288" s="7" t="n">
        <f aca="false">MAX(E287-E288,0)</f>
        <v>56.7299999999996</v>
      </c>
      <c r="R288" s="7" t="n">
        <f aca="false">(R287*13+P288)/14</f>
        <v>56.7919553396974</v>
      </c>
      <c r="S288" s="7" t="n">
        <f aca="false">(S287*13+Q288)/14</f>
        <v>42.8451320580572</v>
      </c>
      <c r="T288" s="7" t="n">
        <f aca="false">IF(S288=0,100,100-100/(1+R288/S288))</f>
        <v>56.9988112087039</v>
      </c>
      <c r="U288" s="7" t="n">
        <f aca="false">E288*2/13+U287*11/13</f>
        <v>13606.1891324508</v>
      </c>
      <c r="V288" s="7" t="n">
        <f aca="false">E288*2/27+V287*25/27</f>
        <v>13413.4444124952</v>
      </c>
      <c r="W288" s="7" t="n">
        <f aca="false">U288-V288</f>
        <v>192.74471995553</v>
      </c>
      <c r="X288" s="7" t="n">
        <f aca="false">W288*2/10+X287*8/10</f>
        <v>211.3234598552</v>
      </c>
      <c r="Y288" s="7" t="n">
        <f aca="false">W288-X288</f>
        <v>-18.5787398996703</v>
      </c>
      <c r="Z288" s="8" t="s">
        <v>42</v>
      </c>
      <c r="AA288" s="7" t="str">
        <f aca="false">IFERROR(INDEX(02_轉折點45!B:B,MATCH(A288,02_轉折點45!A:A,0)),"")</f>
        <v/>
      </c>
      <c r="AB288" s="7" t="n">
        <f aca="false">COUNTIFS(05_訊號明細!A:A,A288,05_訊號明細!C:C,"TOP")</f>
        <v>0</v>
      </c>
      <c r="AC288" s="7" t="n">
        <f aca="false">COUNTIFS(05_訊號明細!A:A,A288,05_訊號明細!C:C,"BOTTOM")</f>
        <v>0</v>
      </c>
    </row>
    <row r="289" customFormat="false" ht="15" hidden="false" customHeight="false" outlineLevel="0" collapsed="false">
      <c r="A289" s="7" t="s">
        <v>330</v>
      </c>
      <c r="B289" s="7" t="n">
        <v>13414.04</v>
      </c>
      <c r="C289" s="7" t="n">
        <v>13447.37</v>
      </c>
      <c r="D289" s="7" t="n">
        <v>13220.77</v>
      </c>
      <c r="E289" s="7" t="n">
        <v>13223.74</v>
      </c>
      <c r="F289" s="7" t="n">
        <v>6484</v>
      </c>
      <c r="G289" s="7" t="n">
        <f aca="false">AVERAGE(E285:E289)</f>
        <v>13583.102</v>
      </c>
      <c r="H289" s="7" t="n">
        <f aca="false">AVERAGE(E280:E289)</f>
        <v>13649.493</v>
      </c>
      <c r="I289" s="7" t="n">
        <f aca="false">AVERAGE(E270:E289)</f>
        <v>13499.0105</v>
      </c>
      <c r="J289" s="7" t="n">
        <f aca="false">AVERAGE(E240:E289)</f>
        <v>13084.5372</v>
      </c>
      <c r="K289" s="7" t="n">
        <f aca="false">AVERAGE(E190:E289)</f>
        <v>12452.826</v>
      </c>
      <c r="L289" s="7" t="n">
        <f aca="false">AVERAGE(E90:E289)</f>
        <v>11504.8628</v>
      </c>
      <c r="M289" s="7" t="n">
        <f aca="false">I289</f>
        <v>13499.0105</v>
      </c>
      <c r="N289" s="7" t="n">
        <f aca="false">I289+2*STDEV(E270:E289)</f>
        <v>13985.0297212129</v>
      </c>
      <c r="O289" s="7" t="n">
        <f aca="false">I289-2*STDEV(E270:E289)</f>
        <v>13012.9912787871</v>
      </c>
      <c r="P289" s="7" t="n">
        <f aca="false">MAX(E289-E288,0)</f>
        <v>0</v>
      </c>
      <c r="Q289" s="7" t="n">
        <f aca="false">MAX(E288-E289,0)</f>
        <v>357.040000000001</v>
      </c>
      <c r="R289" s="7" t="n">
        <f aca="false">(R288*13+P289)/14</f>
        <v>52.7353871011476</v>
      </c>
      <c r="S289" s="7" t="n">
        <f aca="false">(S288*13+Q289)/14</f>
        <v>65.2876226253389</v>
      </c>
      <c r="T289" s="7" t="n">
        <f aca="false">IF(S289=0,100,100-100/(1+R289/S289))</f>
        <v>44.6822930743418</v>
      </c>
      <c r="U289" s="7" t="n">
        <f aca="false">E289*2/13+U288*11/13</f>
        <v>13547.3508043814</v>
      </c>
      <c r="V289" s="7" t="n">
        <f aca="false">E289*2/27+V288*25/27</f>
        <v>13399.3922337919</v>
      </c>
      <c r="W289" s="7" t="n">
        <f aca="false">U289-V289</f>
        <v>147.958570589532</v>
      </c>
      <c r="X289" s="7" t="n">
        <f aca="false">W289*2/10+X288*8/10</f>
        <v>198.650482002066</v>
      </c>
      <c r="Y289" s="7" t="n">
        <f aca="false">W289-X289</f>
        <v>-50.691911412535</v>
      </c>
      <c r="Z289" s="8" t="s">
        <v>42</v>
      </c>
      <c r="AA289" s="7" t="str">
        <f aca="false">IFERROR(INDEX(02_轉折點45!B:B,MATCH(A289,02_轉折點45!A:A,0)),"")</f>
        <v/>
      </c>
      <c r="AB289" s="7" t="n">
        <f aca="false">COUNTIFS(05_訊號明細!A:A,A289,05_訊號明細!C:C,"TOP")</f>
        <v>1</v>
      </c>
      <c r="AC289" s="7" t="n">
        <f aca="false">COUNTIFS(05_訊號明細!A:A,A289,05_訊號明細!C:C,"BOTTOM")</f>
        <v>0</v>
      </c>
    </row>
    <row r="290" customFormat="false" ht="15" hidden="false" customHeight="false" outlineLevel="0" collapsed="false">
      <c r="A290" s="7" t="s">
        <v>331</v>
      </c>
      <c r="B290" s="7" t="n">
        <v>12982.36</v>
      </c>
      <c r="C290" s="7" t="n">
        <v>13259.85</v>
      </c>
      <c r="D290" s="7" t="n">
        <v>12758.12</v>
      </c>
      <c r="E290" s="7" t="n">
        <v>13194.71</v>
      </c>
      <c r="F290" s="7" t="n">
        <v>7517</v>
      </c>
      <c r="G290" s="7" t="n">
        <f aca="false">AVERAGE(E286:E290)</f>
        <v>13467.29</v>
      </c>
      <c r="H290" s="7" t="n">
        <f aca="false">AVERAGE(E281:E290)</f>
        <v>13599.462</v>
      </c>
      <c r="I290" s="7" t="n">
        <f aca="false">AVERAGE(E271:E290)</f>
        <v>13484.5815</v>
      </c>
      <c r="J290" s="7" t="n">
        <f aca="false">AVERAGE(E241:E290)</f>
        <v>13101.1386</v>
      </c>
      <c r="K290" s="7" t="n">
        <f aca="false">AVERAGE(E191:E290)</f>
        <v>12471.5436</v>
      </c>
      <c r="L290" s="7" t="n">
        <f aca="false">AVERAGE(E91:E290)</f>
        <v>11525.32695</v>
      </c>
      <c r="M290" s="7" t="n">
        <f aca="false">I290</f>
        <v>13484.5815</v>
      </c>
      <c r="N290" s="7" t="n">
        <f aca="false">I290+2*STDEV(E271:E290)</f>
        <v>13989.3393857766</v>
      </c>
      <c r="O290" s="7" t="n">
        <f aca="false">I290-2*STDEV(E271:E290)</f>
        <v>12979.8236142234</v>
      </c>
      <c r="P290" s="7" t="n">
        <f aca="false">MAX(E290-E289,0)</f>
        <v>0</v>
      </c>
      <c r="Q290" s="7" t="n">
        <f aca="false">MAX(E289-E290,0)</f>
        <v>29.0300000000007</v>
      </c>
      <c r="R290" s="7" t="n">
        <f aca="false">(R289*13+P290)/14</f>
        <v>48.9685737367799</v>
      </c>
      <c r="S290" s="7" t="n">
        <f aca="false">(S289*13+Q290)/14</f>
        <v>62.6977924378147</v>
      </c>
      <c r="T290" s="7" t="n">
        <f aca="false">IF(S290=0,100,100-100/(1+R290/S290))</f>
        <v>43.8525720987604</v>
      </c>
      <c r="U290" s="7" t="n">
        <f aca="false">E290*2/13+U289*11/13</f>
        <v>13493.0983729381</v>
      </c>
      <c r="V290" s="7" t="n">
        <f aca="false">E290*2/27+V289*25/27</f>
        <v>13384.2305868443</v>
      </c>
      <c r="W290" s="7" t="n">
        <f aca="false">U290-V290</f>
        <v>108.867786093784</v>
      </c>
      <c r="X290" s="7" t="n">
        <f aca="false">W290*2/10+X289*8/10</f>
        <v>180.69394282041</v>
      </c>
      <c r="Y290" s="7" t="n">
        <f aca="false">W290-X290</f>
        <v>-71.8261567266258</v>
      </c>
      <c r="Z290" s="8" t="s">
        <v>42</v>
      </c>
      <c r="AA290" s="7" t="str">
        <f aca="false">IFERROR(INDEX(02_轉折點45!B:B,MATCH(A290,02_轉折點45!A:A,0)),"")</f>
        <v/>
      </c>
      <c r="AB290" s="7" t="n">
        <f aca="false">COUNTIFS(05_訊號明細!A:A,A290,05_訊號明細!C:C,"TOP")</f>
        <v>0</v>
      </c>
      <c r="AC290" s="7" t="n">
        <f aca="false">COUNTIFS(05_訊號明細!A:A,A290,05_訊號明細!C:C,"BOTTOM")</f>
        <v>0</v>
      </c>
    </row>
    <row r="291" customFormat="false" ht="15" hidden="false" customHeight="false" outlineLevel="0" collapsed="false">
      <c r="A291" s="7" t="s">
        <v>332</v>
      </c>
      <c r="B291" s="7" t="n">
        <v>13095.86</v>
      </c>
      <c r="C291" s="7" t="n">
        <v>13312.43</v>
      </c>
      <c r="D291" s="7" t="n">
        <v>12971.82</v>
      </c>
      <c r="E291" s="7" t="n">
        <v>13302.19</v>
      </c>
      <c r="F291" s="7" t="n">
        <v>5886</v>
      </c>
      <c r="G291" s="7" t="n">
        <f aca="false">AVERAGE(E287:E291)</f>
        <v>13387.786</v>
      </c>
      <c r="H291" s="7" t="n">
        <f aca="false">AVERAGE(E282:E291)</f>
        <v>13560.973</v>
      </c>
      <c r="I291" s="7" t="n">
        <f aca="false">AVERAGE(E272:E291)</f>
        <v>13475.1815</v>
      </c>
      <c r="J291" s="7" t="n">
        <f aca="false">AVERAGE(E242:E291)</f>
        <v>13119.1476</v>
      </c>
      <c r="K291" s="7" t="n">
        <f aca="false">AVERAGE(E192:E291)</f>
        <v>12490.3849</v>
      </c>
      <c r="L291" s="7" t="n">
        <f aca="false">AVERAGE(E92:E291)</f>
        <v>11545.73615</v>
      </c>
      <c r="M291" s="7" t="n">
        <f aca="false">I291</f>
        <v>13475.1815</v>
      </c>
      <c r="N291" s="7" t="n">
        <f aca="false">I291+2*STDEV(E272:E291)</f>
        <v>13986.4596691027</v>
      </c>
      <c r="O291" s="7" t="n">
        <f aca="false">I291-2*STDEV(E272:E291)</f>
        <v>12963.9033308973</v>
      </c>
      <c r="P291" s="7" t="n">
        <f aca="false">MAX(E291-E290,0)</f>
        <v>107.480000000001</v>
      </c>
      <c r="Q291" s="7" t="n">
        <f aca="false">MAX(E290-E291,0)</f>
        <v>0</v>
      </c>
      <c r="R291" s="7" t="n">
        <f aca="false">(R290*13+P291)/14</f>
        <v>53.14796132701</v>
      </c>
      <c r="S291" s="7" t="n">
        <f aca="false">(S290*13+Q291)/14</f>
        <v>58.2193786922565</v>
      </c>
      <c r="T291" s="7" t="n">
        <f aca="false">IF(S291=0,100,100-100/(1+R291/S291))</f>
        <v>47.7231128244739</v>
      </c>
      <c r="U291" s="7" t="n">
        <f aca="false">E291*2/13+U290*11/13</f>
        <v>13463.7278540246</v>
      </c>
      <c r="V291" s="7" t="n">
        <f aca="false">E291*2/27+V290*25/27</f>
        <v>13378.1535063373</v>
      </c>
      <c r="W291" s="7" t="n">
        <f aca="false">U291-V291</f>
        <v>85.5743476872158</v>
      </c>
      <c r="X291" s="7" t="n">
        <f aca="false">W291*2/10+X290*8/10</f>
        <v>161.670023793771</v>
      </c>
      <c r="Y291" s="7" t="n">
        <f aca="false">W291-X291</f>
        <v>-76.0956761065554</v>
      </c>
      <c r="Z291" s="8" t="s">
        <v>42</v>
      </c>
      <c r="AA291" s="7" t="str">
        <f aca="false">IFERROR(INDEX(02_轉折點45!B:B,MATCH(A291,02_轉折點45!A:A,0)),"")</f>
        <v/>
      </c>
      <c r="AB291" s="7" t="n">
        <f aca="false">COUNTIFS(05_訊號明細!A:A,A291,05_訊號明細!C:C,"TOP")</f>
        <v>0</v>
      </c>
      <c r="AC291" s="7" t="n">
        <f aca="false">COUNTIFS(05_訊號明細!A:A,A291,05_訊號明細!C:C,"BOTTOM")</f>
        <v>0</v>
      </c>
    </row>
    <row r="292" customFormat="false" ht="15" hidden="false" customHeight="false" outlineLevel="0" collapsed="false">
      <c r="A292" s="7" t="s">
        <v>333</v>
      </c>
      <c r="B292" s="7" t="n">
        <v>13197.75</v>
      </c>
      <c r="C292" s="7" t="n">
        <v>13294.56</v>
      </c>
      <c r="D292" s="7" t="n">
        <v>12773.76</v>
      </c>
      <c r="E292" s="7" t="n">
        <v>12828.31</v>
      </c>
      <c r="F292" s="7" t="n">
        <v>6390</v>
      </c>
      <c r="G292" s="7" t="n">
        <f aca="false">AVERAGE(E288:E292)</f>
        <v>13225.946</v>
      </c>
      <c r="H292" s="7" t="n">
        <f aca="false">AVERAGE(E283:E292)</f>
        <v>13478.277</v>
      </c>
      <c r="I292" s="7" t="n">
        <f aca="false">AVERAGE(E273:E292)</f>
        <v>13460.9645</v>
      </c>
      <c r="J292" s="7" t="n">
        <f aca="false">AVERAGE(E243:E292)</f>
        <v>13128.2056</v>
      </c>
      <c r="K292" s="7" t="n">
        <f aca="false">AVERAGE(E193:E292)</f>
        <v>12502.836</v>
      </c>
      <c r="L292" s="7" t="n">
        <f aca="false">AVERAGE(E93:E292)</f>
        <v>11563.3831</v>
      </c>
      <c r="M292" s="7" t="n">
        <f aca="false">I292</f>
        <v>13460.9645</v>
      </c>
      <c r="N292" s="7" t="n">
        <f aca="false">I292+2*STDEV(E273:E292)</f>
        <v>14027.5139221383</v>
      </c>
      <c r="O292" s="7" t="n">
        <f aca="false">I292-2*STDEV(E273:E292)</f>
        <v>12894.4150778617</v>
      </c>
      <c r="P292" s="7" t="n">
        <f aca="false">MAX(E292-E291,0)</f>
        <v>0</v>
      </c>
      <c r="Q292" s="7" t="n">
        <f aca="false">MAX(E291-E292,0)</f>
        <v>473.880000000001</v>
      </c>
      <c r="R292" s="7" t="n">
        <f aca="false">(R291*13+P292)/14</f>
        <v>49.3516783750807</v>
      </c>
      <c r="S292" s="7" t="n">
        <f aca="false">(S291*13+Q292)/14</f>
        <v>87.9094230713811</v>
      </c>
      <c r="T292" s="7" t="n">
        <f aca="false">IF(S292=0,100,100-100/(1+R292/S292))</f>
        <v>35.9545988302667</v>
      </c>
      <c r="U292" s="7" t="n">
        <f aca="false">E292*2/13+U291*11/13</f>
        <v>13365.9712610977</v>
      </c>
      <c r="V292" s="7" t="n">
        <f aca="false">E292*2/27+V291*25/27</f>
        <v>13337.4243577198</v>
      </c>
      <c r="W292" s="7" t="n">
        <f aca="false">U292-V292</f>
        <v>28.5469033779409</v>
      </c>
      <c r="X292" s="7" t="n">
        <f aca="false">W292*2/10+X291*8/10</f>
        <v>135.045399710605</v>
      </c>
      <c r="Y292" s="7" t="n">
        <f aca="false">W292-X292</f>
        <v>-106.498496332664</v>
      </c>
      <c r="Z292" s="7" t="s">
        <v>78</v>
      </c>
      <c r="AA292" s="7" t="str">
        <f aca="false">IFERROR(INDEX(02_轉折點45!B:B,MATCH(A292,02_轉折點45!A:A,0)),"")</f>
        <v/>
      </c>
      <c r="AB292" s="7" t="n">
        <f aca="false">COUNTIFS(05_訊號明細!A:A,A292,05_訊號明細!C:C,"TOP")</f>
        <v>2</v>
      </c>
      <c r="AC292" s="7" t="n">
        <f aca="false">COUNTIFS(05_訊號明細!A:A,A292,05_訊號明細!C:C,"BOTTOM")</f>
        <v>0</v>
      </c>
    </row>
    <row r="293" customFormat="false" ht="15" hidden="false" customHeight="false" outlineLevel="0" collapsed="false">
      <c r="A293" s="7" t="s">
        <v>334</v>
      </c>
      <c r="B293" s="7" t="n">
        <v>12958.96</v>
      </c>
      <c r="C293" s="7" t="n">
        <v>13090.36</v>
      </c>
      <c r="D293" s="7" t="n">
        <v>12764.34</v>
      </c>
      <c r="E293" s="7" t="n">
        <v>12909.44</v>
      </c>
      <c r="F293" s="7" t="n">
        <v>5906</v>
      </c>
      <c r="G293" s="7" t="n">
        <f aca="false">AVERAGE(E289:E293)</f>
        <v>13091.678</v>
      </c>
      <c r="H293" s="7" t="n">
        <f aca="false">AVERAGE(E284:E293)</f>
        <v>13395.786</v>
      </c>
      <c r="I293" s="7" t="n">
        <f aca="false">AVERAGE(E274:E293)</f>
        <v>13446.36</v>
      </c>
      <c r="J293" s="7" t="n">
        <f aca="false">AVERAGE(E244:E293)</f>
        <v>13137.1502</v>
      </c>
      <c r="K293" s="7" t="n">
        <f aca="false">AVERAGE(E194:E293)</f>
        <v>12519.3735</v>
      </c>
      <c r="L293" s="7" t="n">
        <f aca="false">AVERAGE(E94:E293)</f>
        <v>11582.36805</v>
      </c>
      <c r="M293" s="7" t="n">
        <f aca="false">I293</f>
        <v>13446.36</v>
      </c>
      <c r="N293" s="7" t="n">
        <f aca="false">I293+2*STDEV(E274:E293)</f>
        <v>14054.593657076</v>
      </c>
      <c r="O293" s="7" t="n">
        <f aca="false">I293-2*STDEV(E274:E293)</f>
        <v>12838.126342924</v>
      </c>
      <c r="P293" s="7" t="n">
        <f aca="false">MAX(E293-E292,0)</f>
        <v>81.130000000001</v>
      </c>
      <c r="Q293" s="7" t="n">
        <f aca="false">MAX(E292-E293,0)</f>
        <v>0</v>
      </c>
      <c r="R293" s="7" t="n">
        <f aca="false">(R292*13+P293)/14</f>
        <v>51.6215584911464</v>
      </c>
      <c r="S293" s="7" t="n">
        <f aca="false">(S292*13+Q293)/14</f>
        <v>81.6301785662825</v>
      </c>
      <c r="T293" s="7" t="n">
        <f aca="false">IF(S293=0,100,100-100/(1+R293/S293))</f>
        <v>38.7398765908009</v>
      </c>
      <c r="U293" s="7" t="n">
        <f aca="false">E293*2/13+U292*11/13</f>
        <v>13295.7356824673</v>
      </c>
      <c r="V293" s="7" t="n">
        <f aca="false">E293*2/27+V292*25/27</f>
        <v>13305.7218127035</v>
      </c>
      <c r="W293" s="7" t="n">
        <f aca="false">U293-V293</f>
        <v>-9.98613023619873</v>
      </c>
      <c r="X293" s="7" t="n">
        <f aca="false">W293*2/10+X292*8/10</f>
        <v>106.039093721244</v>
      </c>
      <c r="Y293" s="7" t="n">
        <f aca="false">W293-X293</f>
        <v>-116.025223957443</v>
      </c>
      <c r="Z293" s="7" t="s">
        <v>78</v>
      </c>
      <c r="AA293" s="7" t="str">
        <f aca="false">IFERROR(INDEX(02_轉折點45!B:B,MATCH(A293,02_轉折點45!A:A,0)),"")</f>
        <v/>
      </c>
      <c r="AB293" s="7" t="n">
        <f aca="false">COUNTIFS(05_訊號明細!A:A,A293,05_訊號明細!C:C,"TOP")</f>
        <v>1</v>
      </c>
      <c r="AC293" s="7" t="n">
        <f aca="false">COUNTIFS(05_訊號明細!A:A,A293,05_訊號明細!C:C,"BOTTOM")</f>
        <v>0</v>
      </c>
    </row>
    <row r="294" customFormat="false" ht="15" hidden="false" customHeight="false" outlineLevel="0" collapsed="false">
      <c r="A294" s="7" t="s">
        <v>335</v>
      </c>
      <c r="B294" s="7" t="n">
        <v>13106.02</v>
      </c>
      <c r="C294" s="7" t="n">
        <v>13293.78</v>
      </c>
      <c r="D294" s="7" t="n">
        <v>13051.7</v>
      </c>
      <c r="E294" s="7" t="n">
        <v>13282.95</v>
      </c>
      <c r="F294" s="7" t="n">
        <v>5080</v>
      </c>
      <c r="G294" s="7" t="n">
        <f aca="false">AVERAGE(E290:E294)</f>
        <v>13103.52</v>
      </c>
      <c r="H294" s="7" t="n">
        <f aca="false">AVERAGE(E285:E294)</f>
        <v>13343.311</v>
      </c>
      <c r="I294" s="7" t="n">
        <f aca="false">AVERAGE(E275:E294)</f>
        <v>13464.2385</v>
      </c>
      <c r="J294" s="7" t="n">
        <f aca="false">AVERAGE(E245:E294)</f>
        <v>13150.8908</v>
      </c>
      <c r="K294" s="7" t="n">
        <f aca="false">AVERAGE(E195:E294)</f>
        <v>12537.1124</v>
      </c>
      <c r="L294" s="7" t="n">
        <f aca="false">AVERAGE(E95:E294)</f>
        <v>11603.7824</v>
      </c>
      <c r="M294" s="7" t="n">
        <f aca="false">I294</f>
        <v>13464.2385</v>
      </c>
      <c r="N294" s="7" t="n">
        <f aca="false">I294+2*STDEV(E275:E294)</f>
        <v>14027.3396342379</v>
      </c>
      <c r="O294" s="7" t="n">
        <f aca="false">I294-2*STDEV(E275:E294)</f>
        <v>12901.1373657621</v>
      </c>
      <c r="P294" s="7" t="n">
        <f aca="false">MAX(E294-E293,0)</f>
        <v>373.51</v>
      </c>
      <c r="Q294" s="7" t="n">
        <f aca="false">MAX(E293-E294,0)</f>
        <v>0</v>
      </c>
      <c r="R294" s="7" t="n">
        <f aca="false">(R293*13+P294)/14</f>
        <v>74.6135900274932</v>
      </c>
      <c r="S294" s="7" t="n">
        <f aca="false">(S293*13+Q294)/14</f>
        <v>75.7994515258337</v>
      </c>
      <c r="T294" s="7" t="n">
        <f aca="false">IF(S294=0,100,100-100/(1+R294/S294))</f>
        <v>49.6057983117374</v>
      </c>
      <c r="U294" s="7" t="n">
        <f aca="false">E294*2/13+U293*11/13</f>
        <v>13293.7686543954</v>
      </c>
      <c r="V294" s="7" t="n">
        <f aca="false">E294*2/27+V293*25/27</f>
        <v>13304.0350117625</v>
      </c>
      <c r="W294" s="7" t="n">
        <f aca="false">U294-V294</f>
        <v>-10.266357367087</v>
      </c>
      <c r="X294" s="7" t="n">
        <f aca="false">W294*2/10+X293*8/10</f>
        <v>82.7780035035781</v>
      </c>
      <c r="Y294" s="7" t="n">
        <f aca="false">W294-X294</f>
        <v>-93.0443608706651</v>
      </c>
      <c r="Z294" s="8" t="s">
        <v>42</v>
      </c>
      <c r="AA294" s="7" t="str">
        <f aca="false">IFERROR(INDEX(02_轉折點45!B:B,MATCH(A294,02_轉折點45!A:A,0)),"")</f>
        <v/>
      </c>
      <c r="AB294" s="7" t="n">
        <f aca="false">COUNTIFS(05_訊號明細!A:A,A294,05_訊號明細!C:C,"TOP")</f>
        <v>1</v>
      </c>
      <c r="AC294" s="7" t="n">
        <f aca="false">COUNTIFS(05_訊號明細!A:A,A294,05_訊號明細!C:C,"BOTTOM")</f>
        <v>0</v>
      </c>
    </row>
    <row r="295" customFormat="false" ht="15" hidden="false" customHeight="false" outlineLevel="0" collapsed="false">
      <c r="A295" s="7" t="s">
        <v>336</v>
      </c>
      <c r="B295" s="7" t="n">
        <v>13297.76</v>
      </c>
      <c r="C295" s="7" t="n">
        <v>13301.62</v>
      </c>
      <c r="D295" s="7" t="n">
        <v>13052.12</v>
      </c>
      <c r="E295" s="7" t="n">
        <v>13059.95</v>
      </c>
      <c r="F295" s="7" t="n">
        <v>4948</v>
      </c>
      <c r="G295" s="7" t="n">
        <f aca="false">AVERAGE(E291:E295)</f>
        <v>13076.568</v>
      </c>
      <c r="H295" s="7" t="n">
        <f aca="false">AVERAGE(E286:E295)</f>
        <v>13271.929</v>
      </c>
      <c r="I295" s="7" t="n">
        <f aca="false">AVERAGE(E276:E295)</f>
        <v>13454.791</v>
      </c>
      <c r="J295" s="7" t="n">
        <f aca="false">AVERAGE(E246:E295)</f>
        <v>13158.7266</v>
      </c>
      <c r="K295" s="7" t="n">
        <f aca="false">AVERAGE(E196:E295)</f>
        <v>12554.7992</v>
      </c>
      <c r="L295" s="7" t="n">
        <f aca="false">AVERAGE(E96:E295)</f>
        <v>11623.61005</v>
      </c>
      <c r="M295" s="7" t="n">
        <f aca="false">I295</f>
        <v>13454.791</v>
      </c>
      <c r="N295" s="7" t="n">
        <f aca="false">I295+2*STDEV(E276:E295)</f>
        <v>14039.0470958996</v>
      </c>
      <c r="O295" s="7" t="n">
        <f aca="false">I295-2*STDEV(E276:E295)</f>
        <v>12870.5349041004</v>
      </c>
      <c r="P295" s="7" t="n">
        <f aca="false">MAX(E295-E294,0)</f>
        <v>0</v>
      </c>
      <c r="Q295" s="7" t="n">
        <f aca="false">MAX(E294-E295,0)</f>
        <v>223</v>
      </c>
      <c r="R295" s="7" t="n">
        <f aca="false">(R294*13+P295)/14</f>
        <v>69.2840478826722</v>
      </c>
      <c r="S295" s="7" t="n">
        <f aca="false">(S294*13+Q295)/14</f>
        <v>86.3137764168456</v>
      </c>
      <c r="T295" s="7" t="n">
        <f aca="false">IF(S295=0,100,100-100/(1+R295/S295))</f>
        <v>44.5276456753688</v>
      </c>
      <c r="U295" s="7" t="n">
        <f aca="false">E295*2/13+U294*11/13</f>
        <v>13257.7965537192</v>
      </c>
      <c r="V295" s="7" t="n">
        <f aca="false">E295*2/27+V294*25/27</f>
        <v>13285.9546405208</v>
      </c>
      <c r="W295" s="7" t="n">
        <f aca="false">U295-V295</f>
        <v>-28.1580868016335</v>
      </c>
      <c r="X295" s="7" t="n">
        <f aca="false">W295*2/10+X294*8/10</f>
        <v>60.5907854425358</v>
      </c>
      <c r="Y295" s="7" t="n">
        <f aca="false">W295-X295</f>
        <v>-88.7488722441693</v>
      </c>
      <c r="Z295" s="8" t="s">
        <v>42</v>
      </c>
      <c r="AA295" s="7" t="str">
        <f aca="false">IFERROR(INDEX(02_轉折點45!B:B,MATCH(A295,02_轉折點45!A:A,0)),"")</f>
        <v/>
      </c>
      <c r="AB295" s="7" t="n">
        <f aca="false">COUNTIFS(05_訊號明細!A:A,A295,05_訊號明細!C:C,"TOP")</f>
        <v>0</v>
      </c>
      <c r="AC295" s="7" t="n">
        <f aca="false">COUNTIFS(05_訊號明細!A:A,A295,05_訊號明細!C:C,"BOTTOM")</f>
        <v>0</v>
      </c>
    </row>
    <row r="296" customFormat="false" ht="15" hidden="false" customHeight="false" outlineLevel="0" collapsed="false">
      <c r="A296" s="7" t="s">
        <v>337</v>
      </c>
      <c r="B296" s="7" t="n">
        <v>13020.1</v>
      </c>
      <c r="C296" s="7" t="n">
        <v>13057.29</v>
      </c>
      <c r="D296" s="7" t="n">
        <v>12679.89</v>
      </c>
      <c r="E296" s="7" t="n">
        <v>12683.33</v>
      </c>
      <c r="F296" s="7" t="n">
        <v>5530</v>
      </c>
      <c r="G296" s="7" t="n">
        <f aca="false">AVERAGE(E292:E296)</f>
        <v>12952.796</v>
      </c>
      <c r="H296" s="7" t="n">
        <f aca="false">AVERAGE(E287:E296)</f>
        <v>13170.291</v>
      </c>
      <c r="I296" s="7" t="n">
        <f aca="false">AVERAGE(E277:E296)</f>
        <v>13416.1515</v>
      </c>
      <c r="J296" s="7" t="n">
        <f aca="false">AVERAGE(E247:E296)</f>
        <v>13157.352</v>
      </c>
      <c r="K296" s="7" t="n">
        <f aca="false">AVERAGE(E197:E296)</f>
        <v>12566.6006</v>
      </c>
      <c r="L296" s="7" t="n">
        <f aca="false">AVERAGE(E97:E296)</f>
        <v>11641.2635</v>
      </c>
      <c r="M296" s="7" t="n">
        <f aca="false">I296</f>
        <v>13416.1515</v>
      </c>
      <c r="N296" s="7" t="n">
        <f aca="false">I296+2*STDEV(E277:E296)</f>
        <v>14094.6525135593</v>
      </c>
      <c r="O296" s="7" t="n">
        <f aca="false">I296-2*STDEV(E277:E296)</f>
        <v>12737.6504864407</v>
      </c>
      <c r="P296" s="7" t="n">
        <f aca="false">MAX(E296-E295,0)</f>
        <v>0</v>
      </c>
      <c r="Q296" s="7" t="n">
        <f aca="false">MAX(E295-E296,0)</f>
        <v>376.620000000001</v>
      </c>
      <c r="R296" s="7" t="n">
        <f aca="false">(R295*13+P296)/14</f>
        <v>64.3351873196242</v>
      </c>
      <c r="S296" s="7" t="n">
        <f aca="false">(S295*13+Q296)/14</f>
        <v>107.049935244214</v>
      </c>
      <c r="T296" s="7" t="n">
        <f aca="false">IF(S296=0,100,100-100/(1+R296/S296))</f>
        <v>37.5383734347539</v>
      </c>
      <c r="U296" s="7" t="n">
        <f aca="false">E296*2/13+U295*11/13</f>
        <v>13169.4170839162</v>
      </c>
      <c r="V296" s="7" t="n">
        <f aca="false">E296*2/27+V295*25/27</f>
        <v>13241.31577826</v>
      </c>
      <c r="W296" s="7" t="n">
        <f aca="false">U296-V296</f>
        <v>-71.8986943437812</v>
      </c>
      <c r="X296" s="7" t="n">
        <f aca="false">W296*2/10+X295*8/10</f>
        <v>34.0928894852724</v>
      </c>
      <c r="Y296" s="7" t="n">
        <f aca="false">W296-X296</f>
        <v>-105.991583829054</v>
      </c>
      <c r="Z296" s="7" t="s">
        <v>78</v>
      </c>
      <c r="AA296" s="7" t="str">
        <f aca="false">IFERROR(INDEX(02_轉折點45!B:B,MATCH(A296,02_轉折點45!A:A,0)),"")</f>
        <v/>
      </c>
      <c r="AB296" s="7" t="n">
        <f aca="false">COUNTIFS(05_訊號明細!A:A,A296,05_訊號明細!C:C,"TOP")</f>
        <v>2</v>
      </c>
      <c r="AC296" s="7" t="n">
        <f aca="false">COUNTIFS(05_訊號明細!A:A,A296,05_訊號明細!C:C,"BOTTOM")</f>
        <v>0</v>
      </c>
    </row>
    <row r="297" customFormat="false" ht="15" hidden="false" customHeight="false" outlineLevel="0" collapsed="false">
      <c r="A297" s="7" t="s">
        <v>338</v>
      </c>
      <c r="B297" s="7" t="n">
        <v>12655.92</v>
      </c>
      <c r="C297" s="7" t="n">
        <v>12799.08</v>
      </c>
      <c r="D297" s="7" t="n">
        <v>12314.16</v>
      </c>
      <c r="E297" s="7" t="n">
        <v>12464</v>
      </c>
      <c r="F297" s="7" t="n">
        <v>7864</v>
      </c>
      <c r="G297" s="7" t="n">
        <f aca="false">AVERAGE(E293:E297)</f>
        <v>12879.934</v>
      </c>
      <c r="H297" s="7" t="n">
        <f aca="false">AVERAGE(E288:E297)</f>
        <v>13052.94</v>
      </c>
      <c r="I297" s="7" t="n">
        <f aca="false">AVERAGE(E278:E297)</f>
        <v>13369.233</v>
      </c>
      <c r="J297" s="7" t="n">
        <f aca="false">AVERAGE(E248:E297)</f>
        <v>13151.8684</v>
      </c>
      <c r="K297" s="7" t="n">
        <f aca="false">AVERAGE(E198:E297)</f>
        <v>12575.7312</v>
      </c>
      <c r="L297" s="7" t="n">
        <f aca="false">AVERAGE(E98:E297)</f>
        <v>11656.92385</v>
      </c>
      <c r="M297" s="7" t="n">
        <f aca="false">I297</f>
        <v>13369.233</v>
      </c>
      <c r="N297" s="7" t="n">
        <f aca="false">I297+2*STDEV(E278:E297)</f>
        <v>14170.4298490649</v>
      </c>
      <c r="O297" s="7" t="n">
        <f aca="false">I297-2*STDEV(E278:E297)</f>
        <v>12568.0361509351</v>
      </c>
      <c r="P297" s="7" t="n">
        <f aca="false">MAX(E297-E296,0)</f>
        <v>0</v>
      </c>
      <c r="Q297" s="7" t="n">
        <f aca="false">MAX(E296-E297,0)</f>
        <v>219.33</v>
      </c>
      <c r="R297" s="7" t="n">
        <f aca="false">(R296*13+P297)/14</f>
        <v>59.7398167967939</v>
      </c>
      <c r="S297" s="7" t="n">
        <f aca="false">(S296*13+Q297)/14</f>
        <v>115.069939869627</v>
      </c>
      <c r="T297" s="7" t="n">
        <f aca="false">IF(S297=0,100,100-100/(1+R297/S297))</f>
        <v>34.1741890933421</v>
      </c>
      <c r="U297" s="7" t="n">
        <f aca="false">E297*2/13+U296*11/13</f>
        <v>13060.8913786984</v>
      </c>
      <c r="V297" s="7" t="n">
        <f aca="false">E297*2/27+V296*25/27</f>
        <v>13183.7368317222</v>
      </c>
      <c r="W297" s="7" t="n">
        <f aca="false">U297-V297</f>
        <v>-122.845453023885</v>
      </c>
      <c r="X297" s="7" t="n">
        <f aca="false">W297*2/10+X296*8/10</f>
        <v>2.70522098344087</v>
      </c>
      <c r="Y297" s="7" t="n">
        <f aca="false">W297-X297</f>
        <v>-125.550674007326</v>
      </c>
      <c r="Z297" s="7" t="s">
        <v>78</v>
      </c>
      <c r="AA297" s="7" t="str">
        <f aca="false">IFERROR(INDEX(02_轉折點45!B:B,MATCH(A297,02_轉折點45!A:A,0)),"")</f>
        <v/>
      </c>
      <c r="AB297" s="7" t="n">
        <f aca="false">COUNTIFS(05_訊號明細!A:A,A297,05_訊號明細!C:C,"TOP")</f>
        <v>0</v>
      </c>
      <c r="AC297" s="7" t="n">
        <f aca="false">COUNTIFS(05_訊號明細!A:A,A297,05_訊號明細!C:C,"BOTTOM")</f>
        <v>0</v>
      </c>
    </row>
    <row r="298" customFormat="false" ht="15" hidden="false" customHeight="false" outlineLevel="0" collapsed="false">
      <c r="A298" s="7" t="s">
        <v>339</v>
      </c>
      <c r="B298" s="7" t="n">
        <v>12594.16</v>
      </c>
      <c r="C298" s="7" t="n">
        <v>12700.96</v>
      </c>
      <c r="D298" s="7" t="n">
        <v>12208.39</v>
      </c>
      <c r="E298" s="7" t="n">
        <v>12668.51</v>
      </c>
      <c r="F298" s="7" t="n">
        <v>7725</v>
      </c>
      <c r="G298" s="7" t="n">
        <f aca="false">AVERAGE(E294:E298)</f>
        <v>12831.748</v>
      </c>
      <c r="H298" s="7" t="n">
        <f aca="false">AVERAGE(E289:E298)</f>
        <v>12961.713</v>
      </c>
      <c r="I298" s="7" t="n">
        <f aca="false">AVERAGE(E279:E298)</f>
        <v>13324.614</v>
      </c>
      <c r="J298" s="7" t="n">
        <f aca="false">AVERAGE(E249:E298)</f>
        <v>13151.4334</v>
      </c>
      <c r="K298" s="7" t="n">
        <f aca="false">AVERAGE(E199:E298)</f>
        <v>12585.1578</v>
      </c>
      <c r="L298" s="7" t="n">
        <f aca="false">AVERAGE(E99:E298)</f>
        <v>11673.7737</v>
      </c>
      <c r="M298" s="7" t="n">
        <f aca="false">I298</f>
        <v>13324.614</v>
      </c>
      <c r="N298" s="7" t="n">
        <f aca="false">I298+2*STDEV(E279:E298)</f>
        <v>14178.5295721708</v>
      </c>
      <c r="O298" s="7" t="n">
        <f aca="false">I298-2*STDEV(E279:E298)</f>
        <v>12470.6984278292</v>
      </c>
      <c r="P298" s="7" t="n">
        <f aca="false">MAX(E298-E297,0)</f>
        <v>204.51</v>
      </c>
      <c r="Q298" s="7" t="n">
        <f aca="false">MAX(E297-E298,0)</f>
        <v>0</v>
      </c>
      <c r="R298" s="7" t="n">
        <f aca="false">(R297*13+P298)/14</f>
        <v>70.0805441684515</v>
      </c>
      <c r="S298" s="7" t="n">
        <f aca="false">(S297*13+Q298)/14</f>
        <v>106.850658450368</v>
      </c>
      <c r="T298" s="7" t="n">
        <f aca="false">IF(S298=0,100,100-100/(1+R298/S298))</f>
        <v>39.6089232035759</v>
      </c>
      <c r="U298" s="7" t="n">
        <f aca="false">E298*2/13+U297*11/13</f>
        <v>13000.5250127448</v>
      </c>
      <c r="V298" s="7" t="n">
        <f aca="false">E298*2/27+V297*25/27</f>
        <v>13145.5718812243</v>
      </c>
      <c r="W298" s="7" t="n">
        <f aca="false">U298-V298</f>
        <v>-145.046868479536</v>
      </c>
      <c r="X298" s="7" t="n">
        <f aca="false">W298*2/10+X297*8/10</f>
        <v>-26.8451969091545</v>
      </c>
      <c r="Y298" s="7" t="n">
        <f aca="false">W298-X298</f>
        <v>-118.201671570381</v>
      </c>
      <c r="Z298" s="7" t="s">
        <v>78</v>
      </c>
      <c r="AA298" s="7" t="str">
        <f aca="false">IFERROR(INDEX(02_轉折點45!B:B,MATCH(A298,02_轉折點45!A:A,0)),"")</f>
        <v/>
      </c>
      <c r="AB298" s="7" t="n">
        <f aca="false">COUNTIFS(05_訊號明細!A:A,A298,05_訊號明細!C:C,"TOP")</f>
        <v>0</v>
      </c>
      <c r="AC298" s="7" t="n">
        <f aca="false">COUNTIFS(05_訊號明細!A:A,A298,05_訊號明細!C:C,"BOTTOM")</f>
        <v>0</v>
      </c>
    </row>
    <row r="299" customFormat="false" ht="15" hidden="false" customHeight="false" outlineLevel="0" collapsed="false">
      <c r="A299" s="7" t="s">
        <v>340</v>
      </c>
      <c r="B299" s="7" t="n">
        <v>12629.56</v>
      </c>
      <c r="C299" s="7" t="n">
        <v>12718.58</v>
      </c>
      <c r="D299" s="7" t="n">
        <v>12287.57</v>
      </c>
      <c r="E299" s="7" t="n">
        <v>12299.08</v>
      </c>
      <c r="F299" s="7" t="n">
        <v>6010</v>
      </c>
      <c r="G299" s="7" t="n">
        <f aca="false">AVERAGE(E295:E299)</f>
        <v>12634.974</v>
      </c>
      <c r="H299" s="7" t="n">
        <f aca="false">AVERAGE(E290:E299)</f>
        <v>12869.247</v>
      </c>
      <c r="I299" s="7" t="n">
        <f aca="false">AVERAGE(E280:E299)</f>
        <v>13259.37</v>
      </c>
      <c r="J299" s="7" t="n">
        <f aca="false">AVERAGE(E250:E299)</f>
        <v>13143.0638</v>
      </c>
      <c r="K299" s="7" t="n">
        <f aca="false">AVERAGE(E200:E299)</f>
        <v>12587.2675</v>
      </c>
      <c r="L299" s="7" t="n">
        <f aca="false">AVERAGE(E100:E299)</f>
        <v>11687.844</v>
      </c>
      <c r="M299" s="7" t="n">
        <f aca="false">I299</f>
        <v>13259.37</v>
      </c>
      <c r="N299" s="7" t="n">
        <f aca="false">I299+2*STDEV(E280:E299)</f>
        <v>14216.5716536815</v>
      </c>
      <c r="O299" s="7" t="n">
        <f aca="false">I299-2*STDEV(E280:E299)</f>
        <v>12302.1683463185</v>
      </c>
      <c r="P299" s="7" t="n">
        <f aca="false">MAX(E299-E298,0)</f>
        <v>0</v>
      </c>
      <c r="Q299" s="7" t="n">
        <f aca="false">MAX(E298-E299,0)</f>
        <v>369.43</v>
      </c>
      <c r="R299" s="7" t="n">
        <f aca="false">(R298*13+P299)/14</f>
        <v>65.0747910135621</v>
      </c>
      <c r="S299" s="7" t="n">
        <f aca="false">(S298*13+Q299)/14</f>
        <v>125.606325703913</v>
      </c>
      <c r="T299" s="7" t="n">
        <f aca="false">IF(S299=0,100,100-100/(1+R299/S299))</f>
        <v>34.1275487231286</v>
      </c>
      <c r="U299" s="7" t="n">
        <f aca="false">E299*2/13+U298*11/13</f>
        <v>12892.6103953994</v>
      </c>
      <c r="V299" s="7" t="n">
        <f aca="false">E299*2/27+V298*25/27</f>
        <v>13082.8687789114</v>
      </c>
      <c r="W299" s="7" t="n">
        <f aca="false">U299-V299</f>
        <v>-190.258383511971</v>
      </c>
      <c r="X299" s="7" t="n">
        <f aca="false">W299*2/10+X298*8/10</f>
        <v>-59.5278342297179</v>
      </c>
      <c r="Y299" s="7" t="n">
        <f aca="false">W299-X299</f>
        <v>-130.730549282253</v>
      </c>
      <c r="Z299" s="7" t="s">
        <v>78</v>
      </c>
      <c r="AA299" s="7" t="str">
        <f aca="false">IFERROR(INDEX(02_轉折點45!B:B,MATCH(A299,02_轉折點45!A:A,0)),"")</f>
        <v/>
      </c>
      <c r="AB299" s="7" t="n">
        <f aca="false">COUNTIFS(05_訊號明細!A:A,A299,05_訊號明細!C:C,"TOP")</f>
        <v>1</v>
      </c>
      <c r="AC299" s="7" t="n">
        <f aca="false">COUNTIFS(05_訊號明細!A:A,A299,05_訊號明細!C:C,"BOTTOM")</f>
        <v>0</v>
      </c>
    </row>
    <row r="300" customFormat="false" ht="15" hidden="false" customHeight="false" outlineLevel="0" collapsed="false">
      <c r="A300" s="7" t="s">
        <v>341</v>
      </c>
      <c r="B300" s="7" t="n">
        <v>12635.45</v>
      </c>
      <c r="C300" s="7" t="n">
        <v>12868.52</v>
      </c>
      <c r="D300" s="7" t="n">
        <v>12592.83</v>
      </c>
      <c r="E300" s="7" t="n">
        <v>12794.49</v>
      </c>
      <c r="F300" s="7" t="n">
        <v>6346</v>
      </c>
      <c r="G300" s="7" t="n">
        <f aca="false">AVERAGE(E296:E300)</f>
        <v>12581.882</v>
      </c>
      <c r="H300" s="7" t="n">
        <f aca="false">AVERAGE(E291:E300)</f>
        <v>12829.225</v>
      </c>
      <c r="I300" s="7" t="n">
        <f aca="false">AVERAGE(E281:E300)</f>
        <v>13214.3435</v>
      </c>
      <c r="J300" s="7" t="n">
        <f aca="false">AVERAGE(E251:E300)</f>
        <v>13145.8908</v>
      </c>
      <c r="K300" s="7" t="n">
        <f aca="false">AVERAGE(E201:E300)</f>
        <v>12594.3807</v>
      </c>
      <c r="L300" s="7" t="n">
        <f aca="false">AVERAGE(E101:E300)</f>
        <v>11704.9265</v>
      </c>
      <c r="M300" s="7" t="n">
        <f aca="false">I300</f>
        <v>13214.3435</v>
      </c>
      <c r="N300" s="7" t="n">
        <f aca="false">I300+2*STDEV(E281:E300)</f>
        <v>14169.979530192</v>
      </c>
      <c r="O300" s="7" t="n">
        <f aca="false">I300-2*STDEV(E281:E300)</f>
        <v>12258.707469808</v>
      </c>
      <c r="P300" s="7" t="n">
        <f aca="false">MAX(E300-E299,0)</f>
        <v>495.41</v>
      </c>
      <c r="Q300" s="7" t="n">
        <f aca="false">MAX(E299-E300,0)</f>
        <v>0</v>
      </c>
      <c r="R300" s="7" t="n">
        <f aca="false">(R299*13+P300)/14</f>
        <v>95.8130202268791</v>
      </c>
      <c r="S300" s="7" t="n">
        <f aca="false">(S299*13+Q300)/14</f>
        <v>116.634445296491</v>
      </c>
      <c r="T300" s="7" t="n">
        <f aca="false">IF(S300=0,100,100-100/(1+R300/S300))</f>
        <v>45.0996296853159</v>
      </c>
      <c r="U300" s="7" t="n">
        <f aca="false">E300*2/13+U299*11/13</f>
        <v>12877.5149499533</v>
      </c>
      <c r="V300" s="7" t="n">
        <f aca="false">E300*2/27+V299*25/27</f>
        <v>13061.5073878809</v>
      </c>
      <c r="W300" s="7" t="n">
        <f aca="false">U300-V300</f>
        <v>-183.992437927562</v>
      </c>
      <c r="X300" s="7" t="n">
        <f aca="false">W300*2/10+X299*8/10</f>
        <v>-84.4207549692866</v>
      </c>
      <c r="Y300" s="7" t="n">
        <f aca="false">W300-X300</f>
        <v>-99.5716829582751</v>
      </c>
      <c r="Z300" s="7" t="s">
        <v>78</v>
      </c>
      <c r="AA300" s="7" t="str">
        <f aca="false">IFERROR(INDEX(02_轉折點45!B:B,MATCH(A300,02_轉折點45!A:A,0)),"")</f>
        <v/>
      </c>
      <c r="AB300" s="7" t="n">
        <f aca="false">COUNTIFS(05_訊號明細!A:A,A300,05_訊號明細!C:C,"TOP")</f>
        <v>0</v>
      </c>
      <c r="AC300" s="7" t="n">
        <f aca="false">COUNTIFS(05_訊號明細!A:A,A300,05_訊號明細!C:C,"BOTTOM")</f>
        <v>0</v>
      </c>
    </row>
    <row r="301" customFormat="false" ht="15" hidden="false" customHeight="false" outlineLevel="0" collapsed="false">
      <c r="A301" s="7" t="s">
        <v>342</v>
      </c>
      <c r="B301" s="7" t="n">
        <v>12950.25</v>
      </c>
      <c r="C301" s="7" t="n">
        <v>12979.38</v>
      </c>
      <c r="D301" s="7" t="n">
        <v>12726.85</v>
      </c>
      <c r="E301" s="7" t="n">
        <v>12752.07</v>
      </c>
      <c r="F301" s="7" t="n">
        <v>6024</v>
      </c>
      <c r="G301" s="7" t="n">
        <f aca="false">AVERAGE(E297:E301)</f>
        <v>12595.63</v>
      </c>
      <c r="H301" s="7" t="n">
        <f aca="false">AVERAGE(E292:E301)</f>
        <v>12774.213</v>
      </c>
      <c r="I301" s="7" t="n">
        <f aca="false">AVERAGE(E282:E301)</f>
        <v>13167.593</v>
      </c>
      <c r="J301" s="7" t="n">
        <f aca="false">AVERAGE(E252:E301)</f>
        <v>13146.712</v>
      </c>
      <c r="K301" s="7" t="n">
        <f aca="false">AVERAGE(E202:E301)</f>
        <v>12602.0478</v>
      </c>
      <c r="L301" s="7" t="n">
        <f aca="false">AVERAGE(E102:E301)</f>
        <v>11721.6169</v>
      </c>
      <c r="M301" s="7" t="n">
        <f aca="false">I301</f>
        <v>13167.593</v>
      </c>
      <c r="N301" s="7" t="n">
        <f aca="false">I301+2*STDEV(E282:E301)</f>
        <v>14117.3182634115</v>
      </c>
      <c r="O301" s="7" t="n">
        <f aca="false">I301-2*STDEV(E282:E301)</f>
        <v>12217.8677365885</v>
      </c>
      <c r="P301" s="7" t="n">
        <f aca="false">MAX(E301-E300,0)</f>
        <v>0</v>
      </c>
      <c r="Q301" s="7" t="n">
        <f aca="false">MAX(E300-E301,0)</f>
        <v>42.4200000000001</v>
      </c>
      <c r="R301" s="7" t="n">
        <f aca="false">(R300*13+P301)/14</f>
        <v>88.9692330678163</v>
      </c>
      <c r="S301" s="7" t="n">
        <f aca="false">(S300*13+Q301)/14</f>
        <v>111.333413489599</v>
      </c>
      <c r="T301" s="7" t="n">
        <f aca="false">IF(S301=0,100,100-100/(1+R301/S301))</f>
        <v>44.4174026638805</v>
      </c>
      <c r="U301" s="7" t="n">
        <f aca="false">E301*2/13+U300*11/13</f>
        <v>12858.2157268836</v>
      </c>
      <c r="V301" s="7" t="n">
        <f aca="false">E301*2/27+V300*25/27</f>
        <v>13038.5860998897</v>
      </c>
      <c r="W301" s="7" t="n">
        <f aca="false">U301-V301</f>
        <v>-180.370373006128</v>
      </c>
      <c r="X301" s="7" t="n">
        <f aca="false">W301*2/10+X300*8/10</f>
        <v>-103.610678576655</v>
      </c>
      <c r="Y301" s="7" t="n">
        <f aca="false">W301-X301</f>
        <v>-76.759694429473</v>
      </c>
      <c r="Z301" s="7" t="s">
        <v>78</v>
      </c>
      <c r="AA301" s="7" t="str">
        <f aca="false">IFERROR(INDEX(02_轉折點45!B:B,MATCH(A301,02_轉折點45!A:A,0)),"")</f>
        <v/>
      </c>
      <c r="AB301" s="7" t="n">
        <f aca="false">COUNTIFS(05_訊號明細!A:A,A301,05_訊號明細!C:C,"TOP")</f>
        <v>0</v>
      </c>
      <c r="AC301" s="7" t="n">
        <f aca="false">COUNTIFS(05_訊號明細!A:A,A301,05_訊號明細!C:C,"BOTTOM")</f>
        <v>0</v>
      </c>
    </row>
    <row r="302" customFormat="false" ht="15" hidden="false" customHeight="false" outlineLevel="0" collapsed="false">
      <c r="A302" s="7" t="s">
        <v>343</v>
      </c>
      <c r="B302" s="7" t="n">
        <v>12960.53</v>
      </c>
      <c r="C302" s="7" t="n">
        <v>13117.86</v>
      </c>
      <c r="D302" s="7" t="n">
        <v>12920.01</v>
      </c>
      <c r="E302" s="7" t="n">
        <v>13052.9</v>
      </c>
      <c r="F302" s="7" t="n">
        <v>6009</v>
      </c>
      <c r="G302" s="7" t="n">
        <f aca="false">AVERAGE(E298:E302)</f>
        <v>12713.41</v>
      </c>
      <c r="H302" s="7" t="n">
        <f aca="false">AVERAGE(E293:E302)</f>
        <v>12796.672</v>
      </c>
      <c r="I302" s="7" t="n">
        <f aca="false">AVERAGE(E283:E302)</f>
        <v>13137.4745</v>
      </c>
      <c r="J302" s="7" t="n">
        <f aca="false">AVERAGE(E253:E302)</f>
        <v>13150.9928</v>
      </c>
      <c r="K302" s="7" t="n">
        <f aca="false">AVERAGE(E203:E302)</f>
        <v>12613.5911</v>
      </c>
      <c r="L302" s="7" t="n">
        <f aca="false">AVERAGE(E103:E302)</f>
        <v>11739.9315</v>
      </c>
      <c r="M302" s="7" t="n">
        <f aca="false">I302</f>
        <v>13137.4745</v>
      </c>
      <c r="N302" s="7" t="n">
        <f aca="false">I302+2*STDEV(E283:E302)</f>
        <v>14059.8945445048</v>
      </c>
      <c r="O302" s="7" t="n">
        <f aca="false">I302-2*STDEV(E283:E302)</f>
        <v>12215.0544554952</v>
      </c>
      <c r="P302" s="7" t="n">
        <f aca="false">MAX(E302-E301,0)</f>
        <v>300.83</v>
      </c>
      <c r="Q302" s="7" t="n">
        <f aca="false">MAX(E301-E302,0)</f>
        <v>0</v>
      </c>
      <c r="R302" s="7" t="n">
        <f aca="false">(R301*13+P302)/14</f>
        <v>104.102144991544</v>
      </c>
      <c r="S302" s="7" t="n">
        <f aca="false">(S301*13+Q302)/14</f>
        <v>103.38102681177</v>
      </c>
      <c r="T302" s="7" t="n">
        <f aca="false">IF(S302=0,100,100-100/(1+R302/S302))</f>
        <v>50.1737775101243</v>
      </c>
      <c r="U302" s="7" t="n">
        <f aca="false">E302*2/13+U301*11/13</f>
        <v>12888.1671535169</v>
      </c>
      <c r="V302" s="7" t="n">
        <f aca="false">E302*2/27+V301*25/27</f>
        <v>13039.6463887868</v>
      </c>
      <c r="W302" s="7" t="n">
        <f aca="false">U302-V302</f>
        <v>-151.479235269895</v>
      </c>
      <c r="X302" s="7" t="n">
        <f aca="false">W302*2/10+X301*8/10</f>
        <v>-113.184389915303</v>
      </c>
      <c r="Y302" s="7" t="n">
        <f aca="false">W302-X302</f>
        <v>-38.2948453545921</v>
      </c>
      <c r="Z302" s="8" t="s">
        <v>42</v>
      </c>
      <c r="AA302" s="7" t="str">
        <f aca="false">IFERROR(INDEX(02_轉折點45!B:B,MATCH(A302,02_轉折點45!A:A,0)),"")</f>
        <v/>
      </c>
      <c r="AB302" s="7" t="n">
        <f aca="false">COUNTIFS(05_訊號明細!A:A,A302,05_訊號明細!C:C,"TOP")</f>
        <v>0</v>
      </c>
      <c r="AC302" s="7" t="n">
        <f aca="false">COUNTIFS(05_訊號明細!A:A,A302,05_訊號明細!C:C,"BOTTOM")</f>
        <v>0</v>
      </c>
    </row>
    <row r="303" customFormat="false" ht="15" hidden="false" customHeight="false" outlineLevel="0" collapsed="false">
      <c r="A303" s="7" t="s">
        <v>344</v>
      </c>
      <c r="B303" s="7" t="n">
        <v>12873.39</v>
      </c>
      <c r="C303" s="7" t="n">
        <v>12943.58</v>
      </c>
      <c r="D303" s="7" t="n">
        <v>12778.13</v>
      </c>
      <c r="E303" s="7" t="n">
        <v>12937.29</v>
      </c>
      <c r="F303" s="7" t="n">
        <v>5497</v>
      </c>
      <c r="G303" s="7" t="n">
        <f aca="false">AVERAGE(E299:E303)</f>
        <v>12767.166</v>
      </c>
      <c r="H303" s="7" t="n">
        <f aca="false">AVERAGE(E294:E303)</f>
        <v>12799.457</v>
      </c>
      <c r="I303" s="7" t="n">
        <f aca="false">AVERAGE(E284:E303)</f>
        <v>13097.6215</v>
      </c>
      <c r="J303" s="7" t="n">
        <f aca="false">AVERAGE(E254:E303)</f>
        <v>13152.8688</v>
      </c>
      <c r="K303" s="7" t="n">
        <f aca="false">AVERAGE(E204:E303)</f>
        <v>12624.4423</v>
      </c>
      <c r="L303" s="7" t="n">
        <f aca="false">AVERAGE(E104:E303)</f>
        <v>11757.4077</v>
      </c>
      <c r="M303" s="7" t="n">
        <f aca="false">I303</f>
        <v>13097.6215</v>
      </c>
      <c r="N303" s="7" t="n">
        <f aca="false">I303+2*STDEV(E284:E303)</f>
        <v>13979.4410599238</v>
      </c>
      <c r="O303" s="7" t="n">
        <f aca="false">I303-2*STDEV(E284:E303)</f>
        <v>12215.8019400762</v>
      </c>
      <c r="P303" s="7" t="n">
        <f aca="false">MAX(E303-E302,0)</f>
        <v>0</v>
      </c>
      <c r="Q303" s="7" t="n">
        <f aca="false">MAX(E302-E303,0)</f>
        <v>115.609999999999</v>
      </c>
      <c r="R303" s="7" t="n">
        <f aca="false">(R302*13+P303)/14</f>
        <v>96.6662774921477</v>
      </c>
      <c r="S303" s="7" t="n">
        <f aca="false">(S302*13+Q303)/14</f>
        <v>104.254524896644</v>
      </c>
      <c r="T303" s="7" t="n">
        <f aca="false">IF(S303=0,100,100-100/(1+R303/S303))</f>
        <v>48.1116322167049</v>
      </c>
      <c r="U303" s="7" t="n">
        <f aca="false">E303*2/13+U302*11/13</f>
        <v>12895.7245145143</v>
      </c>
      <c r="V303" s="7" t="n">
        <f aca="false">E303*2/27+V302*25/27</f>
        <v>13032.0644340618</v>
      </c>
      <c r="W303" s="7" t="n">
        <f aca="false">U303-V303</f>
        <v>-136.339919547545</v>
      </c>
      <c r="X303" s="7" t="n">
        <f aca="false">W303*2/10+X302*8/10</f>
        <v>-117.815495841751</v>
      </c>
      <c r="Y303" s="7" t="n">
        <f aca="false">W303-X303</f>
        <v>-18.5244237057936</v>
      </c>
      <c r="Z303" s="8" t="s">
        <v>42</v>
      </c>
      <c r="AA303" s="7" t="str">
        <f aca="false">IFERROR(INDEX(02_轉折點45!B:B,MATCH(A303,02_轉折點45!A:A,0)),"")</f>
        <v/>
      </c>
      <c r="AB303" s="7" t="n">
        <f aca="false">COUNTIFS(05_訊號明細!A:A,A303,05_訊號明細!C:C,"TOP")</f>
        <v>1</v>
      </c>
      <c r="AC303" s="7" t="n">
        <f aca="false">COUNTIFS(05_訊號明細!A:A,A303,05_訊號明細!C:C,"BOTTOM")</f>
        <v>0</v>
      </c>
    </row>
    <row r="304" customFormat="false" ht="15" hidden="false" customHeight="false" outlineLevel="0" collapsed="false">
      <c r="A304" s="7" t="s">
        <v>345</v>
      </c>
      <c r="B304" s="7" t="n">
        <v>12936.13</v>
      </c>
      <c r="C304" s="7" t="n">
        <v>13085.01</v>
      </c>
      <c r="D304" s="7" t="n">
        <v>12885.64</v>
      </c>
      <c r="E304" s="7" t="n">
        <v>13082.54</v>
      </c>
      <c r="F304" s="7" t="n">
        <v>5972</v>
      </c>
      <c r="G304" s="7" t="n">
        <f aca="false">AVERAGE(E300:E304)</f>
        <v>12923.858</v>
      </c>
      <c r="H304" s="7" t="n">
        <f aca="false">AVERAGE(E295:E304)</f>
        <v>12779.416</v>
      </c>
      <c r="I304" s="7" t="n">
        <f aca="false">AVERAGE(E285:E304)</f>
        <v>13061.3635</v>
      </c>
      <c r="J304" s="7" t="n">
        <f aca="false">AVERAGE(E255:E304)</f>
        <v>13157.6124</v>
      </c>
      <c r="K304" s="7" t="n">
        <f aca="false">AVERAGE(E205:E304)</f>
        <v>12638.9242</v>
      </c>
      <c r="L304" s="7" t="n">
        <f aca="false">AVERAGE(E105:E304)</f>
        <v>11775.73685</v>
      </c>
      <c r="M304" s="7" t="n">
        <f aca="false">I304</f>
        <v>13061.3635</v>
      </c>
      <c r="N304" s="7" t="n">
        <f aca="false">I304+2*STDEV(E285:E304)</f>
        <v>13877.4324304548</v>
      </c>
      <c r="O304" s="7" t="n">
        <f aca="false">I304-2*STDEV(E285:E304)</f>
        <v>12245.2945695452</v>
      </c>
      <c r="P304" s="7" t="n">
        <f aca="false">MAX(E304-E303,0)</f>
        <v>145.25</v>
      </c>
      <c r="Q304" s="7" t="n">
        <f aca="false">MAX(E303-E304,0)</f>
        <v>0</v>
      </c>
      <c r="R304" s="7" t="n">
        <f aca="false">(R303*13+P304)/14</f>
        <v>100.136543385566</v>
      </c>
      <c r="S304" s="7" t="n">
        <f aca="false">(S303*13+Q304)/14</f>
        <v>96.8077731183119</v>
      </c>
      <c r="T304" s="7" t="n">
        <f aca="false">IF(S304=0,100,100-100/(1+R304/S304))</f>
        <v>50.8451044250338</v>
      </c>
      <c r="U304" s="7" t="n">
        <f aca="false">E304*2/13+U303*11/13</f>
        <v>12924.4653584352</v>
      </c>
      <c r="V304" s="7" t="n">
        <f aca="false">E304*2/27+V303*25/27</f>
        <v>13035.8033648721</v>
      </c>
      <c r="W304" s="7" t="n">
        <f aca="false">U304-V304</f>
        <v>-111.338006436901</v>
      </c>
      <c r="X304" s="7" t="n">
        <f aca="false">W304*2/10+X303*8/10</f>
        <v>-116.519997960781</v>
      </c>
      <c r="Y304" s="7" t="n">
        <f aca="false">W304-X304</f>
        <v>5.1819915238801</v>
      </c>
      <c r="Z304" s="8" t="s">
        <v>42</v>
      </c>
      <c r="AA304" s="7" t="str">
        <f aca="false">IFERROR(INDEX(02_轉折點45!B:B,MATCH(A304,02_轉折點45!A:A,0)),"")</f>
        <v/>
      </c>
      <c r="AB304" s="7" t="n">
        <f aca="false">COUNTIFS(05_訊號明細!A:A,A304,05_訊號明細!C:C,"TOP")</f>
        <v>0</v>
      </c>
      <c r="AC304" s="7" t="n">
        <f aca="false">COUNTIFS(05_訊號明細!A:A,A304,05_訊號明細!C:C,"BOTTOM")</f>
        <v>0</v>
      </c>
    </row>
    <row r="305" customFormat="false" ht="15" hidden="false" customHeight="false" outlineLevel="0" collapsed="false">
      <c r="A305" s="7" t="s">
        <v>346</v>
      </c>
      <c r="B305" s="7" t="n">
        <v>13156.65</v>
      </c>
      <c r="C305" s="7" t="n">
        <v>13297.48</v>
      </c>
      <c r="D305" s="7" t="n">
        <v>13091.78</v>
      </c>
      <c r="E305" s="7" t="n">
        <v>13152.28</v>
      </c>
      <c r="F305" s="7" t="n">
        <v>5494</v>
      </c>
      <c r="G305" s="7" t="n">
        <f aca="false">AVERAGE(E301:E305)</f>
        <v>12995.416</v>
      </c>
      <c r="H305" s="7" t="n">
        <f aca="false">AVERAGE(E296:E305)</f>
        <v>12788.649</v>
      </c>
      <c r="I305" s="7" t="n">
        <f aca="false">AVERAGE(E286:E305)</f>
        <v>13030.289</v>
      </c>
      <c r="J305" s="7" t="n">
        <f aca="false">AVERAGE(E256:E305)</f>
        <v>13162.8924</v>
      </c>
      <c r="K305" s="7" t="n">
        <f aca="false">AVERAGE(E206:E305)</f>
        <v>12653.6686</v>
      </c>
      <c r="L305" s="7" t="n">
        <f aca="false">AVERAGE(E106:E305)</f>
        <v>11793.7206</v>
      </c>
      <c r="M305" s="7" t="n">
        <f aca="false">I305</f>
        <v>13030.289</v>
      </c>
      <c r="N305" s="7" t="n">
        <f aca="false">I305+2*STDEV(E286:E305)</f>
        <v>13776.4765972929</v>
      </c>
      <c r="O305" s="7" t="n">
        <f aca="false">I305-2*STDEV(E286:E305)</f>
        <v>12284.1014027071</v>
      </c>
      <c r="P305" s="7" t="n">
        <f aca="false">MAX(E305-E304,0)</f>
        <v>69.7399999999998</v>
      </c>
      <c r="Q305" s="7" t="n">
        <f aca="false">MAX(E304-E305,0)</f>
        <v>0</v>
      </c>
      <c r="R305" s="7" t="n">
        <f aca="false">(R304*13+P305)/14</f>
        <v>97.9653617151682</v>
      </c>
      <c r="S305" s="7" t="n">
        <f aca="false">(S304*13+Q305)/14</f>
        <v>89.8929321812896</v>
      </c>
      <c r="T305" s="7" t="n">
        <f aca="false">IF(S305=0,100,100-100/(1+R305/S305))</f>
        <v>52.1485422246855</v>
      </c>
      <c r="U305" s="7" t="n">
        <f aca="false">E305*2/13+U304*11/13</f>
        <v>12959.5137648298</v>
      </c>
      <c r="V305" s="7" t="n">
        <f aca="false">E305*2/27+V304*25/27</f>
        <v>13044.4312637704</v>
      </c>
      <c r="W305" s="7" t="n">
        <f aca="false">U305-V305</f>
        <v>-84.9174989406747</v>
      </c>
      <c r="X305" s="7" t="n">
        <f aca="false">W305*2/10+X304*8/10</f>
        <v>-110.19949815676</v>
      </c>
      <c r="Y305" s="7" t="n">
        <f aca="false">W305-X305</f>
        <v>25.2819992160853</v>
      </c>
      <c r="Z305" s="8" t="s">
        <v>42</v>
      </c>
      <c r="AA305" s="7" t="str">
        <f aca="false">IFERROR(INDEX(02_轉折點45!B:B,MATCH(A305,02_轉折點45!A:A,0)),"")</f>
        <v/>
      </c>
      <c r="AB305" s="7" t="n">
        <f aca="false">COUNTIFS(05_訊號明細!A:A,A305,05_訊號明細!C:C,"TOP")</f>
        <v>1</v>
      </c>
      <c r="AC305" s="7" t="n">
        <f aca="false">COUNTIFS(05_訊號明細!A:A,A305,05_訊號明細!C:C,"BOTTOM")</f>
        <v>0</v>
      </c>
    </row>
    <row r="306" customFormat="false" ht="15" hidden="false" customHeight="false" outlineLevel="0" collapsed="false">
      <c r="A306" s="7" t="s">
        <v>347</v>
      </c>
      <c r="B306" s="7" t="n">
        <v>13024.83</v>
      </c>
      <c r="C306" s="7" t="n">
        <v>13280.29</v>
      </c>
      <c r="D306" s="7" t="n">
        <v>12950.08</v>
      </c>
      <c r="E306" s="7" t="n">
        <v>13202.38</v>
      </c>
      <c r="F306" s="7" t="n">
        <v>5536</v>
      </c>
      <c r="G306" s="7" t="n">
        <f aca="false">AVERAGE(E302:E306)</f>
        <v>13085.478</v>
      </c>
      <c r="H306" s="7" t="n">
        <f aca="false">AVERAGE(E297:E306)</f>
        <v>12840.554</v>
      </c>
      <c r="I306" s="7" t="n">
        <f aca="false">AVERAGE(E287:E306)</f>
        <v>13005.4225</v>
      </c>
      <c r="J306" s="7" t="n">
        <f aca="false">AVERAGE(E257:E306)</f>
        <v>13173.0468</v>
      </c>
      <c r="K306" s="7" t="n">
        <f aca="false">AVERAGE(E207:E306)</f>
        <v>12669.0387</v>
      </c>
      <c r="L306" s="7" t="n">
        <f aca="false">AVERAGE(E107:E306)</f>
        <v>11811.73805</v>
      </c>
      <c r="M306" s="7" t="n">
        <f aca="false">I306</f>
        <v>13005.4225</v>
      </c>
      <c r="N306" s="7" t="n">
        <f aca="false">I306+2*STDEV(E287:E306)</f>
        <v>13688.1268206442</v>
      </c>
      <c r="O306" s="7" t="n">
        <f aca="false">I306-2*STDEV(E287:E306)</f>
        <v>12322.7181793558</v>
      </c>
      <c r="P306" s="7" t="n">
        <f aca="false">MAX(E306-E305,0)</f>
        <v>50.0999999999985</v>
      </c>
      <c r="Q306" s="7" t="n">
        <f aca="false">MAX(E305-E306,0)</f>
        <v>0</v>
      </c>
      <c r="R306" s="7" t="n">
        <f aca="false">(R305*13+P306)/14</f>
        <v>94.5464073069418</v>
      </c>
      <c r="S306" s="7" t="n">
        <f aca="false">(S305*13+Q306)/14</f>
        <v>83.4720084540547</v>
      </c>
      <c r="T306" s="7" t="n">
        <f aca="false">IF(S306=0,100,100-100/(1+R306/S306))</f>
        <v>53.1104643880652</v>
      </c>
      <c r="U306" s="7" t="n">
        <f aca="false">E306*2/13+U305*11/13</f>
        <v>12996.8778010098</v>
      </c>
      <c r="V306" s="7" t="n">
        <f aca="false">E306*2/27+V305*25/27</f>
        <v>13056.1311701578</v>
      </c>
      <c r="W306" s="7" t="n">
        <f aca="false">U306-V306</f>
        <v>-59.2533691480148</v>
      </c>
      <c r="X306" s="7" t="n">
        <f aca="false">W306*2/10+X305*8/10</f>
        <v>-100.010272355011</v>
      </c>
      <c r="Y306" s="7" t="n">
        <f aca="false">W306-X306</f>
        <v>40.7569032069961</v>
      </c>
      <c r="Z306" s="8" t="s">
        <v>42</v>
      </c>
      <c r="AA306" s="7" t="str">
        <f aca="false">IFERROR(INDEX(02_轉折點45!B:B,MATCH(A306,02_轉折點45!A:A,0)),"")</f>
        <v/>
      </c>
      <c r="AB306" s="7" t="n">
        <f aca="false">COUNTIFS(05_訊號明細!A:A,A306,05_訊號明細!C:C,"TOP")</f>
        <v>0</v>
      </c>
      <c r="AC306" s="7" t="n">
        <f aca="false">COUNTIFS(05_訊號明細!A:A,A306,05_訊號明細!C:C,"BOTTOM")</f>
        <v>0</v>
      </c>
    </row>
    <row r="307" customFormat="false" ht="15" hidden="false" customHeight="false" outlineLevel="0" collapsed="false">
      <c r="A307" s="7" t="s">
        <v>348</v>
      </c>
      <c r="B307" s="7" t="n">
        <v>13006.29</v>
      </c>
      <c r="C307" s="7" t="n">
        <v>13040.36</v>
      </c>
      <c r="D307" s="7" t="n">
        <v>12781.53</v>
      </c>
      <c r="E307" s="7" t="n">
        <v>12789.14</v>
      </c>
      <c r="F307" s="7" t="n">
        <v>5740</v>
      </c>
      <c r="G307" s="7" t="n">
        <f aca="false">AVERAGE(E303:E307)</f>
        <v>13032.726</v>
      </c>
      <c r="H307" s="7" t="n">
        <f aca="false">AVERAGE(E298:E307)</f>
        <v>12873.068</v>
      </c>
      <c r="I307" s="7" t="n">
        <f aca="false">AVERAGE(E288:E307)</f>
        <v>12963.004</v>
      </c>
      <c r="J307" s="7" t="n">
        <f aca="false">AVERAGE(E258:E307)</f>
        <v>13172.782</v>
      </c>
      <c r="K307" s="7" t="n">
        <f aca="false">AVERAGE(E208:E307)</f>
        <v>12680.301</v>
      </c>
      <c r="L307" s="7" t="n">
        <f aca="false">AVERAGE(E108:E307)</f>
        <v>11827.3972</v>
      </c>
      <c r="M307" s="7" t="n">
        <f aca="false">I307</f>
        <v>12963.004</v>
      </c>
      <c r="N307" s="7" t="n">
        <f aca="false">I307+2*STDEV(E288:E307)</f>
        <v>13582.878618745</v>
      </c>
      <c r="O307" s="7" t="n">
        <f aca="false">I307-2*STDEV(E288:E307)</f>
        <v>12343.129381255</v>
      </c>
      <c r="P307" s="7" t="n">
        <f aca="false">MAX(E307-E306,0)</f>
        <v>0</v>
      </c>
      <c r="Q307" s="7" t="n">
        <f aca="false">MAX(E306-E307,0)</f>
        <v>413.24</v>
      </c>
      <c r="R307" s="7" t="n">
        <f aca="false">(R306*13+P307)/14</f>
        <v>87.7930924993031</v>
      </c>
      <c r="S307" s="7" t="n">
        <f aca="false">(S306*13+Q307)/14</f>
        <v>107.026864993051</v>
      </c>
      <c r="T307" s="7" t="n">
        <f aca="false">IF(S307=0,100,100-100/(1+R307/S307))</f>
        <v>45.0637058078348</v>
      </c>
      <c r="U307" s="7" t="n">
        <f aca="false">E307*2/13+U306*11/13</f>
        <v>12964.918139316</v>
      </c>
      <c r="V307" s="7" t="n">
        <f aca="false">E307*2/27+V306*25/27</f>
        <v>13036.3540464424</v>
      </c>
      <c r="W307" s="7" t="n">
        <f aca="false">U307-V307</f>
        <v>-71.4359071264389</v>
      </c>
      <c r="X307" s="7" t="n">
        <f aca="false">W307*2/10+X306*8/10</f>
        <v>-94.2953993092965</v>
      </c>
      <c r="Y307" s="7" t="n">
        <f aca="false">W307-X307</f>
        <v>22.8594921828576</v>
      </c>
      <c r="Z307" s="7" t="s">
        <v>78</v>
      </c>
      <c r="AA307" s="7" t="str">
        <f aca="false">IFERROR(INDEX(02_轉折點45!B:B,MATCH(A307,02_轉折點45!A:A,0)),"")</f>
        <v/>
      </c>
      <c r="AB307" s="7" t="n">
        <f aca="false">COUNTIFS(05_訊號明細!A:A,A307,05_訊號明細!C:C,"TOP")</f>
        <v>2</v>
      </c>
      <c r="AC307" s="7" t="n">
        <f aca="false">COUNTIFS(05_訊號明細!A:A,A307,05_訊號明細!C:C,"BOTTOM")</f>
        <v>0</v>
      </c>
    </row>
    <row r="308" customFormat="false" ht="15" hidden="false" customHeight="false" outlineLevel="0" collapsed="false">
      <c r="A308" s="7" t="s">
        <v>349</v>
      </c>
      <c r="B308" s="7" t="n">
        <v>12792.67</v>
      </c>
      <c r="C308" s="7" t="n">
        <v>12906.02</v>
      </c>
      <c r="D308" s="7" t="n">
        <v>12704.07</v>
      </c>
      <c r="E308" s="7" t="n">
        <v>12866.99</v>
      </c>
      <c r="F308" s="7" t="n">
        <v>7631</v>
      </c>
      <c r="G308" s="7" t="n">
        <f aca="false">AVERAGE(E304:E308)</f>
        <v>13018.666</v>
      </c>
      <c r="H308" s="7" t="n">
        <f aca="false">AVERAGE(E299:E308)</f>
        <v>12892.916</v>
      </c>
      <c r="I308" s="7" t="n">
        <f aca="false">AVERAGE(E289:E308)</f>
        <v>12927.3145</v>
      </c>
      <c r="J308" s="7" t="n">
        <f aca="false">AVERAGE(E259:E308)</f>
        <v>13177.6548</v>
      </c>
      <c r="K308" s="7" t="n">
        <f aca="false">AVERAGE(E209:E308)</f>
        <v>12692.0452</v>
      </c>
      <c r="L308" s="7" t="n">
        <f aca="false">AVERAGE(E109:E308)</f>
        <v>11843.2087</v>
      </c>
      <c r="M308" s="7" t="n">
        <f aca="false">I308</f>
        <v>12927.3145</v>
      </c>
      <c r="N308" s="7" t="n">
        <f aca="false">I308+2*STDEV(E289:E308)</f>
        <v>13475.4708881527</v>
      </c>
      <c r="O308" s="7" t="n">
        <f aca="false">I308-2*STDEV(E289:E308)</f>
        <v>12379.1581118473</v>
      </c>
      <c r="P308" s="7" t="n">
        <f aca="false">MAX(E308-E307,0)</f>
        <v>77.8500000000004</v>
      </c>
      <c r="Q308" s="7" t="n">
        <f aca="false">MAX(E307-E308,0)</f>
        <v>0</v>
      </c>
      <c r="R308" s="7" t="n">
        <f aca="false">(R307*13+P308)/14</f>
        <v>87.0828716064957</v>
      </c>
      <c r="S308" s="7" t="n">
        <f aca="false">(S307*13+Q308)/14</f>
        <v>99.3820889221185</v>
      </c>
      <c r="T308" s="7" t="n">
        <f aca="false">IF(S308=0,100,100-100/(1+R308/S308))</f>
        <v>46.7020030785528</v>
      </c>
      <c r="U308" s="7" t="n">
        <f aca="false">E308*2/13+U307*11/13</f>
        <v>12949.8522717289</v>
      </c>
      <c r="V308" s="7" t="n">
        <f aca="false">E308*2/27+V307*25/27</f>
        <v>13023.8085615208</v>
      </c>
      <c r="W308" s="7" t="n">
        <f aca="false">U308-V308</f>
        <v>-73.9562897918513</v>
      </c>
      <c r="X308" s="7" t="n">
        <f aca="false">W308*2/10+X307*8/10</f>
        <v>-90.2275774058075</v>
      </c>
      <c r="Y308" s="7" t="n">
        <f aca="false">W308-X308</f>
        <v>16.2712876139562</v>
      </c>
      <c r="Z308" s="8" t="s">
        <v>42</v>
      </c>
      <c r="AA308" s="7" t="str">
        <f aca="false">IFERROR(INDEX(02_轉折點45!B:B,MATCH(A308,02_轉折點45!A:A,0)),"")</f>
        <v/>
      </c>
      <c r="AB308" s="7" t="n">
        <f aca="false">COUNTIFS(05_訊號明細!A:A,A308,05_訊號明細!C:C,"TOP")</f>
        <v>0</v>
      </c>
      <c r="AC308" s="7" t="n">
        <f aca="false">COUNTIFS(05_訊號明細!A:A,A308,05_訊號明細!C:C,"BOTTOM")</f>
        <v>0</v>
      </c>
    </row>
    <row r="309" customFormat="false" ht="15" hidden="false" customHeight="false" outlineLevel="0" collapsed="false">
      <c r="A309" s="7" t="s">
        <v>350</v>
      </c>
      <c r="B309" s="7" t="n">
        <v>12943.14</v>
      </c>
      <c r="C309" s="7" t="n">
        <v>13167.46</v>
      </c>
      <c r="D309" s="7" t="n">
        <v>12943.14</v>
      </c>
      <c r="E309" s="7" t="n">
        <v>13086.51</v>
      </c>
      <c r="F309" s="7" t="n">
        <v>5322</v>
      </c>
      <c r="G309" s="7" t="n">
        <f aca="false">AVERAGE(E305:E309)</f>
        <v>13019.46</v>
      </c>
      <c r="H309" s="7" t="n">
        <f aca="false">AVERAGE(E300:E309)</f>
        <v>12971.659</v>
      </c>
      <c r="I309" s="7" t="n">
        <f aca="false">AVERAGE(E290:E309)</f>
        <v>12920.453</v>
      </c>
      <c r="J309" s="7" t="n">
        <f aca="false">AVERAGE(E260:E309)</f>
        <v>13180.5936</v>
      </c>
      <c r="K309" s="7" t="n">
        <f aca="false">AVERAGE(E210:E309)</f>
        <v>12707.8651</v>
      </c>
      <c r="L309" s="7" t="n">
        <f aca="false">AVERAGE(E110:E309)</f>
        <v>11860.49295</v>
      </c>
      <c r="M309" s="7" t="n">
        <f aca="false">I309</f>
        <v>12920.453</v>
      </c>
      <c r="N309" s="7" t="n">
        <f aca="false">I309+2*STDEV(E290:E309)</f>
        <v>13456.2832558048</v>
      </c>
      <c r="O309" s="7" t="n">
        <f aca="false">I309-2*STDEV(E290:E309)</f>
        <v>12384.6227441952</v>
      </c>
      <c r="P309" s="7" t="n">
        <f aca="false">MAX(E309-E308,0)</f>
        <v>219.52</v>
      </c>
      <c r="Q309" s="7" t="n">
        <f aca="false">MAX(E308-E309,0)</f>
        <v>0</v>
      </c>
      <c r="R309" s="7" t="n">
        <f aca="false">(R308*13+P309)/14</f>
        <v>96.5426664917461</v>
      </c>
      <c r="S309" s="7" t="n">
        <f aca="false">(S308*13+Q309)/14</f>
        <v>92.2833682848244</v>
      </c>
      <c r="T309" s="7" t="n">
        <f aca="false">IF(S309=0,100,100-100/(1+R309/S309))</f>
        <v>51.1278365856598</v>
      </c>
      <c r="U309" s="7" t="n">
        <f aca="false">E309*2/13+U308*11/13</f>
        <v>12970.8765376168</v>
      </c>
      <c r="V309" s="7" t="n">
        <f aca="false">E309*2/27+V308*25/27</f>
        <v>13028.4531125192</v>
      </c>
      <c r="W309" s="7" t="n">
        <f aca="false">U309-V309</f>
        <v>-57.576574902454</v>
      </c>
      <c r="X309" s="7" t="n">
        <f aca="false">W309*2/10+X308*8/10</f>
        <v>-83.6973769051368</v>
      </c>
      <c r="Y309" s="7" t="n">
        <f aca="false">W309-X309</f>
        <v>26.1208020026828</v>
      </c>
      <c r="Z309" s="8" t="s">
        <v>42</v>
      </c>
      <c r="AA309" s="7" t="str">
        <f aca="false">IFERROR(INDEX(02_轉折點45!B:B,MATCH(A309,02_轉折點45!A:A,0)),"")</f>
        <v/>
      </c>
      <c r="AB309" s="7" t="n">
        <f aca="false">COUNTIFS(05_訊號明細!A:A,A309,05_訊號明細!C:C,"TOP")</f>
        <v>1</v>
      </c>
      <c r="AC309" s="7" t="n">
        <f aca="false">COUNTIFS(05_訊號明細!A:A,A309,05_訊號明細!C:C,"BOTTOM")</f>
        <v>0</v>
      </c>
    </row>
    <row r="310" customFormat="false" ht="15" hidden="false" customHeight="false" outlineLevel="0" collapsed="false">
      <c r="A310" s="7" t="s">
        <v>351</v>
      </c>
      <c r="B310" s="7" t="n">
        <v>13127.17</v>
      </c>
      <c r="C310" s="7" t="n">
        <v>13180.66</v>
      </c>
      <c r="D310" s="7" t="n">
        <v>12993.5</v>
      </c>
      <c r="E310" s="7" t="n">
        <v>13017.79</v>
      </c>
      <c r="F310" s="7" t="n">
        <v>5675</v>
      </c>
      <c r="G310" s="7" t="n">
        <f aca="false">AVERAGE(E306:E310)</f>
        <v>12992.562</v>
      </c>
      <c r="H310" s="7" t="n">
        <f aca="false">AVERAGE(E301:E310)</f>
        <v>12993.989</v>
      </c>
      <c r="I310" s="7" t="n">
        <f aca="false">AVERAGE(E291:E310)</f>
        <v>12911.607</v>
      </c>
      <c r="J310" s="7" t="n">
        <f aca="false">AVERAGE(E261:E310)</f>
        <v>13178.8454</v>
      </c>
      <c r="K310" s="7" t="n">
        <f aca="false">AVERAGE(E211:E310)</f>
        <v>12722.0535</v>
      </c>
      <c r="L310" s="7" t="n">
        <f aca="false">AVERAGE(E111:E310)</f>
        <v>11876.45995</v>
      </c>
      <c r="M310" s="7" t="n">
        <f aca="false">I310</f>
        <v>12911.607</v>
      </c>
      <c r="N310" s="7" t="n">
        <f aca="false">I310+2*STDEV(E291:E310)</f>
        <v>13434.047498676</v>
      </c>
      <c r="O310" s="7" t="n">
        <f aca="false">I310-2*STDEV(E291:E310)</f>
        <v>12389.166501324</v>
      </c>
      <c r="P310" s="7" t="n">
        <f aca="false">MAX(E310-E309,0)</f>
        <v>0</v>
      </c>
      <c r="Q310" s="7" t="n">
        <f aca="false">MAX(E309-E310,0)</f>
        <v>68.7199999999994</v>
      </c>
      <c r="R310" s="7" t="n">
        <f aca="false">(R309*13+P310)/14</f>
        <v>89.6467617423356</v>
      </c>
      <c r="S310" s="7" t="n">
        <f aca="false">(S309*13+Q310)/14</f>
        <v>90.600270550194</v>
      </c>
      <c r="T310" s="7" t="n">
        <f aca="false">IF(S310=0,100,100-100/(1+R310/S310))</f>
        <v>49.7354994432555</v>
      </c>
      <c r="U310" s="7" t="n">
        <f aca="false">E310*2/13+U309*11/13</f>
        <v>12978.093993368</v>
      </c>
      <c r="V310" s="7" t="n">
        <f aca="false">E310*2/27+V309*25/27</f>
        <v>13027.6632523326</v>
      </c>
      <c r="W310" s="7" t="n">
        <f aca="false">U310-V310</f>
        <v>-49.5692589645787</v>
      </c>
      <c r="X310" s="7" t="n">
        <f aca="false">W310*2/10+X309*8/10</f>
        <v>-76.8717533170252</v>
      </c>
      <c r="Y310" s="7" t="n">
        <f aca="false">W310-X310</f>
        <v>27.3024943524465</v>
      </c>
      <c r="Z310" s="8" t="s">
        <v>42</v>
      </c>
      <c r="AA310" s="7" t="str">
        <f aca="false">IFERROR(INDEX(02_轉折點45!B:B,MATCH(A310,02_轉折點45!A:A,0)),"")</f>
        <v/>
      </c>
      <c r="AB310" s="7" t="n">
        <f aca="false">COUNTIFS(05_訊號明細!A:A,A310,05_訊號明細!C:C,"TOP")</f>
        <v>0</v>
      </c>
      <c r="AC310" s="7" t="n">
        <f aca="false">COUNTIFS(05_訊號明細!A:A,A310,05_訊號明細!C:C,"BOTTOM")</f>
        <v>0</v>
      </c>
    </row>
    <row r="311" customFormat="false" ht="15" hidden="false" customHeight="false" outlineLevel="0" collapsed="false">
      <c r="A311" s="7" t="s">
        <v>352</v>
      </c>
      <c r="B311" s="7" t="n">
        <v>13072.82</v>
      </c>
      <c r="C311" s="7" t="n">
        <v>13077.49</v>
      </c>
      <c r="D311" s="7" t="n">
        <v>12797.85</v>
      </c>
      <c r="E311" s="7" t="n">
        <v>12798.88</v>
      </c>
      <c r="F311" s="7" t="n">
        <v>6249</v>
      </c>
      <c r="G311" s="7" t="n">
        <f aca="false">AVERAGE(E307:E311)</f>
        <v>12911.862</v>
      </c>
      <c r="H311" s="7" t="n">
        <f aca="false">AVERAGE(E302:E311)</f>
        <v>12998.67</v>
      </c>
      <c r="I311" s="7" t="n">
        <f aca="false">AVERAGE(E292:E311)</f>
        <v>12886.4415</v>
      </c>
      <c r="J311" s="7" t="n">
        <f aca="false">AVERAGE(E262:E311)</f>
        <v>13176.7732</v>
      </c>
      <c r="K311" s="7" t="n">
        <f aca="false">AVERAGE(E212:E311)</f>
        <v>12738.6147</v>
      </c>
      <c r="L311" s="7" t="n">
        <f aca="false">AVERAGE(E112:E311)</f>
        <v>11890.94675</v>
      </c>
      <c r="M311" s="7" t="n">
        <f aca="false">I311</f>
        <v>12886.4415</v>
      </c>
      <c r="N311" s="7" t="n">
        <f aca="false">I311+2*STDEV(E292:E311)</f>
        <v>13377.1918606895</v>
      </c>
      <c r="O311" s="7" t="n">
        <f aca="false">I311-2*STDEV(E292:E311)</f>
        <v>12395.6911393105</v>
      </c>
      <c r="P311" s="7" t="n">
        <f aca="false">MAX(E311-E310,0)</f>
        <v>0</v>
      </c>
      <c r="Q311" s="7" t="n">
        <f aca="false">MAX(E310-E311,0)</f>
        <v>218.910000000002</v>
      </c>
      <c r="R311" s="7" t="n">
        <f aca="false">(R310*13+P311)/14</f>
        <v>83.2434216178831</v>
      </c>
      <c r="S311" s="7" t="n">
        <f aca="false">(S310*13+Q311)/14</f>
        <v>99.7652512251803</v>
      </c>
      <c r="T311" s="7" t="n">
        <f aca="false">IF(S311=0,100,100-100/(1+R311/S311))</f>
        <v>45.4860528327351</v>
      </c>
      <c r="U311" s="7" t="n">
        <f aca="false">E311*2/13+U310*11/13</f>
        <v>12950.522609773</v>
      </c>
      <c r="V311" s="7" t="n">
        <f aca="false">E311*2/27+V310*25/27</f>
        <v>13010.7163447524</v>
      </c>
      <c r="W311" s="7" t="n">
        <f aca="false">U311-V311</f>
        <v>-60.193734979468</v>
      </c>
      <c r="X311" s="7" t="n">
        <f aca="false">W311*2/10+X310*8/10</f>
        <v>-73.5361496495137</v>
      </c>
      <c r="Y311" s="7" t="n">
        <f aca="false">W311-X311</f>
        <v>13.3424146700457</v>
      </c>
      <c r="Z311" s="7" t="s">
        <v>78</v>
      </c>
      <c r="AA311" s="7" t="str">
        <f aca="false">IFERROR(INDEX(02_轉折點45!B:B,MATCH(A311,02_轉折點45!A:A,0)),"")</f>
        <v/>
      </c>
      <c r="AB311" s="7" t="n">
        <f aca="false">COUNTIFS(05_訊號明細!A:A,A311,05_訊號明細!C:C,"TOP")</f>
        <v>2</v>
      </c>
      <c r="AC311" s="7" t="n">
        <f aca="false">COUNTIFS(05_訊號明細!A:A,A311,05_訊號明細!C:C,"BOTTOM")</f>
        <v>0</v>
      </c>
    </row>
    <row r="312" customFormat="false" ht="15" hidden="false" customHeight="false" outlineLevel="0" collapsed="false">
      <c r="A312" s="7" t="s">
        <v>353</v>
      </c>
      <c r="B312" s="7" t="n">
        <v>12707.58</v>
      </c>
      <c r="C312" s="7" t="n">
        <v>12845.66</v>
      </c>
      <c r="D312" s="7" t="n">
        <v>12627.93</v>
      </c>
      <c r="E312" s="7" t="n">
        <v>12780.51</v>
      </c>
      <c r="F312" s="7" t="n">
        <v>5634</v>
      </c>
      <c r="G312" s="7" t="n">
        <f aca="false">AVERAGE(E308:E312)</f>
        <v>12910.136</v>
      </c>
      <c r="H312" s="7" t="n">
        <f aca="false">AVERAGE(E303:E312)</f>
        <v>12971.431</v>
      </c>
      <c r="I312" s="7" t="n">
        <f aca="false">AVERAGE(E293:E312)</f>
        <v>12884.0515</v>
      </c>
      <c r="J312" s="7" t="n">
        <f aca="false">AVERAGE(E263:E312)</f>
        <v>13174.5416</v>
      </c>
      <c r="K312" s="7" t="n">
        <f aca="false">AVERAGE(E213:E312)</f>
        <v>12752.9124</v>
      </c>
      <c r="L312" s="7" t="n">
        <f aca="false">AVERAGE(E113:E312)</f>
        <v>11905.01345</v>
      </c>
      <c r="M312" s="7" t="n">
        <f aca="false">I312</f>
        <v>12884.0515</v>
      </c>
      <c r="N312" s="7" t="n">
        <f aca="false">I312+2*STDEV(E293:E312)</f>
        <v>13376.456676093</v>
      </c>
      <c r="O312" s="7" t="n">
        <f aca="false">I312-2*STDEV(E293:E312)</f>
        <v>12391.646323907</v>
      </c>
      <c r="P312" s="7" t="n">
        <f aca="false">MAX(E312-E311,0)</f>
        <v>0</v>
      </c>
      <c r="Q312" s="7" t="n">
        <f aca="false">MAX(E311-E312,0)</f>
        <v>18.369999999999</v>
      </c>
      <c r="R312" s="7" t="n">
        <f aca="false">(R311*13+P312)/14</f>
        <v>77.2974629308915</v>
      </c>
      <c r="S312" s="7" t="n">
        <f aca="false">(S311*13+Q312)/14</f>
        <v>93.9513047090959</v>
      </c>
      <c r="T312" s="7" t="n">
        <f aca="false">IF(S312=0,100,100-100/(1+R312/S312))</f>
        <v>45.1375294527037</v>
      </c>
      <c r="U312" s="7" t="n">
        <f aca="false">E312*2/13+U311*11/13</f>
        <v>12924.366823654</v>
      </c>
      <c r="V312" s="7" t="n">
        <f aca="false">E312*2/27+V311*25/27</f>
        <v>12993.6640229189</v>
      </c>
      <c r="W312" s="7" t="n">
        <f aca="false">U312-V312</f>
        <v>-69.2971992648691</v>
      </c>
      <c r="X312" s="7" t="n">
        <f aca="false">W312*2/10+X311*8/10</f>
        <v>-72.6883595725848</v>
      </c>
      <c r="Y312" s="7" t="n">
        <f aca="false">W312-X312</f>
        <v>3.39116030771575</v>
      </c>
      <c r="Z312" s="8" t="s">
        <v>42</v>
      </c>
      <c r="AA312" s="7" t="str">
        <f aca="false">IFERROR(INDEX(02_轉折點45!B:B,MATCH(A312,02_轉折點45!A:A,0)),"")</f>
        <v/>
      </c>
      <c r="AB312" s="7" t="n">
        <f aca="false">COUNTIFS(05_訊號明細!A:A,A312,05_訊號明細!C:C,"TOP")</f>
        <v>0</v>
      </c>
      <c r="AC312" s="7" t="n">
        <f aca="false">COUNTIFS(05_訊號明細!A:A,A312,05_訊號明細!C:C,"BOTTOM")</f>
        <v>0</v>
      </c>
    </row>
    <row r="313" customFormat="false" ht="15" hidden="false" customHeight="false" outlineLevel="0" collapsed="false">
      <c r="A313" s="7" t="s">
        <v>354</v>
      </c>
      <c r="B313" s="7" t="n">
        <v>12777.27</v>
      </c>
      <c r="C313" s="7" t="n">
        <v>12992.3</v>
      </c>
      <c r="D313" s="7" t="n">
        <v>12721.66</v>
      </c>
      <c r="E313" s="7" t="n">
        <v>12979.12</v>
      </c>
      <c r="F313" s="7" t="n">
        <v>5224</v>
      </c>
      <c r="G313" s="7" t="n">
        <f aca="false">AVERAGE(E309:E313)</f>
        <v>12932.562</v>
      </c>
      <c r="H313" s="7" t="n">
        <f aca="false">AVERAGE(E304:E313)</f>
        <v>12975.614</v>
      </c>
      <c r="I313" s="7" t="n">
        <f aca="false">AVERAGE(E294:E313)</f>
        <v>12887.5355</v>
      </c>
      <c r="J313" s="7" t="n">
        <f aca="false">AVERAGE(E264:E313)</f>
        <v>13174.6514</v>
      </c>
      <c r="K313" s="7" t="n">
        <f aca="false">AVERAGE(E214:E313)</f>
        <v>12772.1741</v>
      </c>
      <c r="L313" s="7" t="n">
        <f aca="false">AVERAGE(E114:E313)</f>
        <v>11919.43775</v>
      </c>
      <c r="M313" s="7" t="n">
        <f aca="false">I313</f>
        <v>12887.5355</v>
      </c>
      <c r="N313" s="7" t="n">
        <f aca="false">I313+2*STDEV(E294:E313)</f>
        <v>13381.6800029426</v>
      </c>
      <c r="O313" s="7" t="n">
        <f aca="false">I313-2*STDEV(E294:E313)</f>
        <v>12393.3909970574</v>
      </c>
      <c r="P313" s="7" t="n">
        <f aca="false">MAX(E313-E312,0)</f>
        <v>198.610000000001</v>
      </c>
      <c r="Q313" s="7" t="n">
        <f aca="false">MAX(E312-E313,0)</f>
        <v>0</v>
      </c>
      <c r="R313" s="7" t="n">
        <f aca="false">(R312*13+P313)/14</f>
        <v>85.9626441501135</v>
      </c>
      <c r="S313" s="7" t="n">
        <f aca="false">(S312*13+Q313)/14</f>
        <v>87.2404972298748</v>
      </c>
      <c r="T313" s="7" t="n">
        <f aca="false">IF(S313=0,100,100-100/(1+R313/S313))</f>
        <v>49.6311114597634</v>
      </c>
      <c r="U313" s="7" t="n">
        <f aca="false">E313*2/13+U312*11/13</f>
        <v>12932.7903892457</v>
      </c>
      <c r="V313" s="7" t="n">
        <f aca="false">E313*2/27+V312*25/27</f>
        <v>12992.5866878879</v>
      </c>
      <c r="W313" s="7" t="n">
        <f aca="false">U313-V313</f>
        <v>-59.7962986421535</v>
      </c>
      <c r="X313" s="7" t="n">
        <f aca="false">W313*2/10+X312*8/10</f>
        <v>-70.1099473864985</v>
      </c>
      <c r="Y313" s="7" t="n">
        <f aca="false">W313-X313</f>
        <v>10.313648744345</v>
      </c>
      <c r="Z313" s="8" t="s">
        <v>42</v>
      </c>
      <c r="AA313" s="7" t="str">
        <f aca="false">IFERROR(INDEX(02_轉折點45!B:B,MATCH(A313,02_轉折點45!A:A,0)),"")</f>
        <v/>
      </c>
      <c r="AB313" s="7" t="n">
        <f aca="false">COUNTIFS(05_訊號明細!A:A,A313,05_訊號明細!C:C,"TOP")</f>
        <v>0</v>
      </c>
      <c r="AC313" s="7" t="n">
        <f aca="false">COUNTIFS(05_訊號明細!A:A,A313,05_訊號明細!C:C,"BOTTOM")</f>
        <v>0</v>
      </c>
    </row>
    <row r="314" customFormat="false" ht="15" hidden="false" customHeight="false" outlineLevel="0" collapsed="false">
      <c r="A314" s="7" t="s">
        <v>355</v>
      </c>
      <c r="B314" s="7" t="n">
        <v>12950.51</v>
      </c>
      <c r="C314" s="7" t="n">
        <v>13013.47</v>
      </c>
      <c r="D314" s="7" t="n">
        <v>12836.6</v>
      </c>
      <c r="E314" s="7" t="n">
        <v>12965.74</v>
      </c>
      <c r="F314" s="7" t="n">
        <v>4965</v>
      </c>
      <c r="G314" s="7" t="n">
        <f aca="false">AVERAGE(E310:E314)</f>
        <v>12908.408</v>
      </c>
      <c r="H314" s="7" t="n">
        <f aca="false">AVERAGE(E305:E314)</f>
        <v>12963.934</v>
      </c>
      <c r="I314" s="7" t="n">
        <f aca="false">AVERAGE(E295:E314)</f>
        <v>12871.675</v>
      </c>
      <c r="J314" s="7" t="n">
        <f aca="false">AVERAGE(E265:E314)</f>
        <v>13175.9924</v>
      </c>
      <c r="K314" s="7" t="n">
        <f aca="false">AVERAGE(E215:E314)</f>
        <v>12790.9839</v>
      </c>
      <c r="L314" s="7" t="n">
        <f aca="false">AVERAGE(E115:E314)</f>
        <v>11936.32405</v>
      </c>
      <c r="M314" s="7" t="n">
        <f aca="false">I314</f>
        <v>12871.675</v>
      </c>
      <c r="N314" s="7" t="n">
        <f aca="false">I314+2*STDEV(E295:E314)</f>
        <v>13331.5563254926</v>
      </c>
      <c r="O314" s="7" t="n">
        <f aca="false">I314-2*STDEV(E295:E314)</f>
        <v>12411.7936745074</v>
      </c>
      <c r="P314" s="7" t="n">
        <f aca="false">MAX(E314-E313,0)</f>
        <v>0</v>
      </c>
      <c r="Q314" s="7" t="n">
        <f aca="false">MAX(E313-E314,0)</f>
        <v>13.380000000001</v>
      </c>
      <c r="R314" s="7" t="n">
        <f aca="false">(R313*13+P314)/14</f>
        <v>79.8224552822483</v>
      </c>
      <c r="S314" s="7" t="n">
        <f aca="false">(S313*13+Q314)/14</f>
        <v>81.9647474277409</v>
      </c>
      <c r="T314" s="7" t="n">
        <f aca="false">IF(S314=0,100,100-100/(1+R314/S314))</f>
        <v>49.3379290482781</v>
      </c>
      <c r="U314" s="7" t="n">
        <f aca="false">E314*2/13+U313*11/13</f>
        <v>12937.859560131</v>
      </c>
      <c r="V314" s="7" t="n">
        <f aca="false">E314*2/27+V313*25/27</f>
        <v>12990.5980443406</v>
      </c>
      <c r="W314" s="7" t="n">
        <f aca="false">U314-V314</f>
        <v>-52.7384842096308</v>
      </c>
      <c r="X314" s="7" t="n">
        <f aca="false">W314*2/10+X313*8/10</f>
        <v>-66.635654751125</v>
      </c>
      <c r="Y314" s="7" t="n">
        <f aca="false">W314-X314</f>
        <v>13.8971705414942</v>
      </c>
      <c r="Z314" s="7" t="s">
        <v>78</v>
      </c>
      <c r="AA314" s="7" t="str">
        <f aca="false">IFERROR(INDEX(02_轉折點45!B:B,MATCH(A314,02_轉折點45!A:A,0)),"")</f>
        <v/>
      </c>
      <c r="AB314" s="7" t="n">
        <f aca="false">COUNTIFS(05_訊號明細!A:A,A314,05_訊號明細!C:C,"TOP")</f>
        <v>1</v>
      </c>
      <c r="AC314" s="7" t="n">
        <f aca="false">COUNTIFS(05_訊號明細!A:A,A314,05_訊號明細!C:C,"BOTTOM")</f>
        <v>0</v>
      </c>
    </row>
    <row r="315" customFormat="false" ht="15" hidden="false" customHeight="false" outlineLevel="0" collapsed="false">
      <c r="A315" s="7" t="s">
        <v>356</v>
      </c>
      <c r="B315" s="7" t="n">
        <v>12904.01</v>
      </c>
      <c r="C315" s="7" t="n">
        <v>12929.46</v>
      </c>
      <c r="D315" s="7" t="n">
        <v>12798.03</v>
      </c>
      <c r="E315" s="7" t="n">
        <v>12896.53</v>
      </c>
      <c r="F315" s="7" t="n">
        <v>4722</v>
      </c>
      <c r="G315" s="7" t="n">
        <f aca="false">AVERAGE(E311:E315)</f>
        <v>12884.156</v>
      </c>
      <c r="H315" s="7" t="n">
        <f aca="false">AVERAGE(E306:E315)</f>
        <v>12938.359</v>
      </c>
      <c r="I315" s="7" t="n">
        <f aca="false">AVERAGE(E296:E315)</f>
        <v>12863.504</v>
      </c>
      <c r="J315" s="7" t="n">
        <f aca="false">AVERAGE(E266:E315)</f>
        <v>13177.8444</v>
      </c>
      <c r="K315" s="7" t="n">
        <f aca="false">AVERAGE(E216:E315)</f>
        <v>12807.1501</v>
      </c>
      <c r="L315" s="7" t="n">
        <f aca="false">AVERAGE(E116:E315)</f>
        <v>11952.4878</v>
      </c>
      <c r="M315" s="7" t="n">
        <f aca="false">I315</f>
        <v>12863.504</v>
      </c>
      <c r="N315" s="7" t="n">
        <f aca="false">I315+2*STDEV(E296:E315)</f>
        <v>13315.0315709668</v>
      </c>
      <c r="O315" s="7" t="n">
        <f aca="false">I315-2*STDEV(E296:E315)</f>
        <v>12411.9764290332</v>
      </c>
      <c r="P315" s="7" t="n">
        <f aca="false">MAX(E315-E314,0)</f>
        <v>0</v>
      </c>
      <c r="Q315" s="7" t="n">
        <f aca="false">MAX(E314-E315,0)</f>
        <v>69.2099999999991</v>
      </c>
      <c r="R315" s="7" t="n">
        <f aca="false">(R314*13+P315)/14</f>
        <v>74.1208513335163</v>
      </c>
      <c r="S315" s="7" t="n">
        <f aca="false">(S314*13+Q315)/14</f>
        <v>81.0536940400451</v>
      </c>
      <c r="T315" s="7" t="n">
        <f aca="false">IF(S315=0,100,100-100/(1+R315/S315))</f>
        <v>47.7661147033365</v>
      </c>
      <c r="U315" s="7" t="n">
        <f aca="false">E315*2/13+U314*11/13</f>
        <v>12931.5011662647</v>
      </c>
      <c r="V315" s="7" t="n">
        <f aca="false">E315*2/27+V314*25/27</f>
        <v>12983.6300410561</v>
      </c>
      <c r="W315" s="7" t="n">
        <f aca="false">U315-V315</f>
        <v>-52.1288747914459</v>
      </c>
      <c r="X315" s="7" t="n">
        <f aca="false">W315*2/10+X314*8/10</f>
        <v>-63.7342987591892</v>
      </c>
      <c r="Y315" s="7" t="n">
        <f aca="false">W315-X315</f>
        <v>11.6054239677432</v>
      </c>
      <c r="Z315" s="8" t="s">
        <v>42</v>
      </c>
      <c r="AA315" s="7" t="str">
        <f aca="false">IFERROR(INDEX(02_轉折點45!B:B,MATCH(A315,02_轉折點45!A:A,0)),"")</f>
        <v/>
      </c>
      <c r="AB315" s="7" t="n">
        <f aca="false">COUNTIFS(05_訊號明細!A:A,A315,05_訊號明細!C:C,"TOP")</f>
        <v>0</v>
      </c>
      <c r="AC315" s="7" t="n">
        <f aca="false">COUNTIFS(05_訊號明細!A:A,A315,05_訊號明細!C:C,"BOTTOM")</f>
        <v>0</v>
      </c>
    </row>
    <row r="316" customFormat="false" ht="15" hidden="false" customHeight="false" outlineLevel="0" collapsed="false">
      <c r="A316" s="7" t="s">
        <v>357</v>
      </c>
      <c r="B316" s="7" t="n">
        <v>12970.33</v>
      </c>
      <c r="C316" s="7" t="n">
        <v>13167.06</v>
      </c>
      <c r="D316" s="7" t="n">
        <v>12966.65</v>
      </c>
      <c r="E316" s="7" t="n">
        <v>13091.44</v>
      </c>
      <c r="F316" s="7" t="n">
        <v>5005</v>
      </c>
      <c r="G316" s="7" t="n">
        <f aca="false">AVERAGE(E312:E316)</f>
        <v>12942.668</v>
      </c>
      <c r="H316" s="7" t="n">
        <f aca="false">AVERAGE(E307:E316)</f>
        <v>12927.265</v>
      </c>
      <c r="I316" s="7" t="n">
        <f aca="false">AVERAGE(E297:E316)</f>
        <v>12883.9095</v>
      </c>
      <c r="J316" s="7" t="n">
        <f aca="false">AVERAGE(E267:E316)</f>
        <v>13179.7424</v>
      </c>
      <c r="K316" s="7" t="n">
        <f aca="false">AVERAGE(E217:E316)</f>
        <v>12820.2943</v>
      </c>
      <c r="L316" s="7" t="n">
        <f aca="false">AVERAGE(E117:E316)</f>
        <v>11969.06055</v>
      </c>
      <c r="M316" s="7" t="n">
        <f aca="false">I316</f>
        <v>12883.9095</v>
      </c>
      <c r="N316" s="7" t="n">
        <f aca="false">I316+2*STDEV(E297:E316)</f>
        <v>13338.0323470695</v>
      </c>
      <c r="O316" s="7" t="n">
        <f aca="false">I316-2*STDEV(E297:E316)</f>
        <v>12429.7866529305</v>
      </c>
      <c r="P316" s="7" t="n">
        <f aca="false">MAX(E316-E315,0)</f>
        <v>194.91</v>
      </c>
      <c r="Q316" s="7" t="n">
        <f aca="false">MAX(E315-E316,0)</f>
        <v>0</v>
      </c>
      <c r="R316" s="7" t="n">
        <f aca="false">(R315*13+P316)/14</f>
        <v>82.7486476668365</v>
      </c>
      <c r="S316" s="7" t="n">
        <f aca="false">(S315*13+Q316)/14</f>
        <v>75.2641444657561</v>
      </c>
      <c r="T316" s="7" t="n">
        <f aca="false">IF(S316=0,100,100-100/(1+R316/S316))</f>
        <v>52.3683219251008</v>
      </c>
      <c r="U316" s="7" t="n">
        <f aca="false">E316*2/13+U315*11/13</f>
        <v>12956.1071406855</v>
      </c>
      <c r="V316" s="7" t="n">
        <f aca="false">E316*2/27+V315*25/27</f>
        <v>12991.6159639409</v>
      </c>
      <c r="W316" s="7" t="n">
        <f aca="false">U316-V316</f>
        <v>-35.5088232553608</v>
      </c>
      <c r="X316" s="7" t="n">
        <f aca="false">W316*2/10+X315*8/10</f>
        <v>-58.0892036584235</v>
      </c>
      <c r="Y316" s="7" t="n">
        <f aca="false">W316-X316</f>
        <v>22.5803804030627</v>
      </c>
      <c r="Z316" s="8" t="s">
        <v>42</v>
      </c>
      <c r="AA316" s="7" t="str">
        <f aca="false">IFERROR(INDEX(02_轉折點45!B:B,MATCH(A316,02_轉折點45!A:A,0)),"")</f>
        <v/>
      </c>
      <c r="AB316" s="7" t="n">
        <f aca="false">COUNTIFS(05_訊號明細!A:A,A316,05_訊號明細!C:C,"TOP")</f>
        <v>0</v>
      </c>
      <c r="AC316" s="7" t="n">
        <f aca="false">COUNTIFS(05_訊號明細!A:A,A316,05_訊號明細!C:C,"BOTTOM")</f>
        <v>0</v>
      </c>
    </row>
    <row r="317" customFormat="false" ht="15" hidden="false" customHeight="false" outlineLevel="0" collapsed="false">
      <c r="A317" s="7" t="s">
        <v>358</v>
      </c>
      <c r="B317" s="7" t="n">
        <v>13268.88</v>
      </c>
      <c r="C317" s="7" t="n">
        <v>13333.41</v>
      </c>
      <c r="D317" s="7" t="n">
        <v>13255.82</v>
      </c>
      <c r="E317" s="7" t="n">
        <v>13329.52</v>
      </c>
      <c r="F317" s="7" t="n">
        <v>4576</v>
      </c>
      <c r="G317" s="7" t="n">
        <f aca="false">AVERAGE(E313:E317)</f>
        <v>13052.47</v>
      </c>
      <c r="H317" s="7" t="n">
        <f aca="false">AVERAGE(E308:E317)</f>
        <v>12981.303</v>
      </c>
      <c r="I317" s="7" t="n">
        <f aca="false">AVERAGE(E298:E317)</f>
        <v>12927.1855</v>
      </c>
      <c r="J317" s="7" t="n">
        <f aca="false">AVERAGE(E268:E317)</f>
        <v>13180.4038</v>
      </c>
      <c r="K317" s="7" t="n">
        <f aca="false">AVERAGE(E218:E317)</f>
        <v>12832.8088</v>
      </c>
      <c r="L317" s="7" t="n">
        <f aca="false">AVERAGE(E118:E317)</f>
        <v>11985.9613</v>
      </c>
      <c r="M317" s="7" t="n">
        <f aca="false">I317</f>
        <v>12927.1855</v>
      </c>
      <c r="N317" s="7" t="n">
        <f aca="false">I317+2*STDEV(E298:E317)</f>
        <v>13377.7686069076</v>
      </c>
      <c r="O317" s="7" t="n">
        <f aca="false">I317-2*STDEV(E298:E317)</f>
        <v>12476.6023930924</v>
      </c>
      <c r="P317" s="7" t="n">
        <f aca="false">MAX(E317-E316,0)</f>
        <v>238.08</v>
      </c>
      <c r="Q317" s="7" t="n">
        <f aca="false">MAX(E316-E317,0)</f>
        <v>0</v>
      </c>
      <c r="R317" s="7" t="n">
        <f aca="false">(R316*13+P317)/14</f>
        <v>93.8437442620625</v>
      </c>
      <c r="S317" s="7" t="n">
        <f aca="false">(S316*13+Q317)/14</f>
        <v>69.8881341467736</v>
      </c>
      <c r="T317" s="7" t="n">
        <f aca="false">IF(S317=0,100,100-100/(1+R317/S317))</f>
        <v>57.3154996901312</v>
      </c>
      <c r="U317" s="7" t="n">
        <f aca="false">E317*2/13+U316*11/13</f>
        <v>13013.5552728877</v>
      </c>
      <c r="V317" s="7" t="n">
        <f aca="false">E317*2/27+V316*25/27</f>
        <v>13016.6458925378</v>
      </c>
      <c r="W317" s="7" t="n">
        <f aca="false">U317-V317</f>
        <v>-3.09061965010551</v>
      </c>
      <c r="X317" s="7" t="n">
        <f aca="false">W317*2/10+X316*8/10</f>
        <v>-47.0894868567599</v>
      </c>
      <c r="Y317" s="7" t="n">
        <f aca="false">W317-X317</f>
        <v>43.9988672066544</v>
      </c>
      <c r="Z317" s="8" t="s">
        <v>42</v>
      </c>
      <c r="AA317" s="7" t="str">
        <f aca="false">IFERROR(INDEX(02_轉折點45!B:B,MATCH(A317,02_轉折點45!A:A,0)),"")</f>
        <v/>
      </c>
      <c r="AB317" s="7" t="n">
        <f aca="false">COUNTIFS(05_訊號明細!A:A,A317,05_訊號明細!C:C,"TOP")</f>
        <v>1</v>
      </c>
      <c r="AC317" s="7" t="n">
        <f aca="false">COUNTIFS(05_訊號明細!A:A,A317,05_訊號明細!C:C,"BOTTOM")</f>
        <v>0</v>
      </c>
    </row>
    <row r="318" customFormat="false" ht="15" hidden="false" customHeight="false" outlineLevel="0" collapsed="false">
      <c r="A318" s="7" t="s">
        <v>359</v>
      </c>
      <c r="B318" s="7" t="n">
        <v>13434.04</v>
      </c>
      <c r="C318" s="7" t="n">
        <v>13623.6</v>
      </c>
      <c r="D318" s="7" t="n">
        <v>13420.81</v>
      </c>
      <c r="E318" s="7" t="n">
        <v>13598.16</v>
      </c>
      <c r="F318" s="7" t="n">
        <v>4459</v>
      </c>
      <c r="G318" s="7" t="n">
        <f aca="false">AVERAGE(E314:E318)</f>
        <v>13176.278</v>
      </c>
      <c r="H318" s="7" t="n">
        <f aca="false">AVERAGE(E309:E318)</f>
        <v>13054.42</v>
      </c>
      <c r="I318" s="7" t="n">
        <f aca="false">AVERAGE(E299:E318)</f>
        <v>12973.668</v>
      </c>
      <c r="J318" s="7" t="n">
        <f aca="false">AVERAGE(E269:E318)</f>
        <v>13184.2672</v>
      </c>
      <c r="K318" s="7" t="n">
        <f aca="false">AVERAGE(E219:E318)</f>
        <v>12847.8769</v>
      </c>
      <c r="L318" s="7" t="n">
        <f aca="false">AVERAGE(E119:E318)</f>
        <v>12004.0397</v>
      </c>
      <c r="M318" s="7" t="n">
        <f aca="false">I318</f>
        <v>12973.668</v>
      </c>
      <c r="N318" s="7" t="n">
        <f aca="false">I318+2*STDEV(E299:E318)</f>
        <v>13497.7111292656</v>
      </c>
      <c r="O318" s="7" t="n">
        <f aca="false">I318-2*STDEV(E299:E318)</f>
        <v>12449.6248707344</v>
      </c>
      <c r="P318" s="7" t="n">
        <f aca="false">MAX(E318-E317,0)</f>
        <v>268.639999999999</v>
      </c>
      <c r="Q318" s="7" t="n">
        <f aca="false">MAX(E317-E318,0)</f>
        <v>0</v>
      </c>
      <c r="R318" s="7" t="n">
        <f aca="false">(R317*13+P318)/14</f>
        <v>106.329191100487</v>
      </c>
      <c r="S318" s="7" t="n">
        <f aca="false">(S317*13+Q318)/14</f>
        <v>64.8961245648612</v>
      </c>
      <c r="T318" s="7" t="n">
        <f aca="false">IF(S318=0,100,100-100/(1+R318/S318))</f>
        <v>62.0989896776142</v>
      </c>
      <c r="U318" s="7" t="n">
        <f aca="false">E318*2/13+U317*11/13</f>
        <v>13103.4944616742</v>
      </c>
      <c r="V318" s="7" t="n">
        <f aca="false">E318*2/27+V317*25/27</f>
        <v>13059.7210116091</v>
      </c>
      <c r="W318" s="7" t="n">
        <f aca="false">U318-V318</f>
        <v>43.7734500651277</v>
      </c>
      <c r="X318" s="7" t="n">
        <f aca="false">W318*2/10+X317*8/10</f>
        <v>-28.9168994723824</v>
      </c>
      <c r="Y318" s="7" t="n">
        <f aca="false">W318-X318</f>
        <v>72.6903495375101</v>
      </c>
      <c r="Z318" s="8" t="s">
        <v>42</v>
      </c>
      <c r="AA318" s="7" t="str">
        <f aca="false">IFERROR(INDEX(02_轉折點45!B:B,MATCH(A318,02_轉折點45!A:A,0)),"")</f>
        <v/>
      </c>
      <c r="AB318" s="7" t="n">
        <f aca="false">COUNTIFS(05_訊號明細!A:A,A318,05_訊號明細!C:C,"TOP")</f>
        <v>0</v>
      </c>
      <c r="AC318" s="7" t="n">
        <f aca="false">COUNTIFS(05_訊號明細!A:A,A318,05_訊號明細!C:C,"BOTTOM")</f>
        <v>0</v>
      </c>
    </row>
    <row r="319" customFormat="false" ht="15" hidden="false" customHeight="false" outlineLevel="0" collapsed="false">
      <c r="A319" s="7" t="s">
        <v>360</v>
      </c>
      <c r="B319" s="7" t="n">
        <v>13567.2</v>
      </c>
      <c r="C319" s="7" t="n">
        <v>13660.29</v>
      </c>
      <c r="D319" s="7" t="n">
        <v>13551.6</v>
      </c>
      <c r="E319" s="7" t="n">
        <v>13578.46</v>
      </c>
      <c r="F319" s="7" t="n">
        <v>4074</v>
      </c>
      <c r="G319" s="7" t="n">
        <f aca="false">AVERAGE(E315:E319)</f>
        <v>13298.822</v>
      </c>
      <c r="H319" s="7" t="n">
        <f aca="false">AVERAGE(E310:E319)</f>
        <v>13103.615</v>
      </c>
      <c r="I319" s="7" t="n">
        <f aca="false">AVERAGE(E300:E319)</f>
        <v>13037.637</v>
      </c>
      <c r="J319" s="7" t="n">
        <f aca="false">AVERAGE(E270:E319)</f>
        <v>13188.5084</v>
      </c>
      <c r="K319" s="7" t="n">
        <f aca="false">AVERAGE(E220:E319)</f>
        <v>12865.3576</v>
      </c>
      <c r="L319" s="7" t="n">
        <f aca="false">AVERAGE(E120:E319)</f>
        <v>12021.87175</v>
      </c>
      <c r="M319" s="7" t="n">
        <f aca="false">I319</f>
        <v>13037.637</v>
      </c>
      <c r="N319" s="7" t="n">
        <f aca="false">I319+2*STDEV(E300:E319)</f>
        <v>13526.0963266739</v>
      </c>
      <c r="O319" s="7" t="n">
        <f aca="false">I319-2*STDEV(E300:E319)</f>
        <v>12549.1776733261</v>
      </c>
      <c r="P319" s="7" t="n">
        <f aca="false">MAX(E319-E318,0)</f>
        <v>0</v>
      </c>
      <c r="Q319" s="7" t="n">
        <f aca="false">MAX(E318-E319,0)</f>
        <v>19.7000000000007</v>
      </c>
      <c r="R319" s="7" t="n">
        <f aca="false">(R318*13+P319)/14</f>
        <v>98.7342488790232</v>
      </c>
      <c r="S319" s="7" t="n">
        <f aca="false">(S318*13+Q319)/14</f>
        <v>61.6678299530854</v>
      </c>
      <c r="T319" s="7" t="n">
        <f aca="false">IF(S319=0,100,100-100/(1+R319/S319))</f>
        <v>61.5542202432223</v>
      </c>
      <c r="U319" s="7" t="n">
        <f aca="false">E319*2/13+U318*11/13</f>
        <v>13176.5660829551</v>
      </c>
      <c r="V319" s="7" t="n">
        <f aca="false">E319*2/27+V318*25/27</f>
        <v>13098.1461218603</v>
      </c>
      <c r="W319" s="7" t="n">
        <f aca="false">U319-V319</f>
        <v>78.4199610948399</v>
      </c>
      <c r="X319" s="7" t="n">
        <f aca="false">W319*2/10+X318*8/10</f>
        <v>-7.44952735893792</v>
      </c>
      <c r="Y319" s="7" t="n">
        <f aca="false">W319-X319</f>
        <v>85.8694884537778</v>
      </c>
      <c r="Z319" s="8" t="s">
        <v>42</v>
      </c>
      <c r="AA319" s="7" t="str">
        <f aca="false">IFERROR(INDEX(02_轉折點45!B:B,MATCH(A319,02_轉折點45!A:A,0)),"")</f>
        <v/>
      </c>
      <c r="AB319" s="7" t="n">
        <f aca="false">COUNTIFS(05_訊號明細!A:A,A319,05_訊號明細!C:C,"TOP")</f>
        <v>0</v>
      </c>
      <c r="AC319" s="7" t="n">
        <f aca="false">COUNTIFS(05_訊號明細!A:A,A319,05_訊號明細!C:C,"BOTTOM")</f>
        <v>0</v>
      </c>
    </row>
    <row r="320" customFormat="false" ht="15" hidden="false" customHeight="false" outlineLevel="0" collapsed="false">
      <c r="A320" s="7" t="s">
        <v>361</v>
      </c>
      <c r="B320" s="7" t="n">
        <v>13553.9</v>
      </c>
      <c r="C320" s="7" t="n">
        <v>13648.8</v>
      </c>
      <c r="D320" s="7" t="n">
        <v>13532.63</v>
      </c>
      <c r="E320" s="7" t="n">
        <v>13616.7</v>
      </c>
      <c r="F320" s="7" t="n">
        <v>4099</v>
      </c>
      <c r="G320" s="7" t="n">
        <f aca="false">AVERAGE(E316:E320)</f>
        <v>13442.856</v>
      </c>
      <c r="H320" s="7" t="n">
        <f aca="false">AVERAGE(E311:E320)</f>
        <v>13163.506</v>
      </c>
      <c r="I320" s="7" t="n">
        <f aca="false">AVERAGE(E301:E320)</f>
        <v>13078.7475</v>
      </c>
      <c r="J320" s="7" t="n">
        <f aca="false">AVERAGE(E271:E320)</f>
        <v>13191.1766</v>
      </c>
      <c r="K320" s="7" t="n">
        <f aca="false">AVERAGE(E221:E320)</f>
        <v>12885.2817</v>
      </c>
      <c r="L320" s="7" t="n">
        <f aca="false">AVERAGE(E121:E320)</f>
        <v>12039.91205</v>
      </c>
      <c r="M320" s="7" t="n">
        <f aca="false">I320</f>
        <v>13078.7475</v>
      </c>
      <c r="N320" s="7" t="n">
        <f aca="false">I320+2*STDEV(E301:E320)</f>
        <v>13616.9132875599</v>
      </c>
      <c r="O320" s="7" t="n">
        <f aca="false">I320-2*STDEV(E301:E320)</f>
        <v>12540.5817124401</v>
      </c>
      <c r="P320" s="7" t="n">
        <f aca="false">MAX(E320-E319,0)</f>
        <v>38.2400000000016</v>
      </c>
      <c r="Q320" s="7" t="n">
        <f aca="false">MAX(E319-E320,0)</f>
        <v>0</v>
      </c>
      <c r="R320" s="7" t="n">
        <f aca="false">(R319*13+P320)/14</f>
        <v>94.4132311019503</v>
      </c>
      <c r="S320" s="7" t="n">
        <f aca="false">(S319*13+Q320)/14</f>
        <v>57.2629849564365</v>
      </c>
      <c r="T320" s="7" t="n">
        <f aca="false">IF(S320=0,100,100-100/(1+R320/S320))</f>
        <v>62.2465628135175</v>
      </c>
      <c r="U320" s="7" t="n">
        <f aca="false">E320*2/13+U319*11/13</f>
        <v>13244.2789932697</v>
      </c>
      <c r="V320" s="7" t="n">
        <f aca="false">E320*2/27+V319*25/27</f>
        <v>13136.557520241</v>
      </c>
      <c r="W320" s="7" t="n">
        <f aca="false">U320-V320</f>
        <v>107.721473028716</v>
      </c>
      <c r="X320" s="7" t="n">
        <f aca="false">W320*2/10+X319*8/10</f>
        <v>15.5846727185929</v>
      </c>
      <c r="Y320" s="7" t="n">
        <f aca="false">W320-X320</f>
        <v>92.1368003101231</v>
      </c>
      <c r="Z320" s="8" t="s">
        <v>42</v>
      </c>
      <c r="AA320" s="7" t="str">
        <f aca="false">IFERROR(INDEX(02_轉折點45!B:B,MATCH(A320,02_轉折點45!A:A,0)),"")</f>
        <v/>
      </c>
      <c r="AB320" s="7" t="n">
        <f aca="false">COUNTIFS(05_訊號明細!A:A,A320,05_訊號明細!C:C,"TOP")</f>
        <v>0</v>
      </c>
      <c r="AC320" s="7" t="n">
        <f aca="false">COUNTIFS(05_訊號明細!A:A,A320,05_訊號明細!C:C,"BOTTOM")</f>
        <v>0</v>
      </c>
    </row>
    <row r="321" customFormat="false" ht="15" hidden="false" customHeight="false" outlineLevel="0" collapsed="false">
      <c r="A321" s="7" t="s">
        <v>362</v>
      </c>
      <c r="B321" s="7" t="n">
        <v>13730.73</v>
      </c>
      <c r="C321" s="7" t="n">
        <v>13763.18</v>
      </c>
      <c r="D321" s="7" t="n">
        <v>13703.51</v>
      </c>
      <c r="E321" s="7" t="n">
        <v>13758.51</v>
      </c>
      <c r="F321" s="7" t="n">
        <v>4154</v>
      </c>
      <c r="G321" s="7" t="n">
        <f aca="false">AVERAGE(E317:E321)</f>
        <v>13576.27</v>
      </c>
      <c r="H321" s="7" t="n">
        <f aca="false">AVERAGE(E312:E321)</f>
        <v>13259.469</v>
      </c>
      <c r="I321" s="7" t="n">
        <f aca="false">AVERAGE(E302:E321)</f>
        <v>13129.0695</v>
      </c>
      <c r="J321" s="7" t="n">
        <f aca="false">AVERAGE(E272:E321)</f>
        <v>13196.543</v>
      </c>
      <c r="K321" s="7" t="n">
        <f aca="false">AVERAGE(E222:E321)</f>
        <v>12903.9375</v>
      </c>
      <c r="L321" s="7" t="n">
        <f aca="false">AVERAGE(E122:E321)</f>
        <v>12058.05295</v>
      </c>
      <c r="M321" s="7" t="n">
        <f aca="false">I321</f>
        <v>13129.0695</v>
      </c>
      <c r="N321" s="7" t="n">
        <f aca="false">I321+2*STDEV(E302:E321)</f>
        <v>13723.8572577219</v>
      </c>
      <c r="O321" s="7" t="n">
        <f aca="false">I321-2*STDEV(E302:E321)</f>
        <v>12534.2817422781</v>
      </c>
      <c r="P321" s="7" t="n">
        <f aca="false">MAX(E321-E320,0)</f>
        <v>141.81</v>
      </c>
      <c r="Q321" s="7" t="n">
        <f aca="false">MAX(E320-E321,0)</f>
        <v>0</v>
      </c>
      <c r="R321" s="7" t="n">
        <f aca="false">(R320*13+P321)/14</f>
        <v>97.7987145946681</v>
      </c>
      <c r="S321" s="7" t="n">
        <f aca="false">(S320*13+Q321)/14</f>
        <v>53.1727717452624</v>
      </c>
      <c r="T321" s="7" t="n">
        <f aca="false">IF(S321=0,100,100-100/(1+R321/S321))</f>
        <v>64.7795931308926</v>
      </c>
      <c r="U321" s="7" t="n">
        <f aca="false">E321*2/13+U320*11/13</f>
        <v>13323.3914558436</v>
      </c>
      <c r="V321" s="7" t="n">
        <f aca="false">E321*2/27+V320*25/27</f>
        <v>13182.6280742972</v>
      </c>
      <c r="W321" s="7" t="n">
        <f aca="false">U321-V321</f>
        <v>140.763381546383</v>
      </c>
      <c r="X321" s="7" t="n">
        <f aca="false">W321*2/10+X320*8/10</f>
        <v>40.6204144841509</v>
      </c>
      <c r="Y321" s="7" t="n">
        <f aca="false">W321-X321</f>
        <v>100.142967062232</v>
      </c>
      <c r="Z321" s="8" t="s">
        <v>42</v>
      </c>
      <c r="AA321" s="7" t="str">
        <f aca="false">IFERROR(INDEX(02_轉折點45!B:B,MATCH(A321,02_轉折點45!A:A,0)),"")</f>
        <v/>
      </c>
      <c r="AB321" s="7" t="n">
        <f aca="false">COUNTIFS(05_訊號明細!A:A,A321,05_訊號明細!C:C,"TOP")</f>
        <v>0</v>
      </c>
      <c r="AC321" s="7" t="n">
        <f aca="false">COUNTIFS(05_訊號明細!A:A,A321,05_訊號明細!C:C,"BOTTOM")</f>
        <v>0</v>
      </c>
    </row>
    <row r="322" customFormat="false" ht="15" hidden="false" customHeight="false" outlineLevel="0" collapsed="false">
      <c r="A322" s="7" t="s">
        <v>363</v>
      </c>
      <c r="B322" s="7" t="n">
        <v>13709.67</v>
      </c>
      <c r="C322" s="7" t="n">
        <v>13849.31</v>
      </c>
      <c r="D322" s="7" t="n">
        <v>13674.92</v>
      </c>
      <c r="E322" s="7" t="n">
        <v>13845.06</v>
      </c>
      <c r="F322" s="7" t="n">
        <v>3926</v>
      </c>
      <c r="G322" s="7" t="n">
        <f aca="false">AVERAGE(E318:E322)</f>
        <v>13679.378</v>
      </c>
      <c r="H322" s="7" t="n">
        <f aca="false">AVERAGE(E313:E322)</f>
        <v>13365.924</v>
      </c>
      <c r="I322" s="7" t="n">
        <f aca="false">AVERAGE(E303:E322)</f>
        <v>13168.6775</v>
      </c>
      <c r="J322" s="7" t="n">
        <f aca="false">AVERAGE(E273:E322)</f>
        <v>13211.1912</v>
      </c>
      <c r="K322" s="7" t="n">
        <f aca="false">AVERAGE(E223:E322)</f>
        <v>12924.1167</v>
      </c>
      <c r="L322" s="7" t="n">
        <f aca="false">AVERAGE(E123:E322)</f>
        <v>12076.22915</v>
      </c>
      <c r="M322" s="7" t="n">
        <f aca="false">I322</f>
        <v>13168.6775</v>
      </c>
      <c r="N322" s="7" t="n">
        <f aca="false">I322+2*STDEV(E303:E322)</f>
        <v>13842.3764792536</v>
      </c>
      <c r="O322" s="7" t="n">
        <f aca="false">I322-2*STDEV(E303:E322)</f>
        <v>12494.9785207464</v>
      </c>
      <c r="P322" s="7" t="n">
        <f aca="false">MAX(E322-E321,0)</f>
        <v>86.5499999999993</v>
      </c>
      <c r="Q322" s="7" t="n">
        <f aca="false">MAX(E321-E322,0)</f>
        <v>0</v>
      </c>
      <c r="R322" s="7" t="n">
        <f aca="false">(R321*13+P322)/14</f>
        <v>96.9952349807631</v>
      </c>
      <c r="S322" s="7" t="n">
        <f aca="false">(S321*13+Q322)/14</f>
        <v>49.3747166206008</v>
      </c>
      <c r="T322" s="7" t="n">
        <f aca="false">IF(S322=0,100,100-100/(1+R322/S322))</f>
        <v>66.2671770534761</v>
      </c>
      <c r="U322" s="7" t="n">
        <f aca="false">E322*2/13+U321*11/13</f>
        <v>13403.6481549446</v>
      </c>
      <c r="V322" s="7" t="n">
        <f aca="false">E322*2/27+V321*25/27</f>
        <v>13231.6971058308</v>
      </c>
      <c r="W322" s="7" t="n">
        <f aca="false">U322-V322</f>
        <v>171.951049113826</v>
      </c>
      <c r="X322" s="7" t="n">
        <f aca="false">W322*2/10+X321*8/10</f>
        <v>66.886541410086</v>
      </c>
      <c r="Y322" s="7" t="n">
        <f aca="false">W322-X322</f>
        <v>105.06450770374</v>
      </c>
      <c r="Z322" s="8" t="s">
        <v>42</v>
      </c>
      <c r="AA322" s="7" t="str">
        <f aca="false">IFERROR(INDEX(02_轉折點45!B:B,MATCH(A322,02_轉折點45!A:A,0)),"")</f>
        <v/>
      </c>
      <c r="AB322" s="7" t="n">
        <f aca="false">COUNTIFS(05_訊號明細!A:A,A322,05_訊號明細!C:C,"TOP")</f>
        <v>0</v>
      </c>
      <c r="AC322" s="7" t="n">
        <f aca="false">COUNTIFS(05_訊號明細!A:A,A322,05_訊號明細!C:C,"BOTTOM")</f>
        <v>1</v>
      </c>
    </row>
    <row r="323" customFormat="false" ht="15" hidden="false" customHeight="false" outlineLevel="0" collapsed="false">
      <c r="A323" s="7" t="s">
        <v>364</v>
      </c>
      <c r="B323" s="7" t="n">
        <v>13792.74</v>
      </c>
      <c r="C323" s="7" t="n">
        <v>13839.39</v>
      </c>
      <c r="D323" s="7" t="n">
        <v>13747.63</v>
      </c>
      <c r="E323" s="7" t="n">
        <v>13819.35</v>
      </c>
      <c r="F323" s="7" t="n">
        <v>4251</v>
      </c>
      <c r="G323" s="7" t="n">
        <f aca="false">AVERAGE(E319:E323)</f>
        <v>13723.616</v>
      </c>
      <c r="H323" s="7" t="n">
        <f aca="false">AVERAGE(E314:E323)</f>
        <v>13449.947</v>
      </c>
      <c r="I323" s="7" t="n">
        <f aca="false">AVERAGE(E304:E323)</f>
        <v>13212.7805</v>
      </c>
      <c r="J323" s="7" t="n">
        <f aca="false">AVERAGE(E274:E323)</f>
        <v>13223.5476</v>
      </c>
      <c r="K323" s="7" t="n">
        <f aca="false">AVERAGE(E224:E323)</f>
        <v>12942.9318</v>
      </c>
      <c r="L323" s="7" t="n">
        <f aca="false">AVERAGE(E124:E323)</f>
        <v>12095.3124</v>
      </c>
      <c r="M323" s="7" t="n">
        <f aca="false">I323</f>
        <v>13212.7805</v>
      </c>
      <c r="N323" s="7" t="n">
        <f aca="false">I323+2*STDEV(E304:E323)</f>
        <v>13936.3414354174</v>
      </c>
      <c r="O323" s="7" t="n">
        <f aca="false">I323-2*STDEV(E304:E323)</f>
        <v>12489.2195645826</v>
      </c>
      <c r="P323" s="7" t="n">
        <f aca="false">MAX(E323-E322,0)</f>
        <v>0</v>
      </c>
      <c r="Q323" s="7" t="n">
        <f aca="false">MAX(E322-E323,0)</f>
        <v>25.7099999999991</v>
      </c>
      <c r="R323" s="7" t="n">
        <f aca="false">(R322*13+P323)/14</f>
        <v>90.0670039107086</v>
      </c>
      <c r="S323" s="7" t="n">
        <f aca="false">(S322*13+Q323)/14</f>
        <v>47.6843797191293</v>
      </c>
      <c r="T323" s="7" t="n">
        <f aca="false">IF(S323=0,100,100-100/(1+R323/S323))</f>
        <v>65.3837381065692</v>
      </c>
      <c r="U323" s="7" t="n">
        <f aca="false">E323*2/13+U322*11/13</f>
        <v>13467.6022849531</v>
      </c>
      <c r="V323" s="7" t="n">
        <f aca="false">E323*2/27+V322*25/27</f>
        <v>13275.2269498433</v>
      </c>
      <c r="W323" s="7" t="n">
        <f aca="false">U323-V323</f>
        <v>192.375335109813</v>
      </c>
      <c r="X323" s="7" t="n">
        <f aca="false">W323*2/10+X322*8/10</f>
        <v>91.9843001500314</v>
      </c>
      <c r="Y323" s="7" t="n">
        <f aca="false">W323-X323</f>
        <v>100.391034959782</v>
      </c>
      <c r="Z323" s="8" t="s">
        <v>42</v>
      </c>
      <c r="AA323" s="7" t="str">
        <f aca="false">IFERROR(INDEX(02_轉折點45!B:B,MATCH(A323,02_轉折點45!A:A,0)),"")</f>
        <v/>
      </c>
      <c r="AB323" s="7" t="n">
        <f aca="false">COUNTIFS(05_訊號明細!A:A,A323,05_訊號明細!C:C,"TOP")</f>
        <v>0</v>
      </c>
      <c r="AC323" s="7" t="n">
        <f aca="false">COUNTIFS(05_訊號明細!A:A,A323,05_訊號明細!C:C,"BOTTOM")</f>
        <v>0</v>
      </c>
    </row>
    <row r="324" customFormat="false" ht="15" hidden="false" customHeight="false" outlineLevel="0" collapsed="false">
      <c r="A324" s="7" t="s">
        <v>365</v>
      </c>
      <c r="B324" s="7" t="n">
        <v>13874.58</v>
      </c>
      <c r="C324" s="7" t="n">
        <v>14002.53</v>
      </c>
      <c r="D324" s="7" t="n">
        <v>13874.58</v>
      </c>
      <c r="E324" s="7" t="n">
        <v>13986.49</v>
      </c>
      <c r="F324" s="7" t="n">
        <v>4219</v>
      </c>
      <c r="G324" s="7" t="n">
        <f aca="false">AVERAGE(E320:E324)</f>
        <v>13805.222</v>
      </c>
      <c r="H324" s="7" t="n">
        <f aca="false">AVERAGE(E315:E324)</f>
        <v>13552.022</v>
      </c>
      <c r="I324" s="7" t="n">
        <f aca="false">AVERAGE(E305:E324)</f>
        <v>13257.978</v>
      </c>
      <c r="J324" s="7" t="n">
        <f aca="false">AVERAGE(E275:E324)</f>
        <v>13244.7698</v>
      </c>
      <c r="K324" s="7" t="n">
        <f aca="false">AVERAGE(E225:E324)</f>
        <v>12962.6629</v>
      </c>
      <c r="L324" s="7" t="n">
        <f aca="false">AVERAGE(E125:E324)</f>
        <v>12114.7357</v>
      </c>
      <c r="M324" s="7" t="n">
        <f aca="false">I324</f>
        <v>13257.978</v>
      </c>
      <c r="N324" s="7" t="n">
        <f aca="false">I324+2*STDEV(E305:E324)</f>
        <v>14056.3479909876</v>
      </c>
      <c r="O324" s="7" t="n">
        <f aca="false">I324-2*STDEV(E305:E324)</f>
        <v>12459.6080090124</v>
      </c>
      <c r="P324" s="7" t="n">
        <f aca="false">MAX(E324-E323,0)</f>
        <v>167.139999999999</v>
      </c>
      <c r="Q324" s="7" t="n">
        <f aca="false">MAX(E323-E324,0)</f>
        <v>0</v>
      </c>
      <c r="R324" s="7" t="n">
        <f aca="false">(R323*13+P324)/14</f>
        <v>95.5722179170866</v>
      </c>
      <c r="S324" s="7" t="n">
        <f aca="false">(S323*13+Q324)/14</f>
        <v>44.2783525963343</v>
      </c>
      <c r="T324" s="7" t="n">
        <f aca="false">IF(S324=0,100,100-100/(1+R324/S324))</f>
        <v>68.3388116088628</v>
      </c>
      <c r="U324" s="7" t="n">
        <f aca="false">E324*2/13+U323*11/13</f>
        <v>13547.4311641911</v>
      </c>
      <c r="V324" s="7" t="n">
        <f aca="false">E324*2/27+V323*25/27</f>
        <v>13327.9131017068</v>
      </c>
      <c r="W324" s="7" t="n">
        <f aca="false">U324-V324</f>
        <v>219.518062484338</v>
      </c>
      <c r="X324" s="7" t="n">
        <f aca="false">W324*2/10+X323*8/10</f>
        <v>117.491052616893</v>
      </c>
      <c r="Y324" s="7" t="n">
        <f aca="false">W324-X324</f>
        <v>102.027009867445</v>
      </c>
      <c r="Z324" s="8" t="s">
        <v>42</v>
      </c>
      <c r="AA324" s="7" t="str">
        <f aca="false">IFERROR(INDEX(02_轉折點45!B:B,MATCH(A324,02_轉折點45!A:A,0)),"")</f>
        <v/>
      </c>
      <c r="AB324" s="7" t="n">
        <f aca="false">COUNTIFS(05_訊號明細!A:A,A324,05_訊號明細!C:C,"TOP")</f>
        <v>0</v>
      </c>
      <c r="AC324" s="7" t="n">
        <f aca="false">COUNTIFS(05_訊號明細!A:A,A324,05_訊號明細!C:C,"BOTTOM")</f>
        <v>1</v>
      </c>
    </row>
    <row r="325" customFormat="false" ht="15" hidden="false" customHeight="false" outlineLevel="0" collapsed="false">
      <c r="A325" s="7" t="s">
        <v>366</v>
      </c>
      <c r="B325" s="7" t="n">
        <v>13988.86</v>
      </c>
      <c r="C325" s="7" t="n">
        <v>13990.54</v>
      </c>
      <c r="D325" s="7" t="n">
        <v>13782.18</v>
      </c>
      <c r="E325" s="7" t="n">
        <v>13803.91</v>
      </c>
      <c r="F325" s="7" t="n">
        <v>4121</v>
      </c>
      <c r="G325" s="7" t="n">
        <f aca="false">AVERAGE(E321:E325)</f>
        <v>13842.664</v>
      </c>
      <c r="H325" s="7" t="n">
        <f aca="false">AVERAGE(E316:E325)</f>
        <v>13642.76</v>
      </c>
      <c r="I325" s="7" t="n">
        <f aca="false">AVERAGE(E306:E325)</f>
        <v>13290.5595</v>
      </c>
      <c r="J325" s="7" t="n">
        <f aca="false">AVERAGE(E276:E325)</f>
        <v>13255.87</v>
      </c>
      <c r="K325" s="7" t="n">
        <f aca="false">AVERAGE(E226:E325)</f>
        <v>12980.9271</v>
      </c>
      <c r="L325" s="7" t="n">
        <f aca="false">AVERAGE(E126:E325)</f>
        <v>12134.50845</v>
      </c>
      <c r="M325" s="7" t="n">
        <f aca="false">I325</f>
        <v>13290.5595</v>
      </c>
      <c r="N325" s="7" t="n">
        <f aca="false">I325+2*STDEV(E306:E325)</f>
        <v>14123.2170274379</v>
      </c>
      <c r="O325" s="7" t="n">
        <f aca="false">I325-2*STDEV(E306:E325)</f>
        <v>12457.9019725621</v>
      </c>
      <c r="P325" s="7" t="n">
        <f aca="false">MAX(E325-E324,0)</f>
        <v>0</v>
      </c>
      <c r="Q325" s="7" t="n">
        <f aca="false">MAX(E324-E325,0)</f>
        <v>182.58</v>
      </c>
      <c r="R325" s="7" t="n">
        <f aca="false">(R324*13+P325)/14</f>
        <v>88.7456309230089</v>
      </c>
      <c r="S325" s="7" t="n">
        <f aca="false">(S324*13+Q325)/14</f>
        <v>54.1570416965962</v>
      </c>
      <c r="T325" s="7" t="n">
        <f aca="false">IF(S325=0,100,100-100/(1+R325/S325))</f>
        <v>62.1021491734044</v>
      </c>
      <c r="U325" s="7" t="n">
        <f aca="false">E325*2/13+U324*11/13</f>
        <v>13586.8894466232</v>
      </c>
      <c r="V325" s="7" t="n">
        <f aca="false">E325*2/27+V324*25/27</f>
        <v>13363.17213121</v>
      </c>
      <c r="W325" s="7" t="n">
        <f aca="false">U325-V325</f>
        <v>223.717315413272</v>
      </c>
      <c r="X325" s="7" t="n">
        <f aca="false">W325*2/10+X324*8/10</f>
        <v>138.736305176169</v>
      </c>
      <c r="Y325" s="7" t="n">
        <f aca="false">W325-X325</f>
        <v>84.9810102371038</v>
      </c>
      <c r="Z325" s="8" t="s">
        <v>42</v>
      </c>
      <c r="AA325" s="7" t="str">
        <f aca="false">IFERROR(INDEX(02_轉折點45!B:B,MATCH(A325,02_轉折點45!A:A,0)),"")</f>
        <v/>
      </c>
      <c r="AB325" s="7" t="n">
        <f aca="false">COUNTIFS(05_訊號明細!A:A,A325,05_訊號明細!C:C,"TOP")</f>
        <v>0</v>
      </c>
      <c r="AC325" s="7" t="n">
        <f aca="false">COUNTIFS(05_訊號明細!A:A,A325,05_訊號明細!C:C,"BOTTOM")</f>
        <v>0</v>
      </c>
    </row>
    <row r="326" customFormat="false" ht="15" hidden="false" customHeight="false" outlineLevel="0" collapsed="false">
      <c r="A326" s="7" t="s">
        <v>367</v>
      </c>
      <c r="B326" s="7" t="n">
        <v>13934.87</v>
      </c>
      <c r="C326" s="7" t="n">
        <v>14040.11</v>
      </c>
      <c r="D326" s="7" t="n">
        <v>13931.01</v>
      </c>
      <c r="E326" s="7" t="n">
        <v>14026.19</v>
      </c>
      <c r="F326" s="7" t="n">
        <v>4407</v>
      </c>
      <c r="G326" s="7" t="n">
        <f aca="false">AVERAGE(E322:E326)</f>
        <v>13896.2</v>
      </c>
      <c r="H326" s="7" t="n">
        <f aca="false">AVERAGE(E317:E326)</f>
        <v>13736.235</v>
      </c>
      <c r="I326" s="7" t="n">
        <f aca="false">AVERAGE(E307:E326)</f>
        <v>13331.75</v>
      </c>
      <c r="J326" s="7" t="n">
        <f aca="false">AVERAGE(E277:E326)</f>
        <v>13267.2714</v>
      </c>
      <c r="K326" s="7" t="n">
        <f aca="false">AVERAGE(E227:E326)</f>
        <v>13002.2419</v>
      </c>
      <c r="L326" s="7" t="n">
        <f aca="false">AVERAGE(E127:E326)</f>
        <v>12154.8336</v>
      </c>
      <c r="M326" s="7" t="n">
        <f aca="false">I326</f>
        <v>13331.75</v>
      </c>
      <c r="N326" s="7" t="n">
        <f aca="false">I326+2*STDEV(E307:E326)</f>
        <v>14225.3184361621</v>
      </c>
      <c r="O326" s="7" t="n">
        <f aca="false">I326-2*STDEV(E307:E326)</f>
        <v>12438.1815638379</v>
      </c>
      <c r="P326" s="7" t="n">
        <f aca="false">MAX(E326-E325,0)</f>
        <v>222.280000000001</v>
      </c>
      <c r="Q326" s="7" t="n">
        <f aca="false">MAX(E325-E326,0)</f>
        <v>0</v>
      </c>
      <c r="R326" s="7" t="n">
        <f aca="false">(R325*13+P326)/14</f>
        <v>98.2838001427941</v>
      </c>
      <c r="S326" s="7" t="n">
        <f aca="false">(S325*13+Q326)/14</f>
        <v>50.2886815754107</v>
      </c>
      <c r="T326" s="7" t="n">
        <f aca="false">IF(S326=0,100,100-100/(1+R326/S326))</f>
        <v>66.1520888701365</v>
      </c>
      <c r="U326" s="7" t="n">
        <f aca="false">E326*2/13+U325*11/13</f>
        <v>13654.4741471427</v>
      </c>
      <c r="V326" s="7" t="n">
        <f aca="false">E326*2/27+V325*25/27</f>
        <v>13412.2845659352</v>
      </c>
      <c r="W326" s="7" t="n">
        <f aca="false">U326-V326</f>
        <v>242.189581207587</v>
      </c>
      <c r="X326" s="7" t="n">
        <f aca="false">W326*2/10+X325*8/10</f>
        <v>159.426960382452</v>
      </c>
      <c r="Y326" s="7" t="n">
        <f aca="false">W326-X326</f>
        <v>82.7626208251349</v>
      </c>
      <c r="Z326" s="8" t="s">
        <v>42</v>
      </c>
      <c r="AA326" s="7" t="str">
        <f aca="false">IFERROR(INDEX(02_轉折點45!B:B,MATCH(A326,02_轉折點45!A:A,0)),"")</f>
        <v/>
      </c>
      <c r="AB326" s="7" t="n">
        <f aca="false">COUNTIFS(05_訊號明細!A:A,A326,05_訊號明細!C:C,"TOP")</f>
        <v>0</v>
      </c>
      <c r="AC326" s="7" t="n">
        <f aca="false">COUNTIFS(05_訊號明細!A:A,A326,05_訊號明細!C:C,"BOTTOM")</f>
        <v>1</v>
      </c>
    </row>
    <row r="327" customFormat="false" ht="15" hidden="false" customHeight="false" outlineLevel="0" collapsed="false">
      <c r="A327" s="7" t="s">
        <v>368</v>
      </c>
      <c r="B327" s="7" t="n">
        <v>14035.96</v>
      </c>
      <c r="C327" s="7" t="n">
        <v>14050.38</v>
      </c>
      <c r="D327" s="7" t="n">
        <v>13966.54</v>
      </c>
      <c r="E327" s="7" t="n">
        <v>14041.91</v>
      </c>
      <c r="F327" s="7" t="n">
        <v>4428</v>
      </c>
      <c r="G327" s="7" t="n">
        <f aca="false">AVERAGE(E323:E327)</f>
        <v>13935.57</v>
      </c>
      <c r="H327" s="7" t="n">
        <f aca="false">AVERAGE(E318:E327)</f>
        <v>13807.474</v>
      </c>
      <c r="I327" s="7" t="n">
        <f aca="false">AVERAGE(E308:E327)</f>
        <v>13394.3885</v>
      </c>
      <c r="J327" s="7" t="n">
        <f aca="false">AVERAGE(E278:E327)</f>
        <v>13280.0622</v>
      </c>
      <c r="K327" s="7" t="n">
        <f aca="false">AVERAGE(E228:E327)</f>
        <v>13022.8067</v>
      </c>
      <c r="L327" s="7" t="n">
        <f aca="false">AVERAGE(E128:E327)</f>
        <v>12174.2589</v>
      </c>
      <c r="M327" s="7" t="n">
        <f aca="false">I327</f>
        <v>13394.3885</v>
      </c>
      <c r="N327" s="7" t="n">
        <f aca="false">I327+2*STDEV(E308:E327)</f>
        <v>14303.3076490713</v>
      </c>
      <c r="O327" s="7" t="n">
        <f aca="false">I327-2*STDEV(E308:E327)</f>
        <v>12485.4693509287</v>
      </c>
      <c r="P327" s="7" t="n">
        <f aca="false">MAX(E327-E326,0)</f>
        <v>15.7199999999993</v>
      </c>
      <c r="Q327" s="7" t="n">
        <f aca="false">MAX(E326-E327,0)</f>
        <v>0</v>
      </c>
      <c r="R327" s="7" t="n">
        <f aca="false">(R326*13+P327)/14</f>
        <v>92.3863858468801</v>
      </c>
      <c r="S327" s="7" t="n">
        <f aca="false">(S326*13+Q327)/14</f>
        <v>46.6966328914528</v>
      </c>
      <c r="T327" s="7" t="n">
        <f aca="false">IF(S327=0,100,100-100/(1+R327/S327))</f>
        <v>66.4253527748728</v>
      </c>
      <c r="U327" s="7" t="n">
        <f aca="false">E327*2/13+U326*11/13</f>
        <v>13714.0796629669</v>
      </c>
      <c r="V327" s="7" t="n">
        <f aca="false">E327*2/27+V326*25/27</f>
        <v>13458.923486977</v>
      </c>
      <c r="W327" s="7" t="n">
        <f aca="false">U327-V327</f>
        <v>255.156175989941</v>
      </c>
      <c r="X327" s="7" t="n">
        <f aca="false">W327*2/10+X326*8/10</f>
        <v>178.57280350395</v>
      </c>
      <c r="Y327" s="7" t="n">
        <f aca="false">W327-X327</f>
        <v>76.5833724859912</v>
      </c>
      <c r="Z327" s="8" t="s">
        <v>42</v>
      </c>
      <c r="AA327" s="7" t="str">
        <f aca="false">IFERROR(INDEX(02_轉折點45!B:B,MATCH(A327,02_轉折點45!A:A,0)),"")</f>
        <v/>
      </c>
      <c r="AB327" s="7" t="n">
        <f aca="false">COUNTIFS(05_訊號明細!A:A,A327,05_訊號明細!C:C,"TOP")</f>
        <v>0</v>
      </c>
      <c r="AC327" s="7" t="n">
        <f aca="false">COUNTIFS(05_訊號明細!A:A,A327,05_訊號明細!C:C,"BOTTOM")</f>
        <v>0</v>
      </c>
    </row>
    <row r="328" customFormat="false" ht="15" hidden="false" customHeight="false" outlineLevel="0" collapsed="false">
      <c r="A328" s="7" t="s">
        <v>369</v>
      </c>
      <c r="B328" s="7" t="n">
        <v>13970.83</v>
      </c>
      <c r="C328" s="7" t="n">
        <v>14025.64</v>
      </c>
      <c r="D328" s="7" t="n">
        <v>13835.75</v>
      </c>
      <c r="E328" s="7" t="n">
        <v>13907.67</v>
      </c>
      <c r="F328" s="7" t="n">
        <v>4380</v>
      </c>
      <c r="G328" s="7" t="n">
        <f aca="false">AVERAGE(E324:E328)</f>
        <v>13953.234</v>
      </c>
      <c r="H328" s="7" t="n">
        <f aca="false">AVERAGE(E319:E328)</f>
        <v>13838.425</v>
      </c>
      <c r="I328" s="7" t="n">
        <f aca="false">AVERAGE(E309:E328)</f>
        <v>13446.4225</v>
      </c>
      <c r="J328" s="7" t="n">
        <f aca="false">AVERAGE(E279:E328)</f>
        <v>13286.9978</v>
      </c>
      <c r="K328" s="7" t="n">
        <f aca="false">AVERAGE(E229:E328)</f>
        <v>13042.819</v>
      </c>
      <c r="L328" s="7" t="n">
        <f aca="false">AVERAGE(E129:E328)</f>
        <v>12192.401</v>
      </c>
      <c r="M328" s="7" t="n">
        <f aca="false">I328</f>
        <v>13446.4225</v>
      </c>
      <c r="N328" s="7" t="n">
        <f aca="false">I328+2*STDEV(E309:E328)</f>
        <v>14347.3336843806</v>
      </c>
      <c r="O328" s="7" t="n">
        <f aca="false">I328-2*STDEV(E309:E328)</f>
        <v>12545.5113156194</v>
      </c>
      <c r="P328" s="7" t="n">
        <f aca="false">MAX(E328-E327,0)</f>
        <v>0</v>
      </c>
      <c r="Q328" s="7" t="n">
        <f aca="false">MAX(E327-E328,0)</f>
        <v>134.24</v>
      </c>
      <c r="R328" s="7" t="n">
        <f aca="false">(R327*13+P328)/14</f>
        <v>85.7873582863887</v>
      </c>
      <c r="S328" s="7" t="n">
        <f aca="false">(S327*13+Q328)/14</f>
        <v>52.9497305420633</v>
      </c>
      <c r="T328" s="7" t="n">
        <f aca="false">IF(S328=0,100,100-100/(1+R328/S328))</f>
        <v>61.8344806070311</v>
      </c>
      <c r="U328" s="7" t="n">
        <f aca="false">E328*2/13+U327*11/13</f>
        <v>13743.8627917412</v>
      </c>
      <c r="V328" s="7" t="n">
        <f aca="false">E328*2/27+V327*25/27</f>
        <v>13492.1639694231</v>
      </c>
      <c r="W328" s="7" t="n">
        <f aca="false">U328-V328</f>
        <v>251.698822318111</v>
      </c>
      <c r="X328" s="7" t="n">
        <f aca="false">W328*2/10+X327*8/10</f>
        <v>193.198007266782</v>
      </c>
      <c r="Y328" s="7" t="n">
        <f aca="false">W328-X328</f>
        <v>58.5008150513283</v>
      </c>
      <c r="Z328" s="8" t="s">
        <v>42</v>
      </c>
      <c r="AA328" s="7" t="str">
        <f aca="false">IFERROR(INDEX(02_轉折點45!B:B,MATCH(A328,02_轉折點45!A:A,0)),"")</f>
        <v/>
      </c>
      <c r="AB328" s="7" t="n">
        <f aca="false">COUNTIFS(05_訊號明細!A:A,A328,05_訊號明細!C:C,"TOP")</f>
        <v>1</v>
      </c>
      <c r="AC328" s="7" t="n">
        <f aca="false">COUNTIFS(05_訊號明細!A:A,A328,05_訊號明細!C:C,"BOTTOM")</f>
        <v>0</v>
      </c>
    </row>
    <row r="329" customFormat="false" ht="15" hidden="false" customHeight="false" outlineLevel="0" collapsed="false">
      <c r="A329" s="7" t="s">
        <v>370</v>
      </c>
      <c r="B329" s="7" t="n">
        <v>13891.96</v>
      </c>
      <c r="C329" s="7" t="n">
        <v>13934.89</v>
      </c>
      <c r="D329" s="7" t="n">
        <v>13730.59</v>
      </c>
      <c r="E329" s="7" t="n">
        <v>13809.3</v>
      </c>
      <c r="F329" s="7" t="n">
        <v>4245</v>
      </c>
      <c r="G329" s="7" t="n">
        <f aca="false">AVERAGE(E325:E329)</f>
        <v>13917.796</v>
      </c>
      <c r="H329" s="7" t="n">
        <f aca="false">AVERAGE(E320:E329)</f>
        <v>13861.509</v>
      </c>
      <c r="I329" s="7" t="n">
        <f aca="false">AVERAGE(E310:E329)</f>
        <v>13482.562</v>
      </c>
      <c r="J329" s="7" t="n">
        <f aca="false">AVERAGE(E280:E329)</f>
        <v>13291.1046</v>
      </c>
      <c r="K329" s="7" t="n">
        <f aca="false">AVERAGE(E230:E329)</f>
        <v>13061.8526</v>
      </c>
      <c r="L329" s="7" t="n">
        <f aca="false">AVERAGE(E130:E329)</f>
        <v>12209.73805</v>
      </c>
      <c r="M329" s="7" t="n">
        <f aca="false">I329</f>
        <v>13482.562</v>
      </c>
      <c r="N329" s="7" t="n">
        <f aca="false">I329+2*STDEV(E310:E329)</f>
        <v>14380.6671835386</v>
      </c>
      <c r="O329" s="7" t="n">
        <f aca="false">I329-2*STDEV(E310:E329)</f>
        <v>12584.4568164614</v>
      </c>
      <c r="P329" s="7" t="n">
        <f aca="false">MAX(E329-E328,0)</f>
        <v>0</v>
      </c>
      <c r="Q329" s="7" t="n">
        <f aca="false">MAX(E328-E329,0)</f>
        <v>98.3700000000008</v>
      </c>
      <c r="R329" s="7" t="n">
        <f aca="false">(R328*13+P329)/14</f>
        <v>79.6596898373609</v>
      </c>
      <c r="S329" s="7" t="n">
        <f aca="false">(S328*13+Q329)/14</f>
        <v>56.1940355033446</v>
      </c>
      <c r="T329" s="7" t="n">
        <f aca="false">IF(S329=0,100,100-100/(1+R329/S329))</f>
        <v>58.636367635546</v>
      </c>
      <c r="U329" s="7" t="n">
        <f aca="false">E329*2/13+U328*11/13</f>
        <v>13753.9300545503</v>
      </c>
      <c r="V329" s="7" t="n">
        <f aca="false">E329*2/27+V328*25/27</f>
        <v>13515.6555272436</v>
      </c>
      <c r="W329" s="7" t="n">
        <f aca="false">U329-V329</f>
        <v>238.274527306641</v>
      </c>
      <c r="X329" s="7" t="n">
        <f aca="false">W329*2/10+X328*8/10</f>
        <v>202.213311274754</v>
      </c>
      <c r="Y329" s="7" t="n">
        <f aca="false">W329-X329</f>
        <v>36.0612160318871</v>
      </c>
      <c r="Z329" s="8" t="s">
        <v>42</v>
      </c>
      <c r="AA329" s="7" t="str">
        <f aca="false">IFERROR(INDEX(02_轉折點45!B:B,MATCH(A329,02_轉折點45!A:A,0)),"")</f>
        <v/>
      </c>
      <c r="AB329" s="7" t="n">
        <f aca="false">COUNTIFS(05_訊號明細!A:A,A329,05_訊號明細!C:C,"TOP")</f>
        <v>0</v>
      </c>
      <c r="AC329" s="7" t="n">
        <f aca="false">COUNTIFS(05_訊號明細!A:A,A329,05_訊號明細!C:C,"BOTTOM")</f>
        <v>0</v>
      </c>
    </row>
    <row r="330" customFormat="false" ht="15" hidden="false" customHeight="false" outlineLevel="0" collapsed="false">
      <c r="A330" s="7" t="s">
        <v>371</v>
      </c>
      <c r="B330" s="7" t="n">
        <v>13768.92</v>
      </c>
      <c r="C330" s="7" t="n">
        <v>13939.7</v>
      </c>
      <c r="D330" s="7" t="n">
        <v>13717.44</v>
      </c>
      <c r="E330" s="7" t="n">
        <v>13935.15</v>
      </c>
      <c r="F330" s="7" t="n">
        <v>4000</v>
      </c>
      <c r="G330" s="7" t="n">
        <f aca="false">AVERAGE(E326:E330)</f>
        <v>13944.044</v>
      </c>
      <c r="H330" s="7" t="n">
        <f aca="false">AVERAGE(E321:E330)</f>
        <v>13893.354</v>
      </c>
      <c r="I330" s="7" t="n">
        <f aca="false">AVERAGE(E311:E330)</f>
        <v>13528.43</v>
      </c>
      <c r="J330" s="7" t="n">
        <f aca="false">AVERAGE(E281:E330)</f>
        <v>13295.9072</v>
      </c>
      <c r="K330" s="7" t="n">
        <f aca="false">AVERAGE(E231:E330)</f>
        <v>13080.406</v>
      </c>
      <c r="L330" s="7" t="n">
        <f aca="false">AVERAGE(E131:E330)</f>
        <v>12226.3935</v>
      </c>
      <c r="M330" s="7" t="n">
        <f aca="false">I330</f>
        <v>13528.43</v>
      </c>
      <c r="N330" s="7" t="n">
        <f aca="false">I330+2*STDEV(E311:E330)</f>
        <v>14420.271594455</v>
      </c>
      <c r="O330" s="7" t="n">
        <f aca="false">I330-2*STDEV(E311:E330)</f>
        <v>12636.588405545</v>
      </c>
      <c r="P330" s="7" t="n">
        <f aca="false">MAX(E330-E329,0)</f>
        <v>125.85</v>
      </c>
      <c r="Q330" s="7" t="n">
        <f aca="false">MAX(E329-E330,0)</f>
        <v>0</v>
      </c>
      <c r="R330" s="7" t="n">
        <f aca="false">(R329*13+P330)/14</f>
        <v>82.9589977061209</v>
      </c>
      <c r="S330" s="7" t="n">
        <f aca="false">(S329*13+Q330)/14</f>
        <v>52.1801758245342</v>
      </c>
      <c r="T330" s="7" t="n">
        <f aca="false">IF(S330=0,100,100-100/(1+R330/S330))</f>
        <v>61.3878237810167</v>
      </c>
      <c r="U330" s="7" t="n">
        <f aca="false">E330*2/13+U329*11/13</f>
        <v>13781.8100461579</v>
      </c>
      <c r="V330" s="7" t="n">
        <f aca="false">E330*2/27+V329*25/27</f>
        <v>13546.7291918923</v>
      </c>
      <c r="W330" s="7" t="n">
        <f aca="false">U330-V330</f>
        <v>235.080854265671</v>
      </c>
      <c r="X330" s="7" t="n">
        <f aca="false">W330*2/10+X329*8/10</f>
        <v>208.786819872937</v>
      </c>
      <c r="Y330" s="7" t="n">
        <f aca="false">W330-X330</f>
        <v>26.2940343927332</v>
      </c>
      <c r="Z330" s="8" t="s">
        <v>42</v>
      </c>
      <c r="AA330" s="7" t="str">
        <f aca="false">IFERROR(INDEX(02_轉折點45!B:B,MATCH(A330,02_轉折點45!A:A,0)),"")</f>
        <v/>
      </c>
      <c r="AB330" s="7" t="n">
        <f aca="false">COUNTIFS(05_訊號明細!A:A,A330,05_訊號明細!C:C,"TOP")</f>
        <v>0</v>
      </c>
      <c r="AC330" s="7" t="n">
        <f aca="false">COUNTIFS(05_訊號明細!A:A,A330,05_訊號明細!C:C,"BOTTOM")</f>
        <v>0</v>
      </c>
    </row>
    <row r="331" customFormat="false" ht="15" hidden="false" customHeight="false" outlineLevel="0" collapsed="false">
      <c r="A331" s="7" t="s">
        <v>372</v>
      </c>
      <c r="B331" s="7" t="n">
        <v>13920.88</v>
      </c>
      <c r="C331" s="7" t="n">
        <v>13954.03</v>
      </c>
      <c r="D331" s="7" t="n">
        <v>13716.76</v>
      </c>
      <c r="E331" s="7" t="n">
        <v>13762.36</v>
      </c>
      <c r="F331" s="7" t="n">
        <v>4421</v>
      </c>
      <c r="G331" s="7" t="n">
        <f aca="false">AVERAGE(E327:E331)</f>
        <v>13891.278</v>
      </c>
      <c r="H331" s="7" t="n">
        <f aca="false">AVERAGE(E322:E331)</f>
        <v>13893.739</v>
      </c>
      <c r="I331" s="7" t="n">
        <f aca="false">AVERAGE(E312:E331)</f>
        <v>13576.604</v>
      </c>
      <c r="J331" s="7" t="n">
        <f aca="false">AVERAGE(E282:E331)</f>
        <v>13297.4128</v>
      </c>
      <c r="K331" s="7" t="n">
        <f aca="false">AVERAGE(E232:E331)</f>
        <v>13096.5074</v>
      </c>
      <c r="L331" s="7" t="n">
        <f aca="false">AVERAGE(E132:E331)</f>
        <v>12242.58525</v>
      </c>
      <c r="M331" s="7" t="n">
        <f aca="false">I331</f>
        <v>13576.604</v>
      </c>
      <c r="N331" s="7" t="n">
        <f aca="false">I331+2*STDEV(E312:E331)</f>
        <v>14404.2992334461</v>
      </c>
      <c r="O331" s="7" t="n">
        <f aca="false">I331-2*STDEV(E312:E331)</f>
        <v>12748.9087665539</v>
      </c>
      <c r="P331" s="7" t="n">
        <f aca="false">MAX(E331-E330,0)</f>
        <v>0</v>
      </c>
      <c r="Q331" s="7" t="n">
        <f aca="false">MAX(E330-E331,0)</f>
        <v>172.789999999999</v>
      </c>
      <c r="R331" s="7" t="n">
        <f aca="false">(R330*13+P331)/14</f>
        <v>77.0333550128265</v>
      </c>
      <c r="S331" s="7" t="n">
        <f aca="false">(S330*13+Q331)/14</f>
        <v>60.7951632656389</v>
      </c>
      <c r="T331" s="7" t="n">
        <f aca="false">IF(S331=0,100,100-100/(1+R331/S331))</f>
        <v>55.8907227437432</v>
      </c>
      <c r="U331" s="7" t="n">
        <f aca="false">E331*2/13+U330*11/13</f>
        <v>13778.8177313644</v>
      </c>
      <c r="V331" s="7" t="n">
        <f aca="false">E331*2/27+V330*25/27</f>
        <v>13562.7018443447</v>
      </c>
      <c r="W331" s="7" t="n">
        <f aca="false">U331-V331</f>
        <v>216.115887019716</v>
      </c>
      <c r="X331" s="7" t="n">
        <f aca="false">W331*2/10+X330*8/10</f>
        <v>210.252633302293</v>
      </c>
      <c r="Y331" s="7" t="n">
        <f aca="false">W331-X331</f>
        <v>5.86325371742288</v>
      </c>
      <c r="Z331" s="8" t="s">
        <v>42</v>
      </c>
      <c r="AA331" s="7" t="str">
        <f aca="false">IFERROR(INDEX(02_轉折點45!B:B,MATCH(A331,02_轉折點45!A:A,0)),"")</f>
        <v/>
      </c>
      <c r="AB331" s="7" t="n">
        <f aca="false">COUNTIFS(05_訊號明細!A:A,A331,05_訊號明細!C:C,"TOP")</f>
        <v>1</v>
      </c>
      <c r="AC331" s="7" t="n">
        <f aca="false">COUNTIFS(05_訊號明細!A:A,A331,05_訊號明細!C:C,"BOTTOM")</f>
        <v>0</v>
      </c>
    </row>
    <row r="332" customFormat="false" ht="15" hidden="false" customHeight="false" outlineLevel="0" collapsed="false">
      <c r="A332" s="7" t="s">
        <v>373</v>
      </c>
      <c r="B332" s="7" t="n">
        <v>13794.49</v>
      </c>
      <c r="C332" s="7" t="n">
        <v>13989.43</v>
      </c>
      <c r="D332" s="7" t="n">
        <v>13789.45</v>
      </c>
      <c r="E332" s="7" t="n">
        <v>13941.44</v>
      </c>
      <c r="F332" s="7" t="n">
        <v>4355</v>
      </c>
      <c r="G332" s="7" t="n">
        <f aca="false">AVERAGE(E328:E332)</f>
        <v>13871.184</v>
      </c>
      <c r="H332" s="7" t="n">
        <f aca="false">AVERAGE(E323:E332)</f>
        <v>13903.377</v>
      </c>
      <c r="I332" s="7" t="n">
        <f aca="false">AVERAGE(E313:E332)</f>
        <v>13634.6505</v>
      </c>
      <c r="J332" s="7" t="n">
        <f aca="false">AVERAGE(E283:E332)</f>
        <v>13303.1362</v>
      </c>
      <c r="K332" s="7" t="n">
        <f aca="false">AVERAGE(E233:E332)</f>
        <v>13113.3397</v>
      </c>
      <c r="L332" s="7" t="n">
        <f aca="false">AVERAGE(E133:E332)</f>
        <v>12258.95895</v>
      </c>
      <c r="M332" s="7" t="n">
        <f aca="false">I332</f>
        <v>13634.6505</v>
      </c>
      <c r="N332" s="7" t="n">
        <f aca="false">I332+2*STDEV(E313:E332)</f>
        <v>14386.6413838046</v>
      </c>
      <c r="O332" s="7" t="n">
        <f aca="false">I332-2*STDEV(E313:E332)</f>
        <v>12882.6596161954</v>
      </c>
      <c r="P332" s="7" t="n">
        <f aca="false">MAX(E332-E331,0)</f>
        <v>179.08</v>
      </c>
      <c r="Q332" s="7" t="n">
        <f aca="false">MAX(E331-E332,0)</f>
        <v>0</v>
      </c>
      <c r="R332" s="7" t="n">
        <f aca="false">(R331*13+P332)/14</f>
        <v>84.3224010833389</v>
      </c>
      <c r="S332" s="7" t="n">
        <f aca="false">(S331*13+Q332)/14</f>
        <v>56.4526516038075</v>
      </c>
      <c r="T332" s="7" t="n">
        <f aca="false">IF(S332=0,100,100-100/(1+R332/S332))</f>
        <v>59.8986819566206</v>
      </c>
      <c r="U332" s="7" t="n">
        <f aca="false">E332*2/13+U331*11/13</f>
        <v>13803.8365419237</v>
      </c>
      <c r="V332" s="7" t="n">
        <f aca="false">E332*2/27+V331*25/27</f>
        <v>13590.7565225414</v>
      </c>
      <c r="W332" s="7" t="n">
        <f aca="false">U332-V332</f>
        <v>213.080019382349</v>
      </c>
      <c r="X332" s="7" t="n">
        <f aca="false">W332*2/10+X331*8/10</f>
        <v>210.818110518304</v>
      </c>
      <c r="Y332" s="7" t="n">
        <f aca="false">W332-X332</f>
        <v>2.26190886404461</v>
      </c>
      <c r="Z332" s="8" t="s">
        <v>42</v>
      </c>
      <c r="AA332" s="7" t="str">
        <f aca="false">IFERROR(INDEX(02_轉折點45!B:B,MATCH(A332,02_轉折點45!A:A,0)),"")</f>
        <v/>
      </c>
      <c r="AB332" s="7" t="n">
        <f aca="false">COUNTIFS(05_訊號明細!A:A,A332,05_訊號明細!C:C,"TOP")</f>
        <v>0</v>
      </c>
      <c r="AC332" s="7" t="n">
        <f aca="false">COUNTIFS(05_訊號明細!A:A,A332,05_訊號明細!C:C,"BOTTOM")</f>
        <v>0</v>
      </c>
    </row>
    <row r="333" customFormat="false" ht="15" hidden="false" customHeight="false" outlineLevel="0" collapsed="false">
      <c r="A333" s="7" t="s">
        <v>374</v>
      </c>
      <c r="B333" s="7" t="n">
        <v>13954.94</v>
      </c>
      <c r="C333" s="7" t="n">
        <v>14039.4</v>
      </c>
      <c r="D333" s="7" t="n">
        <v>13919.93</v>
      </c>
      <c r="E333" s="7" t="n">
        <v>14026.16</v>
      </c>
      <c r="F333" s="7" t="n">
        <v>4506</v>
      </c>
      <c r="G333" s="7" t="n">
        <f aca="false">AVERAGE(E329:E333)</f>
        <v>13894.882</v>
      </c>
      <c r="H333" s="7" t="n">
        <f aca="false">AVERAGE(E324:E333)</f>
        <v>13924.058</v>
      </c>
      <c r="I333" s="7" t="n">
        <f aca="false">AVERAGE(E314:E333)</f>
        <v>13687.0025</v>
      </c>
      <c r="J333" s="7" t="n">
        <f aca="false">AVERAGE(E284:E333)</f>
        <v>13308.9724</v>
      </c>
      <c r="K333" s="7" t="n">
        <f aca="false">AVERAGE(E234:E333)</f>
        <v>13130.9181</v>
      </c>
      <c r="L333" s="7" t="n">
        <f aca="false">AVERAGE(E134:E333)</f>
        <v>12275.3168</v>
      </c>
      <c r="M333" s="7" t="n">
        <f aca="false">I333</f>
        <v>13687.0025</v>
      </c>
      <c r="N333" s="7" t="n">
        <f aca="false">I333+2*STDEV(E314:E333)</f>
        <v>14391.0993366975</v>
      </c>
      <c r="O333" s="7" t="n">
        <f aca="false">I333-2*STDEV(E314:E333)</f>
        <v>12982.9056633025</v>
      </c>
      <c r="P333" s="7" t="n">
        <f aca="false">MAX(E333-E332,0)</f>
        <v>84.7199999999994</v>
      </c>
      <c r="Q333" s="7" t="n">
        <f aca="false">MAX(E332-E333,0)</f>
        <v>0</v>
      </c>
      <c r="R333" s="7" t="n">
        <f aca="false">(R332*13+P333)/14</f>
        <v>84.3508010059575</v>
      </c>
      <c r="S333" s="7" t="n">
        <f aca="false">(S332*13+Q333)/14</f>
        <v>52.4203193463927</v>
      </c>
      <c r="T333" s="7" t="n">
        <f aca="false">IF(S333=0,100,100-100/(1+R333/S333))</f>
        <v>61.67296194449</v>
      </c>
      <c r="U333" s="7" t="n">
        <f aca="false">E333*2/13+U332*11/13</f>
        <v>13838.0401508585</v>
      </c>
      <c r="V333" s="7" t="n">
        <f aca="false">E333*2/27+V332*25/27</f>
        <v>13623.0086319828</v>
      </c>
      <c r="W333" s="7" t="n">
        <f aca="false">U333-V333</f>
        <v>215.031518875778</v>
      </c>
      <c r="X333" s="7" t="n">
        <f aca="false">W333*2/10+X332*8/10</f>
        <v>211.660792189799</v>
      </c>
      <c r="Y333" s="7" t="n">
        <f aca="false">W333-X333</f>
        <v>3.37072668597878</v>
      </c>
      <c r="Z333" s="8" t="s">
        <v>42</v>
      </c>
      <c r="AA333" s="7" t="str">
        <f aca="false">IFERROR(INDEX(02_轉折點45!B:B,MATCH(A333,02_轉折點45!A:A,0)),"")</f>
        <v/>
      </c>
      <c r="AB333" s="7" t="n">
        <f aca="false">COUNTIFS(05_訊號明細!A:A,A333,05_訊號明細!C:C,"TOP")</f>
        <v>0</v>
      </c>
      <c r="AC333" s="7" t="n">
        <f aca="false">COUNTIFS(05_訊號明細!A:A,A333,05_訊號明細!C:C,"BOTTOM")</f>
        <v>0</v>
      </c>
    </row>
    <row r="334" customFormat="false" ht="15" hidden="false" customHeight="false" outlineLevel="0" collapsed="false">
      <c r="A334" s="7" t="s">
        <v>375</v>
      </c>
      <c r="B334" s="7" t="n">
        <v>14048.13</v>
      </c>
      <c r="C334" s="7" t="n">
        <v>14048.34</v>
      </c>
      <c r="D334" s="7" t="n">
        <v>13931.18</v>
      </c>
      <c r="E334" s="7" t="n">
        <v>13960.28</v>
      </c>
      <c r="F334" s="7" t="n">
        <v>4691</v>
      </c>
      <c r="G334" s="7" t="n">
        <f aca="false">AVERAGE(E330:E334)</f>
        <v>13925.078</v>
      </c>
      <c r="H334" s="7" t="n">
        <f aca="false">AVERAGE(E325:E334)</f>
        <v>13921.437</v>
      </c>
      <c r="I334" s="7" t="n">
        <f aca="false">AVERAGE(E315:E334)</f>
        <v>13736.7295</v>
      </c>
      <c r="J334" s="7" t="n">
        <f aca="false">AVERAGE(E285:E334)</f>
        <v>13312.024</v>
      </c>
      <c r="K334" s="7" t="n">
        <f aca="false">AVERAGE(E235:E334)</f>
        <v>13145.9676</v>
      </c>
      <c r="L334" s="7" t="n">
        <f aca="false">AVERAGE(E135:E334)</f>
        <v>12290.93655</v>
      </c>
      <c r="M334" s="7" t="n">
        <f aca="false">I334</f>
        <v>13736.7295</v>
      </c>
      <c r="N334" s="7" t="n">
        <f aca="false">I334+2*STDEV(E315:E334)</f>
        <v>14362.4634599298</v>
      </c>
      <c r="O334" s="7" t="n">
        <f aca="false">I334-2*STDEV(E315:E334)</f>
        <v>13110.9955400702</v>
      </c>
      <c r="P334" s="7" t="n">
        <f aca="false">MAX(E334-E333,0)</f>
        <v>0</v>
      </c>
      <c r="Q334" s="7" t="n">
        <f aca="false">MAX(E333-E334,0)</f>
        <v>65.8799999999992</v>
      </c>
      <c r="R334" s="7" t="n">
        <f aca="false">(R333*13+P334)/14</f>
        <v>78.3257437912463</v>
      </c>
      <c r="S334" s="7" t="n">
        <f aca="false">(S333*13+Q334)/14</f>
        <v>53.3817251073646</v>
      </c>
      <c r="T334" s="7" t="n">
        <f aca="false">IF(S334=0,100,100-100/(1+R334/S334))</f>
        <v>59.4694776585084</v>
      </c>
      <c r="U334" s="7" t="n">
        <f aca="false">E334*2/13+U333*11/13</f>
        <v>13856.8462814957</v>
      </c>
      <c r="V334" s="7" t="n">
        <f aca="false">E334*2/27+V333*25/27</f>
        <v>13647.9916962803</v>
      </c>
      <c r="W334" s="7" t="n">
        <f aca="false">U334-V334</f>
        <v>208.854585215351</v>
      </c>
      <c r="X334" s="7" t="n">
        <f aca="false">W334*2/10+X333*8/10</f>
        <v>211.099550794909</v>
      </c>
      <c r="Y334" s="7" t="n">
        <f aca="false">W334-X334</f>
        <v>-2.24496557955825</v>
      </c>
      <c r="Z334" s="8" t="s">
        <v>42</v>
      </c>
      <c r="AA334" s="7" t="str">
        <f aca="false">IFERROR(INDEX(02_轉折點45!B:B,MATCH(A334,02_轉折點45!A:A,0)),"")</f>
        <v/>
      </c>
      <c r="AB334" s="7" t="n">
        <f aca="false">COUNTIFS(05_訊號明細!A:A,A334,05_訊號明細!C:C,"TOP")</f>
        <v>0</v>
      </c>
      <c r="AC334" s="7" t="n">
        <f aca="false">COUNTIFS(05_訊號明細!A:A,A334,05_訊號明細!C:C,"BOTTOM")</f>
        <v>0</v>
      </c>
    </row>
    <row r="335" customFormat="false" ht="15" hidden="false" customHeight="false" outlineLevel="0" collapsed="false">
      <c r="A335" s="7" t="s">
        <v>376</v>
      </c>
      <c r="B335" s="7" t="n">
        <v>13953.61</v>
      </c>
      <c r="C335" s="7" t="n">
        <v>13992.08</v>
      </c>
      <c r="D335" s="7" t="n">
        <v>13895.15</v>
      </c>
      <c r="E335" s="7" t="n">
        <v>13901.62</v>
      </c>
      <c r="F335" s="7" t="n">
        <v>4560</v>
      </c>
      <c r="G335" s="7" t="n">
        <f aca="false">AVERAGE(E331:E335)</f>
        <v>13918.372</v>
      </c>
      <c r="H335" s="7" t="n">
        <f aca="false">AVERAGE(E326:E335)</f>
        <v>13931.208</v>
      </c>
      <c r="I335" s="7" t="n">
        <f aca="false">AVERAGE(E316:E335)</f>
        <v>13786.984</v>
      </c>
      <c r="J335" s="7" t="n">
        <f aca="false">AVERAGE(E286:E335)</f>
        <v>13314.581</v>
      </c>
      <c r="K335" s="7" t="n">
        <f aca="false">AVERAGE(E236:E335)</f>
        <v>13160.4197</v>
      </c>
      <c r="L335" s="7" t="n">
        <f aca="false">AVERAGE(E136:E335)</f>
        <v>12307.4336</v>
      </c>
      <c r="M335" s="7" t="n">
        <f aca="false">I335</f>
        <v>13786.984</v>
      </c>
      <c r="N335" s="7" t="n">
        <f aca="false">I335+2*STDEV(E316:E335)</f>
        <v>14274.8520964273</v>
      </c>
      <c r="O335" s="7" t="n">
        <f aca="false">I335-2*STDEV(E316:E335)</f>
        <v>13299.1159035727</v>
      </c>
      <c r="P335" s="7" t="n">
        <f aca="false">MAX(E335-E334,0)</f>
        <v>0</v>
      </c>
      <c r="Q335" s="7" t="n">
        <f aca="false">MAX(E334-E335,0)</f>
        <v>58.6599999999999</v>
      </c>
      <c r="R335" s="7" t="n">
        <f aca="false">(R334*13+P335)/14</f>
        <v>72.7310478061572</v>
      </c>
      <c r="S335" s="7" t="n">
        <f aca="false">(S334*13+Q335)/14</f>
        <v>53.7587447425528</v>
      </c>
      <c r="T335" s="7" t="n">
        <f aca="false">IF(S335=0,100,100-100/(1+R335/S335))</f>
        <v>57.4995391649087</v>
      </c>
      <c r="U335" s="7" t="n">
        <f aca="false">E335*2/13+U334*11/13</f>
        <v>13863.734545881</v>
      </c>
      <c r="V335" s="7" t="n">
        <f aca="false">E335*2/27+V334*25/27</f>
        <v>13666.7789780373</v>
      </c>
      <c r="W335" s="7" t="n">
        <f aca="false">U335-V335</f>
        <v>196.955567843619</v>
      </c>
      <c r="X335" s="7" t="n">
        <f aca="false">W335*2/10+X334*8/10</f>
        <v>208.270754204651</v>
      </c>
      <c r="Y335" s="7" t="n">
        <f aca="false">W335-X335</f>
        <v>-11.3151863610323</v>
      </c>
      <c r="Z335" s="8" t="s">
        <v>42</v>
      </c>
      <c r="AA335" s="7" t="str">
        <f aca="false">IFERROR(INDEX(02_轉折點45!B:B,MATCH(A335,02_轉折點45!A:A,0)),"")</f>
        <v/>
      </c>
      <c r="AB335" s="7" t="n">
        <f aca="false">COUNTIFS(05_訊號明細!A:A,A335,05_訊號明細!C:C,"TOP")</f>
        <v>1</v>
      </c>
      <c r="AC335" s="7" t="n">
        <f aca="false">COUNTIFS(05_訊號明細!A:A,A335,05_訊號明細!C:C,"BOTTOM")</f>
        <v>0</v>
      </c>
    </row>
    <row r="336" customFormat="false" ht="15" hidden="false" customHeight="false" outlineLevel="0" collapsed="false">
      <c r="A336" s="7" t="s">
        <v>377</v>
      </c>
      <c r="B336" s="7" t="n">
        <v>14063.94</v>
      </c>
      <c r="C336" s="7" t="n">
        <v>14073.48</v>
      </c>
      <c r="D336" s="7" t="n">
        <v>13836.1</v>
      </c>
      <c r="E336" s="7" t="n">
        <v>13970.2</v>
      </c>
      <c r="F336" s="7" t="n">
        <v>4928</v>
      </c>
      <c r="G336" s="7" t="n">
        <f aca="false">AVERAGE(E332:E336)</f>
        <v>13959.94</v>
      </c>
      <c r="H336" s="7" t="n">
        <f aca="false">AVERAGE(E327:E336)</f>
        <v>13925.609</v>
      </c>
      <c r="I336" s="7" t="n">
        <f aca="false">AVERAGE(E317:E336)</f>
        <v>13830.922</v>
      </c>
      <c r="J336" s="7" t="n">
        <f aca="false">AVERAGE(E287:E336)</f>
        <v>13319.9908</v>
      </c>
      <c r="K336" s="7" t="n">
        <f aca="false">AVERAGE(E237:E336)</f>
        <v>13175.4504</v>
      </c>
      <c r="L336" s="7" t="n">
        <f aca="false">AVERAGE(E137:E336)</f>
        <v>12323.837</v>
      </c>
      <c r="M336" s="7" t="n">
        <f aca="false">I336</f>
        <v>13830.922</v>
      </c>
      <c r="N336" s="7" t="n">
        <f aca="false">I336+2*STDEV(E317:E336)</f>
        <v>14198.4881823744</v>
      </c>
      <c r="O336" s="7" t="n">
        <f aca="false">I336-2*STDEV(E317:E336)</f>
        <v>13463.3558176256</v>
      </c>
      <c r="P336" s="7" t="n">
        <f aca="false">MAX(E336-E335,0)</f>
        <v>68.5799999999999</v>
      </c>
      <c r="Q336" s="7" t="n">
        <f aca="false">MAX(E335-E336,0)</f>
        <v>0</v>
      </c>
      <c r="R336" s="7" t="n">
        <f aca="false">(R335*13+P336)/14</f>
        <v>72.4345443914317</v>
      </c>
      <c r="S336" s="7" t="n">
        <f aca="false">(S335*13+Q336)/14</f>
        <v>49.918834403799</v>
      </c>
      <c r="T336" s="7" t="n">
        <f aca="false">IF(S336=0,100,100-100/(1+R336/S336))</f>
        <v>59.2010985758369</v>
      </c>
      <c r="U336" s="7" t="n">
        <f aca="false">E336*2/13+U335*11/13</f>
        <v>13880.1138465147</v>
      </c>
      <c r="V336" s="7" t="n">
        <f aca="false">E336*2/27+V335*25/27</f>
        <v>13689.2546092938</v>
      </c>
      <c r="W336" s="7" t="n">
        <f aca="false">U336-V336</f>
        <v>190.859237220822</v>
      </c>
      <c r="X336" s="7" t="n">
        <f aca="false">W336*2/10+X335*8/10</f>
        <v>204.788450807886</v>
      </c>
      <c r="Y336" s="7" t="n">
        <f aca="false">W336-X336</f>
        <v>-13.9292135870633</v>
      </c>
      <c r="Z336" s="8" t="s">
        <v>42</v>
      </c>
      <c r="AA336" s="7" t="str">
        <f aca="false">IFERROR(INDEX(02_轉折點45!B:B,MATCH(A336,02_轉折點45!A:A,0)),"")</f>
        <v/>
      </c>
      <c r="AB336" s="7" t="n">
        <f aca="false">COUNTIFS(05_訊號明細!A:A,A336,05_訊號明細!C:C,"TOP")</f>
        <v>0</v>
      </c>
      <c r="AC336" s="7" t="n">
        <f aca="false">COUNTIFS(05_訊號明細!A:A,A336,05_訊號明細!C:C,"BOTTOM")</f>
        <v>0</v>
      </c>
    </row>
    <row r="337" customFormat="false" ht="15" hidden="false" customHeight="false" outlineLevel="0" collapsed="false">
      <c r="A337" s="7" t="s">
        <v>378</v>
      </c>
      <c r="B337" s="7" t="n">
        <v>13857.79</v>
      </c>
      <c r="C337" s="7" t="n">
        <v>13969.21</v>
      </c>
      <c r="D337" s="7" t="n">
        <v>13838.82</v>
      </c>
      <c r="E337" s="7" t="n">
        <v>13860.76</v>
      </c>
      <c r="F337" s="7" t="n">
        <v>4792</v>
      </c>
      <c r="G337" s="7" t="n">
        <f aca="false">AVERAGE(E333:E337)</f>
        <v>13943.804</v>
      </c>
      <c r="H337" s="7" t="n">
        <f aca="false">AVERAGE(E328:E337)</f>
        <v>13907.494</v>
      </c>
      <c r="I337" s="7" t="n">
        <f aca="false">AVERAGE(E318:E337)</f>
        <v>13857.484</v>
      </c>
      <c r="J337" s="7" t="n">
        <f aca="false">AVERAGE(E288:E337)</f>
        <v>13324.4558</v>
      </c>
      <c r="K337" s="7" t="n">
        <f aca="false">AVERAGE(E238:E337)</f>
        <v>13188.7732</v>
      </c>
      <c r="L337" s="7" t="n">
        <f aca="false">AVERAGE(E138:E337)</f>
        <v>12339.6324</v>
      </c>
      <c r="M337" s="7" t="n">
        <f aca="false">I337</f>
        <v>13857.484</v>
      </c>
      <c r="N337" s="7" t="n">
        <f aca="false">I337+2*STDEV(E318:E337)</f>
        <v>14139.2542727139</v>
      </c>
      <c r="O337" s="7" t="n">
        <f aca="false">I337-2*STDEV(E318:E337)</f>
        <v>13575.7137272861</v>
      </c>
      <c r="P337" s="7" t="n">
        <f aca="false">MAX(E337-E336,0)</f>
        <v>0</v>
      </c>
      <c r="Q337" s="7" t="n">
        <f aca="false">MAX(E336-E337,0)</f>
        <v>109.440000000001</v>
      </c>
      <c r="R337" s="7" t="n">
        <f aca="false">(R336*13+P337)/14</f>
        <v>67.2606483634723</v>
      </c>
      <c r="S337" s="7" t="n">
        <f aca="false">(S336*13+Q337)/14</f>
        <v>54.1703462320992</v>
      </c>
      <c r="T337" s="7" t="n">
        <f aca="false">IF(S337=0,100,100-100/(1+R337/S337))</f>
        <v>55.3900168465929</v>
      </c>
      <c r="U337" s="7" t="n">
        <f aca="false">E337*2/13+U336*11/13</f>
        <v>13877.1363316663</v>
      </c>
      <c r="V337" s="7" t="n">
        <f aca="false">E337*2/27+V336*25/27</f>
        <v>13701.9587123091</v>
      </c>
      <c r="W337" s="7" t="n">
        <f aca="false">U337-V337</f>
        <v>175.177619357142</v>
      </c>
      <c r="X337" s="7" t="n">
        <f aca="false">W337*2/10+X336*8/10</f>
        <v>198.866284517737</v>
      </c>
      <c r="Y337" s="7" t="n">
        <f aca="false">W337-X337</f>
        <v>-23.6886651605946</v>
      </c>
      <c r="Z337" s="8" t="s">
        <v>42</v>
      </c>
      <c r="AA337" s="7" t="str">
        <f aca="false">IFERROR(INDEX(02_轉折點45!B:B,MATCH(A337,02_轉折點45!A:A,0)),"")</f>
        <v/>
      </c>
      <c r="AB337" s="7" t="n">
        <f aca="false">COUNTIFS(05_訊號明細!A:A,A337,05_訊號明細!C:C,"TOP")</f>
        <v>1</v>
      </c>
      <c r="AC337" s="7" t="n">
        <f aca="false">COUNTIFS(05_訊號明細!A:A,A337,05_訊號明細!C:C,"BOTTOM")</f>
        <v>0</v>
      </c>
    </row>
    <row r="338" customFormat="false" ht="15" hidden="false" customHeight="false" outlineLevel="0" collapsed="false">
      <c r="A338" s="7" t="s">
        <v>379</v>
      </c>
      <c r="B338" s="7" t="n">
        <v>13923.04</v>
      </c>
      <c r="C338" s="7" t="n">
        <v>13955</v>
      </c>
      <c r="D338" s="7" t="n">
        <v>13784.66</v>
      </c>
      <c r="E338" s="7" t="n">
        <v>13799.72</v>
      </c>
      <c r="F338" s="7" t="n">
        <v>4761</v>
      </c>
      <c r="G338" s="7" t="n">
        <f aca="false">AVERAGE(E334:E338)</f>
        <v>13898.516</v>
      </c>
      <c r="H338" s="7" t="n">
        <f aca="false">AVERAGE(E329:E338)</f>
        <v>13896.699</v>
      </c>
      <c r="I338" s="7" t="n">
        <f aca="false">AVERAGE(E319:E338)</f>
        <v>13867.562</v>
      </c>
      <c r="J338" s="7" t="n">
        <f aca="false">AVERAGE(E289:E338)</f>
        <v>13328.8346</v>
      </c>
      <c r="K338" s="7" t="n">
        <f aca="false">AVERAGE(E239:E338)</f>
        <v>13200.8057</v>
      </c>
      <c r="L338" s="7" t="n">
        <f aca="false">AVERAGE(E139:E338)</f>
        <v>12355.4987</v>
      </c>
      <c r="M338" s="7" t="n">
        <f aca="false">I338</f>
        <v>13867.562</v>
      </c>
      <c r="N338" s="7" t="n">
        <f aca="false">I338+2*STDEV(E319:E338)</f>
        <v>14123.5143937314</v>
      </c>
      <c r="O338" s="7" t="n">
        <f aca="false">I338-2*STDEV(E319:E338)</f>
        <v>13611.6096062686</v>
      </c>
      <c r="P338" s="7" t="n">
        <f aca="false">MAX(E338-E337,0)</f>
        <v>0</v>
      </c>
      <c r="Q338" s="7" t="n">
        <f aca="false">MAX(E337-E338,0)</f>
        <v>61.0400000000009</v>
      </c>
      <c r="R338" s="7" t="n">
        <f aca="false">(R337*13+P338)/14</f>
        <v>62.45631633751</v>
      </c>
      <c r="S338" s="7" t="n">
        <f aca="false">(S337*13+Q338)/14</f>
        <v>54.6610357869493</v>
      </c>
      <c r="T338" s="7" t="n">
        <f aca="false">IF(S338=0,100,100-100/(1+R338/S338))</f>
        <v>53.3279784801986</v>
      </c>
      <c r="U338" s="7" t="n">
        <f aca="false">E338*2/13+U337*11/13</f>
        <v>13865.2261267945</v>
      </c>
      <c r="V338" s="7" t="n">
        <f aca="false">E338*2/27+V337*25/27</f>
        <v>13709.2002891751</v>
      </c>
      <c r="W338" s="7" t="n">
        <f aca="false">U338-V338</f>
        <v>156.025837619418</v>
      </c>
      <c r="X338" s="7" t="n">
        <f aca="false">W338*2/10+X337*8/10</f>
        <v>190.298195138073</v>
      </c>
      <c r="Y338" s="7" t="n">
        <f aca="false">W338-X338</f>
        <v>-34.2723575186552</v>
      </c>
      <c r="Z338" s="8" t="s">
        <v>42</v>
      </c>
      <c r="AA338" s="7" t="str">
        <f aca="false">IFERROR(INDEX(02_轉折點45!B:B,MATCH(A338,02_轉折點45!A:A,0)),"")</f>
        <v/>
      </c>
      <c r="AB338" s="7" t="n">
        <f aca="false">COUNTIFS(05_訊號明細!A:A,A338,05_訊號明細!C:C,"TOP")</f>
        <v>0</v>
      </c>
      <c r="AC338" s="7" t="n">
        <f aca="false">COUNTIFS(05_訊號明細!A:A,A338,05_訊號明細!C:C,"BOTTOM")</f>
        <v>0</v>
      </c>
    </row>
    <row r="339" customFormat="false" ht="15" hidden="false" customHeight="false" outlineLevel="0" collapsed="false">
      <c r="A339" s="7" t="s">
        <v>380</v>
      </c>
      <c r="B339" s="7" t="n">
        <v>13680.63</v>
      </c>
      <c r="C339" s="7" t="n">
        <v>13705.38</v>
      </c>
      <c r="D339" s="7" t="n">
        <v>13396.11</v>
      </c>
      <c r="E339" s="7" t="n">
        <v>13544.67</v>
      </c>
      <c r="F339" s="7" t="n">
        <v>5880</v>
      </c>
      <c r="G339" s="7" t="n">
        <f aca="false">AVERAGE(E335:E339)</f>
        <v>13815.394</v>
      </c>
      <c r="H339" s="7" t="n">
        <f aca="false">AVERAGE(E330:E339)</f>
        <v>13870.236</v>
      </c>
      <c r="I339" s="7" t="n">
        <f aca="false">AVERAGE(E320:E339)</f>
        <v>13865.8725</v>
      </c>
      <c r="J339" s="7" t="n">
        <f aca="false">AVERAGE(E290:E339)</f>
        <v>13335.2532</v>
      </c>
      <c r="K339" s="7" t="n">
        <f aca="false">AVERAGE(E240:E339)</f>
        <v>13209.8952</v>
      </c>
      <c r="L339" s="7" t="n">
        <f aca="false">AVERAGE(E140:E339)</f>
        <v>12369.99595</v>
      </c>
      <c r="M339" s="7" t="n">
        <f aca="false">I339</f>
        <v>13865.8725</v>
      </c>
      <c r="N339" s="7" t="n">
        <f aca="false">I339+2*STDEV(E320:E339)</f>
        <v>14130.1699486107</v>
      </c>
      <c r="O339" s="7" t="n">
        <f aca="false">I339-2*STDEV(E320:E339)</f>
        <v>13601.5750513893</v>
      </c>
      <c r="P339" s="7" t="n">
        <f aca="false">MAX(E339-E338,0)</f>
        <v>0</v>
      </c>
      <c r="Q339" s="7" t="n">
        <f aca="false">MAX(E338-E339,0)</f>
        <v>255.049999999999</v>
      </c>
      <c r="R339" s="7" t="n">
        <f aca="false">(R338*13+P339)/14</f>
        <v>57.9951508848307</v>
      </c>
      <c r="S339" s="7" t="n">
        <f aca="false">(S338*13+Q339)/14</f>
        <v>68.9745332307386</v>
      </c>
      <c r="T339" s="7" t="n">
        <f aca="false">IF(S339=0,100,100-100/(1+R339/S339))</f>
        <v>45.6763764427758</v>
      </c>
      <c r="U339" s="7" t="n">
        <f aca="false">E339*2/13+U338*11/13</f>
        <v>13815.9097995954</v>
      </c>
      <c r="V339" s="7" t="n">
        <f aca="false">E339*2/27+V338*25/27</f>
        <v>13697.0128603473</v>
      </c>
      <c r="W339" s="7" t="n">
        <f aca="false">U339-V339</f>
        <v>118.896939248047</v>
      </c>
      <c r="X339" s="7" t="n">
        <f aca="false">W339*2/10+X338*8/10</f>
        <v>176.017943960068</v>
      </c>
      <c r="Y339" s="7" t="n">
        <f aca="false">W339-X339</f>
        <v>-57.1210047120211</v>
      </c>
      <c r="Z339" s="8" t="s">
        <v>42</v>
      </c>
      <c r="AA339" s="7" t="str">
        <f aca="false">IFERROR(INDEX(02_轉折點45!B:B,MATCH(A339,02_轉折點45!A:A,0)),"")</f>
        <v/>
      </c>
      <c r="AB339" s="7" t="n">
        <f aca="false">COUNTIFS(05_訊號明細!A:A,A339,05_訊號明細!C:C,"TOP")</f>
        <v>1</v>
      </c>
      <c r="AC339" s="7" t="n">
        <f aca="false">COUNTIFS(05_訊號明細!A:A,A339,05_訊號明細!C:C,"BOTTOM")</f>
        <v>0</v>
      </c>
    </row>
    <row r="340" customFormat="false" ht="15" hidden="false" customHeight="false" outlineLevel="0" collapsed="false">
      <c r="A340" s="7" t="s">
        <v>381</v>
      </c>
      <c r="B340" s="7" t="n">
        <v>13649.12</v>
      </c>
      <c r="C340" s="7" t="n">
        <v>13676.86</v>
      </c>
      <c r="D340" s="7" t="n">
        <v>13478.58</v>
      </c>
      <c r="E340" s="7" t="n">
        <v>13503.37</v>
      </c>
      <c r="F340" s="7" t="n">
        <v>4536</v>
      </c>
      <c r="G340" s="7" t="n">
        <f aca="false">AVERAGE(E336:E340)</f>
        <v>13735.744</v>
      </c>
      <c r="H340" s="7" t="n">
        <f aca="false">AVERAGE(E331:E340)</f>
        <v>13827.058</v>
      </c>
      <c r="I340" s="7" t="n">
        <f aca="false">AVERAGE(E321:E340)</f>
        <v>13860.206</v>
      </c>
      <c r="J340" s="7" t="n">
        <f aca="false">AVERAGE(E291:E340)</f>
        <v>13341.4264</v>
      </c>
      <c r="K340" s="7" t="n">
        <f aca="false">AVERAGE(E241:E340)</f>
        <v>13221.2825</v>
      </c>
      <c r="L340" s="7" t="n">
        <f aca="false">AVERAGE(E141:E340)</f>
        <v>12382.7524</v>
      </c>
      <c r="M340" s="7" t="n">
        <f aca="false">I340</f>
        <v>13860.206</v>
      </c>
      <c r="N340" s="7" t="n">
        <f aca="false">I340+2*STDEV(E321:E340)</f>
        <v>14150.5710568654</v>
      </c>
      <c r="O340" s="7" t="n">
        <f aca="false">I340-2*STDEV(E321:E340)</f>
        <v>13569.8409431346</v>
      </c>
      <c r="P340" s="7" t="n">
        <f aca="false">MAX(E340-E339,0)</f>
        <v>0</v>
      </c>
      <c r="Q340" s="7" t="n">
        <f aca="false">MAX(E339-E340,0)</f>
        <v>41.2999999999993</v>
      </c>
      <c r="R340" s="7" t="n">
        <f aca="false">(R339*13+P340)/14</f>
        <v>53.8526401073428</v>
      </c>
      <c r="S340" s="7" t="n">
        <f aca="false">(S339*13+Q340)/14</f>
        <v>66.9977808571143</v>
      </c>
      <c r="T340" s="7" t="n">
        <f aca="false">IF(S340=0,100,100-100/(1+R340/S340))</f>
        <v>44.5614005127721</v>
      </c>
      <c r="U340" s="7" t="n">
        <f aca="false">E340*2/13+U339*11/13</f>
        <v>13767.8267535038</v>
      </c>
      <c r="V340" s="7" t="n">
        <f aca="false">E340*2/27+V339*25/27</f>
        <v>13682.668944766</v>
      </c>
      <c r="W340" s="7" t="n">
        <f aca="false">U340-V340</f>
        <v>85.1578087377347</v>
      </c>
      <c r="X340" s="7" t="n">
        <f aca="false">W340*2/10+X339*8/10</f>
        <v>157.845916915601</v>
      </c>
      <c r="Y340" s="7" t="n">
        <f aca="false">W340-X340</f>
        <v>-72.6881081778664</v>
      </c>
      <c r="Z340" s="8" t="s">
        <v>42</v>
      </c>
      <c r="AA340" s="7" t="str">
        <f aca="false">IFERROR(INDEX(02_轉折點45!B:B,MATCH(A340,02_轉折點45!A:A,0)),"")</f>
        <v/>
      </c>
      <c r="AB340" s="7" t="n">
        <f aca="false">COUNTIFS(05_訊號明細!A:A,A340,05_訊號明細!C:C,"TOP")</f>
        <v>0</v>
      </c>
      <c r="AC340" s="7" t="n">
        <f aca="false">COUNTIFS(05_訊號明細!A:A,A340,05_訊號明細!C:C,"BOTTOM")</f>
        <v>0</v>
      </c>
    </row>
    <row r="341" customFormat="false" ht="15" hidden="false" customHeight="false" outlineLevel="0" collapsed="false">
      <c r="A341" s="7" t="s">
        <v>382</v>
      </c>
      <c r="B341" s="7" t="n">
        <v>13490.94</v>
      </c>
      <c r="C341" s="7" t="n">
        <v>13617.34</v>
      </c>
      <c r="D341" s="7" t="n">
        <v>13403.46</v>
      </c>
      <c r="E341" s="7" t="n">
        <v>13613.73</v>
      </c>
      <c r="F341" s="7" t="n">
        <v>5021</v>
      </c>
      <c r="G341" s="7" t="n">
        <f aca="false">AVERAGE(E337:E341)</f>
        <v>13664.45</v>
      </c>
      <c r="H341" s="7" t="n">
        <f aca="false">AVERAGE(E332:E341)</f>
        <v>13812.195</v>
      </c>
      <c r="I341" s="7" t="n">
        <f aca="false">AVERAGE(E322:E341)</f>
        <v>13852.967</v>
      </c>
      <c r="J341" s="7" t="n">
        <f aca="false">AVERAGE(E292:E341)</f>
        <v>13347.6572</v>
      </c>
      <c r="K341" s="7" t="n">
        <f aca="false">AVERAGE(E242:E341)</f>
        <v>13233.4024</v>
      </c>
      <c r="L341" s="7" t="n">
        <f aca="false">AVERAGE(E142:E341)</f>
        <v>12396.6557</v>
      </c>
      <c r="M341" s="7" t="n">
        <f aca="false">I341</f>
        <v>13852.967</v>
      </c>
      <c r="N341" s="7" t="n">
        <f aca="false">I341+2*STDEV(E322:E341)</f>
        <v>14160.7063443946</v>
      </c>
      <c r="O341" s="7" t="n">
        <f aca="false">I341-2*STDEV(E322:E341)</f>
        <v>13545.2276556054</v>
      </c>
      <c r="P341" s="7" t="n">
        <f aca="false">MAX(E341-E340,0)</f>
        <v>110.359999999999</v>
      </c>
      <c r="Q341" s="7" t="n">
        <f aca="false">MAX(E340-E341,0)</f>
        <v>0</v>
      </c>
      <c r="R341" s="7" t="n">
        <f aca="false">(R340*13+P341)/14</f>
        <v>57.8888800996754</v>
      </c>
      <c r="S341" s="7" t="n">
        <f aca="false">(S340*13+Q341)/14</f>
        <v>62.2122250816062</v>
      </c>
      <c r="T341" s="7" t="n">
        <f aca="false">IF(S341=0,100,100-100/(1+R341/S341))</f>
        <v>48.2001227318412</v>
      </c>
      <c r="U341" s="7" t="n">
        <f aca="false">E341*2/13+U340*11/13</f>
        <v>13744.119560657</v>
      </c>
      <c r="V341" s="7" t="n">
        <f aca="false">E341*2/27+V340*25/27</f>
        <v>13677.5623562648</v>
      </c>
      <c r="W341" s="7" t="n">
        <f aca="false">U341-V341</f>
        <v>66.5572043921875</v>
      </c>
      <c r="X341" s="7" t="n">
        <f aca="false">W341*2/10+X340*8/10</f>
        <v>139.588174410918</v>
      </c>
      <c r="Y341" s="7" t="n">
        <f aca="false">W341-X341</f>
        <v>-73.030970018731</v>
      </c>
      <c r="Z341" s="8" t="s">
        <v>42</v>
      </c>
      <c r="AA341" s="7" t="str">
        <f aca="false">IFERROR(INDEX(02_轉折點45!B:B,MATCH(A341,02_轉折點45!A:A,0)),"")</f>
        <v/>
      </c>
      <c r="AB341" s="7" t="n">
        <f aca="false">COUNTIFS(05_訊號明細!A:A,A341,05_訊號明細!C:C,"TOP")</f>
        <v>0</v>
      </c>
      <c r="AC341" s="7" t="n">
        <f aca="false">COUNTIFS(05_訊號明細!A:A,A341,05_訊號明細!C:C,"BOTTOM")</f>
        <v>0</v>
      </c>
    </row>
    <row r="342" customFormat="false" ht="15" hidden="false" customHeight="false" outlineLevel="0" collapsed="false">
      <c r="A342" s="7" t="s">
        <v>383</v>
      </c>
      <c r="B342" s="7" t="n">
        <v>13715.56</v>
      </c>
      <c r="C342" s="7" t="n">
        <v>13814.65</v>
      </c>
      <c r="D342" s="7" t="n">
        <v>13669.78</v>
      </c>
      <c r="E342" s="7" t="n">
        <v>13719.63</v>
      </c>
      <c r="F342" s="7" t="n">
        <v>4391</v>
      </c>
      <c r="G342" s="7" t="n">
        <f aca="false">AVERAGE(E338:E342)</f>
        <v>13636.224</v>
      </c>
      <c r="H342" s="7" t="n">
        <f aca="false">AVERAGE(E333:E342)</f>
        <v>13790.014</v>
      </c>
      <c r="I342" s="7" t="n">
        <f aca="false">AVERAGE(E323:E342)</f>
        <v>13846.6955</v>
      </c>
      <c r="J342" s="7" t="n">
        <f aca="false">AVERAGE(E293:E342)</f>
        <v>13365.4836</v>
      </c>
      <c r="K342" s="7" t="n">
        <f aca="false">AVERAGE(E243:E342)</f>
        <v>13246.8446</v>
      </c>
      <c r="L342" s="7" t="n">
        <f aca="false">AVERAGE(E143:E342)</f>
        <v>12410.9001</v>
      </c>
      <c r="M342" s="7" t="n">
        <f aca="false">I342</f>
        <v>13846.6955</v>
      </c>
      <c r="N342" s="7" t="n">
        <f aca="false">I342+2*STDEV(E323:E342)</f>
        <v>14160.1721826198</v>
      </c>
      <c r="O342" s="7" t="n">
        <f aca="false">I342-2*STDEV(E323:E342)</f>
        <v>13533.2188173802</v>
      </c>
      <c r="P342" s="7" t="n">
        <f aca="false">MAX(E342-E341,0)</f>
        <v>105.9</v>
      </c>
      <c r="Q342" s="7" t="n">
        <f aca="false">MAX(E341-E342,0)</f>
        <v>0</v>
      </c>
      <c r="R342" s="7" t="n">
        <f aca="false">(R341*13+P342)/14</f>
        <v>61.3182458068414</v>
      </c>
      <c r="S342" s="7" t="n">
        <f aca="false">(S341*13+Q342)/14</f>
        <v>57.7684947186343</v>
      </c>
      <c r="T342" s="7" t="n">
        <f aca="false">IF(S342=0,100,100-100/(1+R342/S342))</f>
        <v>51.4904056793156</v>
      </c>
      <c r="U342" s="7" t="n">
        <f aca="false">E342*2/13+U341*11/13</f>
        <v>13740.3519359406</v>
      </c>
      <c r="V342" s="7" t="n">
        <f aca="false">E342*2/27+V341*25/27</f>
        <v>13680.678478023</v>
      </c>
      <c r="W342" s="7" t="n">
        <f aca="false">U342-V342</f>
        <v>59.6734579175591</v>
      </c>
      <c r="X342" s="7" t="n">
        <f aca="false">W342*2/10+X341*8/10</f>
        <v>123.605231112247</v>
      </c>
      <c r="Y342" s="7" t="n">
        <f aca="false">W342-X342</f>
        <v>-63.9317731946875</v>
      </c>
      <c r="Z342" s="8" t="s">
        <v>42</v>
      </c>
      <c r="AA342" s="7" t="str">
        <f aca="false">IFERROR(INDEX(02_轉折點45!B:B,MATCH(A342,02_轉折點45!A:A,0)),"")</f>
        <v/>
      </c>
      <c r="AB342" s="7" t="n">
        <f aca="false">COUNTIFS(05_訊號明細!A:A,A342,05_訊號明細!C:C,"TOP")</f>
        <v>0</v>
      </c>
      <c r="AC342" s="7" t="n">
        <f aca="false">COUNTIFS(05_訊號明細!A:A,A342,05_訊號明細!C:C,"BOTTOM")</f>
        <v>0</v>
      </c>
    </row>
    <row r="343" customFormat="false" ht="15" hidden="false" customHeight="false" outlineLevel="0" collapsed="false">
      <c r="A343" s="7" t="s">
        <v>384</v>
      </c>
      <c r="B343" s="7" t="n">
        <v>13647.73</v>
      </c>
      <c r="C343" s="7" t="n">
        <v>13648.49</v>
      </c>
      <c r="D343" s="7" t="n">
        <v>13358.62</v>
      </c>
      <c r="E343" s="7" t="n">
        <v>13359.08</v>
      </c>
      <c r="F343" s="7" t="n">
        <v>4819</v>
      </c>
      <c r="G343" s="7" t="n">
        <f aca="false">AVERAGE(E339:E343)</f>
        <v>13548.096</v>
      </c>
      <c r="H343" s="7" t="n">
        <f aca="false">AVERAGE(E334:E343)</f>
        <v>13723.306</v>
      </c>
      <c r="I343" s="7" t="n">
        <f aca="false">AVERAGE(E324:E343)</f>
        <v>13823.682</v>
      </c>
      <c r="J343" s="7" t="n">
        <f aca="false">AVERAGE(E294:E343)</f>
        <v>13374.4764</v>
      </c>
      <c r="K343" s="7" t="n">
        <f aca="false">AVERAGE(E244:E343)</f>
        <v>13255.8133</v>
      </c>
      <c r="L343" s="7" t="n">
        <f aca="false">AVERAGE(E144:E343)</f>
        <v>12424.79255</v>
      </c>
      <c r="M343" s="7" t="n">
        <f aca="false">I343</f>
        <v>13823.682</v>
      </c>
      <c r="N343" s="7" t="n">
        <f aca="false">I343+2*STDEV(E324:E343)</f>
        <v>14205.6987868783</v>
      </c>
      <c r="O343" s="7" t="n">
        <f aca="false">I343-2*STDEV(E324:E343)</f>
        <v>13441.6652131217</v>
      </c>
      <c r="P343" s="7" t="n">
        <f aca="false">MAX(E343-E342,0)</f>
        <v>0</v>
      </c>
      <c r="Q343" s="7" t="n">
        <f aca="false">MAX(E342-E343,0)</f>
        <v>360.549999999999</v>
      </c>
      <c r="R343" s="7" t="n">
        <f aca="false">(R342*13+P343)/14</f>
        <v>56.9383711063527</v>
      </c>
      <c r="S343" s="7" t="n">
        <f aca="false">(S342*13+Q343)/14</f>
        <v>79.3957450958746</v>
      </c>
      <c r="T343" s="7" t="n">
        <f aca="false">IF(S343=0,100,100-100/(1+R343/S343))</f>
        <v>41.7638465649308</v>
      </c>
      <c r="U343" s="7" t="n">
        <f aca="false">E343*2/13+U342*11/13</f>
        <v>13681.6947150266</v>
      </c>
      <c r="V343" s="7" t="n">
        <f aca="false">E343*2/27+V342*25/27</f>
        <v>13656.8563685398</v>
      </c>
      <c r="W343" s="7" t="n">
        <f aca="false">U343-V343</f>
        <v>24.8383464868111</v>
      </c>
      <c r="X343" s="7" t="n">
        <f aca="false">W343*2/10+X342*8/10</f>
        <v>103.851854187159</v>
      </c>
      <c r="Y343" s="7" t="n">
        <f aca="false">W343-X343</f>
        <v>-79.0135077003483</v>
      </c>
      <c r="Z343" s="8" t="s">
        <v>42</v>
      </c>
      <c r="AA343" s="7" t="str">
        <f aca="false">IFERROR(INDEX(02_轉折點45!B:B,MATCH(A343,02_轉折點45!A:A,0)),"")</f>
        <v/>
      </c>
      <c r="AB343" s="7" t="n">
        <f aca="false">COUNTIFS(05_訊號明細!A:A,A343,05_訊號明細!C:C,"TOP")</f>
        <v>1</v>
      </c>
      <c r="AC343" s="7" t="n">
        <f aca="false">COUNTIFS(05_訊號明細!A:A,A343,05_訊號明細!C:C,"BOTTOM")</f>
        <v>0</v>
      </c>
    </row>
    <row r="344" customFormat="false" ht="15" hidden="false" customHeight="false" outlineLevel="0" collapsed="false">
      <c r="A344" s="7" t="s">
        <v>385</v>
      </c>
      <c r="B344" s="7" t="n">
        <v>13102.64</v>
      </c>
      <c r="C344" s="7" t="n">
        <v>13381.66</v>
      </c>
      <c r="D344" s="7" t="n">
        <v>13094.76</v>
      </c>
      <c r="E344" s="7" t="n">
        <v>13351.27</v>
      </c>
      <c r="F344" s="7" t="n">
        <v>4738</v>
      </c>
      <c r="G344" s="7" t="n">
        <f aca="false">AVERAGE(E340:E344)</f>
        <v>13509.416</v>
      </c>
      <c r="H344" s="7" t="n">
        <f aca="false">AVERAGE(E335:E344)</f>
        <v>13662.405</v>
      </c>
      <c r="I344" s="7" t="n">
        <f aca="false">AVERAGE(E325:E344)</f>
        <v>13791.921</v>
      </c>
      <c r="J344" s="7" t="n">
        <f aca="false">AVERAGE(E295:E344)</f>
        <v>13375.8428</v>
      </c>
      <c r="K344" s="7" t="n">
        <f aca="false">AVERAGE(E245:E344)</f>
        <v>13263.3668</v>
      </c>
      <c r="L344" s="7" t="n">
        <f aca="false">AVERAGE(E145:E344)</f>
        <v>12439.13325</v>
      </c>
      <c r="M344" s="7" t="n">
        <f aca="false">I344</f>
        <v>13791.921</v>
      </c>
      <c r="N344" s="7" t="n">
        <f aca="false">I344+2*STDEV(E325:E344)</f>
        <v>14219.8145803211</v>
      </c>
      <c r="O344" s="7" t="n">
        <f aca="false">I344-2*STDEV(E325:E344)</f>
        <v>13364.0274196789</v>
      </c>
      <c r="P344" s="7" t="n">
        <f aca="false">MAX(E344-E343,0)</f>
        <v>0</v>
      </c>
      <c r="Q344" s="7" t="n">
        <f aca="false">MAX(E343-E344,0)</f>
        <v>7.80999999999949</v>
      </c>
      <c r="R344" s="7" t="n">
        <f aca="false">(R343*13+P344)/14</f>
        <v>52.8713445987561</v>
      </c>
      <c r="S344" s="7" t="n">
        <f aca="false">(S343*13+Q344)/14</f>
        <v>74.2824775890264</v>
      </c>
      <c r="T344" s="7" t="n">
        <f aca="false">IF(S344=0,100,100-100/(1+R344/S344))</f>
        <v>41.5806176244352</v>
      </c>
      <c r="U344" s="7" t="n">
        <f aca="false">E344*2/13+U343*11/13</f>
        <v>13630.8601434841</v>
      </c>
      <c r="V344" s="7" t="n">
        <f aca="false">E344*2/27+V343*25/27</f>
        <v>13634.2203412406</v>
      </c>
      <c r="W344" s="7" t="n">
        <f aca="false">U344-V344</f>
        <v>-3.36019775650493</v>
      </c>
      <c r="X344" s="7" t="n">
        <f aca="false">W344*2/10+X343*8/10</f>
        <v>82.4094437984266</v>
      </c>
      <c r="Y344" s="7" t="n">
        <f aca="false">W344-X344</f>
        <v>-85.7696415549315</v>
      </c>
      <c r="Z344" s="8" t="s">
        <v>42</v>
      </c>
      <c r="AA344" s="7" t="str">
        <f aca="false">IFERROR(INDEX(02_轉折點45!B:B,MATCH(A344,02_轉折點45!A:A,0)),"")</f>
        <v/>
      </c>
      <c r="AB344" s="7" t="n">
        <f aca="false">COUNTIFS(05_訊號明細!A:A,A344,05_訊號明細!C:C,"TOP")</f>
        <v>1</v>
      </c>
      <c r="AC344" s="7" t="n">
        <f aca="false">COUNTIFS(05_訊號明細!A:A,A344,05_訊號明細!C:C,"BOTTOM")</f>
        <v>0</v>
      </c>
    </row>
    <row r="345" customFormat="false" ht="15" hidden="false" customHeight="false" outlineLevel="0" collapsed="false">
      <c r="A345" s="7" t="s">
        <v>386</v>
      </c>
      <c r="B345" s="7" t="n">
        <v>13155.07</v>
      </c>
      <c r="C345" s="7" t="n">
        <v>13236.89</v>
      </c>
      <c r="D345" s="7" t="n">
        <v>12967.18</v>
      </c>
      <c r="E345" s="7" t="n">
        <v>13001.63</v>
      </c>
      <c r="F345" s="7" t="n">
        <v>4753</v>
      </c>
      <c r="G345" s="7" t="n">
        <f aca="false">AVERAGE(E341:E345)</f>
        <v>13409.068</v>
      </c>
      <c r="H345" s="7" t="n">
        <f aca="false">AVERAGE(E336:E345)</f>
        <v>13572.406</v>
      </c>
      <c r="I345" s="7" t="n">
        <f aca="false">AVERAGE(E326:E345)</f>
        <v>13751.807</v>
      </c>
      <c r="J345" s="7" t="n">
        <f aca="false">AVERAGE(E296:E345)</f>
        <v>13374.6764</v>
      </c>
      <c r="K345" s="7" t="n">
        <f aca="false">AVERAGE(E246:E345)</f>
        <v>13266.7015</v>
      </c>
      <c r="L345" s="7" t="n">
        <f aca="false">AVERAGE(E146:E345)</f>
        <v>12450.7695</v>
      </c>
      <c r="M345" s="7" t="n">
        <f aca="false">I345</f>
        <v>13751.807</v>
      </c>
      <c r="N345" s="7" t="n">
        <f aca="false">I345+2*STDEV(E326:E345)</f>
        <v>14306.5805090287</v>
      </c>
      <c r="O345" s="7" t="n">
        <f aca="false">I345-2*STDEV(E326:E345)</f>
        <v>13197.0334909713</v>
      </c>
      <c r="P345" s="7" t="n">
        <f aca="false">MAX(E345-E344,0)</f>
        <v>0</v>
      </c>
      <c r="Q345" s="7" t="n">
        <f aca="false">MAX(E344-E345,0)</f>
        <v>349.640000000001</v>
      </c>
      <c r="R345" s="7" t="n">
        <f aca="false">(R344*13+P345)/14</f>
        <v>49.0948199845592</v>
      </c>
      <c r="S345" s="7" t="n">
        <f aca="false">(S344*13+Q345)/14</f>
        <v>93.9508720469532</v>
      </c>
      <c r="T345" s="7" t="n">
        <f aca="false">IF(S345=0,100,100-100/(1+R345/S345))</f>
        <v>34.3210755160273</v>
      </c>
      <c r="U345" s="7" t="n">
        <f aca="false">E345*2/13+U344*11/13</f>
        <v>13534.055506025</v>
      </c>
      <c r="V345" s="7" t="n">
        <f aca="false">E345*2/27+V344*25/27</f>
        <v>13587.361797445</v>
      </c>
      <c r="W345" s="7" t="n">
        <f aca="false">U345-V345</f>
        <v>-53.3062914199945</v>
      </c>
      <c r="X345" s="7" t="n">
        <f aca="false">W345*2/10+X344*8/10</f>
        <v>55.2662967547424</v>
      </c>
      <c r="Y345" s="7" t="n">
        <f aca="false">W345-X345</f>
        <v>-108.572588174737</v>
      </c>
      <c r="Z345" s="7" t="s">
        <v>78</v>
      </c>
      <c r="AA345" s="7" t="str">
        <f aca="false">IFERROR(INDEX(02_轉折點45!B:B,MATCH(A345,02_轉折點45!A:A,0)),"")</f>
        <v/>
      </c>
      <c r="AB345" s="7" t="n">
        <f aca="false">COUNTIFS(05_訊號明細!A:A,A345,05_訊號明細!C:C,"TOP")</f>
        <v>4</v>
      </c>
      <c r="AC345" s="7" t="n">
        <f aca="false">COUNTIFS(05_訊號明細!A:A,A345,05_訊號明細!C:C,"BOTTOM")</f>
        <v>0</v>
      </c>
    </row>
    <row r="346" customFormat="false" ht="15" hidden="false" customHeight="false" outlineLevel="0" collapsed="false">
      <c r="A346" s="7" t="s">
        <v>387</v>
      </c>
      <c r="B346" s="7" t="n">
        <v>13133.73</v>
      </c>
      <c r="C346" s="7" t="n">
        <v>13226.64</v>
      </c>
      <c r="D346" s="7" t="n">
        <v>13006.77</v>
      </c>
      <c r="E346" s="7" t="n">
        <v>13109.15</v>
      </c>
      <c r="F346" s="7" t="n">
        <v>4698</v>
      </c>
      <c r="G346" s="7" t="n">
        <f aca="false">AVERAGE(E342:E346)</f>
        <v>13308.152</v>
      </c>
      <c r="H346" s="7" t="n">
        <f aca="false">AVERAGE(E337:E346)</f>
        <v>13486.301</v>
      </c>
      <c r="I346" s="7" t="n">
        <f aca="false">AVERAGE(E327:E346)</f>
        <v>13705.955</v>
      </c>
      <c r="J346" s="7" t="n">
        <f aca="false">AVERAGE(E297:E346)</f>
        <v>13383.1928</v>
      </c>
      <c r="K346" s="7" t="n">
        <f aca="false">AVERAGE(E247:E346)</f>
        <v>13270.2724</v>
      </c>
      <c r="L346" s="7" t="n">
        <f aca="false">AVERAGE(E147:E346)</f>
        <v>12463.65275</v>
      </c>
      <c r="M346" s="7" t="n">
        <f aca="false">I346</f>
        <v>13705.955</v>
      </c>
      <c r="N346" s="7" t="n">
        <f aca="false">I346+2*STDEV(E327:E346)</f>
        <v>14314.2483314048</v>
      </c>
      <c r="O346" s="7" t="n">
        <f aca="false">I346-2*STDEV(E327:E346)</f>
        <v>13097.6616685952</v>
      </c>
      <c r="P346" s="7" t="n">
        <f aca="false">MAX(E346-E345,0)</f>
        <v>107.52</v>
      </c>
      <c r="Q346" s="7" t="n">
        <f aca="false">MAX(E345-E346,0)</f>
        <v>0</v>
      </c>
      <c r="R346" s="7" t="n">
        <f aca="false">(R345*13+P346)/14</f>
        <v>53.2680471285193</v>
      </c>
      <c r="S346" s="7" t="n">
        <f aca="false">(S345*13+Q346)/14</f>
        <v>87.2400954721708</v>
      </c>
      <c r="T346" s="7" t="n">
        <f aca="false">IF(S346=0,100,100-100/(1+R346/S346))</f>
        <v>37.9110036917232</v>
      </c>
      <c r="U346" s="7" t="n">
        <f aca="false">E346*2/13+U345*11/13</f>
        <v>13468.685428175</v>
      </c>
      <c r="V346" s="7" t="n">
        <f aca="false">E346*2/27+V345*25/27</f>
        <v>13551.9387013379</v>
      </c>
      <c r="W346" s="7" t="n">
        <f aca="false">U346-V346</f>
        <v>-83.2532731629581</v>
      </c>
      <c r="X346" s="7" t="n">
        <f aca="false">W346*2/10+X345*8/10</f>
        <v>27.5623827712023</v>
      </c>
      <c r="Y346" s="7" t="n">
        <f aca="false">W346-X346</f>
        <v>-110.81565593416</v>
      </c>
      <c r="Z346" s="7" t="s">
        <v>78</v>
      </c>
      <c r="AA346" s="7" t="str">
        <f aca="false">IFERROR(INDEX(02_轉折點45!B:B,MATCH(A346,02_轉折點45!A:A,0)),"")</f>
        <v/>
      </c>
      <c r="AB346" s="7" t="n">
        <f aca="false">COUNTIFS(05_訊號明細!A:A,A346,05_訊號明細!C:C,"TOP")</f>
        <v>0</v>
      </c>
      <c r="AC346" s="7" t="n">
        <f aca="false">COUNTIFS(05_訊號明細!A:A,A346,05_訊號明細!C:C,"BOTTOM")</f>
        <v>0</v>
      </c>
    </row>
    <row r="347" customFormat="false" ht="15" hidden="false" customHeight="false" outlineLevel="0" collapsed="false">
      <c r="A347" s="7" t="s">
        <v>388</v>
      </c>
      <c r="B347" s="7" t="n">
        <v>13238.99</v>
      </c>
      <c r="C347" s="7" t="n">
        <v>13430</v>
      </c>
      <c r="D347" s="7" t="n">
        <v>13220.19</v>
      </c>
      <c r="E347" s="7" t="n">
        <v>13393.12</v>
      </c>
      <c r="F347" s="7" t="n">
        <v>4023</v>
      </c>
      <c r="G347" s="7" t="n">
        <f aca="false">AVERAGE(E343:E347)</f>
        <v>13242.85</v>
      </c>
      <c r="H347" s="7" t="n">
        <f aca="false">AVERAGE(E338:E347)</f>
        <v>13439.537</v>
      </c>
      <c r="I347" s="7" t="n">
        <f aca="false">AVERAGE(E328:E347)</f>
        <v>13673.5155</v>
      </c>
      <c r="J347" s="7" t="n">
        <f aca="false">AVERAGE(E298:E347)</f>
        <v>13401.7752</v>
      </c>
      <c r="K347" s="7" t="n">
        <f aca="false">AVERAGE(E248:E347)</f>
        <v>13276.8218</v>
      </c>
      <c r="L347" s="7" t="n">
        <f aca="false">AVERAGE(E148:E347)</f>
        <v>12477.30345</v>
      </c>
      <c r="M347" s="7" t="n">
        <f aca="false">I347</f>
        <v>13673.5155</v>
      </c>
      <c r="N347" s="7" t="n">
        <f aca="false">I347+2*STDEV(E328:E347)</f>
        <v>14275.5387978347</v>
      </c>
      <c r="O347" s="7" t="n">
        <f aca="false">I347-2*STDEV(E328:E347)</f>
        <v>13071.4922021653</v>
      </c>
      <c r="P347" s="7" t="n">
        <f aca="false">MAX(E347-E346,0)</f>
        <v>283.970000000001</v>
      </c>
      <c r="Q347" s="7" t="n">
        <f aca="false">MAX(E346-E347,0)</f>
        <v>0</v>
      </c>
      <c r="R347" s="7" t="n">
        <f aca="false">(R346*13+P347)/14</f>
        <v>69.7467580479109</v>
      </c>
      <c r="S347" s="7" t="n">
        <f aca="false">(S346*13+Q347)/14</f>
        <v>81.0086600813015</v>
      </c>
      <c r="T347" s="7" t="n">
        <f aca="false">IF(S347=0,100,100-100/(1+R347/S347))</f>
        <v>46.2648433558328</v>
      </c>
      <c r="U347" s="7" t="n">
        <f aca="false">E347*2/13+U346*11/13</f>
        <v>13457.0599776865</v>
      </c>
      <c r="V347" s="7" t="n">
        <f aca="false">E347*2/27+V346*25/27</f>
        <v>13540.1743530907</v>
      </c>
      <c r="W347" s="7" t="n">
        <f aca="false">U347-V347</f>
        <v>-83.1143754041623</v>
      </c>
      <c r="X347" s="7" t="n">
        <f aca="false">W347*2/10+X346*8/10</f>
        <v>5.42703113612936</v>
      </c>
      <c r="Y347" s="7" t="n">
        <f aca="false">W347-X347</f>
        <v>-88.5414065402916</v>
      </c>
      <c r="Z347" s="8" t="s">
        <v>42</v>
      </c>
      <c r="AA347" s="7" t="str">
        <f aca="false">IFERROR(INDEX(02_轉折點45!B:B,MATCH(A347,02_轉折點45!A:A,0)),"")</f>
        <v/>
      </c>
      <c r="AB347" s="7" t="n">
        <f aca="false">COUNTIFS(05_訊號明細!A:A,A347,05_訊號明細!C:C,"TOP")</f>
        <v>1</v>
      </c>
      <c r="AC347" s="7" t="n">
        <f aca="false">COUNTIFS(05_訊號明細!A:A,A347,05_訊號明細!C:C,"BOTTOM")</f>
        <v>1</v>
      </c>
    </row>
    <row r="348" customFormat="false" ht="15" hidden="false" customHeight="false" outlineLevel="0" collapsed="false">
      <c r="A348" s="7" t="s">
        <v>389</v>
      </c>
      <c r="B348" s="7" t="n">
        <v>13329.86</v>
      </c>
      <c r="C348" s="7" t="n">
        <v>13350.14</v>
      </c>
      <c r="D348" s="7" t="n">
        <v>13196.57</v>
      </c>
      <c r="E348" s="7" t="n">
        <v>13312.91</v>
      </c>
      <c r="F348" s="7" t="n">
        <v>3998</v>
      </c>
      <c r="G348" s="7" t="n">
        <f aca="false">AVERAGE(E344:E348)</f>
        <v>13233.616</v>
      </c>
      <c r="H348" s="7" t="n">
        <f aca="false">AVERAGE(E339:E348)</f>
        <v>13390.856</v>
      </c>
      <c r="I348" s="7" t="n">
        <f aca="false">AVERAGE(E329:E348)</f>
        <v>13643.7775</v>
      </c>
      <c r="J348" s="7" t="n">
        <f aca="false">AVERAGE(E299:E348)</f>
        <v>13414.6632</v>
      </c>
      <c r="K348" s="7" t="n">
        <f aca="false">AVERAGE(E249:E348)</f>
        <v>13283.0483</v>
      </c>
      <c r="L348" s="7" t="n">
        <f aca="false">AVERAGE(E149:E348)</f>
        <v>12490.29045</v>
      </c>
      <c r="M348" s="7" t="n">
        <f aca="false">I348</f>
        <v>13643.7775</v>
      </c>
      <c r="N348" s="7" t="n">
        <f aca="false">I348+2*STDEV(E329:E348)</f>
        <v>14255.7756538973</v>
      </c>
      <c r="O348" s="7" t="n">
        <f aca="false">I348-2*STDEV(E329:E348)</f>
        <v>13031.7793461027</v>
      </c>
      <c r="P348" s="7" t="n">
        <f aca="false">MAX(E348-E347,0)</f>
        <v>0</v>
      </c>
      <c r="Q348" s="7" t="n">
        <f aca="false">MAX(E347-E348,0)</f>
        <v>80.210000000001</v>
      </c>
      <c r="R348" s="7" t="n">
        <f aca="false">(R347*13+P348)/14</f>
        <v>64.7648467587744</v>
      </c>
      <c r="S348" s="7" t="n">
        <f aca="false">(S347*13+Q348)/14</f>
        <v>80.9516129326372</v>
      </c>
      <c r="T348" s="7" t="n">
        <f aca="false">IF(S348=0,100,100-100/(1+R348/S348))</f>
        <v>44.4458003549695</v>
      </c>
      <c r="U348" s="7" t="n">
        <f aca="false">E348*2/13+U347*11/13</f>
        <v>13434.8830580424</v>
      </c>
      <c r="V348" s="7" t="n">
        <f aca="false">E348*2/27+V347*25/27</f>
        <v>13523.3399565655</v>
      </c>
      <c r="W348" s="7" t="n">
        <f aca="false">U348-V348</f>
        <v>-88.4568985230089</v>
      </c>
      <c r="X348" s="7" t="n">
        <f aca="false">W348*2/10+X347*8/10</f>
        <v>-13.3497547956983</v>
      </c>
      <c r="Y348" s="7" t="n">
        <f aca="false">W348-X348</f>
        <v>-75.1071437273106</v>
      </c>
      <c r="Z348" s="8" t="s">
        <v>42</v>
      </c>
      <c r="AA348" s="7" t="str">
        <f aca="false">IFERROR(INDEX(02_轉折點45!B:B,MATCH(A348,02_轉折點45!A:A,0)),"")</f>
        <v/>
      </c>
      <c r="AB348" s="7" t="n">
        <f aca="false">COUNTIFS(05_訊號明細!A:A,A348,05_訊號明細!C:C,"TOP")</f>
        <v>0</v>
      </c>
      <c r="AC348" s="7" t="n">
        <f aca="false">COUNTIFS(05_訊號明細!A:A,A348,05_訊號明細!C:C,"BOTTOM")</f>
        <v>0</v>
      </c>
    </row>
    <row r="349" customFormat="false" ht="15" hidden="false" customHeight="false" outlineLevel="0" collapsed="false">
      <c r="A349" s="7" t="s">
        <v>390</v>
      </c>
      <c r="B349" s="7" t="n">
        <v>13352.26</v>
      </c>
      <c r="C349" s="7" t="n">
        <v>13400.52</v>
      </c>
      <c r="D349" s="7" t="n">
        <v>13212.85</v>
      </c>
      <c r="E349" s="7" t="n">
        <v>13217.68</v>
      </c>
      <c r="F349" s="7" t="n">
        <v>4301</v>
      </c>
      <c r="G349" s="7" t="n">
        <f aca="false">AVERAGE(E345:E349)</f>
        <v>13206.898</v>
      </c>
      <c r="H349" s="7" t="n">
        <f aca="false">AVERAGE(E340:E349)</f>
        <v>13358.157</v>
      </c>
      <c r="I349" s="7" t="n">
        <f aca="false">AVERAGE(E330:E349)</f>
        <v>13614.1965</v>
      </c>
      <c r="J349" s="7" t="n">
        <f aca="false">AVERAGE(E300:E349)</f>
        <v>13433.0352</v>
      </c>
      <c r="K349" s="7" t="n">
        <f aca="false">AVERAGE(E250:E349)</f>
        <v>13288.0495</v>
      </c>
      <c r="L349" s="7" t="n">
        <f aca="false">AVERAGE(E150:E349)</f>
        <v>12501.84945</v>
      </c>
      <c r="M349" s="7" t="n">
        <f aca="false">I349</f>
        <v>13614.1965</v>
      </c>
      <c r="N349" s="7" t="n">
        <f aca="false">I349+2*STDEV(E330:E349)</f>
        <v>14249.2653213108</v>
      </c>
      <c r="O349" s="7" t="n">
        <f aca="false">I349-2*STDEV(E330:E349)</f>
        <v>12979.1276786892</v>
      </c>
      <c r="P349" s="7" t="n">
        <f aca="false">MAX(E349-E348,0)</f>
        <v>0</v>
      </c>
      <c r="Q349" s="7" t="n">
        <f aca="false">MAX(E348-E349,0)</f>
        <v>95.2299999999996</v>
      </c>
      <c r="R349" s="7" t="n">
        <f aca="false">(R348*13+P349)/14</f>
        <v>60.1387862760048</v>
      </c>
      <c r="S349" s="7" t="n">
        <f aca="false">(S348*13+Q349)/14</f>
        <v>81.9714977231631</v>
      </c>
      <c r="T349" s="7" t="n">
        <f aca="false">IF(S349=0,100,100-100/(1+R349/S349))</f>
        <v>42.3183914517805</v>
      </c>
      <c r="U349" s="7" t="n">
        <f aca="false">E349*2/13+U348*11/13</f>
        <v>13401.467202959</v>
      </c>
      <c r="V349" s="7" t="n">
        <f aca="false">E349*2/27+V348*25/27</f>
        <v>13500.6984783013</v>
      </c>
      <c r="W349" s="7" t="n">
        <f aca="false">U349-V349</f>
        <v>-99.2312753423539</v>
      </c>
      <c r="X349" s="7" t="n">
        <f aca="false">W349*2/10+X348*8/10</f>
        <v>-30.5260589050294</v>
      </c>
      <c r="Y349" s="7" t="n">
        <f aca="false">W349-X349</f>
        <v>-68.7052164373245</v>
      </c>
      <c r="Z349" s="8" t="s">
        <v>42</v>
      </c>
      <c r="AA349" s="7" t="str">
        <f aca="false">IFERROR(INDEX(02_轉折點45!B:B,MATCH(A349,02_轉折點45!A:A,0)),"")</f>
        <v/>
      </c>
      <c r="AB349" s="7" t="n">
        <f aca="false">COUNTIFS(05_訊號明細!A:A,A349,05_訊號明細!C:C,"TOP")</f>
        <v>0</v>
      </c>
      <c r="AC349" s="7" t="n">
        <f aca="false">COUNTIFS(05_訊號明細!A:A,A349,05_訊號明細!C:C,"BOTTOM")</f>
        <v>0</v>
      </c>
    </row>
    <row r="350" customFormat="false" ht="15" hidden="false" customHeight="false" outlineLevel="0" collapsed="false">
      <c r="A350" s="7" t="s">
        <v>391</v>
      </c>
      <c r="B350" s="7" t="n">
        <v>12998.53</v>
      </c>
      <c r="C350" s="7" t="n">
        <v>13243.98</v>
      </c>
      <c r="D350" s="7" t="n">
        <v>12994.35</v>
      </c>
      <c r="E350" s="7" t="n">
        <v>13237.91</v>
      </c>
      <c r="F350" s="7" t="n">
        <v>4334</v>
      </c>
      <c r="G350" s="7" t="n">
        <f aca="false">AVERAGE(E346:E350)</f>
        <v>13254.154</v>
      </c>
      <c r="H350" s="7" t="n">
        <f aca="false">AVERAGE(E341:E350)</f>
        <v>13331.611</v>
      </c>
      <c r="I350" s="7" t="n">
        <f aca="false">AVERAGE(E331:E350)</f>
        <v>13579.3345</v>
      </c>
      <c r="J350" s="7" t="n">
        <f aca="false">AVERAGE(E301:E350)</f>
        <v>13441.9036</v>
      </c>
      <c r="K350" s="7" t="n">
        <f aca="false">AVERAGE(E251:E350)</f>
        <v>13293.8972</v>
      </c>
      <c r="L350" s="7" t="n">
        <f aca="false">AVERAGE(E151:E350)</f>
        <v>12512.7636</v>
      </c>
      <c r="M350" s="7" t="n">
        <f aca="false">I350</f>
        <v>13579.3345</v>
      </c>
      <c r="N350" s="7" t="n">
        <f aca="false">I350+2*STDEV(E331:E350)</f>
        <v>14216.7647252168</v>
      </c>
      <c r="O350" s="7" t="n">
        <f aca="false">I350-2*STDEV(E331:E350)</f>
        <v>12941.9042747832</v>
      </c>
      <c r="P350" s="7" t="n">
        <f aca="false">MAX(E350-E349,0)</f>
        <v>20.2299999999996</v>
      </c>
      <c r="Q350" s="7" t="n">
        <f aca="false">MAX(E349-E350,0)</f>
        <v>0</v>
      </c>
      <c r="R350" s="7" t="n">
        <f aca="false">(R349*13+P350)/14</f>
        <v>57.2881586848616</v>
      </c>
      <c r="S350" s="7" t="n">
        <f aca="false">(S349*13+Q350)/14</f>
        <v>76.1163907429371</v>
      </c>
      <c r="T350" s="7" t="n">
        <f aca="false">IF(S350=0,100,100-100/(1+R350/S350))</f>
        <v>42.9431821707603</v>
      </c>
      <c r="U350" s="7" t="n">
        <f aca="false">E350*2/13+U349*11/13</f>
        <v>13376.3045563499</v>
      </c>
      <c r="V350" s="7" t="n">
        <f aca="false">E350*2/27+V349*25/27</f>
        <v>13481.2326650938</v>
      </c>
      <c r="W350" s="7" t="n">
        <f aca="false">U350-V350</f>
        <v>-104.928108743925</v>
      </c>
      <c r="X350" s="7" t="n">
        <f aca="false">W350*2/10+X349*8/10</f>
        <v>-45.4064688728085</v>
      </c>
      <c r="Y350" s="7" t="n">
        <f aca="false">W350-X350</f>
        <v>-59.5216398711164</v>
      </c>
      <c r="Z350" s="8" t="s">
        <v>42</v>
      </c>
      <c r="AA350" s="7" t="str">
        <f aca="false">IFERROR(INDEX(02_轉折點45!B:B,MATCH(A350,02_轉折點45!A:A,0)),"")</f>
        <v/>
      </c>
      <c r="AB350" s="7" t="n">
        <f aca="false">COUNTIFS(05_訊號明細!A:A,A350,05_訊號明細!C:C,"TOP")</f>
        <v>1</v>
      </c>
      <c r="AC350" s="7" t="n">
        <f aca="false">COUNTIFS(05_訊號明細!A:A,A350,05_訊號明細!C:C,"BOTTOM")</f>
        <v>0</v>
      </c>
    </row>
    <row r="351" customFormat="false" ht="15" hidden="false" customHeight="false" outlineLevel="0" collapsed="false">
      <c r="A351" s="7" t="s">
        <v>392</v>
      </c>
      <c r="B351" s="7" t="n">
        <v>13294.59</v>
      </c>
      <c r="C351" s="7" t="n">
        <v>13526.01</v>
      </c>
      <c r="D351" s="7" t="n">
        <v>13293.1</v>
      </c>
      <c r="E351" s="7" t="n">
        <v>13494.09</v>
      </c>
      <c r="F351" s="7" t="n">
        <v>3991</v>
      </c>
      <c r="G351" s="7" t="n">
        <f aca="false">AVERAGE(E347:E351)</f>
        <v>13331.142</v>
      </c>
      <c r="H351" s="7" t="n">
        <f aca="false">AVERAGE(E342:E351)</f>
        <v>13319.647</v>
      </c>
      <c r="I351" s="7" t="n">
        <f aca="false">AVERAGE(E332:E351)</f>
        <v>13565.921</v>
      </c>
      <c r="J351" s="7" t="n">
        <f aca="false">AVERAGE(E302:E351)</f>
        <v>13456.744</v>
      </c>
      <c r="K351" s="7" t="n">
        <f aca="false">AVERAGE(E252:E351)</f>
        <v>13301.728</v>
      </c>
      <c r="L351" s="7" t="n">
        <f aca="false">AVERAGE(E152:E351)</f>
        <v>12524.75135</v>
      </c>
      <c r="M351" s="7" t="n">
        <f aca="false">I351</f>
        <v>13565.921</v>
      </c>
      <c r="N351" s="7" t="n">
        <f aca="false">I351+2*STDEV(E332:E351)</f>
        <v>14198.40598856</v>
      </c>
      <c r="O351" s="7" t="n">
        <f aca="false">I351-2*STDEV(E332:E351)</f>
        <v>12933.43601144</v>
      </c>
      <c r="P351" s="7" t="n">
        <f aca="false">MAX(E351-E350,0)</f>
        <v>256.18</v>
      </c>
      <c r="Q351" s="7" t="n">
        <f aca="false">MAX(E350-E351,0)</f>
        <v>0</v>
      </c>
      <c r="R351" s="7" t="n">
        <f aca="false">(R350*13+P351)/14</f>
        <v>71.4947187788001</v>
      </c>
      <c r="S351" s="7" t="n">
        <f aca="false">(S350*13+Q351)/14</f>
        <v>70.6795056898702</v>
      </c>
      <c r="T351" s="7" t="n">
        <f aca="false">IF(S351=0,100,100-100/(1+R351/S351))</f>
        <v>50.286695106647</v>
      </c>
      <c r="U351" s="7" t="n">
        <f aca="false">E351*2/13+U350*11/13</f>
        <v>13394.4253938345</v>
      </c>
      <c r="V351" s="7" t="n">
        <f aca="false">E351*2/27+V350*25/27</f>
        <v>13482.1850602721</v>
      </c>
      <c r="W351" s="7" t="n">
        <f aca="false">U351-V351</f>
        <v>-87.7596664375305</v>
      </c>
      <c r="X351" s="7" t="n">
        <f aca="false">W351*2/10+X350*8/10</f>
        <v>-53.8771083857529</v>
      </c>
      <c r="Y351" s="7" t="n">
        <f aca="false">W351-X351</f>
        <v>-33.8825580517776</v>
      </c>
      <c r="Z351" s="8" t="s">
        <v>42</v>
      </c>
      <c r="AA351" s="7" t="str">
        <f aca="false">IFERROR(INDEX(02_轉折點45!B:B,MATCH(A351,02_轉折點45!A:A,0)),"")</f>
        <v/>
      </c>
      <c r="AB351" s="7" t="n">
        <f aca="false">COUNTIFS(05_訊號明細!A:A,A351,05_訊號明細!C:C,"TOP")</f>
        <v>1</v>
      </c>
      <c r="AC351" s="7" t="n">
        <f aca="false">COUNTIFS(05_訊號明細!A:A,A351,05_訊號明細!C:C,"BOTTOM")</f>
        <v>0</v>
      </c>
    </row>
    <row r="352" customFormat="false" ht="15" hidden="false" customHeight="false" outlineLevel="0" collapsed="false">
      <c r="A352" s="7" t="s">
        <v>393</v>
      </c>
      <c r="B352" s="7" t="n">
        <v>13573.22</v>
      </c>
      <c r="C352" s="7" t="n">
        <v>13573.84</v>
      </c>
      <c r="D352" s="7" t="n">
        <v>13401.53</v>
      </c>
      <c r="E352" s="7" t="n">
        <v>13411.74</v>
      </c>
      <c r="F352" s="7" t="n">
        <v>3734</v>
      </c>
      <c r="G352" s="7" t="n">
        <f aca="false">AVERAGE(E348:E352)</f>
        <v>13334.866</v>
      </c>
      <c r="H352" s="7" t="n">
        <f aca="false">AVERAGE(E343:E352)</f>
        <v>13288.858</v>
      </c>
      <c r="I352" s="7" t="n">
        <f aca="false">AVERAGE(E333:E352)</f>
        <v>13539.436</v>
      </c>
      <c r="J352" s="7" t="n">
        <f aca="false">AVERAGE(E303:E352)</f>
        <v>13463.9208</v>
      </c>
      <c r="K352" s="7" t="n">
        <f aca="false">AVERAGE(E253:E352)</f>
        <v>13307.4568</v>
      </c>
      <c r="L352" s="7" t="n">
        <f aca="false">AVERAGE(E153:E352)</f>
        <v>12536.18285</v>
      </c>
      <c r="M352" s="7" t="n">
        <f aca="false">I352</f>
        <v>13539.436</v>
      </c>
      <c r="N352" s="7" t="n">
        <f aca="false">I352+2*STDEV(E333:E352)</f>
        <v>14149.6827396545</v>
      </c>
      <c r="O352" s="7" t="n">
        <f aca="false">I352-2*STDEV(E333:E352)</f>
        <v>12929.1892603455</v>
      </c>
      <c r="P352" s="7" t="n">
        <f aca="false">MAX(E352-E351,0)</f>
        <v>0</v>
      </c>
      <c r="Q352" s="7" t="n">
        <f aca="false">MAX(E351-E352,0)</f>
        <v>82.3500000000004</v>
      </c>
      <c r="R352" s="7" t="n">
        <f aca="false">(R351*13+P352)/14</f>
        <v>66.3879531517429</v>
      </c>
      <c r="S352" s="7" t="n">
        <f aca="false">(S351*13+Q352)/14</f>
        <v>71.5131124263081</v>
      </c>
      <c r="T352" s="7" t="n">
        <f aca="false">IF(S352=0,100,100-100/(1+R352/S352))</f>
        <v>48.1417260073076</v>
      </c>
      <c r="U352" s="7" t="n">
        <f aca="false">E352*2/13+U351*11/13</f>
        <v>13397.0891793985</v>
      </c>
      <c r="V352" s="7" t="n">
        <f aca="false">E352*2/27+V351*25/27</f>
        <v>13476.9669076593</v>
      </c>
      <c r="W352" s="7" t="n">
        <f aca="false">U352-V352</f>
        <v>-79.8777282608698</v>
      </c>
      <c r="X352" s="7" t="n">
        <f aca="false">W352*2/10+X351*8/10</f>
        <v>-59.0772323607763</v>
      </c>
      <c r="Y352" s="7" t="n">
        <f aca="false">W352-X352</f>
        <v>-20.8004959000935</v>
      </c>
      <c r="Z352" s="8" t="s">
        <v>42</v>
      </c>
      <c r="AA352" s="7" t="str">
        <f aca="false">IFERROR(INDEX(02_轉折點45!B:B,MATCH(A352,02_轉折點45!A:A,0)),"")</f>
        <v/>
      </c>
      <c r="AB352" s="7" t="n">
        <f aca="false">COUNTIFS(05_訊號明細!A:A,A352,05_訊號明細!C:C,"TOP")</f>
        <v>0</v>
      </c>
      <c r="AC352" s="7" t="n">
        <f aca="false">COUNTIFS(05_訊號明細!A:A,A352,05_訊號明細!C:C,"BOTTOM")</f>
        <v>0</v>
      </c>
    </row>
    <row r="353" customFormat="false" ht="15" hidden="false" customHeight="false" outlineLevel="0" collapsed="false">
      <c r="A353" s="7" t="s">
        <v>394</v>
      </c>
      <c r="B353" s="7" t="n">
        <v>13504.39</v>
      </c>
      <c r="C353" s="7" t="n">
        <v>13687.61</v>
      </c>
      <c r="D353" s="7" t="n">
        <v>13500.12</v>
      </c>
      <c r="E353" s="7" t="n">
        <v>13641.75</v>
      </c>
      <c r="F353" s="7" t="n">
        <v>3509</v>
      </c>
      <c r="G353" s="7" t="n">
        <f aca="false">AVERAGE(E349:E353)</f>
        <v>13400.634</v>
      </c>
      <c r="H353" s="7" t="n">
        <f aca="false">AVERAGE(E344:E353)</f>
        <v>13317.125</v>
      </c>
      <c r="I353" s="7" t="n">
        <f aca="false">AVERAGE(E334:E353)</f>
        <v>13520.2155</v>
      </c>
      <c r="J353" s="7" t="n">
        <f aca="false">AVERAGE(E304:E353)</f>
        <v>13478.01</v>
      </c>
      <c r="K353" s="7" t="n">
        <f aca="false">AVERAGE(E254:E353)</f>
        <v>13315.4394</v>
      </c>
      <c r="L353" s="7" t="n">
        <f aca="false">AVERAGE(E154:E353)</f>
        <v>12548.0562</v>
      </c>
      <c r="M353" s="7" t="n">
        <f aca="false">I353</f>
        <v>13520.2155</v>
      </c>
      <c r="N353" s="7" t="n">
        <f aca="false">I353+2*STDEV(E334:E353)</f>
        <v>14088.7009292434</v>
      </c>
      <c r="O353" s="7" t="n">
        <f aca="false">I353-2*STDEV(E334:E353)</f>
        <v>12951.7300707566</v>
      </c>
      <c r="P353" s="7" t="n">
        <f aca="false">MAX(E353-E352,0)</f>
        <v>230.01</v>
      </c>
      <c r="Q353" s="7" t="n">
        <f aca="false">MAX(E352-E353,0)</f>
        <v>0</v>
      </c>
      <c r="R353" s="7" t="n">
        <f aca="false">(R352*13+P353)/14</f>
        <v>78.0752422123327</v>
      </c>
      <c r="S353" s="7" t="n">
        <f aca="false">(S352*13+Q353)/14</f>
        <v>66.4050329672861</v>
      </c>
      <c r="T353" s="7" t="n">
        <f aca="false">IF(S353=0,100,100-100/(1+R353/S353))</f>
        <v>54.0386859834459</v>
      </c>
      <c r="U353" s="7" t="n">
        <f aca="false">E353*2/13+U352*11/13</f>
        <v>13434.7293056449</v>
      </c>
      <c r="V353" s="7" t="n">
        <f aca="false">E353*2/27+V352*25/27</f>
        <v>13489.1730626475</v>
      </c>
      <c r="W353" s="7" t="n">
        <f aca="false">U353-V353</f>
        <v>-54.4437570026767</v>
      </c>
      <c r="X353" s="7" t="n">
        <f aca="false">W353*2/10+X352*8/10</f>
        <v>-58.1505372891564</v>
      </c>
      <c r="Y353" s="7" t="n">
        <f aca="false">W353-X353</f>
        <v>3.70678028647973</v>
      </c>
      <c r="Z353" s="8" t="s">
        <v>42</v>
      </c>
      <c r="AA353" s="7" t="str">
        <f aca="false">IFERROR(INDEX(02_轉折點45!B:B,MATCH(A353,02_轉折點45!A:A,0)),"")</f>
        <v/>
      </c>
      <c r="AB353" s="7" t="n">
        <f aca="false">COUNTIFS(05_訊號明細!A:A,A353,05_訊號明細!C:C,"TOP")</f>
        <v>0</v>
      </c>
      <c r="AC353" s="7" t="n">
        <f aca="false">COUNTIFS(05_訊號明細!A:A,A353,05_訊號明細!C:C,"BOTTOM")</f>
        <v>0</v>
      </c>
    </row>
    <row r="354" customFormat="false" ht="15" hidden="false" customHeight="false" outlineLevel="0" collapsed="false">
      <c r="A354" s="7" t="s">
        <v>395</v>
      </c>
      <c r="B354" s="7" t="n">
        <v>13701.3</v>
      </c>
      <c r="C354" s="7" t="n">
        <v>13734.41</v>
      </c>
      <c r="D354" s="7" t="n">
        <v>13614.54</v>
      </c>
      <c r="E354" s="7" t="n">
        <v>13657.73</v>
      </c>
      <c r="F354" s="7" t="n">
        <v>4129</v>
      </c>
      <c r="G354" s="7" t="n">
        <f aca="false">AVERAGE(E350:E354)</f>
        <v>13488.644</v>
      </c>
      <c r="H354" s="7" t="n">
        <f aca="false">AVERAGE(E345:E354)</f>
        <v>13347.771</v>
      </c>
      <c r="I354" s="7" t="n">
        <f aca="false">AVERAGE(E335:E354)</f>
        <v>13505.088</v>
      </c>
      <c r="J354" s="7" t="n">
        <f aca="false">AVERAGE(E305:E354)</f>
        <v>13489.5138</v>
      </c>
      <c r="K354" s="7" t="n">
        <f aca="false">AVERAGE(E255:E354)</f>
        <v>13323.5631</v>
      </c>
      <c r="L354" s="7" t="n">
        <f aca="false">AVERAGE(E155:E354)</f>
        <v>12560.6479</v>
      </c>
      <c r="M354" s="7" t="n">
        <f aca="false">I354</f>
        <v>13505.088</v>
      </c>
      <c r="N354" s="7" t="n">
        <f aca="false">I354+2*STDEV(E335:E354)</f>
        <v>14039.3383146653</v>
      </c>
      <c r="O354" s="7" t="n">
        <f aca="false">I354-2*STDEV(E335:E354)</f>
        <v>12970.8376853347</v>
      </c>
      <c r="P354" s="7" t="n">
        <f aca="false">MAX(E354-E353,0)</f>
        <v>15.9799999999996</v>
      </c>
      <c r="Q354" s="7" t="n">
        <f aca="false">MAX(E353-E354,0)</f>
        <v>0</v>
      </c>
      <c r="R354" s="7" t="n">
        <f aca="false">(R353*13+P354)/14</f>
        <v>73.6398677685946</v>
      </c>
      <c r="S354" s="7" t="n">
        <f aca="false">(S353*13+Q354)/14</f>
        <v>61.6618163267656</v>
      </c>
      <c r="T354" s="7" t="n">
        <f aca="false">IF(S354=0,100,100-100/(1+R354/S354))</f>
        <v>54.4264236331999</v>
      </c>
      <c r="U354" s="7" t="n">
        <f aca="false">E354*2/13+U353*11/13</f>
        <v>13469.0371047764</v>
      </c>
      <c r="V354" s="7" t="n">
        <f aca="false">E354*2/27+V353*25/27</f>
        <v>13501.6587617107</v>
      </c>
      <c r="W354" s="7" t="n">
        <f aca="false">U354-V354</f>
        <v>-32.6216569342632</v>
      </c>
      <c r="X354" s="7" t="n">
        <f aca="false">W354*2/10+X353*8/10</f>
        <v>-53.0447612181778</v>
      </c>
      <c r="Y354" s="7" t="n">
        <f aca="false">W354-X354</f>
        <v>20.4231042839145</v>
      </c>
      <c r="Z354" s="8" t="s">
        <v>42</v>
      </c>
      <c r="AA354" s="7" t="str">
        <f aca="false">IFERROR(INDEX(02_轉折點45!B:B,MATCH(A354,02_轉折點45!A:A,0)),"")</f>
        <v/>
      </c>
      <c r="AB354" s="7" t="n">
        <f aca="false">COUNTIFS(05_訊號明細!A:A,A354,05_訊號明細!C:C,"TOP")</f>
        <v>0</v>
      </c>
      <c r="AC354" s="7" t="n">
        <f aca="false">COUNTIFS(05_訊號明細!A:A,A354,05_訊號明細!C:C,"BOTTOM")</f>
        <v>0</v>
      </c>
    </row>
    <row r="355" customFormat="false" ht="15" hidden="false" customHeight="false" outlineLevel="0" collapsed="false">
      <c r="A355" s="7" t="s">
        <v>396</v>
      </c>
      <c r="B355" s="7" t="n">
        <v>13687.71</v>
      </c>
      <c r="C355" s="7" t="n">
        <v>13726.06</v>
      </c>
      <c r="D355" s="7" t="n">
        <v>13661.06</v>
      </c>
      <c r="E355" s="7" t="n">
        <v>13702.74</v>
      </c>
      <c r="F355" s="7" t="n">
        <v>4265</v>
      </c>
      <c r="G355" s="7" t="n">
        <f aca="false">AVERAGE(E351:E355)</f>
        <v>13581.61</v>
      </c>
      <c r="H355" s="7" t="n">
        <f aca="false">AVERAGE(E346:E355)</f>
        <v>13417.882</v>
      </c>
      <c r="I355" s="7" t="n">
        <f aca="false">AVERAGE(E336:E355)</f>
        <v>13495.144</v>
      </c>
      <c r="J355" s="7" t="n">
        <f aca="false">AVERAGE(E306:E355)</f>
        <v>13500.523</v>
      </c>
      <c r="K355" s="7" t="n">
        <f aca="false">AVERAGE(E256:E355)</f>
        <v>13331.7077</v>
      </c>
      <c r="L355" s="7" t="n">
        <f aca="false">AVERAGE(E156:E355)</f>
        <v>12573.73575</v>
      </c>
      <c r="M355" s="7" t="n">
        <f aca="false">I355</f>
        <v>13495.144</v>
      </c>
      <c r="N355" s="7" t="n">
        <f aca="false">I355+2*STDEV(E336:E355)</f>
        <v>14005.1723103143</v>
      </c>
      <c r="O355" s="7" t="n">
        <f aca="false">I355-2*STDEV(E336:E355)</f>
        <v>12985.1156896857</v>
      </c>
      <c r="P355" s="7" t="n">
        <f aca="false">MAX(E355-E354,0)</f>
        <v>45.0100000000002</v>
      </c>
      <c r="Q355" s="7" t="n">
        <f aca="false">MAX(E354-E355,0)</f>
        <v>0</v>
      </c>
      <c r="R355" s="7" t="n">
        <f aca="false">(R354*13+P355)/14</f>
        <v>71.594877213695</v>
      </c>
      <c r="S355" s="7" t="n">
        <f aca="false">(S354*13+Q355)/14</f>
        <v>57.2574008748538</v>
      </c>
      <c r="T355" s="7" t="n">
        <f aca="false">IF(S355=0,100,100-100/(1+R355/S355))</f>
        <v>55.5635323455393</v>
      </c>
      <c r="U355" s="7" t="n">
        <f aca="false">E355*2/13+U354*11/13</f>
        <v>13504.9913963493</v>
      </c>
      <c r="V355" s="7" t="n">
        <f aca="false">E355*2/27+V354*25/27</f>
        <v>13516.5536682506</v>
      </c>
      <c r="W355" s="7" t="n">
        <f aca="false">U355-V355</f>
        <v>-11.56227190135</v>
      </c>
      <c r="X355" s="7" t="n">
        <f aca="false">W355*2/10+X354*8/10</f>
        <v>-44.7482633548122</v>
      </c>
      <c r="Y355" s="7" t="n">
        <f aca="false">W355-X355</f>
        <v>33.1859914534622</v>
      </c>
      <c r="Z355" s="8" t="s">
        <v>42</v>
      </c>
      <c r="AA355" s="7" t="str">
        <f aca="false">IFERROR(INDEX(02_轉折點45!B:B,MATCH(A355,02_轉折點45!A:A,0)),"")</f>
        <v/>
      </c>
      <c r="AB355" s="7" t="n">
        <f aca="false">COUNTIFS(05_訊號明細!A:A,A355,05_訊號明細!C:C,"TOP")</f>
        <v>0</v>
      </c>
      <c r="AC355" s="7" t="n">
        <f aca="false">COUNTIFS(05_訊號明細!A:A,A355,05_訊號明細!C:C,"BOTTOM")</f>
        <v>0</v>
      </c>
    </row>
    <row r="356" customFormat="false" ht="15" hidden="false" customHeight="false" outlineLevel="0" collapsed="false">
      <c r="A356" s="7" t="s">
        <v>397</v>
      </c>
      <c r="B356" s="7" t="n">
        <v>13686.86</v>
      </c>
      <c r="C356" s="7" t="n">
        <v>13724.76</v>
      </c>
      <c r="D356" s="7" t="n">
        <v>13652.13</v>
      </c>
      <c r="E356" s="7" t="n">
        <v>13657.85</v>
      </c>
      <c r="F356" s="7" t="n">
        <v>5087</v>
      </c>
      <c r="G356" s="7" t="n">
        <f aca="false">AVERAGE(E352:E356)</f>
        <v>13614.362</v>
      </c>
      <c r="H356" s="7" t="n">
        <f aca="false">AVERAGE(E347:E356)</f>
        <v>13472.752</v>
      </c>
      <c r="I356" s="7" t="n">
        <f aca="false">AVERAGE(E337:E356)</f>
        <v>13479.5265</v>
      </c>
      <c r="J356" s="7" t="n">
        <f aca="false">AVERAGE(E307:E356)</f>
        <v>13509.6324</v>
      </c>
      <c r="K356" s="7" t="n">
        <f aca="false">AVERAGE(E257:E356)</f>
        <v>13341.3396</v>
      </c>
      <c r="L356" s="7" t="n">
        <f aca="false">AVERAGE(E157:E356)</f>
        <v>12587.6446</v>
      </c>
      <c r="M356" s="7" t="n">
        <f aca="false">I356</f>
        <v>13479.5265</v>
      </c>
      <c r="N356" s="7" t="n">
        <f aca="false">I356+2*STDEV(E337:E356)</f>
        <v>13945.5351017853</v>
      </c>
      <c r="O356" s="7" t="n">
        <f aca="false">I356-2*STDEV(E337:E356)</f>
        <v>13013.5178982147</v>
      </c>
      <c r="P356" s="7" t="n">
        <f aca="false">MAX(E356-E355,0)</f>
        <v>0</v>
      </c>
      <c r="Q356" s="7" t="n">
        <f aca="false">MAX(E355-E356,0)</f>
        <v>44.8899999999994</v>
      </c>
      <c r="R356" s="7" t="n">
        <f aca="false">(R355*13+P356)/14</f>
        <v>66.4809574127168</v>
      </c>
      <c r="S356" s="7" t="n">
        <f aca="false">(S355*13+Q356)/14</f>
        <v>56.3740150980785</v>
      </c>
      <c r="T356" s="7" t="n">
        <f aca="false">IF(S356=0,100,100-100/(1+R356/S356))</f>
        <v>54.113363141956</v>
      </c>
      <c r="U356" s="7" t="n">
        <f aca="false">E356*2/13+U355*11/13</f>
        <v>13528.5081046032</v>
      </c>
      <c r="V356" s="7" t="n">
        <f aca="false">E356*2/27+V355*25/27</f>
        <v>13527.020063195</v>
      </c>
      <c r="W356" s="7" t="n">
        <f aca="false">U356-V356</f>
        <v>1.48804140820903</v>
      </c>
      <c r="X356" s="7" t="n">
        <f aca="false">W356*2/10+X355*8/10</f>
        <v>-35.5010024022079</v>
      </c>
      <c r="Y356" s="7" t="n">
        <f aca="false">W356-X356</f>
        <v>36.989043810417</v>
      </c>
      <c r="Z356" s="8" t="s">
        <v>42</v>
      </c>
      <c r="AA356" s="7" t="str">
        <f aca="false">IFERROR(INDEX(02_轉折點45!B:B,MATCH(A356,02_轉折點45!A:A,0)),"")</f>
        <v/>
      </c>
      <c r="AB356" s="7" t="n">
        <f aca="false">COUNTIFS(05_訊號明細!A:A,A356,05_訊號明細!C:C,"TOP")</f>
        <v>0</v>
      </c>
      <c r="AC356" s="7" t="n">
        <f aca="false">COUNTIFS(05_訊號明細!A:A,A356,05_訊號明細!C:C,"BOTTOM")</f>
        <v>0</v>
      </c>
    </row>
    <row r="357" customFormat="false" ht="15" hidden="false" customHeight="false" outlineLevel="0" collapsed="false">
      <c r="A357" s="7" t="s">
        <v>398</v>
      </c>
      <c r="B357" s="7" t="n">
        <v>13717</v>
      </c>
      <c r="C357" s="7" t="n">
        <v>13765.8</v>
      </c>
      <c r="D357" s="7" t="n">
        <v>13684.83</v>
      </c>
      <c r="E357" s="7" t="n">
        <v>13686.51</v>
      </c>
      <c r="F357" s="7" t="n">
        <v>4448</v>
      </c>
      <c r="G357" s="7" t="n">
        <f aca="false">AVERAGE(E353:E357)</f>
        <v>13669.316</v>
      </c>
      <c r="H357" s="7" t="n">
        <f aca="false">AVERAGE(E348:E357)</f>
        <v>13502.091</v>
      </c>
      <c r="I357" s="7" t="n">
        <f aca="false">AVERAGE(E338:E357)</f>
        <v>13470.814</v>
      </c>
      <c r="J357" s="7" t="n">
        <f aca="false">AVERAGE(E308:E357)</f>
        <v>13527.5798</v>
      </c>
      <c r="K357" s="7" t="n">
        <f aca="false">AVERAGE(E258:E357)</f>
        <v>13350.1809</v>
      </c>
      <c r="L357" s="7" t="n">
        <f aca="false">AVERAGE(E158:E357)</f>
        <v>12600.28855</v>
      </c>
      <c r="M357" s="7" t="n">
        <f aca="false">I357</f>
        <v>13470.814</v>
      </c>
      <c r="N357" s="7" t="n">
        <f aca="false">I357+2*STDEV(E338:E357)</f>
        <v>13912.7032728847</v>
      </c>
      <c r="O357" s="7" t="n">
        <f aca="false">I357-2*STDEV(E338:E357)</f>
        <v>13028.9247271154</v>
      </c>
      <c r="P357" s="7" t="n">
        <f aca="false">MAX(E357-E356,0)</f>
        <v>28.6599999999999</v>
      </c>
      <c r="Q357" s="7" t="n">
        <f aca="false">MAX(E356-E357,0)</f>
        <v>0</v>
      </c>
      <c r="R357" s="7" t="n">
        <f aca="false">(R356*13+P357)/14</f>
        <v>63.7794604546656</v>
      </c>
      <c r="S357" s="7" t="n">
        <f aca="false">(S356*13+Q357)/14</f>
        <v>52.34729973393</v>
      </c>
      <c r="T357" s="7" t="n">
        <f aca="false">IF(S357=0,100,100-100/(1+R357/S357))</f>
        <v>54.9222766148686</v>
      </c>
      <c r="U357" s="7" t="n">
        <f aca="false">E357*2/13+U356*11/13</f>
        <v>13552.8160885104</v>
      </c>
      <c r="V357" s="7" t="n">
        <f aca="false">E357*2/27+V356*25/27</f>
        <v>13538.834132588</v>
      </c>
      <c r="W357" s="7" t="n">
        <f aca="false">U357-V357</f>
        <v>13.9819559224416</v>
      </c>
      <c r="X357" s="7" t="n">
        <f aca="false">W357*2/10+X356*8/10</f>
        <v>-25.604410737278</v>
      </c>
      <c r="Y357" s="7" t="n">
        <f aca="false">W357-X357</f>
        <v>39.5863666597196</v>
      </c>
      <c r="Z357" s="8" t="s">
        <v>42</v>
      </c>
      <c r="AA357" s="7" t="str">
        <f aca="false">IFERROR(INDEX(02_轉折點45!B:B,MATCH(A357,02_轉折點45!A:A,0)),"")</f>
        <v/>
      </c>
      <c r="AB357" s="7" t="n">
        <f aca="false">COUNTIFS(05_訊號明細!A:A,A357,05_訊號明細!C:C,"TOP")</f>
        <v>0</v>
      </c>
      <c r="AC357" s="7" t="n">
        <f aca="false">COUNTIFS(05_訊號明細!A:A,A357,05_訊號明細!C:C,"BOTTOM")</f>
        <v>0</v>
      </c>
    </row>
    <row r="358" customFormat="false" ht="15" hidden="false" customHeight="false" outlineLevel="0" collapsed="false">
      <c r="A358" s="7" t="s">
        <v>399</v>
      </c>
      <c r="B358" s="7" t="n">
        <v>13764.27</v>
      </c>
      <c r="C358" s="7" t="n">
        <v>13773.45</v>
      </c>
      <c r="D358" s="7" t="n">
        <v>13602.12</v>
      </c>
      <c r="E358" s="7" t="n">
        <v>13654.59</v>
      </c>
      <c r="F358" s="7" t="n">
        <v>4186</v>
      </c>
      <c r="G358" s="7" t="n">
        <f aca="false">AVERAGE(E354:E358)</f>
        <v>13671.884</v>
      </c>
      <c r="H358" s="7" t="n">
        <f aca="false">AVERAGE(E349:E358)</f>
        <v>13536.259</v>
      </c>
      <c r="I358" s="7" t="n">
        <f aca="false">AVERAGE(E339:E358)</f>
        <v>13463.5575</v>
      </c>
      <c r="J358" s="7" t="n">
        <f aca="false">AVERAGE(E309:E358)</f>
        <v>13543.3318</v>
      </c>
      <c r="K358" s="7" t="n">
        <f aca="false">AVERAGE(E259:E358)</f>
        <v>13360.4933</v>
      </c>
      <c r="L358" s="7" t="n">
        <f aca="false">AVERAGE(E159:E358)</f>
        <v>12612.66965</v>
      </c>
      <c r="M358" s="7" t="n">
        <f aca="false">I358</f>
        <v>13463.5575</v>
      </c>
      <c r="N358" s="7" t="n">
        <f aca="false">I358+2*STDEV(E339:E358)</f>
        <v>13887.0903709234</v>
      </c>
      <c r="O358" s="7" t="n">
        <f aca="false">I358-2*STDEV(E339:E358)</f>
        <v>13040.0246290766</v>
      </c>
      <c r="P358" s="7" t="n">
        <f aca="false">MAX(E358-E357,0)</f>
        <v>0</v>
      </c>
      <c r="Q358" s="7" t="n">
        <f aca="false">MAX(E357-E358,0)</f>
        <v>31.9200000000001</v>
      </c>
      <c r="R358" s="7" t="n">
        <f aca="false">(R357*13+P358)/14</f>
        <v>59.2237847079038</v>
      </c>
      <c r="S358" s="7" t="n">
        <f aca="false">(S357*13+Q358)/14</f>
        <v>50.8882068957922</v>
      </c>
      <c r="T358" s="7" t="n">
        <f aca="false">IF(S358=0,100,100-100/(1+R358/S358))</f>
        <v>53.7850454299801</v>
      </c>
      <c r="U358" s="7" t="n">
        <f aca="false">E358*2/13+U357*11/13</f>
        <v>13568.473613355</v>
      </c>
      <c r="V358" s="7" t="n">
        <f aca="false">E358*2/27+V357*25/27</f>
        <v>13547.4086412852</v>
      </c>
      <c r="W358" s="7" t="n">
        <f aca="false">U358-V358</f>
        <v>21.0649720698038</v>
      </c>
      <c r="X358" s="7" t="n">
        <f aca="false">W358*2/10+X357*8/10</f>
        <v>-16.2705341758617</v>
      </c>
      <c r="Y358" s="7" t="n">
        <f aca="false">W358-X358</f>
        <v>37.3355062456655</v>
      </c>
      <c r="Z358" s="8" t="s">
        <v>42</v>
      </c>
      <c r="AA358" s="7" t="str">
        <f aca="false">IFERROR(INDEX(02_轉折點45!B:B,MATCH(A358,02_轉折點45!A:A,0)),"")</f>
        <v/>
      </c>
      <c r="AB358" s="7" t="n">
        <f aca="false">COUNTIFS(05_訊號明細!A:A,A358,05_訊號明細!C:C,"TOP")</f>
        <v>0</v>
      </c>
      <c r="AC358" s="7" t="n">
        <f aca="false">COUNTIFS(05_訊號明細!A:A,A358,05_訊號明細!C:C,"BOTTOM")</f>
        <v>0</v>
      </c>
    </row>
    <row r="359" customFormat="false" ht="15" hidden="false" customHeight="false" outlineLevel="0" collapsed="false">
      <c r="A359" s="7" t="s">
        <v>400</v>
      </c>
      <c r="B359" s="7" t="n">
        <v>13655.71</v>
      </c>
      <c r="C359" s="7" t="n">
        <v>13712.68</v>
      </c>
      <c r="D359" s="7" t="n">
        <v>13610.16</v>
      </c>
      <c r="E359" s="7" t="n">
        <v>13675.79</v>
      </c>
      <c r="F359" s="7" t="n">
        <v>5098</v>
      </c>
      <c r="G359" s="7" t="n">
        <f aca="false">AVERAGE(E355:E359)</f>
        <v>13675.496</v>
      </c>
      <c r="H359" s="7" t="n">
        <f aca="false">AVERAGE(E350:E359)</f>
        <v>13582.07</v>
      </c>
      <c r="I359" s="7" t="n">
        <f aca="false">AVERAGE(E340:E359)</f>
        <v>13470.1135</v>
      </c>
      <c r="J359" s="7" t="n">
        <f aca="false">AVERAGE(E310:E359)</f>
        <v>13555.1174</v>
      </c>
      <c r="K359" s="7" t="n">
        <f aca="false">AVERAGE(E260:E359)</f>
        <v>13367.8555</v>
      </c>
      <c r="L359" s="7" t="n">
        <f aca="false">AVERAGE(E160:E359)</f>
        <v>12625.22635</v>
      </c>
      <c r="M359" s="7" t="n">
        <f aca="false">I359</f>
        <v>13470.1135</v>
      </c>
      <c r="N359" s="7" t="n">
        <f aca="false">I359+2*STDEV(E340:E359)</f>
        <v>13902.891360669</v>
      </c>
      <c r="O359" s="7" t="n">
        <f aca="false">I359-2*STDEV(E340:E359)</f>
        <v>13037.335639331</v>
      </c>
      <c r="P359" s="7" t="n">
        <f aca="false">MAX(E359-E358,0)</f>
        <v>21.2000000000007</v>
      </c>
      <c r="Q359" s="7" t="n">
        <f aca="false">MAX(E358-E359,0)</f>
        <v>0</v>
      </c>
      <c r="R359" s="7" t="n">
        <f aca="false">(R358*13+P359)/14</f>
        <v>56.5078000859107</v>
      </c>
      <c r="S359" s="7" t="n">
        <f aca="false">(S358*13+Q359)/14</f>
        <v>47.2533349746642</v>
      </c>
      <c r="T359" s="7" t="n">
        <f aca="false">IF(S359=0,100,100-100/(1+R359/S359))</f>
        <v>54.4595045658685</v>
      </c>
      <c r="U359" s="7" t="n">
        <f aca="false">E359*2/13+U358*11/13</f>
        <v>13584.983826685</v>
      </c>
      <c r="V359" s="7" t="n">
        <f aca="false">E359*2/27+V358*25/27</f>
        <v>13556.9183715603</v>
      </c>
      <c r="W359" s="7" t="n">
        <f aca="false">U359-V359</f>
        <v>28.0654551246389</v>
      </c>
      <c r="X359" s="7" t="n">
        <f aca="false">W359*2/10+X358*8/10</f>
        <v>-7.40333631576155</v>
      </c>
      <c r="Y359" s="7" t="n">
        <f aca="false">W359-X359</f>
        <v>35.4687914404005</v>
      </c>
      <c r="Z359" s="8" t="s">
        <v>42</v>
      </c>
      <c r="AA359" s="7" t="str">
        <f aca="false">IFERROR(INDEX(02_轉折點45!B:B,MATCH(A359,02_轉折點45!A:A,0)),"")</f>
        <v/>
      </c>
      <c r="AB359" s="7" t="n">
        <f aca="false">COUNTIFS(05_訊號明細!A:A,A359,05_訊號明細!C:C,"TOP")</f>
        <v>0</v>
      </c>
      <c r="AC359" s="7" t="n">
        <f aca="false">COUNTIFS(05_訊號明細!A:A,A359,05_訊號明細!C:C,"BOTTOM")</f>
        <v>0</v>
      </c>
    </row>
    <row r="360" customFormat="false" ht="15" hidden="false" customHeight="false" outlineLevel="0" collapsed="false">
      <c r="A360" s="7" t="s">
        <v>401</v>
      </c>
      <c r="B360" s="7" t="n">
        <v>13568.91</v>
      </c>
      <c r="C360" s="7" t="n">
        <v>13608.54</v>
      </c>
      <c r="D360" s="7" t="n">
        <v>13469.85</v>
      </c>
      <c r="E360" s="7" t="n">
        <v>13529.68</v>
      </c>
      <c r="F360" s="7" t="n">
        <v>5396</v>
      </c>
      <c r="G360" s="7" t="n">
        <f aca="false">AVERAGE(E356:E360)</f>
        <v>13640.884</v>
      </c>
      <c r="H360" s="7" t="n">
        <f aca="false">AVERAGE(E351:E360)</f>
        <v>13611.247</v>
      </c>
      <c r="I360" s="7" t="n">
        <f aca="false">AVERAGE(E341:E360)</f>
        <v>13471.429</v>
      </c>
      <c r="J360" s="7" t="n">
        <f aca="false">AVERAGE(E311:E360)</f>
        <v>13565.3552</v>
      </c>
      <c r="K360" s="7" t="n">
        <f aca="false">AVERAGE(E261:E360)</f>
        <v>13372.1003</v>
      </c>
      <c r="L360" s="7" t="n">
        <f aca="false">AVERAGE(E161:E360)</f>
        <v>12636.4319</v>
      </c>
      <c r="M360" s="7" t="n">
        <f aca="false">I360</f>
        <v>13471.429</v>
      </c>
      <c r="N360" s="7" t="n">
        <f aca="false">I360+2*STDEV(E341:E360)</f>
        <v>13904.7920486227</v>
      </c>
      <c r="O360" s="7" t="n">
        <f aca="false">I360-2*STDEV(E341:E360)</f>
        <v>13038.0659513773</v>
      </c>
      <c r="P360" s="7" t="n">
        <f aca="false">MAX(E360-E359,0)</f>
        <v>0</v>
      </c>
      <c r="Q360" s="7" t="n">
        <f aca="false">MAX(E359-E360,0)</f>
        <v>146.110000000001</v>
      </c>
      <c r="R360" s="7" t="n">
        <f aca="false">(R359*13+P360)/14</f>
        <v>52.4715286512028</v>
      </c>
      <c r="S360" s="7" t="n">
        <f aca="false">(S359*13+Q360)/14</f>
        <v>54.3145253336168</v>
      </c>
      <c r="T360" s="7" t="n">
        <f aca="false">IF(S360=0,100,100-100/(1+R360/S360))</f>
        <v>49.1370611546916</v>
      </c>
      <c r="U360" s="7" t="n">
        <f aca="false">E360*2/13+U359*11/13</f>
        <v>13576.4755456565</v>
      </c>
      <c r="V360" s="7" t="n">
        <f aca="false">E360*2/27+V359*25/27</f>
        <v>13554.9007144077</v>
      </c>
      <c r="W360" s="7" t="n">
        <f aca="false">U360-V360</f>
        <v>21.5748312487995</v>
      </c>
      <c r="X360" s="7" t="n">
        <f aca="false">W360*2/10+X359*8/10</f>
        <v>-1.60770280284935</v>
      </c>
      <c r="Y360" s="7" t="n">
        <f aca="false">W360-X360</f>
        <v>23.1825340516488</v>
      </c>
      <c r="Z360" s="8" t="s">
        <v>42</v>
      </c>
      <c r="AA360" s="7" t="str">
        <f aca="false">IFERROR(INDEX(02_轉折點45!B:B,MATCH(A360,02_轉折點45!A:A,0)),"")</f>
        <v/>
      </c>
      <c r="AB360" s="7" t="n">
        <f aca="false">COUNTIFS(05_訊號明細!A:A,A360,05_訊號明細!C:C,"TOP")</f>
        <v>1</v>
      </c>
      <c r="AC360" s="7" t="n">
        <f aca="false">COUNTIFS(05_訊號明細!A:A,A360,05_訊號明細!C:C,"BOTTOM")</f>
        <v>0</v>
      </c>
    </row>
    <row r="361" customFormat="false" ht="15" hidden="false" customHeight="false" outlineLevel="0" collapsed="false">
      <c r="A361" s="7" t="s">
        <v>402</v>
      </c>
      <c r="B361" s="7" t="n">
        <v>13619.79</v>
      </c>
      <c r="C361" s="7" t="n">
        <v>13784.77</v>
      </c>
      <c r="D361" s="7" t="n">
        <v>13613.58</v>
      </c>
      <c r="E361" s="7" t="n">
        <v>13770.77</v>
      </c>
      <c r="F361" s="7" t="n">
        <v>4361</v>
      </c>
      <c r="G361" s="7" t="n">
        <f aca="false">AVERAGE(E357:E361)</f>
        <v>13663.468</v>
      </c>
      <c r="H361" s="7" t="n">
        <f aca="false">AVERAGE(E352:E361)</f>
        <v>13638.915</v>
      </c>
      <c r="I361" s="7" t="n">
        <f aca="false">AVERAGE(E342:E361)</f>
        <v>13479.281</v>
      </c>
      <c r="J361" s="7" t="n">
        <f aca="false">AVERAGE(E312:E361)</f>
        <v>13584.793</v>
      </c>
      <c r="K361" s="7" t="n">
        <f aca="false">AVERAGE(E262:E361)</f>
        <v>13380.7831</v>
      </c>
      <c r="L361" s="7" t="n">
        <f aca="false">AVERAGE(E162:E361)</f>
        <v>12648.2906</v>
      </c>
      <c r="M361" s="7" t="n">
        <f aca="false">I361</f>
        <v>13479.281</v>
      </c>
      <c r="N361" s="7" t="n">
        <f aca="false">I361+2*STDEV(E342:E361)</f>
        <v>13928.8864780946</v>
      </c>
      <c r="O361" s="7" t="n">
        <f aca="false">I361-2*STDEV(E342:E361)</f>
        <v>13029.6755219054</v>
      </c>
      <c r="P361" s="7" t="n">
        <f aca="false">MAX(E361-E360,0)</f>
        <v>241.09</v>
      </c>
      <c r="Q361" s="7" t="n">
        <f aca="false">MAX(E360-E361,0)</f>
        <v>0</v>
      </c>
      <c r="R361" s="7" t="n">
        <f aca="false">(R360*13+P361)/14</f>
        <v>65.9442766046883</v>
      </c>
      <c r="S361" s="7" t="n">
        <f aca="false">(S360*13+Q361)/14</f>
        <v>50.4349163812156</v>
      </c>
      <c r="T361" s="7" t="n">
        <f aca="false">IF(S361=0,100,100-100/(1+R361/S361))</f>
        <v>56.6632874079782</v>
      </c>
      <c r="U361" s="7" t="n">
        <f aca="false">E361*2/13+U360*11/13</f>
        <v>13606.3670001709</v>
      </c>
      <c r="V361" s="7" t="n">
        <f aca="false">E361*2/27+V360*25/27</f>
        <v>13570.891031859</v>
      </c>
      <c r="W361" s="7" t="n">
        <f aca="false">U361-V361</f>
        <v>35.4759683119009</v>
      </c>
      <c r="X361" s="7" t="n">
        <f aca="false">W361*2/10+X360*8/10</f>
        <v>5.80903142010071</v>
      </c>
      <c r="Y361" s="7" t="n">
        <f aca="false">W361-X361</f>
        <v>29.6669368918002</v>
      </c>
      <c r="Z361" s="8" t="s">
        <v>42</v>
      </c>
      <c r="AA361" s="7" t="str">
        <f aca="false">IFERROR(INDEX(02_轉折點45!B:B,MATCH(A361,02_轉折點45!A:A,0)),"")</f>
        <v/>
      </c>
      <c r="AB361" s="7" t="n">
        <f aca="false">COUNTIFS(05_訊號明細!A:A,A361,05_訊號明細!C:C,"TOP")</f>
        <v>0</v>
      </c>
      <c r="AC361" s="7" t="n">
        <f aca="false">COUNTIFS(05_訊號明細!A:A,A361,05_訊號明細!C:C,"BOTTOM")</f>
        <v>0</v>
      </c>
    </row>
    <row r="362" customFormat="false" ht="15" hidden="false" customHeight="false" outlineLevel="0" collapsed="false">
      <c r="A362" s="7" t="s">
        <v>403</v>
      </c>
      <c r="B362" s="7" t="n">
        <v>13744.15</v>
      </c>
      <c r="C362" s="7" t="n">
        <v>13808.42</v>
      </c>
      <c r="D362" s="7" t="n">
        <v>13710.11</v>
      </c>
      <c r="E362" s="7" t="n">
        <v>13802.89</v>
      </c>
      <c r="F362" s="7" t="n">
        <v>4639</v>
      </c>
      <c r="G362" s="7" t="n">
        <f aca="false">AVERAGE(E358:E362)</f>
        <v>13686.744</v>
      </c>
      <c r="H362" s="7" t="n">
        <f aca="false">AVERAGE(E353:E362)</f>
        <v>13678.03</v>
      </c>
      <c r="I362" s="7" t="n">
        <f aca="false">AVERAGE(E343:E362)</f>
        <v>13483.444</v>
      </c>
      <c r="J362" s="7" t="n">
        <f aca="false">AVERAGE(E313:E362)</f>
        <v>13605.2406</v>
      </c>
      <c r="K362" s="7" t="n">
        <f aca="false">AVERAGE(E263:E362)</f>
        <v>13389.8911</v>
      </c>
      <c r="L362" s="7" t="n">
        <f aca="false">AVERAGE(E163:E362)</f>
        <v>12660.71185</v>
      </c>
      <c r="M362" s="7" t="n">
        <f aca="false">I362</f>
        <v>13483.444</v>
      </c>
      <c r="N362" s="7" t="n">
        <f aca="false">I362+2*STDEV(E343:E362)</f>
        <v>13943.832323479</v>
      </c>
      <c r="O362" s="7" t="n">
        <f aca="false">I362-2*STDEV(E343:E362)</f>
        <v>13023.055676521</v>
      </c>
      <c r="P362" s="7" t="n">
        <f aca="false">MAX(E362-E361,0)</f>
        <v>32.119999999999</v>
      </c>
      <c r="Q362" s="7" t="n">
        <f aca="false">MAX(E361-E362,0)</f>
        <v>0</v>
      </c>
      <c r="R362" s="7" t="n">
        <f aca="false">(R361*13+P362)/14</f>
        <v>63.5282568472105</v>
      </c>
      <c r="S362" s="7" t="n">
        <f aca="false">(S361*13+Q362)/14</f>
        <v>46.8324223539859</v>
      </c>
      <c r="T362" s="7" t="n">
        <f aca="false">IF(S362=0,100,100-100/(1+R362/S362))</f>
        <v>57.5642133656983</v>
      </c>
      <c r="U362" s="7" t="n">
        <f aca="false">E362*2/13+U361*11/13</f>
        <v>13636.6013078369</v>
      </c>
      <c r="V362" s="7" t="n">
        <f aca="false">E362*2/27+V361*25/27</f>
        <v>13588.0761406102</v>
      </c>
      <c r="W362" s="7" t="n">
        <f aca="false">U362-V362</f>
        <v>48.5251672267295</v>
      </c>
      <c r="X362" s="7" t="n">
        <f aca="false">W362*2/10+X361*8/10</f>
        <v>14.3522585814265</v>
      </c>
      <c r="Y362" s="7" t="n">
        <f aca="false">W362-X362</f>
        <v>34.1729086453031</v>
      </c>
      <c r="Z362" s="8" t="s">
        <v>42</v>
      </c>
      <c r="AA362" s="7" t="str">
        <f aca="false">IFERROR(INDEX(02_轉折點45!B:B,MATCH(A362,02_轉折點45!A:A,0)),"")</f>
        <v/>
      </c>
      <c r="AB362" s="7" t="n">
        <f aca="false">COUNTIFS(05_訊號明細!A:A,A362,05_訊號明細!C:C,"TOP")</f>
        <v>0</v>
      </c>
      <c r="AC362" s="7" t="n">
        <f aca="false">COUNTIFS(05_訊號明細!A:A,A362,05_訊號明細!C:C,"BOTTOM")</f>
        <v>0</v>
      </c>
    </row>
    <row r="363" customFormat="false" ht="15" hidden="false" customHeight="false" outlineLevel="0" collapsed="false">
      <c r="A363" s="7" t="s">
        <v>404</v>
      </c>
      <c r="B363" s="7" t="n">
        <v>13873.46</v>
      </c>
      <c r="C363" s="7" t="n">
        <v>13913.4</v>
      </c>
      <c r="D363" s="7" t="n">
        <v>13746.42</v>
      </c>
      <c r="E363" s="7" t="n">
        <v>13810.86</v>
      </c>
      <c r="F363" s="7" t="n">
        <v>5958</v>
      </c>
      <c r="G363" s="7" t="n">
        <f aca="false">AVERAGE(E359:E363)</f>
        <v>13717.998</v>
      </c>
      <c r="H363" s="7" t="n">
        <f aca="false">AVERAGE(E354:E363)</f>
        <v>13694.941</v>
      </c>
      <c r="I363" s="7" t="n">
        <f aca="false">AVERAGE(E344:E363)</f>
        <v>13506.033</v>
      </c>
      <c r="J363" s="7" t="n">
        <f aca="false">AVERAGE(E314:E363)</f>
        <v>13621.8754</v>
      </c>
      <c r="K363" s="7" t="n">
        <f aca="false">AVERAGE(E264:E363)</f>
        <v>13398.2634</v>
      </c>
      <c r="L363" s="7" t="n">
        <f aca="false">AVERAGE(E164:E363)</f>
        <v>12672.3809</v>
      </c>
      <c r="M363" s="7" t="n">
        <f aca="false">I363</f>
        <v>13506.033</v>
      </c>
      <c r="N363" s="7" t="n">
        <f aca="false">I363+2*STDEV(E344:E363)</f>
        <v>13984.6994070805</v>
      </c>
      <c r="O363" s="7" t="n">
        <f aca="false">I363-2*STDEV(E344:E363)</f>
        <v>13027.3665929195</v>
      </c>
      <c r="P363" s="7" t="n">
        <f aca="false">MAX(E363-E362,0)</f>
        <v>7.97000000000116</v>
      </c>
      <c r="Q363" s="7" t="n">
        <f aca="false">MAX(E362-E363,0)</f>
        <v>0</v>
      </c>
      <c r="R363" s="7" t="n">
        <f aca="false">(R362*13+P363)/14</f>
        <v>59.5598099295527</v>
      </c>
      <c r="S363" s="7" t="n">
        <f aca="false">(S362*13+Q363)/14</f>
        <v>43.4872493287012</v>
      </c>
      <c r="T363" s="7" t="n">
        <f aca="false">IF(S363=0,100,100-100/(1+R363/S363))</f>
        <v>57.7986507895247</v>
      </c>
      <c r="U363" s="7" t="n">
        <f aca="false">E363*2/13+U362*11/13</f>
        <v>13663.4103374005</v>
      </c>
      <c r="V363" s="7" t="n">
        <f aca="false">E363*2/27+V362*25/27</f>
        <v>13604.5786487131</v>
      </c>
      <c r="W363" s="7" t="n">
        <f aca="false">U363-V363</f>
        <v>58.8316886873326</v>
      </c>
      <c r="X363" s="7" t="n">
        <f aca="false">W363*2/10+X362*8/10</f>
        <v>23.2481446026077</v>
      </c>
      <c r="Y363" s="7" t="n">
        <f aca="false">W363-X363</f>
        <v>35.5835440847249</v>
      </c>
      <c r="Z363" s="8" t="s">
        <v>42</v>
      </c>
      <c r="AA363" s="7" t="str">
        <f aca="false">IFERROR(INDEX(02_轉折點45!B:B,MATCH(A363,02_轉折點45!A:A,0)),"")</f>
        <v/>
      </c>
      <c r="AB363" s="7" t="n">
        <f aca="false">COUNTIFS(05_訊號明細!A:A,A363,05_訊號明細!C:C,"TOP")</f>
        <v>0</v>
      </c>
      <c r="AC363" s="7" t="n">
        <f aca="false">COUNTIFS(05_訊號明細!A:A,A363,05_訊號明細!C:C,"BOTTOM")</f>
        <v>0</v>
      </c>
    </row>
    <row r="364" customFormat="false" ht="15" hidden="false" customHeight="false" outlineLevel="0" collapsed="false">
      <c r="A364" s="7" t="s">
        <v>405</v>
      </c>
      <c r="B364" s="7" t="n">
        <v>13865.51</v>
      </c>
      <c r="C364" s="7" t="n">
        <v>13900.71</v>
      </c>
      <c r="D364" s="7" t="n">
        <v>13811.05</v>
      </c>
      <c r="E364" s="7" t="n">
        <v>13814.94</v>
      </c>
      <c r="F364" s="7" t="n">
        <v>5640</v>
      </c>
      <c r="G364" s="7" t="n">
        <f aca="false">AVERAGE(E360:E364)</f>
        <v>13745.828</v>
      </c>
      <c r="H364" s="7" t="n">
        <f aca="false">AVERAGE(E355:E364)</f>
        <v>13710.662</v>
      </c>
      <c r="I364" s="7" t="n">
        <f aca="false">AVERAGE(E345:E364)</f>
        <v>13529.2165</v>
      </c>
      <c r="J364" s="7" t="n">
        <f aca="false">AVERAGE(E315:E364)</f>
        <v>13638.8594</v>
      </c>
      <c r="K364" s="7" t="n">
        <f aca="false">AVERAGE(E265:E364)</f>
        <v>13407.4259</v>
      </c>
      <c r="L364" s="7" t="n">
        <f aca="false">AVERAGE(E165:E364)</f>
        <v>12683.6798</v>
      </c>
      <c r="M364" s="7" t="n">
        <f aca="false">I364</f>
        <v>13529.2165</v>
      </c>
      <c r="N364" s="7" t="n">
        <f aca="false">I364+2*STDEV(E345:E364)</f>
        <v>14021.055095488</v>
      </c>
      <c r="O364" s="7" t="n">
        <f aca="false">I364-2*STDEV(E345:E364)</f>
        <v>13037.377904512</v>
      </c>
      <c r="P364" s="7" t="n">
        <f aca="false">MAX(E364-E363,0)</f>
        <v>4.07999999999993</v>
      </c>
      <c r="Q364" s="7" t="n">
        <f aca="false">MAX(E363-E364,0)</f>
        <v>0</v>
      </c>
      <c r="R364" s="7" t="n">
        <f aca="false">(R363*13+P364)/14</f>
        <v>55.5969663631561</v>
      </c>
      <c r="S364" s="7" t="n">
        <f aca="false">(S363*13+Q364)/14</f>
        <v>40.3810172337939</v>
      </c>
      <c r="T364" s="7" t="n">
        <f aca="false">IF(S364=0,100,100-100/(1+R364/S364))</f>
        <v>57.9267914156542</v>
      </c>
      <c r="U364" s="7" t="n">
        <f aca="false">E364*2/13+U363*11/13</f>
        <v>13686.722593185</v>
      </c>
      <c r="V364" s="7" t="n">
        <f aca="false">E364*2/27+V363*25/27</f>
        <v>13620.1609710307</v>
      </c>
      <c r="W364" s="7" t="n">
        <f aca="false">U364-V364</f>
        <v>66.5616221543314</v>
      </c>
      <c r="X364" s="7" t="n">
        <f aca="false">W364*2/10+X363*8/10</f>
        <v>31.9108401129525</v>
      </c>
      <c r="Y364" s="7" t="n">
        <f aca="false">W364-X364</f>
        <v>34.650782041379</v>
      </c>
      <c r="Z364" s="8" t="s">
        <v>42</v>
      </c>
      <c r="AA364" s="7" t="str">
        <f aca="false">IFERROR(INDEX(02_轉折點45!B:B,MATCH(A364,02_轉折點45!A:A,0)),"")</f>
        <v/>
      </c>
      <c r="AB364" s="7" t="n">
        <f aca="false">COUNTIFS(05_訊號明細!A:A,A364,05_訊號明細!C:C,"TOP")</f>
        <v>0</v>
      </c>
      <c r="AC364" s="7" t="n">
        <f aca="false">COUNTIFS(05_訊號明細!A:A,A364,05_訊號明細!C:C,"BOTTOM")</f>
        <v>0</v>
      </c>
    </row>
    <row r="365" customFormat="false" ht="15" hidden="false" customHeight="false" outlineLevel="0" collapsed="false">
      <c r="A365" s="7" t="s">
        <v>406</v>
      </c>
      <c r="B365" s="7" t="n">
        <v>13834.26</v>
      </c>
      <c r="C365" s="7" t="n">
        <v>13962.98</v>
      </c>
      <c r="D365" s="7" t="n">
        <v>13817.83</v>
      </c>
      <c r="E365" s="7" t="n">
        <v>13960.35</v>
      </c>
      <c r="F365" s="7" t="n">
        <v>4920</v>
      </c>
      <c r="G365" s="7" t="n">
        <f aca="false">AVERAGE(E361:E365)</f>
        <v>13831.962</v>
      </c>
      <c r="H365" s="7" t="n">
        <f aca="false">AVERAGE(E356:E365)</f>
        <v>13736.423</v>
      </c>
      <c r="I365" s="7" t="n">
        <f aca="false">AVERAGE(E346:E365)</f>
        <v>13577.1525</v>
      </c>
      <c r="J365" s="7" t="n">
        <f aca="false">AVERAGE(E316:E365)</f>
        <v>13660.1358</v>
      </c>
      <c r="K365" s="7" t="n">
        <f aca="false">AVERAGE(E266:E365)</f>
        <v>13418.9901</v>
      </c>
      <c r="L365" s="7" t="n">
        <f aca="false">AVERAGE(E166:E365)</f>
        <v>12695.3507</v>
      </c>
      <c r="M365" s="7" t="n">
        <f aca="false">I365</f>
        <v>13577.1525</v>
      </c>
      <c r="N365" s="7" t="n">
        <f aca="false">I365+2*STDEV(E346:E365)</f>
        <v>14038.4141786654</v>
      </c>
      <c r="O365" s="7" t="n">
        <f aca="false">I365-2*STDEV(E346:E365)</f>
        <v>13115.8908213346</v>
      </c>
      <c r="P365" s="7" t="n">
        <f aca="false">MAX(E365-E364,0)</f>
        <v>145.41</v>
      </c>
      <c r="Q365" s="7" t="n">
        <f aca="false">MAX(E364-E365,0)</f>
        <v>0</v>
      </c>
      <c r="R365" s="7" t="n">
        <f aca="false">(R364*13+P365)/14</f>
        <v>62.0121830515021</v>
      </c>
      <c r="S365" s="7" t="n">
        <f aca="false">(S364*13+Q365)/14</f>
        <v>37.4966588599515</v>
      </c>
      <c r="T365" s="7" t="n">
        <f aca="false">IF(S365=0,100,100-100/(1+R365/S365))</f>
        <v>62.3182642469929</v>
      </c>
      <c r="U365" s="7" t="n">
        <f aca="false">E365*2/13+U364*11/13</f>
        <v>13728.8191173104</v>
      </c>
      <c r="V365" s="7" t="n">
        <f aca="false">E365*2/27+V364*25/27</f>
        <v>13645.3601583617</v>
      </c>
      <c r="W365" s="7" t="n">
        <f aca="false">U365-V365</f>
        <v>83.4589589486532</v>
      </c>
      <c r="X365" s="7" t="n">
        <f aca="false">W365*2/10+X364*8/10</f>
        <v>42.2204638800926</v>
      </c>
      <c r="Y365" s="7" t="n">
        <f aca="false">W365-X365</f>
        <v>41.2384950685606</v>
      </c>
      <c r="Z365" s="8" t="s">
        <v>42</v>
      </c>
      <c r="AA365" s="7" t="str">
        <f aca="false">IFERROR(INDEX(02_轉折點45!B:B,MATCH(A365,02_轉折點45!A:A,0)),"")</f>
        <v/>
      </c>
      <c r="AB365" s="7" t="n">
        <f aca="false">COUNTIFS(05_訊號明細!A:A,A365,05_訊號明細!C:C,"TOP")</f>
        <v>0</v>
      </c>
      <c r="AC365" s="7" t="n">
        <f aca="false">COUNTIFS(05_訊號明細!A:A,A365,05_訊號明細!C:C,"BOTTOM")</f>
        <v>0</v>
      </c>
    </row>
    <row r="366" customFormat="false" ht="15" hidden="false" customHeight="false" outlineLevel="0" collapsed="false">
      <c r="A366" s="7" t="s">
        <v>407</v>
      </c>
      <c r="B366" s="7" t="n">
        <v>13959.47</v>
      </c>
      <c r="C366" s="7" t="n">
        <v>13998.65</v>
      </c>
      <c r="D366" s="7" t="n">
        <v>13934</v>
      </c>
      <c r="E366" s="7" t="n">
        <v>13998.3</v>
      </c>
      <c r="F366" s="7" t="n">
        <v>4158</v>
      </c>
      <c r="G366" s="7" t="n">
        <f aca="false">AVERAGE(E362:E366)</f>
        <v>13877.468</v>
      </c>
      <c r="H366" s="7" t="n">
        <f aca="false">AVERAGE(E357:E366)</f>
        <v>13770.468</v>
      </c>
      <c r="I366" s="7" t="n">
        <f aca="false">AVERAGE(E347:E366)</f>
        <v>13621.61</v>
      </c>
      <c r="J366" s="7" t="n">
        <f aca="false">AVERAGE(E317:E366)</f>
        <v>13678.273</v>
      </c>
      <c r="K366" s="7" t="n">
        <f aca="false">AVERAGE(E267:E366)</f>
        <v>13429.0077</v>
      </c>
      <c r="L366" s="7" t="n">
        <f aca="false">AVERAGE(E167:E366)</f>
        <v>12706.73315</v>
      </c>
      <c r="M366" s="7" t="n">
        <f aca="false">I366</f>
        <v>13621.61</v>
      </c>
      <c r="N366" s="7" t="n">
        <f aca="false">I366+2*STDEV(E347:E366)</f>
        <v>14063.9555633207</v>
      </c>
      <c r="O366" s="7" t="n">
        <f aca="false">I366-2*STDEV(E347:E366)</f>
        <v>13179.2644366793</v>
      </c>
      <c r="P366" s="7" t="n">
        <f aca="false">MAX(E366-E365,0)</f>
        <v>37.9499999999989</v>
      </c>
      <c r="Q366" s="7" t="n">
        <f aca="false">MAX(E365-E366,0)</f>
        <v>0</v>
      </c>
      <c r="R366" s="7" t="n">
        <f aca="false">(R365*13+P366)/14</f>
        <v>60.2934556906804</v>
      </c>
      <c r="S366" s="7" t="n">
        <f aca="false">(S365*13+Q366)/14</f>
        <v>34.8183260842407</v>
      </c>
      <c r="T366" s="7" t="n">
        <f aca="false">IF(S366=0,100,100-100/(1+R366/S366))</f>
        <v>63.3922050092205</v>
      </c>
      <c r="U366" s="7" t="n">
        <f aca="false">E366*2/13+U365*11/13</f>
        <v>13770.2777146473</v>
      </c>
      <c r="V366" s="7" t="n">
        <f aca="false">E366*2/27+V365*25/27</f>
        <v>13671.5038503349</v>
      </c>
      <c r="W366" s="7" t="n">
        <f aca="false">U366-V366</f>
        <v>98.7738643123121</v>
      </c>
      <c r="X366" s="7" t="n">
        <f aca="false">W366*2/10+X365*8/10</f>
        <v>53.5311439665365</v>
      </c>
      <c r="Y366" s="7" t="n">
        <f aca="false">W366-X366</f>
        <v>45.2427203457756</v>
      </c>
      <c r="Z366" s="8" t="s">
        <v>42</v>
      </c>
      <c r="AA366" s="7" t="str">
        <f aca="false">IFERROR(INDEX(02_轉折點45!B:B,MATCH(A366,02_轉折點45!A:A,0)),"")</f>
        <v/>
      </c>
      <c r="AB366" s="7" t="n">
        <f aca="false">COUNTIFS(05_訊號明細!A:A,A366,05_訊號明細!C:C,"TOP")</f>
        <v>0</v>
      </c>
      <c r="AC366" s="7" t="n">
        <f aca="false">COUNTIFS(05_訊號明細!A:A,A366,05_訊號明細!C:C,"BOTTOM")</f>
        <v>0</v>
      </c>
    </row>
    <row r="367" customFormat="false" ht="15" hidden="false" customHeight="false" outlineLevel="0" collapsed="false">
      <c r="A367" s="7" t="s">
        <v>408</v>
      </c>
      <c r="B367" s="7" t="n">
        <v>14002.14</v>
      </c>
      <c r="C367" s="7" t="n">
        <v>14129.33</v>
      </c>
      <c r="D367" s="7" t="n">
        <v>13963.94</v>
      </c>
      <c r="E367" s="7" t="n">
        <v>14128.2</v>
      </c>
      <c r="F367" s="7" t="n">
        <v>4415</v>
      </c>
      <c r="G367" s="7" t="n">
        <f aca="false">AVERAGE(E363:E367)</f>
        <v>13942.53</v>
      </c>
      <c r="H367" s="7" t="n">
        <f aca="false">AVERAGE(E358:E367)</f>
        <v>13814.637</v>
      </c>
      <c r="I367" s="7" t="n">
        <f aca="false">AVERAGE(E348:E367)</f>
        <v>13658.364</v>
      </c>
      <c r="J367" s="7" t="n">
        <f aca="false">AVERAGE(E318:E367)</f>
        <v>13694.2466</v>
      </c>
      <c r="K367" s="7" t="n">
        <f aca="false">AVERAGE(E268:E367)</f>
        <v>13437.3252</v>
      </c>
      <c r="L367" s="7" t="n">
        <f aca="false">AVERAGE(E168:E367)</f>
        <v>12717.51445</v>
      </c>
      <c r="M367" s="7" t="n">
        <f aca="false">I367</f>
        <v>13658.364</v>
      </c>
      <c r="N367" s="7" t="n">
        <f aca="false">I367+2*STDEV(E348:E367)</f>
        <v>14141.0841881618</v>
      </c>
      <c r="O367" s="7" t="n">
        <f aca="false">I367-2*STDEV(E348:E367)</f>
        <v>13175.6438118382</v>
      </c>
      <c r="P367" s="7" t="n">
        <f aca="false">MAX(E367-E366,0)</f>
        <v>129.900000000001</v>
      </c>
      <c r="Q367" s="7" t="n">
        <f aca="false">MAX(E366-E367,0)</f>
        <v>0</v>
      </c>
      <c r="R367" s="7" t="n">
        <f aca="false">(R366*13+P367)/14</f>
        <v>65.2653517127748</v>
      </c>
      <c r="S367" s="7" t="n">
        <f aca="false">(S366*13+Q367)/14</f>
        <v>32.3313027925092</v>
      </c>
      <c r="T367" s="7" t="n">
        <f aca="false">IF(S367=0,100,100-100/(1+R367/S367))</f>
        <v>66.8725296411069</v>
      </c>
      <c r="U367" s="7" t="n">
        <f aca="false">E367*2/13+U366*11/13</f>
        <v>13825.3426816246</v>
      </c>
      <c r="V367" s="7" t="n">
        <f aca="false">E367*2/27+V366*25/27</f>
        <v>13705.3331947546</v>
      </c>
      <c r="W367" s="7" t="n">
        <f aca="false">U367-V367</f>
        <v>120.009486870023</v>
      </c>
      <c r="X367" s="7" t="n">
        <f aca="false">W367*2/10+X366*8/10</f>
        <v>66.8268125472339</v>
      </c>
      <c r="Y367" s="7" t="n">
        <f aca="false">W367-X367</f>
        <v>53.1826743227896</v>
      </c>
      <c r="Z367" s="8" t="s">
        <v>42</v>
      </c>
      <c r="AA367" s="7" t="str">
        <f aca="false">IFERROR(INDEX(02_轉折點45!B:B,MATCH(A367,02_轉折點45!A:A,0)),"")</f>
        <v/>
      </c>
      <c r="AB367" s="7" t="n">
        <f aca="false">COUNTIFS(05_訊號明細!A:A,A367,05_訊號明細!C:C,"TOP")</f>
        <v>0</v>
      </c>
      <c r="AC367" s="7" t="n">
        <f aca="false">COUNTIFS(05_訊號明細!A:A,A367,05_訊號明細!C:C,"BOTTOM")</f>
        <v>0</v>
      </c>
    </row>
    <row r="368" customFormat="false" ht="15" hidden="false" customHeight="false" outlineLevel="0" collapsed="false">
      <c r="A368" s="7" t="s">
        <v>409</v>
      </c>
      <c r="B368" s="7" t="n">
        <v>14120.81</v>
      </c>
      <c r="C368" s="7" t="n">
        <v>14126.26</v>
      </c>
      <c r="D368" s="7" t="n">
        <v>14008.93</v>
      </c>
      <c r="E368" s="7" t="n">
        <v>14030.41</v>
      </c>
      <c r="F368" s="7" t="n">
        <v>4555</v>
      </c>
      <c r="G368" s="7" t="n">
        <f aca="false">AVERAGE(E364:E368)</f>
        <v>13986.44</v>
      </c>
      <c r="H368" s="7" t="n">
        <f aca="false">AVERAGE(E359:E368)</f>
        <v>13852.219</v>
      </c>
      <c r="I368" s="7" t="n">
        <f aca="false">AVERAGE(E349:E368)</f>
        <v>13694.239</v>
      </c>
      <c r="J368" s="7" t="n">
        <f aca="false">AVERAGE(E319:E368)</f>
        <v>13702.8916</v>
      </c>
      <c r="K368" s="7" t="n">
        <f aca="false">AVERAGE(E269:E368)</f>
        <v>13443.5794</v>
      </c>
      <c r="L368" s="7" t="n">
        <f aca="false">AVERAGE(E169:E368)</f>
        <v>12728.0357</v>
      </c>
      <c r="M368" s="7" t="n">
        <f aca="false">I368</f>
        <v>13694.239</v>
      </c>
      <c r="N368" s="7" t="n">
        <f aca="false">I368+2*STDEV(E349:E368)</f>
        <v>14175.5045799868</v>
      </c>
      <c r="O368" s="7" t="n">
        <f aca="false">I368-2*STDEV(E349:E368)</f>
        <v>13212.9734200132</v>
      </c>
      <c r="P368" s="7" t="n">
        <f aca="false">MAX(E368-E367,0)</f>
        <v>0</v>
      </c>
      <c r="Q368" s="7" t="n">
        <f aca="false">MAX(E367-E368,0)</f>
        <v>97.7900000000009</v>
      </c>
      <c r="R368" s="7" t="n">
        <f aca="false">(R367*13+P368)/14</f>
        <v>60.603540876148</v>
      </c>
      <c r="S368" s="7" t="n">
        <f aca="false">(S367*13+Q368)/14</f>
        <v>37.0069240216158</v>
      </c>
      <c r="T368" s="7" t="n">
        <f aca="false">IF(S368=0,100,100-100/(1+R368/S368))</f>
        <v>62.0871347550937</v>
      </c>
      <c r="U368" s="7" t="n">
        <f aca="false">E368*2/13+U367*11/13</f>
        <v>13856.8914998362</v>
      </c>
      <c r="V368" s="7" t="n">
        <f aca="false">E368*2/27+V367*25/27</f>
        <v>13729.4129581061</v>
      </c>
      <c r="W368" s="7" t="n">
        <f aca="false">U368-V368</f>
        <v>127.478541730114</v>
      </c>
      <c r="X368" s="7" t="n">
        <f aca="false">W368*2/10+X367*8/10</f>
        <v>78.9571583838098</v>
      </c>
      <c r="Y368" s="7" t="n">
        <f aca="false">W368-X368</f>
        <v>48.5213833463038</v>
      </c>
      <c r="Z368" s="8" t="s">
        <v>42</v>
      </c>
      <c r="AA368" s="7" t="str">
        <f aca="false">IFERROR(INDEX(02_轉折點45!B:B,MATCH(A368,02_轉折點45!A:A,0)),"")</f>
        <v/>
      </c>
      <c r="AB368" s="7" t="n">
        <f aca="false">COUNTIFS(05_訊號明細!A:A,A368,05_訊號明細!C:C,"TOP")</f>
        <v>0</v>
      </c>
      <c r="AC368" s="7" t="n">
        <f aca="false">COUNTIFS(05_訊號明細!A:A,A368,05_訊號明細!C:C,"BOTTOM")</f>
        <v>0</v>
      </c>
    </row>
    <row r="369" customFormat="false" ht="15" hidden="false" customHeight="false" outlineLevel="0" collapsed="false">
      <c r="A369" s="7" t="s">
        <v>410</v>
      </c>
      <c r="B369" s="7" t="n">
        <v>14053.12</v>
      </c>
      <c r="C369" s="7" t="n">
        <v>14100.11</v>
      </c>
      <c r="D369" s="7" t="n">
        <v>13843.6</v>
      </c>
      <c r="E369" s="7" t="n">
        <v>13983.01</v>
      </c>
      <c r="F369" s="7" t="n">
        <v>4683</v>
      </c>
      <c r="G369" s="7" t="n">
        <f aca="false">AVERAGE(E365:E369)</f>
        <v>14020.054</v>
      </c>
      <c r="H369" s="7" t="n">
        <f aca="false">AVERAGE(E360:E369)</f>
        <v>13882.941</v>
      </c>
      <c r="I369" s="7" t="n">
        <f aca="false">AVERAGE(E350:E369)</f>
        <v>13732.5055</v>
      </c>
      <c r="J369" s="7" t="n">
        <f aca="false">AVERAGE(E320:E369)</f>
        <v>13710.9826</v>
      </c>
      <c r="K369" s="7" t="n">
        <f aca="false">AVERAGE(E270:E369)</f>
        <v>13449.7455</v>
      </c>
      <c r="L369" s="7" t="n">
        <f aca="false">AVERAGE(E170:E369)</f>
        <v>12737.9715</v>
      </c>
      <c r="M369" s="7" t="n">
        <f aca="false">I369</f>
        <v>13732.5055</v>
      </c>
      <c r="N369" s="7" t="n">
        <f aca="false">I369+2*STDEV(E350:E369)</f>
        <v>14174.3133559009</v>
      </c>
      <c r="O369" s="7" t="n">
        <f aca="false">I369-2*STDEV(E350:E369)</f>
        <v>13290.6976440991</v>
      </c>
      <c r="P369" s="7" t="n">
        <f aca="false">MAX(E369-E368,0)</f>
        <v>0</v>
      </c>
      <c r="Q369" s="7" t="n">
        <f aca="false">MAX(E368-E369,0)</f>
        <v>47.3999999999996</v>
      </c>
      <c r="R369" s="7" t="n">
        <f aca="false">(R368*13+P369)/14</f>
        <v>56.2747165278517</v>
      </c>
      <c r="S369" s="7" t="n">
        <f aca="false">(S368*13+Q369)/14</f>
        <v>37.7492865915003</v>
      </c>
      <c r="T369" s="7" t="n">
        <f aca="false">IF(S369=0,100,100-100/(1+R369/S369))</f>
        <v>59.8514365065033</v>
      </c>
      <c r="U369" s="7" t="n">
        <f aca="false">E369*2/13+U368*11/13</f>
        <v>13876.2943460153</v>
      </c>
      <c r="V369" s="7" t="n">
        <f aca="false">E369*2/27+V368*25/27</f>
        <v>13748.1979241723</v>
      </c>
      <c r="W369" s="7" t="n">
        <f aca="false">U369-V369</f>
        <v>128.096421842942</v>
      </c>
      <c r="X369" s="7" t="n">
        <f aca="false">W369*2/10+X368*8/10</f>
        <v>88.7850110756362</v>
      </c>
      <c r="Y369" s="7" t="n">
        <f aca="false">W369-X369</f>
        <v>39.3114107673055</v>
      </c>
      <c r="Z369" s="8" t="s">
        <v>42</v>
      </c>
      <c r="AA369" s="7" t="str">
        <f aca="false">IFERROR(INDEX(02_轉折點45!B:B,MATCH(A369,02_轉折點45!A:A,0)),"")</f>
        <v/>
      </c>
      <c r="AB369" s="7" t="n">
        <f aca="false">COUNTIFS(05_訊號明細!A:A,A369,05_訊號明細!C:C,"TOP")</f>
        <v>0</v>
      </c>
      <c r="AC369" s="7" t="n">
        <f aca="false">COUNTIFS(05_訊號明細!A:A,A369,05_訊號明細!C:C,"BOTTOM")</f>
        <v>0</v>
      </c>
    </row>
    <row r="370" customFormat="false" ht="15" hidden="false" customHeight="false" outlineLevel="0" collapsed="false">
      <c r="A370" s="7" t="s">
        <v>411</v>
      </c>
      <c r="B370" s="7" t="n">
        <v>13946.7</v>
      </c>
      <c r="C370" s="7" t="n">
        <v>14205.43</v>
      </c>
      <c r="D370" s="7" t="n">
        <v>13946.52</v>
      </c>
      <c r="E370" s="7" t="n">
        <v>14163.81</v>
      </c>
      <c r="F370" s="7" t="n">
        <v>4558</v>
      </c>
      <c r="G370" s="7" t="n">
        <f aca="false">AVERAGE(E366:E370)</f>
        <v>14060.746</v>
      </c>
      <c r="H370" s="7" t="n">
        <f aca="false">AVERAGE(E361:E370)</f>
        <v>13946.354</v>
      </c>
      <c r="I370" s="7" t="n">
        <f aca="false">AVERAGE(E351:E370)</f>
        <v>13778.8005</v>
      </c>
      <c r="J370" s="7" t="n">
        <f aca="false">AVERAGE(E321:E370)</f>
        <v>13721.9248</v>
      </c>
      <c r="K370" s="7" t="n">
        <f aca="false">AVERAGE(E271:E370)</f>
        <v>13456.5507</v>
      </c>
      <c r="L370" s="7" t="n">
        <f aca="false">AVERAGE(E171:E370)</f>
        <v>12748.23705</v>
      </c>
      <c r="M370" s="7" t="n">
        <f aca="false">I370</f>
        <v>13778.8005</v>
      </c>
      <c r="N370" s="7" t="n">
        <f aca="false">I370+2*STDEV(E351:E370)</f>
        <v>14195.7333318731</v>
      </c>
      <c r="O370" s="7" t="n">
        <f aca="false">I370-2*STDEV(E351:E370)</f>
        <v>13361.8676681269</v>
      </c>
      <c r="P370" s="7" t="n">
        <f aca="false">MAX(E370-E369,0)</f>
        <v>180.799999999999</v>
      </c>
      <c r="Q370" s="7" t="n">
        <f aca="false">MAX(E369-E370,0)</f>
        <v>0</v>
      </c>
      <c r="R370" s="7" t="n">
        <f aca="false">(R369*13+P370)/14</f>
        <v>65.1693796330051</v>
      </c>
      <c r="S370" s="7" t="n">
        <f aca="false">(S369*13+Q370)/14</f>
        <v>35.0529089778217</v>
      </c>
      <c r="T370" s="7" t="n">
        <f aca="false">IF(S370=0,100,100-100/(1+R370/S370))</f>
        <v>65.024836826531</v>
      </c>
      <c r="U370" s="7" t="n">
        <f aca="false">E370*2/13+U369*11/13</f>
        <v>13920.5275235514</v>
      </c>
      <c r="V370" s="7" t="n">
        <f aca="false">E370*2/27+V369*25/27</f>
        <v>13778.9840038632</v>
      </c>
      <c r="W370" s="7" t="n">
        <f aca="false">U370-V370</f>
        <v>141.543519688117</v>
      </c>
      <c r="X370" s="7" t="n">
        <f aca="false">W370*2/10+X369*8/10</f>
        <v>99.3367127981324</v>
      </c>
      <c r="Y370" s="7" t="n">
        <f aca="false">W370-X370</f>
        <v>42.2068068899848</v>
      </c>
      <c r="Z370" s="8" t="s">
        <v>42</v>
      </c>
      <c r="AA370" s="7" t="str">
        <f aca="false">IFERROR(INDEX(02_轉折點45!B:B,MATCH(A370,02_轉折點45!A:A,0)),"")</f>
        <v/>
      </c>
      <c r="AB370" s="7" t="n">
        <f aca="false">COUNTIFS(05_訊號明細!A:A,A370,05_訊號明細!C:C,"TOP")</f>
        <v>0</v>
      </c>
      <c r="AC370" s="7" t="n">
        <f aca="false">COUNTIFS(05_訊號明細!A:A,A370,05_訊號明細!C:C,"BOTTOM")</f>
        <v>0</v>
      </c>
    </row>
    <row r="371" customFormat="false" ht="15" hidden="false" customHeight="false" outlineLevel="0" collapsed="false">
      <c r="A371" s="7" t="s">
        <v>412</v>
      </c>
      <c r="B371" s="7" t="n">
        <v>14125.12</v>
      </c>
      <c r="C371" s="7" t="n">
        <v>14140.62</v>
      </c>
      <c r="D371" s="7" t="n">
        <v>14024.6</v>
      </c>
      <c r="E371" s="7" t="n">
        <v>14049.58</v>
      </c>
      <c r="F371" s="7" t="n">
        <v>6126</v>
      </c>
      <c r="G371" s="7" t="n">
        <f aca="false">AVERAGE(E367:E371)</f>
        <v>14071.002</v>
      </c>
      <c r="H371" s="7" t="n">
        <f aca="false">AVERAGE(E362:E371)</f>
        <v>13974.235</v>
      </c>
      <c r="I371" s="7" t="n">
        <f aca="false">AVERAGE(E352:E371)</f>
        <v>13806.575</v>
      </c>
      <c r="J371" s="7" t="n">
        <f aca="false">AVERAGE(E322:E371)</f>
        <v>13727.7462</v>
      </c>
      <c r="K371" s="7" t="n">
        <f aca="false">AVERAGE(E272:E371)</f>
        <v>13462.1446</v>
      </c>
      <c r="L371" s="7" t="n">
        <f aca="false">AVERAGE(E172:E371)</f>
        <v>12757.02065</v>
      </c>
      <c r="M371" s="7" t="n">
        <f aca="false">I371</f>
        <v>13806.575</v>
      </c>
      <c r="N371" s="7" t="n">
        <f aca="false">I371+2*STDEV(E352:E371)</f>
        <v>14217.6172431102</v>
      </c>
      <c r="O371" s="7" t="n">
        <f aca="false">I371-2*STDEV(E352:E371)</f>
        <v>13395.5327568898</v>
      </c>
      <c r="P371" s="7" t="n">
        <f aca="false">MAX(E371-E370,0)</f>
        <v>0</v>
      </c>
      <c r="Q371" s="7" t="n">
        <f aca="false">MAX(E370-E371,0)</f>
        <v>114.23</v>
      </c>
      <c r="R371" s="7" t="n">
        <f aca="false">(R370*13+P371)/14</f>
        <v>60.5144239449333</v>
      </c>
      <c r="S371" s="7" t="n">
        <f aca="false">(S370*13+Q371)/14</f>
        <v>40.7084154794059</v>
      </c>
      <c r="T371" s="7" t="n">
        <f aca="false">IF(S371=0,100,100-100/(1+R371/S371))</f>
        <v>59.7833693355005</v>
      </c>
      <c r="U371" s="7" t="n">
        <f aca="false">E371*2/13+U370*11/13</f>
        <v>13940.3817506973</v>
      </c>
      <c r="V371" s="7" t="n">
        <f aca="false">E371*2/27+V370*25/27</f>
        <v>13799.0281517252</v>
      </c>
      <c r="W371" s="7" t="n">
        <f aca="false">U371-V371</f>
        <v>141.35359897208</v>
      </c>
      <c r="X371" s="7" t="n">
        <f aca="false">W371*2/10+X370*8/10</f>
        <v>107.740090032922</v>
      </c>
      <c r="Y371" s="7" t="n">
        <f aca="false">W371-X371</f>
        <v>33.6135089391584</v>
      </c>
      <c r="Z371" s="8" t="s">
        <v>42</v>
      </c>
      <c r="AA371" s="7" t="str">
        <f aca="false">IFERROR(INDEX(02_轉折點45!B:B,MATCH(A371,02_轉折點45!A:A,0)),"")</f>
        <v/>
      </c>
      <c r="AB371" s="7" t="n">
        <f aca="false">COUNTIFS(05_訊號明細!A:A,A371,05_訊號明細!C:C,"TOP")</f>
        <v>0</v>
      </c>
      <c r="AC371" s="7" t="n">
        <f aca="false">COUNTIFS(05_訊號明細!A:A,A371,05_訊號明細!C:C,"BOTTOM")</f>
        <v>0</v>
      </c>
    </row>
    <row r="372" customFormat="false" ht="15" hidden="false" customHeight="false" outlineLevel="0" collapsed="false">
      <c r="A372" s="7" t="s">
        <v>413</v>
      </c>
      <c r="B372" s="7" t="n">
        <v>14055.04</v>
      </c>
      <c r="C372" s="7" t="n">
        <v>14150.91</v>
      </c>
      <c r="D372" s="7" t="n">
        <v>13967.89</v>
      </c>
      <c r="E372" s="7" t="n">
        <v>14137.23</v>
      </c>
      <c r="F372" s="7" t="n">
        <v>4562</v>
      </c>
      <c r="G372" s="7" t="n">
        <f aca="false">AVERAGE(E368:E372)</f>
        <v>14072.808</v>
      </c>
      <c r="H372" s="7" t="n">
        <f aca="false">AVERAGE(E363:E372)</f>
        <v>14007.669</v>
      </c>
      <c r="I372" s="7" t="n">
        <f aca="false">AVERAGE(E353:E372)</f>
        <v>13842.8495</v>
      </c>
      <c r="J372" s="7" t="n">
        <f aca="false">AVERAGE(E323:E372)</f>
        <v>13733.5896</v>
      </c>
      <c r="K372" s="7" t="n">
        <f aca="false">AVERAGE(E273:E372)</f>
        <v>13472.3904</v>
      </c>
      <c r="L372" s="7" t="n">
        <f aca="false">AVERAGE(E173:E372)</f>
        <v>12765.6041</v>
      </c>
      <c r="M372" s="7" t="n">
        <f aca="false">I372</f>
        <v>13842.8495</v>
      </c>
      <c r="N372" s="7" t="n">
        <f aca="false">I372+2*STDEV(E353:E372)</f>
        <v>14234.78423181</v>
      </c>
      <c r="O372" s="7" t="n">
        <f aca="false">I372-2*STDEV(E353:E372)</f>
        <v>13450.91476819</v>
      </c>
      <c r="P372" s="7" t="n">
        <f aca="false">MAX(E372-E371,0)</f>
        <v>87.6499999999996</v>
      </c>
      <c r="Q372" s="7" t="n">
        <f aca="false">MAX(E371-E372,0)</f>
        <v>0</v>
      </c>
      <c r="R372" s="7" t="n">
        <f aca="false">(R371*13+P372)/14</f>
        <v>62.452679377438</v>
      </c>
      <c r="S372" s="7" t="n">
        <f aca="false">(S371*13+Q372)/14</f>
        <v>37.8006715165912</v>
      </c>
      <c r="T372" s="7" t="n">
        <f aca="false">IF(S372=0,100,100-100/(1+R372/S372))</f>
        <v>62.2948548058532</v>
      </c>
      <c r="U372" s="7" t="n">
        <f aca="false">E372*2/13+U371*11/13</f>
        <v>13970.6660967439</v>
      </c>
      <c r="V372" s="7" t="n">
        <f aca="false">E372*2/27+V371*25/27</f>
        <v>13824.0801404863</v>
      </c>
      <c r="W372" s="7" t="n">
        <f aca="false">U372-V372</f>
        <v>146.585956257552</v>
      </c>
      <c r="X372" s="7" t="n">
        <f aca="false">W372*2/10+X371*8/10</f>
        <v>115.509263277848</v>
      </c>
      <c r="Y372" s="7" t="n">
        <f aca="false">W372-X372</f>
        <v>31.0766929797036</v>
      </c>
      <c r="Z372" s="8" t="s">
        <v>42</v>
      </c>
      <c r="AA372" s="7" t="str">
        <f aca="false">IFERROR(INDEX(02_轉折點45!B:B,MATCH(A372,02_轉折點45!A:A,0)),"")</f>
        <v/>
      </c>
      <c r="AB372" s="7" t="n">
        <f aca="false">COUNTIFS(05_訊號明細!A:A,A372,05_訊號明細!C:C,"TOP")</f>
        <v>0</v>
      </c>
      <c r="AC372" s="7" t="n">
        <f aca="false">COUNTIFS(05_訊號明細!A:A,A372,05_訊號明細!C:C,"BOTTOM")</f>
        <v>0</v>
      </c>
    </row>
    <row r="373" customFormat="false" ht="15" hidden="false" customHeight="false" outlineLevel="0" collapsed="false">
      <c r="A373" s="7" t="s">
        <v>414</v>
      </c>
      <c r="B373" s="7" t="n">
        <v>14140.3</v>
      </c>
      <c r="C373" s="7" t="n">
        <v>14288.49</v>
      </c>
      <c r="D373" s="7" t="n">
        <v>14128.01</v>
      </c>
      <c r="E373" s="7" t="n">
        <v>14270.42</v>
      </c>
      <c r="F373" s="7" t="n">
        <v>4433</v>
      </c>
      <c r="G373" s="7" t="n">
        <f aca="false">AVERAGE(E369:E373)</f>
        <v>14120.81</v>
      </c>
      <c r="H373" s="7" t="n">
        <f aca="false">AVERAGE(E364:E373)</f>
        <v>14053.625</v>
      </c>
      <c r="I373" s="7" t="n">
        <f aca="false">AVERAGE(E354:E373)</f>
        <v>13874.283</v>
      </c>
      <c r="J373" s="7" t="n">
        <f aca="false">AVERAGE(E324:E373)</f>
        <v>13742.611</v>
      </c>
      <c r="K373" s="7" t="n">
        <f aca="false">AVERAGE(E274:E373)</f>
        <v>13483.0793</v>
      </c>
      <c r="L373" s="7" t="n">
        <f aca="false">AVERAGE(E174:E373)</f>
        <v>12778.09935</v>
      </c>
      <c r="M373" s="7" t="n">
        <f aca="false">I373</f>
        <v>13874.283</v>
      </c>
      <c r="N373" s="7" t="n">
        <f aca="false">I373+2*STDEV(E354:E373)</f>
        <v>14297.8704822016</v>
      </c>
      <c r="O373" s="7" t="n">
        <f aca="false">I373-2*STDEV(E354:E373)</f>
        <v>13450.6955177984</v>
      </c>
      <c r="P373" s="7" t="n">
        <f aca="false">MAX(E373-E372,0)</f>
        <v>133.190000000001</v>
      </c>
      <c r="Q373" s="7" t="n">
        <f aca="false">MAX(E372-E373,0)</f>
        <v>0</v>
      </c>
      <c r="R373" s="7" t="n">
        <f aca="false">(R372*13+P373)/14</f>
        <v>67.5053451361925</v>
      </c>
      <c r="S373" s="7" t="n">
        <f aca="false">(S372*13+Q373)/14</f>
        <v>35.1006235511204</v>
      </c>
      <c r="T373" s="7" t="n">
        <f aca="false">IF(S373=0,100,100-100/(1+R373/S373))</f>
        <v>65.7908560289627</v>
      </c>
      <c r="U373" s="7" t="n">
        <f aca="false">E373*2/13+U372*11/13</f>
        <v>14016.7820818602</v>
      </c>
      <c r="V373" s="7" t="n">
        <f aca="false">E373*2/27+V372*25/27</f>
        <v>13857.1423523022</v>
      </c>
      <c r="W373" s="7" t="n">
        <f aca="false">U373-V373</f>
        <v>159.63972955805</v>
      </c>
      <c r="X373" s="7" t="n">
        <f aca="false">W373*2/10+X372*8/10</f>
        <v>124.335356533888</v>
      </c>
      <c r="Y373" s="7" t="n">
        <f aca="false">W373-X373</f>
        <v>35.3043730241617</v>
      </c>
      <c r="Z373" s="8" t="s">
        <v>42</v>
      </c>
      <c r="AA373" s="7" t="str">
        <f aca="false">IFERROR(INDEX(02_轉折點45!B:B,MATCH(A373,02_轉折點45!A:A,0)),"")</f>
        <v/>
      </c>
      <c r="AB373" s="7" t="n">
        <f aca="false">COUNTIFS(05_訊號明細!A:A,A373,05_訊號明細!C:C,"TOP")</f>
        <v>0</v>
      </c>
      <c r="AC373" s="7" t="n">
        <f aca="false">COUNTIFS(05_訊號明細!A:A,A373,05_訊號明細!C:C,"BOTTOM")</f>
        <v>0</v>
      </c>
    </row>
    <row r="374" customFormat="false" ht="15" hidden="false" customHeight="false" outlineLevel="0" collapsed="false">
      <c r="A374" s="7" t="s">
        <v>415</v>
      </c>
      <c r="B374" s="7" t="n">
        <v>14275.09</v>
      </c>
      <c r="C374" s="7" t="n">
        <v>14324.74</v>
      </c>
      <c r="D374" s="7" t="n">
        <v>14247.58</v>
      </c>
      <c r="E374" s="7" t="n">
        <v>14274.24</v>
      </c>
      <c r="F374" s="7" t="n">
        <v>4417</v>
      </c>
      <c r="G374" s="7" t="n">
        <f aca="false">AVERAGE(E370:E374)</f>
        <v>14179.056</v>
      </c>
      <c r="H374" s="7" t="n">
        <f aca="false">AVERAGE(E365:E374)</f>
        <v>14099.555</v>
      </c>
      <c r="I374" s="7" t="n">
        <f aca="false">AVERAGE(E355:E374)</f>
        <v>13905.1085</v>
      </c>
      <c r="J374" s="7" t="n">
        <f aca="false">AVERAGE(E325:E374)</f>
        <v>13748.366</v>
      </c>
      <c r="K374" s="7" t="n">
        <f aca="false">AVERAGE(E275:E374)</f>
        <v>13496.5679</v>
      </c>
      <c r="L374" s="7" t="n">
        <f aca="false">AVERAGE(E175:E374)</f>
        <v>12791.3599</v>
      </c>
      <c r="M374" s="7" t="n">
        <f aca="false">I374</f>
        <v>13905.1085</v>
      </c>
      <c r="N374" s="7" t="n">
        <f aca="false">I374+2*STDEV(E355:E374)</f>
        <v>14351.4601097275</v>
      </c>
      <c r="O374" s="7" t="n">
        <f aca="false">I374-2*STDEV(E355:E374)</f>
        <v>13458.7568902725</v>
      </c>
      <c r="P374" s="7" t="n">
        <f aca="false">MAX(E374-E373,0)</f>
        <v>3.81999999999971</v>
      </c>
      <c r="Q374" s="7" t="n">
        <f aca="false">MAX(E373-E374,0)</f>
        <v>0</v>
      </c>
      <c r="R374" s="7" t="n">
        <f aca="false">(R373*13+P374)/14</f>
        <v>62.9563919121787</v>
      </c>
      <c r="S374" s="7" t="n">
        <f aca="false">(S373*13+Q374)/14</f>
        <v>32.5934361546118</v>
      </c>
      <c r="T374" s="7" t="n">
        <f aca="false">IF(S374=0,100,100-100/(1+R374/S374))</f>
        <v>65.8885454698793</v>
      </c>
      <c r="U374" s="7" t="n">
        <f aca="false">E374*2/13+U373*11/13</f>
        <v>14056.3909923432</v>
      </c>
      <c r="V374" s="7" t="n">
        <f aca="false">E374*2/27+V373*25/27</f>
        <v>13888.0384743538</v>
      </c>
      <c r="W374" s="7" t="n">
        <f aca="false">U374-V374</f>
        <v>168.352517989402</v>
      </c>
      <c r="X374" s="7" t="n">
        <f aca="false">W374*2/10+X373*8/10</f>
        <v>133.138788824991</v>
      </c>
      <c r="Y374" s="7" t="n">
        <f aca="false">W374-X374</f>
        <v>35.2137291644111</v>
      </c>
      <c r="Z374" s="8" t="s">
        <v>42</v>
      </c>
      <c r="AA374" s="7" t="str">
        <f aca="false">IFERROR(INDEX(02_轉折點45!B:B,MATCH(A374,02_轉折點45!A:A,0)),"")</f>
        <v/>
      </c>
      <c r="AB374" s="7" t="n">
        <f aca="false">COUNTIFS(05_訊號明細!A:A,A374,05_訊號明細!C:C,"TOP")</f>
        <v>0</v>
      </c>
      <c r="AC374" s="7" t="n">
        <f aca="false">COUNTIFS(05_訊號明細!A:A,A374,05_訊號明細!C:C,"BOTTOM")</f>
        <v>1</v>
      </c>
    </row>
    <row r="375" customFormat="false" ht="15" hidden="false" customHeight="false" outlineLevel="0" collapsed="false">
      <c r="A375" s="7" t="s">
        <v>416</v>
      </c>
      <c r="B375" s="7" t="n">
        <v>14358.3</v>
      </c>
      <c r="C375" s="7" t="n">
        <v>14429.14</v>
      </c>
      <c r="D375" s="7" t="n">
        <v>14337.65</v>
      </c>
      <c r="E375" s="7" t="n">
        <v>14365.96</v>
      </c>
      <c r="F375" s="7" t="n">
        <v>4325</v>
      </c>
      <c r="G375" s="7" t="n">
        <f aca="false">AVERAGE(E371:E375)</f>
        <v>14219.486</v>
      </c>
      <c r="H375" s="7" t="n">
        <f aca="false">AVERAGE(E366:E375)</f>
        <v>14140.116</v>
      </c>
      <c r="I375" s="7" t="n">
        <f aca="false">AVERAGE(E356:E375)</f>
        <v>13938.2695</v>
      </c>
      <c r="J375" s="7" t="n">
        <f aca="false">AVERAGE(E326:E375)</f>
        <v>13759.607</v>
      </c>
      <c r="K375" s="7" t="n">
        <f aca="false">AVERAGE(E276:E375)</f>
        <v>13507.7385</v>
      </c>
      <c r="L375" s="7" t="n">
        <f aca="false">AVERAGE(E176:E375)</f>
        <v>12807.8484</v>
      </c>
      <c r="M375" s="7" t="n">
        <f aca="false">I375</f>
        <v>13938.2695</v>
      </c>
      <c r="N375" s="7" t="n">
        <f aca="false">I375+2*STDEV(E356:E375)</f>
        <v>14418.5719079177</v>
      </c>
      <c r="O375" s="7" t="n">
        <f aca="false">I375-2*STDEV(E356:E375)</f>
        <v>13457.9670920823</v>
      </c>
      <c r="P375" s="7" t="n">
        <f aca="false">MAX(E375-E374,0)</f>
        <v>91.7199999999994</v>
      </c>
      <c r="Q375" s="7" t="n">
        <f aca="false">MAX(E374-E375,0)</f>
        <v>0</v>
      </c>
      <c r="R375" s="7" t="n">
        <f aca="false">(R374*13+P375)/14</f>
        <v>65.0109353470231</v>
      </c>
      <c r="S375" s="7" t="n">
        <f aca="false">(S374*13+Q375)/14</f>
        <v>30.2653335721395</v>
      </c>
      <c r="T375" s="7" t="n">
        <f aca="false">IF(S375=0,100,100-100/(1+R375/S375))</f>
        <v>68.2341322603447</v>
      </c>
      <c r="U375" s="7" t="n">
        <f aca="false">E375*2/13+U374*11/13</f>
        <v>14104.0169935212</v>
      </c>
      <c r="V375" s="7" t="n">
        <f aca="false">E375*2/27+V374*25/27</f>
        <v>13923.4400688462</v>
      </c>
      <c r="W375" s="7" t="n">
        <f aca="false">U375-V375</f>
        <v>180.576924675055</v>
      </c>
      <c r="X375" s="7" t="n">
        <f aca="false">W375*2/10+X374*8/10</f>
        <v>142.626415995004</v>
      </c>
      <c r="Y375" s="7" t="n">
        <f aca="false">W375-X375</f>
        <v>37.9505086800512</v>
      </c>
      <c r="Z375" s="8" t="s">
        <v>42</v>
      </c>
      <c r="AA375" s="7" t="str">
        <f aca="false">IFERROR(INDEX(02_轉折點45!B:B,MATCH(A375,02_轉折點45!A:A,0)),"")</f>
        <v/>
      </c>
      <c r="AB375" s="7" t="n">
        <f aca="false">COUNTIFS(05_訊號明細!A:A,A375,05_訊號明細!C:C,"TOP")</f>
        <v>0</v>
      </c>
      <c r="AC375" s="7" t="n">
        <f aca="false">COUNTIFS(05_訊號明細!A:A,A375,05_訊號明細!C:C,"BOTTOM")</f>
        <v>0</v>
      </c>
    </row>
    <row r="376" customFormat="false" ht="15" hidden="false" customHeight="false" outlineLevel="0" collapsed="false">
      <c r="A376" s="7" t="s">
        <v>417</v>
      </c>
      <c r="B376" s="7" t="n">
        <v>14396.63</v>
      </c>
      <c r="C376" s="7" t="n">
        <v>14401.71</v>
      </c>
      <c r="D376" s="7" t="n">
        <v>14324.26</v>
      </c>
      <c r="E376" s="7" t="n">
        <v>14345.18</v>
      </c>
      <c r="F376" s="7" t="n">
        <v>7468</v>
      </c>
      <c r="G376" s="7" t="n">
        <f aca="false">AVERAGE(E372:E376)</f>
        <v>14278.606</v>
      </c>
      <c r="H376" s="7" t="n">
        <f aca="false">AVERAGE(E367:E376)</f>
        <v>14174.804</v>
      </c>
      <c r="I376" s="7" t="n">
        <f aca="false">AVERAGE(E357:E376)</f>
        <v>13972.636</v>
      </c>
      <c r="J376" s="7" t="n">
        <f aca="false">AVERAGE(E327:E376)</f>
        <v>13765.9868</v>
      </c>
      <c r="K376" s="7" t="n">
        <f aca="false">AVERAGE(E277:E376)</f>
        <v>13516.6291</v>
      </c>
      <c r="L376" s="7" t="n">
        <f aca="false">AVERAGE(E177:E376)</f>
        <v>12822.59505</v>
      </c>
      <c r="M376" s="7" t="n">
        <f aca="false">I376</f>
        <v>13972.636</v>
      </c>
      <c r="N376" s="7" t="n">
        <f aca="false">I376+2*STDEV(E357:E376)</f>
        <v>14466.6207317223</v>
      </c>
      <c r="O376" s="7" t="n">
        <f aca="false">I376-2*STDEV(E357:E376)</f>
        <v>13478.6512682777</v>
      </c>
      <c r="P376" s="7" t="n">
        <f aca="false">MAX(E376-E375,0)</f>
        <v>0</v>
      </c>
      <c r="Q376" s="7" t="n">
        <f aca="false">MAX(E375-E376,0)</f>
        <v>20.7799999999988</v>
      </c>
      <c r="R376" s="7" t="n">
        <f aca="false">(R375*13+P376)/14</f>
        <v>60.36729710795</v>
      </c>
      <c r="S376" s="7" t="n">
        <f aca="false">(S375*13+Q376)/14</f>
        <v>29.587809745558</v>
      </c>
      <c r="T376" s="7" t="n">
        <f aca="false">IF(S376=0,100,100-100/(1+R376/S376))</f>
        <v>67.1082490138756</v>
      </c>
      <c r="U376" s="7" t="n">
        <f aca="false">E376*2/13+U375*11/13</f>
        <v>14141.1189945179</v>
      </c>
      <c r="V376" s="7" t="n">
        <f aca="false">E376*2/27+V375*25/27</f>
        <v>13954.6800637464</v>
      </c>
      <c r="W376" s="7" t="n">
        <f aca="false">U376-V376</f>
        <v>186.438930771508</v>
      </c>
      <c r="X376" s="7" t="n">
        <f aca="false">W376*2/10+X375*8/10</f>
        <v>151.388918950305</v>
      </c>
      <c r="Y376" s="7" t="n">
        <f aca="false">W376-X376</f>
        <v>35.0500118212034</v>
      </c>
      <c r="Z376" s="8" t="s">
        <v>42</v>
      </c>
      <c r="AA376" s="7" t="str">
        <f aca="false">IFERROR(INDEX(02_轉折點45!B:B,MATCH(A376,02_轉折點45!A:A,0)),"")</f>
        <v/>
      </c>
      <c r="AB376" s="7" t="n">
        <f aca="false">COUNTIFS(05_訊號明細!A:A,A376,05_訊號明細!C:C,"TOP")</f>
        <v>0</v>
      </c>
      <c r="AC376" s="7" t="n">
        <f aca="false">COUNTIFS(05_訊號明細!A:A,A376,05_訊號明細!C:C,"BOTTOM")</f>
        <v>0</v>
      </c>
    </row>
    <row r="377" customFormat="false" ht="15" hidden="false" customHeight="false" outlineLevel="0" collapsed="false">
      <c r="A377" s="7" t="s">
        <v>418</v>
      </c>
      <c r="B377" s="7" t="n">
        <v>14401.63</v>
      </c>
      <c r="C377" s="7" t="n">
        <v>14530.07</v>
      </c>
      <c r="D377" s="7" t="n">
        <v>14400.59</v>
      </c>
      <c r="E377" s="7" t="n">
        <v>14524.98</v>
      </c>
      <c r="F377" s="7" t="n">
        <v>4283</v>
      </c>
      <c r="G377" s="7" t="n">
        <f aca="false">AVERAGE(E373:E377)</f>
        <v>14356.156</v>
      </c>
      <c r="H377" s="7" t="n">
        <f aca="false">AVERAGE(E368:E377)</f>
        <v>14214.482</v>
      </c>
      <c r="I377" s="7" t="n">
        <f aca="false">AVERAGE(E358:E377)</f>
        <v>14014.5595</v>
      </c>
      <c r="J377" s="7" t="n">
        <f aca="false">AVERAGE(E328:E377)</f>
        <v>13775.6482</v>
      </c>
      <c r="K377" s="7" t="n">
        <f aca="false">AVERAGE(E278:E377)</f>
        <v>13527.8552</v>
      </c>
      <c r="L377" s="7" t="n">
        <f aca="false">AVERAGE(E178:E377)</f>
        <v>12839.44935</v>
      </c>
      <c r="M377" s="7" t="n">
        <f aca="false">I377</f>
        <v>14014.5595</v>
      </c>
      <c r="N377" s="7" t="n">
        <f aca="false">I377+2*STDEV(E358:E377)</f>
        <v>14547.1131407863</v>
      </c>
      <c r="O377" s="7" t="n">
        <f aca="false">I377-2*STDEV(E358:E377)</f>
        <v>13482.0058592137</v>
      </c>
      <c r="P377" s="7" t="n">
        <f aca="false">MAX(E377-E376,0)</f>
        <v>179.799999999999</v>
      </c>
      <c r="Q377" s="7" t="n">
        <f aca="false">MAX(E376-E377,0)</f>
        <v>0</v>
      </c>
      <c r="R377" s="7" t="n">
        <f aca="false">(R376*13+P377)/14</f>
        <v>68.8982044573821</v>
      </c>
      <c r="S377" s="7" t="n">
        <f aca="false">(S376*13+Q377)/14</f>
        <v>27.4743947637324</v>
      </c>
      <c r="T377" s="7" t="n">
        <f aca="false">IF(S377=0,100,100-100/(1+R377/S377))</f>
        <v>71.4914872216988</v>
      </c>
      <c r="U377" s="7" t="n">
        <f aca="false">E377*2/13+U376*11/13</f>
        <v>14200.1745338229</v>
      </c>
      <c r="V377" s="7" t="n">
        <f aca="false">E377*2/27+V376*25/27</f>
        <v>13996.9245034689</v>
      </c>
      <c r="W377" s="7" t="n">
        <f aca="false">U377-V377</f>
        <v>203.250030353955</v>
      </c>
      <c r="X377" s="7" t="n">
        <f aca="false">W377*2/10+X376*8/10</f>
        <v>161.761141231035</v>
      </c>
      <c r="Y377" s="7" t="n">
        <f aca="false">W377-X377</f>
        <v>41.4888891229198</v>
      </c>
      <c r="Z377" s="8" t="s">
        <v>42</v>
      </c>
      <c r="AA377" s="7" t="str">
        <f aca="false">IFERROR(INDEX(02_轉折點45!B:B,MATCH(A377,02_轉折點45!A:A,0)),"")</f>
        <v/>
      </c>
      <c r="AB377" s="7" t="n">
        <f aca="false">COUNTIFS(05_訊號明細!A:A,A377,05_訊號明細!C:C,"TOP")</f>
        <v>0</v>
      </c>
      <c r="AC377" s="7" t="n">
        <f aca="false">COUNTIFS(05_訊號明細!A:A,A377,05_訊號明細!C:C,"BOTTOM")</f>
        <v>0</v>
      </c>
    </row>
    <row r="378" customFormat="false" ht="15" hidden="false" customHeight="false" outlineLevel="0" collapsed="false">
      <c r="A378" s="7" t="s">
        <v>419</v>
      </c>
      <c r="B378" s="7" t="n">
        <v>14523.63</v>
      </c>
      <c r="C378" s="7" t="n">
        <v>14575.19</v>
      </c>
      <c r="D378" s="7" t="n">
        <v>14481.85</v>
      </c>
      <c r="E378" s="7" t="n">
        <v>14572.75</v>
      </c>
      <c r="F378" s="7" t="n">
        <v>4901</v>
      </c>
      <c r="G378" s="7" t="n">
        <f aca="false">AVERAGE(E374:E378)</f>
        <v>14416.622</v>
      </c>
      <c r="H378" s="7" t="n">
        <f aca="false">AVERAGE(E369:E378)</f>
        <v>14268.716</v>
      </c>
      <c r="I378" s="7" t="n">
        <f aca="false">AVERAGE(E359:E378)</f>
        <v>14060.4675</v>
      </c>
      <c r="J378" s="7" t="n">
        <f aca="false">AVERAGE(E329:E378)</f>
        <v>13788.9498</v>
      </c>
      <c r="K378" s="7" t="n">
        <f aca="false">AVERAGE(E279:E378)</f>
        <v>13537.9738</v>
      </c>
      <c r="L378" s="7" t="n">
        <f aca="false">AVERAGE(E179:E378)</f>
        <v>12856.8761</v>
      </c>
      <c r="M378" s="7" t="n">
        <f aca="false">I378</f>
        <v>14060.4675</v>
      </c>
      <c r="N378" s="7" t="n">
        <f aca="false">I378+2*STDEV(E359:E378)</f>
        <v>14619.9806832462</v>
      </c>
      <c r="O378" s="7" t="n">
        <f aca="false">I378-2*STDEV(E359:E378)</f>
        <v>13500.9543167538</v>
      </c>
      <c r="P378" s="7" t="n">
        <f aca="false">MAX(E378-E377,0)</f>
        <v>47.7700000000004</v>
      </c>
      <c r="Q378" s="7" t="n">
        <f aca="false">MAX(E377-E378,0)</f>
        <v>0</v>
      </c>
      <c r="R378" s="7" t="n">
        <f aca="false">(R377*13+P378)/14</f>
        <v>67.3890469961405</v>
      </c>
      <c r="S378" s="7" t="n">
        <f aca="false">(S377*13+Q378)/14</f>
        <v>25.5119379948944</v>
      </c>
      <c r="T378" s="7" t="n">
        <f aca="false">IF(S378=0,100,100-100/(1+R378/S378))</f>
        <v>72.538571041678</v>
      </c>
      <c r="U378" s="7" t="n">
        <f aca="false">E378*2/13+U377*11/13</f>
        <v>14257.4938363117</v>
      </c>
      <c r="V378" s="7" t="n">
        <f aca="false">E378*2/27+V377*25/27</f>
        <v>14039.5782439527</v>
      </c>
      <c r="W378" s="7" t="n">
        <f aca="false">U378-V378</f>
        <v>217.915592358961</v>
      </c>
      <c r="X378" s="7" t="n">
        <f aca="false">W378*2/10+X377*8/10</f>
        <v>172.99203145662</v>
      </c>
      <c r="Y378" s="7" t="n">
        <f aca="false">W378-X378</f>
        <v>44.9235609023407</v>
      </c>
      <c r="Z378" s="8" t="s">
        <v>42</v>
      </c>
      <c r="AA378" s="7" t="str">
        <f aca="false">IFERROR(INDEX(02_轉折點45!B:B,MATCH(A378,02_轉折點45!A:A,0)),"")</f>
        <v/>
      </c>
      <c r="AB378" s="7" t="n">
        <f aca="false">COUNTIFS(05_訊號明細!A:A,A378,05_訊號明細!C:C,"TOP")</f>
        <v>0</v>
      </c>
      <c r="AC378" s="7" t="n">
        <f aca="false">COUNTIFS(05_訊號明細!A:A,A378,05_訊號明細!C:C,"BOTTOM")</f>
        <v>0</v>
      </c>
    </row>
    <row r="379" customFormat="false" ht="15" hidden="false" customHeight="false" outlineLevel="0" collapsed="false">
      <c r="A379" s="7" t="s">
        <v>420</v>
      </c>
      <c r="B379" s="7" t="n">
        <v>14560.07</v>
      </c>
      <c r="C379" s="7" t="n">
        <v>14582.3</v>
      </c>
      <c r="D379" s="7" t="n">
        <v>14530.87</v>
      </c>
      <c r="E379" s="7" t="n">
        <v>14554.8</v>
      </c>
      <c r="F379" s="7" t="n">
        <v>5294</v>
      </c>
      <c r="G379" s="7" t="n">
        <f aca="false">AVERAGE(E375:E379)</f>
        <v>14472.734</v>
      </c>
      <c r="H379" s="7" t="n">
        <f aca="false">AVERAGE(E370:E379)</f>
        <v>14325.895</v>
      </c>
      <c r="I379" s="7" t="n">
        <f aca="false">AVERAGE(E360:E379)</f>
        <v>14104.418</v>
      </c>
      <c r="J379" s="7" t="n">
        <f aca="false">AVERAGE(E330:E379)</f>
        <v>13803.8598</v>
      </c>
      <c r="K379" s="7" t="n">
        <f aca="false">AVERAGE(E280:E379)</f>
        <v>13547.4822</v>
      </c>
      <c r="L379" s="7" t="n">
        <f aca="false">AVERAGE(E180:E379)</f>
        <v>12873.2613</v>
      </c>
      <c r="M379" s="7" t="n">
        <f aca="false">I379</f>
        <v>14104.418</v>
      </c>
      <c r="N379" s="7" t="n">
        <f aca="false">I379+2*STDEV(E360:E379)</f>
        <v>14674.6933117426</v>
      </c>
      <c r="O379" s="7" t="n">
        <f aca="false">I379-2*STDEV(E360:E379)</f>
        <v>13534.1426882574</v>
      </c>
      <c r="P379" s="7" t="n">
        <f aca="false">MAX(E379-E378,0)</f>
        <v>0</v>
      </c>
      <c r="Q379" s="7" t="n">
        <f aca="false">MAX(E378-E379,0)</f>
        <v>17.9500000000007</v>
      </c>
      <c r="R379" s="7" t="n">
        <f aca="false">(R378*13+P379)/14</f>
        <v>62.5755436392734</v>
      </c>
      <c r="S379" s="7" t="n">
        <f aca="false">(S378*13+Q379)/14</f>
        <v>24.9717995666877</v>
      </c>
      <c r="T379" s="7" t="n">
        <f aca="false">IF(S379=0,100,100-100/(1+R379/S379))</f>
        <v>71.4762337128383</v>
      </c>
      <c r="U379" s="7" t="n">
        <f aca="false">E379*2/13+U378*11/13</f>
        <v>14303.2332461099</v>
      </c>
      <c r="V379" s="7" t="n">
        <f aca="false">E379*2/27+V378*25/27</f>
        <v>14077.7428184747</v>
      </c>
      <c r="W379" s="7" t="n">
        <f aca="false">U379-V379</f>
        <v>225.490427635144</v>
      </c>
      <c r="X379" s="7" t="n">
        <f aca="false">W379*2/10+X378*8/10</f>
        <v>183.491710692325</v>
      </c>
      <c r="Y379" s="7" t="n">
        <f aca="false">W379-X379</f>
        <v>41.9987169428196</v>
      </c>
      <c r="Z379" s="8" t="s">
        <v>42</v>
      </c>
      <c r="AA379" s="7" t="str">
        <f aca="false">IFERROR(INDEX(02_轉折點45!B:B,MATCH(A379,02_轉折點45!A:A,0)),"")</f>
        <v/>
      </c>
      <c r="AB379" s="7" t="n">
        <f aca="false">COUNTIFS(05_訊號明細!A:A,A379,05_訊號明細!C:C,"TOP")</f>
        <v>1</v>
      </c>
      <c r="AC379" s="7" t="n">
        <f aca="false">COUNTIFS(05_訊號明細!A:A,A379,05_訊號明細!C:C,"BOTTOM")</f>
        <v>0</v>
      </c>
    </row>
    <row r="380" customFormat="false" ht="15" hidden="false" customHeight="false" outlineLevel="0" collapsed="false">
      <c r="A380" s="7" t="s">
        <v>421</v>
      </c>
      <c r="B380" s="7" t="n">
        <v>14530.63</v>
      </c>
      <c r="C380" s="7" t="n">
        <v>14576.64</v>
      </c>
      <c r="D380" s="7" t="n">
        <v>14483.42</v>
      </c>
      <c r="E380" s="7" t="n">
        <v>14560.05</v>
      </c>
      <c r="F380" s="7" t="n">
        <v>4410</v>
      </c>
      <c r="G380" s="7" t="n">
        <f aca="false">AVERAGE(E376:E380)</f>
        <v>14511.552</v>
      </c>
      <c r="H380" s="7" t="n">
        <f aca="false">AVERAGE(E371:E380)</f>
        <v>14365.519</v>
      </c>
      <c r="I380" s="7" t="n">
        <f aca="false">AVERAGE(E361:E380)</f>
        <v>14155.9365</v>
      </c>
      <c r="J380" s="7" t="n">
        <f aca="false">AVERAGE(E331:E380)</f>
        <v>13816.3578</v>
      </c>
      <c r="K380" s="7" t="n">
        <f aca="false">AVERAGE(E281:E380)</f>
        <v>13556.1325</v>
      </c>
      <c r="L380" s="7" t="n">
        <f aca="false">AVERAGE(E181:E380)</f>
        <v>12888.8672</v>
      </c>
      <c r="M380" s="7" t="n">
        <f aca="false">I380</f>
        <v>14155.9365</v>
      </c>
      <c r="N380" s="7" t="n">
        <f aca="false">I380+2*STDEV(E361:E380)</f>
        <v>14692.7810442055</v>
      </c>
      <c r="O380" s="7" t="n">
        <f aca="false">I380-2*STDEV(E361:E380)</f>
        <v>13619.0919557945</v>
      </c>
      <c r="P380" s="7" t="n">
        <f aca="false">MAX(E380-E379,0)</f>
        <v>5.25</v>
      </c>
      <c r="Q380" s="7" t="n">
        <f aca="false">MAX(E379-E380,0)</f>
        <v>0</v>
      </c>
      <c r="R380" s="7" t="n">
        <f aca="false">(R379*13+P380)/14</f>
        <v>58.4808619507538</v>
      </c>
      <c r="S380" s="7" t="n">
        <f aca="false">(S379*13+Q380)/14</f>
        <v>23.1880995976386</v>
      </c>
      <c r="T380" s="7" t="n">
        <f aca="false">IF(S380=0,100,100-100/(1+R380/S380))</f>
        <v>71.6072065102742</v>
      </c>
      <c r="U380" s="7" t="n">
        <f aca="false">E380*2/13+U379*11/13</f>
        <v>14342.7435159391</v>
      </c>
      <c r="V380" s="7" t="n">
        <f aca="false">E380*2/27+V379*25/27</f>
        <v>14113.4692763655</v>
      </c>
      <c r="W380" s="7" t="n">
        <f aca="false">U380-V380</f>
        <v>229.274239573633</v>
      </c>
      <c r="X380" s="7" t="n">
        <f aca="false">W380*2/10+X379*8/10</f>
        <v>192.648216468587</v>
      </c>
      <c r="Y380" s="7" t="n">
        <f aca="false">W380-X380</f>
        <v>36.6260231050467</v>
      </c>
      <c r="Z380" s="8" t="s">
        <v>42</v>
      </c>
      <c r="AA380" s="7" t="str">
        <f aca="false">IFERROR(INDEX(02_轉折點45!B:B,MATCH(A380,02_轉折點45!A:A,0)),"")</f>
        <v/>
      </c>
      <c r="AB380" s="7" t="n">
        <f aca="false">COUNTIFS(05_訊號明細!A:A,A380,05_訊號明細!C:C,"TOP")</f>
        <v>0</v>
      </c>
      <c r="AC380" s="7" t="n">
        <f aca="false">COUNTIFS(05_訊號明細!A:A,A380,05_訊號明細!C:C,"BOTTOM")</f>
        <v>0</v>
      </c>
    </row>
    <row r="381" customFormat="false" ht="15" hidden="false" customHeight="false" outlineLevel="0" collapsed="false">
      <c r="A381" s="7" t="s">
        <v>422</v>
      </c>
      <c r="B381" s="7" t="n">
        <v>14633.51</v>
      </c>
      <c r="C381" s="7" t="n">
        <v>14738.14</v>
      </c>
      <c r="D381" s="7" t="n">
        <v>14626.82</v>
      </c>
      <c r="E381" s="7" t="n">
        <v>14727.63</v>
      </c>
      <c r="F381" s="7" t="n">
        <v>3751</v>
      </c>
      <c r="G381" s="7" t="n">
        <f aca="false">AVERAGE(E377:E381)</f>
        <v>14588.042</v>
      </c>
      <c r="H381" s="7" t="n">
        <f aca="false">AVERAGE(E372:E381)</f>
        <v>14433.324</v>
      </c>
      <c r="I381" s="7" t="n">
        <f aca="false">AVERAGE(E362:E381)</f>
        <v>14203.7795</v>
      </c>
      <c r="J381" s="7" t="n">
        <f aca="false">AVERAGE(E332:E381)</f>
        <v>13835.6632</v>
      </c>
      <c r="K381" s="7" t="n">
        <f aca="false">AVERAGE(E282:E381)</f>
        <v>13566.538</v>
      </c>
      <c r="L381" s="7" t="n">
        <f aca="false">AVERAGE(E182:E381)</f>
        <v>12906.26735</v>
      </c>
      <c r="M381" s="7" t="n">
        <f aca="false">I381</f>
        <v>14203.7795</v>
      </c>
      <c r="N381" s="7" t="n">
        <f aca="false">I381+2*STDEV(E362:E381)</f>
        <v>14766.0420307948</v>
      </c>
      <c r="O381" s="7" t="n">
        <f aca="false">I381-2*STDEV(E362:E381)</f>
        <v>13641.5169692052</v>
      </c>
      <c r="P381" s="7" t="n">
        <f aca="false">MAX(E381-E380,0)</f>
        <v>167.58</v>
      </c>
      <c r="Q381" s="7" t="n">
        <f aca="false">MAX(E380-E381,0)</f>
        <v>0</v>
      </c>
      <c r="R381" s="7" t="n">
        <f aca="false">(R380*13+P381)/14</f>
        <v>66.2736575257</v>
      </c>
      <c r="S381" s="7" t="n">
        <f aca="false">(S380*13+Q381)/14</f>
        <v>21.5318067692358</v>
      </c>
      <c r="T381" s="7" t="n">
        <f aca="false">IF(S381=0,100,100-100/(1+R381/S381))</f>
        <v>75.4778282398107</v>
      </c>
      <c r="U381" s="7" t="n">
        <f aca="false">E381*2/13+U380*11/13</f>
        <v>14401.9568211793</v>
      </c>
      <c r="V381" s="7" t="n">
        <f aca="false">E381*2/27+V380*25/27</f>
        <v>14158.9626633014</v>
      </c>
      <c r="W381" s="7" t="n">
        <f aca="false">U381-V381</f>
        <v>242.994157877878</v>
      </c>
      <c r="X381" s="7" t="n">
        <f aca="false">W381*2/10+X380*8/10</f>
        <v>202.717404750445</v>
      </c>
      <c r="Y381" s="7" t="n">
        <f aca="false">W381-X381</f>
        <v>40.2767531274332</v>
      </c>
      <c r="Z381" s="8" t="s">
        <v>42</v>
      </c>
      <c r="AA381" s="7" t="str">
        <f aca="false">IFERROR(INDEX(02_轉折點45!B:B,MATCH(A381,02_轉折點45!A:A,0)),"")</f>
        <v/>
      </c>
      <c r="AB381" s="7" t="n">
        <f aca="false">COUNTIFS(05_訊號明細!A:A,A381,05_訊號明細!C:C,"TOP")</f>
        <v>0</v>
      </c>
      <c r="AC381" s="7" t="n">
        <f aca="false">COUNTIFS(05_訊號明細!A:A,A381,05_訊號明細!C:C,"BOTTOM")</f>
        <v>0</v>
      </c>
    </row>
    <row r="382" customFormat="false" ht="15" hidden="false" customHeight="false" outlineLevel="0" collapsed="false">
      <c r="A382" s="7" t="s">
        <v>423</v>
      </c>
      <c r="B382" s="7" t="n">
        <v>14755.15</v>
      </c>
      <c r="C382" s="7" t="n">
        <v>14797.45</v>
      </c>
      <c r="D382" s="7" t="n">
        <v>14635.31</v>
      </c>
      <c r="E382" s="7" t="n">
        <v>14786.36</v>
      </c>
      <c r="F382" s="7" t="n">
        <v>4490</v>
      </c>
      <c r="G382" s="7" t="n">
        <f aca="false">AVERAGE(E378:E382)</f>
        <v>14640.318</v>
      </c>
      <c r="H382" s="7" t="n">
        <f aca="false">AVERAGE(E373:E382)</f>
        <v>14498.237</v>
      </c>
      <c r="I382" s="7" t="n">
        <f aca="false">AVERAGE(E363:E382)</f>
        <v>14252.953</v>
      </c>
      <c r="J382" s="7" t="n">
        <f aca="false">AVERAGE(E333:E382)</f>
        <v>13852.5616</v>
      </c>
      <c r="K382" s="7" t="n">
        <f aca="false">AVERAGE(E283:E382)</f>
        <v>13577.8489</v>
      </c>
      <c r="L382" s="7" t="n">
        <f aca="false">AVERAGE(E183:E382)</f>
        <v>12924.7944</v>
      </c>
      <c r="M382" s="7" t="n">
        <f aca="false">I382</f>
        <v>14252.953</v>
      </c>
      <c r="N382" s="7" t="n">
        <f aca="false">I382+2*STDEV(E363:E382)</f>
        <v>14839.1069163807</v>
      </c>
      <c r="O382" s="7" t="n">
        <f aca="false">I382-2*STDEV(E363:E382)</f>
        <v>13666.7990836193</v>
      </c>
      <c r="P382" s="7" t="n">
        <f aca="false">MAX(E382-E381,0)</f>
        <v>58.7300000000014</v>
      </c>
      <c r="Q382" s="7" t="n">
        <f aca="false">MAX(E381-E382,0)</f>
        <v>0</v>
      </c>
      <c r="R382" s="7" t="n">
        <f aca="false">(R381*13+P382)/14</f>
        <v>65.7348248452929</v>
      </c>
      <c r="S382" s="7" t="n">
        <f aca="false">(S381*13+Q382)/14</f>
        <v>19.9938205714333</v>
      </c>
      <c r="T382" s="7" t="n">
        <f aca="false">IF(S382=0,100,100-100/(1+R382/S382))</f>
        <v>76.6777831677574</v>
      </c>
      <c r="U382" s="7" t="n">
        <f aca="false">E382*2/13+U381*11/13</f>
        <v>14461.0957717671</v>
      </c>
      <c r="V382" s="7" t="n">
        <f aca="false">E382*2/27+V381*25/27</f>
        <v>14205.4365400939</v>
      </c>
      <c r="W382" s="7" t="n">
        <f aca="false">U382-V382</f>
        <v>255.659231673193</v>
      </c>
      <c r="X382" s="7" t="n">
        <f aca="false">W382*2/10+X381*8/10</f>
        <v>213.305770134994</v>
      </c>
      <c r="Y382" s="7" t="n">
        <f aca="false">W382-X382</f>
        <v>42.3534615381986</v>
      </c>
      <c r="Z382" s="8" t="s">
        <v>42</v>
      </c>
      <c r="AA382" s="7" t="str">
        <f aca="false">IFERROR(INDEX(02_轉折點45!B:B,MATCH(A382,02_轉折點45!A:A,0)),"")</f>
        <v/>
      </c>
      <c r="AB382" s="7" t="n">
        <f aca="false">COUNTIFS(05_訊號明細!A:A,A382,05_訊號明細!C:C,"TOP")</f>
        <v>0</v>
      </c>
      <c r="AC382" s="7" t="n">
        <f aca="false">COUNTIFS(05_訊號明細!A:A,A382,05_訊號明細!C:C,"BOTTOM")</f>
        <v>1</v>
      </c>
    </row>
    <row r="383" customFormat="false" ht="15" hidden="false" customHeight="false" outlineLevel="0" collapsed="false">
      <c r="A383" s="7" t="s">
        <v>424</v>
      </c>
      <c r="B383" s="7" t="n">
        <v>14889.76</v>
      </c>
      <c r="C383" s="7" t="n">
        <v>14891.19</v>
      </c>
      <c r="D383" s="7" t="n">
        <v>14735.75</v>
      </c>
      <c r="E383" s="7" t="n">
        <v>14810.54</v>
      </c>
      <c r="F383" s="7" t="n">
        <v>4606</v>
      </c>
      <c r="G383" s="7" t="n">
        <f aca="false">AVERAGE(E379:E383)</f>
        <v>14687.876</v>
      </c>
      <c r="H383" s="7" t="n">
        <f aca="false">AVERAGE(E374:E383)</f>
        <v>14552.249</v>
      </c>
      <c r="I383" s="7" t="n">
        <f aca="false">AVERAGE(E364:E383)</f>
        <v>14302.937</v>
      </c>
      <c r="J383" s="7" t="n">
        <f aca="false">AVERAGE(E334:E383)</f>
        <v>13868.2492</v>
      </c>
      <c r="K383" s="7" t="n">
        <f aca="false">AVERAGE(E284:E383)</f>
        <v>13588.6108</v>
      </c>
      <c r="L383" s="7" t="n">
        <f aca="false">AVERAGE(E184:E383)</f>
        <v>12944.1622</v>
      </c>
      <c r="M383" s="7" t="n">
        <f aca="false">I383</f>
        <v>14302.937</v>
      </c>
      <c r="N383" s="7" t="n">
        <f aca="false">I383+2*STDEV(E364:E383)</f>
        <v>14900.735945575</v>
      </c>
      <c r="O383" s="7" t="n">
        <f aca="false">I383-2*STDEV(E364:E383)</f>
        <v>13705.138054425</v>
      </c>
      <c r="P383" s="7" t="n">
        <f aca="false">MAX(E383-E382,0)</f>
        <v>24.1800000000003</v>
      </c>
      <c r="Q383" s="7" t="n">
        <f aca="false">MAX(E382-E383,0)</f>
        <v>0</v>
      </c>
      <c r="R383" s="7" t="n">
        <f aca="false">(R382*13+P383)/14</f>
        <v>62.7666230706292</v>
      </c>
      <c r="S383" s="7" t="n">
        <f aca="false">(S382*13+Q383)/14</f>
        <v>18.5656905306166</v>
      </c>
      <c r="T383" s="7" t="n">
        <f aca="false">IF(S383=0,100,100-100/(1+R383/S383))</f>
        <v>77.1730451175408</v>
      </c>
      <c r="U383" s="7" t="n">
        <f aca="false">E383*2/13+U382*11/13</f>
        <v>14514.8564222644</v>
      </c>
      <c r="V383" s="7" t="n">
        <f aca="false">E383*2/27+V382*25/27</f>
        <v>14250.2590186054</v>
      </c>
      <c r="W383" s="7" t="n">
        <f aca="false">U383-V383</f>
        <v>264.597403659001</v>
      </c>
      <c r="X383" s="7" t="n">
        <f aca="false">W383*2/10+X382*8/10</f>
        <v>223.564096839796</v>
      </c>
      <c r="Y383" s="7" t="n">
        <f aca="false">W383-X383</f>
        <v>41.0333068192056</v>
      </c>
      <c r="Z383" s="8" t="s">
        <v>42</v>
      </c>
      <c r="AA383" s="7" t="str">
        <f aca="false">IFERROR(INDEX(02_轉折點45!B:B,MATCH(A383,02_轉折點45!A:A,0)),"")</f>
        <v/>
      </c>
      <c r="AB383" s="7" t="n">
        <f aca="false">COUNTIFS(05_訊號明細!A:A,A383,05_訊號明細!C:C,"TOP")</f>
        <v>0</v>
      </c>
      <c r="AC383" s="7" t="n">
        <f aca="false">COUNTIFS(05_訊號明細!A:A,A383,05_訊號明細!C:C,"BOTTOM")</f>
        <v>0</v>
      </c>
    </row>
    <row r="384" customFormat="false" ht="15" hidden="false" customHeight="false" outlineLevel="0" collapsed="false">
      <c r="A384" s="7" t="s">
        <v>425</v>
      </c>
      <c r="B384" s="7" t="n">
        <v>14577.67</v>
      </c>
      <c r="C384" s="7" t="n">
        <v>14763.67</v>
      </c>
      <c r="D384" s="7" t="n">
        <v>14551.76</v>
      </c>
      <c r="E384" s="7" t="n">
        <v>14722.14</v>
      </c>
      <c r="F384" s="7" t="n">
        <v>4575</v>
      </c>
      <c r="G384" s="7" t="n">
        <f aca="false">AVERAGE(E380:E384)</f>
        <v>14721.344</v>
      </c>
      <c r="H384" s="7" t="n">
        <f aca="false">AVERAGE(E375:E384)</f>
        <v>14597.039</v>
      </c>
      <c r="I384" s="7" t="n">
        <f aca="false">AVERAGE(E365:E384)</f>
        <v>14348.297</v>
      </c>
      <c r="J384" s="7" t="n">
        <f aca="false">AVERAGE(E335:E384)</f>
        <v>13883.4864</v>
      </c>
      <c r="K384" s="7" t="n">
        <f aca="false">AVERAGE(E285:E384)</f>
        <v>13597.7552</v>
      </c>
      <c r="L384" s="7" t="n">
        <f aca="false">AVERAGE(E185:E384)</f>
        <v>12962.8718</v>
      </c>
      <c r="M384" s="7" t="n">
        <f aca="false">I384</f>
        <v>14348.297</v>
      </c>
      <c r="N384" s="7" t="n">
        <f aca="false">I384+2*STDEV(E365:E384)</f>
        <v>14927.573589335</v>
      </c>
      <c r="O384" s="7" t="n">
        <f aca="false">I384-2*STDEV(E365:E384)</f>
        <v>13769.020410665</v>
      </c>
      <c r="P384" s="7" t="n">
        <f aca="false">MAX(E384-E383,0)</f>
        <v>0</v>
      </c>
      <c r="Q384" s="7" t="n">
        <f aca="false">MAX(E383-E384,0)</f>
        <v>88.4000000000015</v>
      </c>
      <c r="R384" s="7" t="n">
        <f aca="false">(R383*13+P384)/14</f>
        <v>58.2832928512985</v>
      </c>
      <c r="S384" s="7" t="n">
        <f aca="false">(S383*13+Q384)/14</f>
        <v>23.5538554927155</v>
      </c>
      <c r="T384" s="7" t="n">
        <f aca="false">IF(S384=0,100,100-100/(1+R384/S384))</f>
        <v>71.2186262970655</v>
      </c>
      <c r="U384" s="7" t="n">
        <f aca="false">E384*2/13+U383*11/13</f>
        <v>14546.7462034545</v>
      </c>
      <c r="V384" s="7" t="n">
        <f aca="false">E384*2/27+V383*25/27</f>
        <v>14285.2131653754</v>
      </c>
      <c r="W384" s="7" t="n">
        <f aca="false">U384-V384</f>
        <v>261.53303807912</v>
      </c>
      <c r="X384" s="7" t="n">
        <f aca="false">W384*2/10+X383*8/10</f>
        <v>231.157885087661</v>
      </c>
      <c r="Y384" s="7" t="n">
        <f aca="false">W384-X384</f>
        <v>30.3751529914595</v>
      </c>
      <c r="Z384" s="8" t="s">
        <v>42</v>
      </c>
      <c r="AA384" s="7" t="str">
        <f aca="false">IFERROR(INDEX(02_轉折點45!B:B,MATCH(A384,02_轉折點45!A:A,0)),"")</f>
        <v/>
      </c>
      <c r="AB384" s="7" t="n">
        <f aca="false">COUNTIFS(05_訊號明細!A:A,A384,05_訊號明細!C:C,"TOP")</f>
        <v>0</v>
      </c>
      <c r="AC384" s="7" t="n">
        <f aca="false">COUNTIFS(05_訊號明細!A:A,A384,05_訊號明細!C:C,"BOTTOM")</f>
        <v>0</v>
      </c>
    </row>
    <row r="385" customFormat="false" ht="15" hidden="false" customHeight="false" outlineLevel="0" collapsed="false">
      <c r="A385" s="7" t="s">
        <v>426</v>
      </c>
      <c r="B385" s="7" t="n">
        <v>14709.32</v>
      </c>
      <c r="C385" s="7" t="n">
        <v>14838.72</v>
      </c>
      <c r="D385" s="7" t="n">
        <v>14685.54</v>
      </c>
      <c r="E385" s="7" t="n">
        <v>14826.09</v>
      </c>
      <c r="F385" s="7" t="n">
        <v>3827</v>
      </c>
      <c r="G385" s="7" t="n">
        <f aca="false">AVERAGE(E381:E385)</f>
        <v>14774.552</v>
      </c>
      <c r="H385" s="7" t="n">
        <f aca="false">AVERAGE(E376:E385)</f>
        <v>14643.052</v>
      </c>
      <c r="I385" s="7" t="n">
        <f aca="false">AVERAGE(E366:E385)</f>
        <v>14391.584</v>
      </c>
      <c r="J385" s="7" t="n">
        <f aca="false">AVERAGE(E336:E385)</f>
        <v>13901.9758</v>
      </c>
      <c r="K385" s="7" t="n">
        <f aca="false">AVERAGE(E286:E385)</f>
        <v>13608.2784</v>
      </c>
      <c r="L385" s="7" t="n">
        <f aca="false">AVERAGE(E186:E385)</f>
        <v>12981.0704</v>
      </c>
      <c r="M385" s="7" t="n">
        <f aca="false">I385</f>
        <v>14391.584</v>
      </c>
      <c r="N385" s="7" t="n">
        <f aca="false">I385+2*STDEV(E366:E385)</f>
        <v>14978.1394187807</v>
      </c>
      <c r="O385" s="7" t="n">
        <f aca="false">I385-2*STDEV(E366:E385)</f>
        <v>13805.0285812193</v>
      </c>
      <c r="P385" s="7" t="n">
        <f aca="false">MAX(E385-E384,0)</f>
        <v>103.950000000001</v>
      </c>
      <c r="Q385" s="7" t="n">
        <f aca="false">MAX(E384-E385,0)</f>
        <v>0</v>
      </c>
      <c r="R385" s="7" t="n">
        <f aca="false">(R384*13+P385)/14</f>
        <v>61.5452005047773</v>
      </c>
      <c r="S385" s="7" t="n">
        <f aca="false">(S384*13+Q385)/14</f>
        <v>21.8714372432359</v>
      </c>
      <c r="T385" s="7" t="n">
        <f aca="false">IF(S385=0,100,100-100/(1+R385/S385))</f>
        <v>73.7804857235968</v>
      </c>
      <c r="U385" s="7" t="n">
        <f aca="false">E385*2/13+U384*11/13</f>
        <v>14589.7221721538</v>
      </c>
      <c r="V385" s="7" t="n">
        <f aca="false">E385*2/27+V384*25/27</f>
        <v>14325.2781160883</v>
      </c>
      <c r="W385" s="7" t="n">
        <f aca="false">U385-V385</f>
        <v>264.444056065489</v>
      </c>
      <c r="X385" s="7" t="n">
        <f aca="false">W385*2/10+X384*8/10</f>
        <v>237.815119283226</v>
      </c>
      <c r="Y385" s="7" t="n">
        <f aca="false">W385-X385</f>
        <v>26.6289367822629</v>
      </c>
      <c r="Z385" s="8" t="s">
        <v>42</v>
      </c>
      <c r="AA385" s="7" t="str">
        <f aca="false">IFERROR(INDEX(02_轉折點45!B:B,MATCH(A385,02_轉折點45!A:A,0)),"")</f>
        <v/>
      </c>
      <c r="AB385" s="7" t="n">
        <f aca="false">COUNTIFS(05_訊號明細!A:A,A385,05_訊號明細!C:C,"TOP")</f>
        <v>0</v>
      </c>
      <c r="AC385" s="7" t="n">
        <f aca="false">COUNTIFS(05_訊號明細!A:A,A385,05_訊號明細!C:C,"BOTTOM")</f>
        <v>1</v>
      </c>
    </row>
    <row r="386" customFormat="false" ht="15" hidden="false" customHeight="false" outlineLevel="0" collapsed="false">
      <c r="A386" s="7" t="s">
        <v>427</v>
      </c>
      <c r="B386" s="7" t="n">
        <v>14878.71</v>
      </c>
      <c r="C386" s="7" t="n">
        <v>14899.46</v>
      </c>
      <c r="D386" s="7" t="n">
        <v>14813.79</v>
      </c>
      <c r="E386" s="7" t="n">
        <v>14877.89</v>
      </c>
      <c r="F386" s="7" t="n">
        <v>3897</v>
      </c>
      <c r="G386" s="7" t="n">
        <f aca="false">AVERAGE(E382:E386)</f>
        <v>14804.604</v>
      </c>
      <c r="H386" s="7" t="n">
        <f aca="false">AVERAGE(E377:E386)</f>
        <v>14696.323</v>
      </c>
      <c r="I386" s="7" t="n">
        <f aca="false">AVERAGE(E367:E386)</f>
        <v>14435.5635</v>
      </c>
      <c r="J386" s="7" t="n">
        <f aca="false">AVERAGE(E337:E386)</f>
        <v>13920.1296</v>
      </c>
      <c r="K386" s="7" t="n">
        <f aca="false">AVERAGE(E287:E386)</f>
        <v>13620.0602</v>
      </c>
      <c r="L386" s="7" t="n">
        <f aca="false">AVERAGE(E187:E386)</f>
        <v>13001.2932</v>
      </c>
      <c r="M386" s="7" t="n">
        <f aca="false">I386</f>
        <v>14435.5635</v>
      </c>
      <c r="N386" s="7" t="n">
        <f aca="false">I386+2*STDEV(E367:E386)</f>
        <v>15029.8099089753</v>
      </c>
      <c r="O386" s="7" t="n">
        <f aca="false">I386-2*STDEV(E367:E386)</f>
        <v>13841.3170910247</v>
      </c>
      <c r="P386" s="7" t="n">
        <f aca="false">MAX(E386-E385,0)</f>
        <v>51.7999999999993</v>
      </c>
      <c r="Q386" s="7" t="n">
        <f aca="false">MAX(E385-E386,0)</f>
        <v>0</v>
      </c>
      <c r="R386" s="7" t="n">
        <f aca="false">(R385*13+P386)/14</f>
        <v>60.849114754436</v>
      </c>
      <c r="S386" s="7" t="n">
        <f aca="false">(S385*13+Q386)/14</f>
        <v>20.3091917258619</v>
      </c>
      <c r="T386" s="7" t="n">
        <f aca="false">IF(S386=0,100,100-100/(1+R386/S386))</f>
        <v>74.975831055824</v>
      </c>
      <c r="U386" s="7" t="n">
        <f aca="false">E386*2/13+U385*11/13</f>
        <v>14634.0556841302</v>
      </c>
      <c r="V386" s="7" t="n">
        <f aca="false">E386*2/27+V385*25/27</f>
        <v>14366.2123297114</v>
      </c>
      <c r="W386" s="7" t="n">
        <f aca="false">U386-V386</f>
        <v>267.843354418737</v>
      </c>
      <c r="X386" s="7" t="n">
        <f aca="false">W386*2/10+X385*8/10</f>
        <v>243.820766310329</v>
      </c>
      <c r="Y386" s="7" t="n">
        <f aca="false">W386-X386</f>
        <v>24.0225881084088</v>
      </c>
      <c r="Z386" s="8" t="s">
        <v>42</v>
      </c>
      <c r="AA386" s="7" t="str">
        <f aca="false">IFERROR(INDEX(02_轉折點45!B:B,MATCH(A386,02_轉折點45!A:A,0)),"")</f>
        <v/>
      </c>
      <c r="AB386" s="7" t="n">
        <f aca="false">COUNTIFS(05_訊號明細!A:A,A386,05_訊號明細!C:C,"TOP")</f>
        <v>0</v>
      </c>
      <c r="AC386" s="7" t="n">
        <f aca="false">COUNTIFS(05_訊號明細!A:A,A386,05_訊號明細!C:C,"BOTTOM")</f>
        <v>0</v>
      </c>
    </row>
    <row r="387" customFormat="false" ht="15" hidden="false" customHeight="false" outlineLevel="0" collapsed="false">
      <c r="A387" s="7" t="s">
        <v>428</v>
      </c>
      <c r="B387" s="7" t="n">
        <v>14871.04</v>
      </c>
      <c r="C387" s="7" t="n">
        <v>15002.28</v>
      </c>
      <c r="D387" s="7" t="n">
        <v>14843.8</v>
      </c>
      <c r="E387" s="7" t="n">
        <v>14874.54</v>
      </c>
      <c r="F387" s="7" t="n">
        <v>4583</v>
      </c>
      <c r="G387" s="7" t="n">
        <f aca="false">AVERAGE(E383:E387)</f>
        <v>14822.24</v>
      </c>
      <c r="H387" s="7" t="n">
        <f aca="false">AVERAGE(E378:E387)</f>
        <v>14731.279</v>
      </c>
      <c r="I387" s="7" t="n">
        <f aca="false">AVERAGE(E368:E387)</f>
        <v>14472.8805</v>
      </c>
      <c r="J387" s="7" t="n">
        <f aca="false">AVERAGE(E338:E387)</f>
        <v>13940.4052</v>
      </c>
      <c r="K387" s="7" t="n">
        <f aca="false">AVERAGE(E288:E387)</f>
        <v>13632.4305</v>
      </c>
      <c r="L387" s="7" t="n">
        <f aca="false">AVERAGE(E188:E387)</f>
        <v>13021.18355</v>
      </c>
      <c r="M387" s="7" t="n">
        <f aca="false">I387</f>
        <v>14472.8805</v>
      </c>
      <c r="N387" s="7" t="n">
        <f aca="false">I387+2*STDEV(E368:E387)</f>
        <v>15079.4651842245</v>
      </c>
      <c r="O387" s="7" t="n">
        <f aca="false">I387-2*STDEV(E368:E387)</f>
        <v>13866.2958157755</v>
      </c>
      <c r="P387" s="7" t="n">
        <f aca="false">MAX(E387-E386,0)</f>
        <v>0</v>
      </c>
      <c r="Q387" s="7" t="n">
        <f aca="false">MAX(E386-E387,0)</f>
        <v>3.34999999999855</v>
      </c>
      <c r="R387" s="7" t="n">
        <f aca="false">(R386*13+P387)/14</f>
        <v>56.5027494148334</v>
      </c>
      <c r="S387" s="7" t="n">
        <f aca="false">(S386*13+Q387)/14</f>
        <v>19.0978208883002</v>
      </c>
      <c r="T387" s="7" t="n">
        <f aca="false">IF(S387=0,100,100-100/(1+R387/S387))</f>
        <v>74.7385227231433</v>
      </c>
      <c r="U387" s="7" t="n">
        <f aca="false">E387*2/13+U386*11/13</f>
        <v>14671.0532711871</v>
      </c>
      <c r="V387" s="7" t="n">
        <f aca="false">E387*2/27+V386*25/27</f>
        <v>14403.8662312143</v>
      </c>
      <c r="W387" s="7" t="n">
        <f aca="false">U387-V387</f>
        <v>267.187039972778</v>
      </c>
      <c r="X387" s="7" t="n">
        <f aca="false">W387*2/10+X386*8/10</f>
        <v>248.494021042818</v>
      </c>
      <c r="Y387" s="7" t="n">
        <f aca="false">W387-X387</f>
        <v>18.6930189299593</v>
      </c>
      <c r="Z387" s="8" t="s">
        <v>42</v>
      </c>
      <c r="AA387" s="7" t="str">
        <f aca="false">IFERROR(INDEX(02_轉折點45!B:B,MATCH(A387,02_轉折點45!A:A,0)),"")</f>
        <v/>
      </c>
      <c r="AB387" s="7" t="n">
        <f aca="false">COUNTIFS(05_訊號明細!A:A,A387,05_訊號明細!C:C,"TOP")</f>
        <v>0</v>
      </c>
      <c r="AC387" s="7" t="n">
        <f aca="false">COUNTIFS(05_訊號明細!A:A,A387,05_訊號明細!C:C,"BOTTOM")</f>
        <v>0</v>
      </c>
    </row>
    <row r="388" customFormat="false" ht="15" hidden="false" customHeight="false" outlineLevel="0" collapsed="false">
      <c r="A388" s="7" t="s">
        <v>429</v>
      </c>
      <c r="B388" s="7" t="n">
        <v>14984.86</v>
      </c>
      <c r="C388" s="7" t="n">
        <v>15001.13</v>
      </c>
      <c r="D388" s="7" t="n">
        <v>14871.73</v>
      </c>
      <c r="E388" s="7" t="n">
        <v>14900.44</v>
      </c>
      <c r="F388" s="7" t="n">
        <v>4496</v>
      </c>
      <c r="G388" s="7" t="n">
        <f aca="false">AVERAGE(E384:E388)</f>
        <v>14840.22</v>
      </c>
      <c r="H388" s="7" t="n">
        <f aca="false">AVERAGE(E379:E388)</f>
        <v>14764.048</v>
      </c>
      <c r="I388" s="7" t="n">
        <f aca="false">AVERAGE(E369:E388)</f>
        <v>14516.382</v>
      </c>
      <c r="J388" s="7" t="n">
        <f aca="false">AVERAGE(E339:E388)</f>
        <v>13962.4196</v>
      </c>
      <c r="K388" s="7" t="n">
        <f aca="false">AVERAGE(E289:E388)</f>
        <v>13645.6271</v>
      </c>
      <c r="L388" s="7" t="n">
        <f aca="false">AVERAGE(E189:E388)</f>
        <v>13039.9301</v>
      </c>
      <c r="M388" s="7" t="n">
        <f aca="false">I388</f>
        <v>14516.382</v>
      </c>
      <c r="N388" s="7" t="n">
        <f aca="false">I388+2*STDEV(E369:E388)</f>
        <v>15114.0825100286</v>
      </c>
      <c r="O388" s="7" t="n">
        <f aca="false">I388-2*STDEV(E369:E388)</f>
        <v>13918.6814899714</v>
      </c>
      <c r="P388" s="7" t="n">
        <f aca="false">MAX(E388-E387,0)</f>
        <v>25.8999999999996</v>
      </c>
      <c r="Q388" s="7" t="n">
        <f aca="false">MAX(E387-E388,0)</f>
        <v>0</v>
      </c>
      <c r="R388" s="7" t="n">
        <f aca="false">(R387*13+P388)/14</f>
        <v>54.3168387423453</v>
      </c>
      <c r="S388" s="7" t="n">
        <f aca="false">(S387*13+Q388)/14</f>
        <v>17.7336908248502</v>
      </c>
      <c r="T388" s="7" t="n">
        <f aca="false">IF(S388=0,100,100-100/(1+R388/S388))</f>
        <v>75.3871471432955</v>
      </c>
      <c r="U388" s="7" t="n">
        <f aca="false">E388*2/13+U387*11/13</f>
        <v>14706.3435371583</v>
      </c>
      <c r="V388" s="7" t="n">
        <f aca="false">E388*2/27+V387*25/27</f>
        <v>14440.6494733466</v>
      </c>
      <c r="W388" s="7" t="n">
        <f aca="false">U388-V388</f>
        <v>265.694063811727</v>
      </c>
      <c r="X388" s="7" t="n">
        <f aca="false">W388*2/10+X387*8/10</f>
        <v>251.9340295966</v>
      </c>
      <c r="Y388" s="7" t="n">
        <f aca="false">W388-X388</f>
        <v>13.7600342151266</v>
      </c>
      <c r="Z388" s="8" t="s">
        <v>42</v>
      </c>
      <c r="AA388" s="7" t="str">
        <f aca="false">IFERROR(INDEX(02_轉折點45!B:B,MATCH(A388,02_轉折點45!A:A,0)),"")</f>
        <v/>
      </c>
      <c r="AB388" s="7" t="n">
        <f aca="false">COUNTIFS(05_訊號明細!A:A,A388,05_訊號明細!C:C,"TOP")</f>
        <v>0</v>
      </c>
      <c r="AC388" s="7" t="n">
        <f aca="false">COUNTIFS(05_訊號明細!A:A,A388,05_訊號明細!C:C,"BOTTOM")</f>
        <v>1</v>
      </c>
    </row>
    <row r="389" customFormat="false" ht="15" hidden="false" customHeight="false" outlineLevel="0" collapsed="false">
      <c r="A389" s="7" t="s">
        <v>430</v>
      </c>
      <c r="B389" s="7" t="n">
        <v>14903.49</v>
      </c>
      <c r="C389" s="7" t="n">
        <v>14907.51</v>
      </c>
      <c r="D389" s="7" t="n">
        <v>14717.55</v>
      </c>
      <c r="E389" s="7" t="n">
        <v>14794.69</v>
      </c>
      <c r="F389" s="7" t="n">
        <v>4513</v>
      </c>
      <c r="G389" s="7" t="n">
        <f aca="false">AVERAGE(E385:E389)</f>
        <v>14854.73</v>
      </c>
      <c r="H389" s="7" t="n">
        <f aca="false">AVERAGE(E380:E389)</f>
        <v>14788.037</v>
      </c>
      <c r="I389" s="7" t="n">
        <f aca="false">AVERAGE(E370:E389)</f>
        <v>14556.966</v>
      </c>
      <c r="J389" s="7" t="n">
        <f aca="false">AVERAGE(E340:E389)</f>
        <v>13987.42</v>
      </c>
      <c r="K389" s="7" t="n">
        <f aca="false">AVERAGE(E290:E389)</f>
        <v>13661.3366</v>
      </c>
      <c r="L389" s="7" t="n">
        <f aca="false">AVERAGE(E190:E389)</f>
        <v>13057.0813</v>
      </c>
      <c r="M389" s="7" t="n">
        <f aca="false">I389</f>
        <v>14556.966</v>
      </c>
      <c r="N389" s="7" t="n">
        <f aca="false">I389+2*STDEV(E370:E389)</f>
        <v>15110.7941046032</v>
      </c>
      <c r="O389" s="7" t="n">
        <f aca="false">I389-2*STDEV(E370:E389)</f>
        <v>14003.1378953968</v>
      </c>
      <c r="P389" s="7" t="n">
        <f aca="false">MAX(E389-E388,0)</f>
        <v>0</v>
      </c>
      <c r="Q389" s="7" t="n">
        <f aca="false">MAX(E388-E389,0)</f>
        <v>105.75</v>
      </c>
      <c r="R389" s="7" t="n">
        <f aca="false">(R388*13+P389)/14</f>
        <v>50.4370645464635</v>
      </c>
      <c r="S389" s="7" t="n">
        <f aca="false">(S388*13+Q389)/14</f>
        <v>24.0205700516466</v>
      </c>
      <c r="T389" s="7" t="n">
        <f aca="false">IF(S389=0,100,100-100/(1+R389/S389))</f>
        <v>67.7392786095084</v>
      </c>
      <c r="U389" s="7" t="n">
        <f aca="false">E389*2/13+U388*11/13</f>
        <v>14719.9353006724</v>
      </c>
      <c r="V389" s="7" t="n">
        <f aca="false">E389*2/27+V388*25/27</f>
        <v>14466.8746975431</v>
      </c>
      <c r="W389" s="7" t="n">
        <f aca="false">U389-V389</f>
        <v>253.060603129288</v>
      </c>
      <c r="X389" s="7" t="n">
        <f aca="false">W389*2/10+X388*8/10</f>
        <v>252.159344303138</v>
      </c>
      <c r="Y389" s="7" t="n">
        <f aca="false">W389-X389</f>
        <v>0.901258826150496</v>
      </c>
      <c r="Z389" s="8" t="s">
        <v>42</v>
      </c>
      <c r="AA389" s="7" t="str">
        <f aca="false">IFERROR(INDEX(02_轉折點45!B:B,MATCH(A389,02_轉折點45!A:A,0)),"")</f>
        <v/>
      </c>
      <c r="AB389" s="7" t="n">
        <f aca="false">COUNTIFS(05_訊號明細!A:A,A389,05_訊號明細!C:C,"TOP")</f>
        <v>0</v>
      </c>
      <c r="AC389" s="7" t="n">
        <f aca="false">COUNTIFS(05_訊號明細!A:A,A389,05_訊號明細!C:C,"BOTTOM")</f>
        <v>0</v>
      </c>
    </row>
    <row r="390" customFormat="false" ht="15" hidden="false" customHeight="false" outlineLevel="0" collapsed="false">
      <c r="A390" s="7" t="s">
        <v>431</v>
      </c>
      <c r="B390" s="7" t="n">
        <v>14842.08</v>
      </c>
      <c r="C390" s="7" t="n">
        <v>14875.97</v>
      </c>
      <c r="D390" s="7" t="n">
        <v>14667.1</v>
      </c>
      <c r="E390" s="7" t="n">
        <v>14681.38</v>
      </c>
      <c r="F390" s="7" t="n">
        <v>4070</v>
      </c>
      <c r="G390" s="7" t="n">
        <f aca="false">AVERAGE(E386:E390)</f>
        <v>14825.788</v>
      </c>
      <c r="H390" s="7" t="n">
        <f aca="false">AVERAGE(E381:E390)</f>
        <v>14800.17</v>
      </c>
      <c r="I390" s="7" t="n">
        <f aca="false">AVERAGE(E371:E390)</f>
        <v>14582.8445</v>
      </c>
      <c r="J390" s="7" t="n">
        <f aca="false">AVERAGE(E341:E390)</f>
        <v>14010.9802</v>
      </c>
      <c r="K390" s="7" t="n">
        <f aca="false">AVERAGE(E291:E390)</f>
        <v>13676.2033</v>
      </c>
      <c r="L390" s="7" t="n">
        <f aca="false">AVERAGE(E191:E390)</f>
        <v>13073.87345</v>
      </c>
      <c r="M390" s="7" t="n">
        <f aca="false">I390</f>
        <v>14582.8445</v>
      </c>
      <c r="N390" s="7" t="n">
        <f aca="false">I390+2*STDEV(E371:E390)</f>
        <v>15106.8894403579</v>
      </c>
      <c r="O390" s="7" t="n">
        <f aca="false">I390-2*STDEV(E371:E390)</f>
        <v>14058.7995596421</v>
      </c>
      <c r="P390" s="7" t="n">
        <f aca="false">MAX(E390-E389,0)</f>
        <v>0</v>
      </c>
      <c r="Q390" s="7" t="n">
        <f aca="false">MAX(E389-E390,0)</f>
        <v>113.310000000001</v>
      </c>
      <c r="R390" s="7" t="n">
        <f aca="false">(R389*13+P390)/14</f>
        <v>46.8344170788589</v>
      </c>
      <c r="S390" s="7" t="n">
        <f aca="false">(S389*13+Q390)/14</f>
        <v>30.3983864765291</v>
      </c>
      <c r="T390" s="7" t="n">
        <f aca="false">IF(S390=0,100,100-100/(1+R390/S390))</f>
        <v>60.6405761837602</v>
      </c>
      <c r="U390" s="7" t="n">
        <f aca="false">E390*2/13+U389*11/13</f>
        <v>14714.0037159536</v>
      </c>
      <c r="V390" s="7" t="n">
        <f aca="false">E390*2/27+V389*25/27</f>
        <v>14482.7639792066</v>
      </c>
      <c r="W390" s="7" t="n">
        <f aca="false">U390-V390</f>
        <v>231.239736746988</v>
      </c>
      <c r="X390" s="7" t="n">
        <f aca="false">W390*2/10+X389*8/10</f>
        <v>247.975422791908</v>
      </c>
      <c r="Y390" s="7" t="n">
        <f aca="false">W390-X390</f>
        <v>-16.7356860449202</v>
      </c>
      <c r="Z390" s="8" t="s">
        <v>42</v>
      </c>
      <c r="AA390" s="7" t="str">
        <f aca="false">IFERROR(INDEX(02_轉折點45!B:B,MATCH(A390,02_轉折點45!A:A,0)),"")</f>
        <v/>
      </c>
      <c r="AB390" s="7" t="n">
        <f aca="false">COUNTIFS(05_訊號明細!A:A,A390,05_訊號明細!C:C,"TOP")</f>
        <v>0</v>
      </c>
      <c r="AC390" s="7" t="n">
        <f aca="false">COUNTIFS(05_訊號明細!A:A,A390,05_訊號明細!C:C,"BOTTOM")</f>
        <v>0</v>
      </c>
    </row>
    <row r="391" customFormat="false" ht="15" hidden="false" customHeight="false" outlineLevel="0" collapsed="false">
      <c r="A391" s="7" t="s">
        <v>432</v>
      </c>
      <c r="B391" s="7" t="n">
        <v>14517.96</v>
      </c>
      <c r="C391" s="7" t="n">
        <v>14578.96</v>
      </c>
      <c r="D391" s="7" t="n">
        <v>14455.07</v>
      </c>
      <c r="E391" s="7" t="n">
        <v>14549.09</v>
      </c>
      <c r="F391" s="7" t="n">
        <v>4537</v>
      </c>
      <c r="G391" s="7" t="n">
        <f aca="false">AVERAGE(E387:E391)</f>
        <v>14760.028</v>
      </c>
      <c r="H391" s="7" t="n">
        <f aca="false">AVERAGE(E382:E391)</f>
        <v>14782.316</v>
      </c>
      <c r="I391" s="7" t="n">
        <f aca="false">AVERAGE(E372:E391)</f>
        <v>14607.82</v>
      </c>
      <c r="J391" s="7" t="n">
        <f aca="false">AVERAGE(E342:E391)</f>
        <v>14029.6874</v>
      </c>
      <c r="K391" s="7" t="n">
        <f aca="false">AVERAGE(E292:E391)</f>
        <v>13688.6723</v>
      </c>
      <c r="L391" s="7" t="n">
        <f aca="false">AVERAGE(E192:E391)</f>
        <v>13089.5286</v>
      </c>
      <c r="M391" s="7" t="n">
        <f aca="false">I391</f>
        <v>14607.82</v>
      </c>
      <c r="N391" s="7" t="n">
        <f aca="false">I391+2*STDEV(E372:E391)</f>
        <v>15068.6550658259</v>
      </c>
      <c r="O391" s="7" t="n">
        <f aca="false">I391-2*STDEV(E372:E391)</f>
        <v>14146.9849341741</v>
      </c>
      <c r="P391" s="7" t="n">
        <f aca="false">MAX(E391-E390,0)</f>
        <v>0</v>
      </c>
      <c r="Q391" s="7" t="n">
        <f aca="false">MAX(E390-E391,0)</f>
        <v>132.289999999999</v>
      </c>
      <c r="R391" s="7" t="n">
        <f aca="false">(R390*13+P391)/14</f>
        <v>43.4891015732262</v>
      </c>
      <c r="S391" s="7" t="n">
        <f aca="false">(S390*13+Q391)/14</f>
        <v>37.6763588710626</v>
      </c>
      <c r="T391" s="7" t="n">
        <f aca="false">IF(S391=0,100,100-100/(1+R391/S391))</f>
        <v>53.5807982055084</v>
      </c>
      <c r="U391" s="7" t="n">
        <f aca="false">E391*2/13+U390*11/13</f>
        <v>14688.6323750376</v>
      </c>
      <c r="V391" s="7" t="n">
        <f aca="false">E391*2/27+V390*25/27</f>
        <v>14487.6770177839</v>
      </c>
      <c r="W391" s="7" t="n">
        <f aca="false">U391-V391</f>
        <v>200.955357253763</v>
      </c>
      <c r="X391" s="7" t="n">
        <f aca="false">W391*2/10+X390*8/10</f>
        <v>238.571409684279</v>
      </c>
      <c r="Y391" s="7" t="n">
        <f aca="false">W391-X391</f>
        <v>-37.6160524305162</v>
      </c>
      <c r="Z391" s="8" t="s">
        <v>42</v>
      </c>
      <c r="AA391" s="7" t="str">
        <f aca="false">IFERROR(INDEX(02_轉折點45!B:B,MATCH(A391,02_轉折點45!A:A,0)),"")</f>
        <v/>
      </c>
      <c r="AB391" s="7" t="n">
        <f aca="false">COUNTIFS(05_訊號明細!A:A,A391,05_訊號明細!C:C,"TOP")</f>
        <v>1</v>
      </c>
      <c r="AC391" s="7" t="n">
        <f aca="false">COUNTIFS(05_訊號明細!A:A,A391,05_訊號明細!C:C,"BOTTOM")</f>
        <v>0</v>
      </c>
    </row>
    <row r="392" customFormat="false" ht="15" hidden="false" customHeight="false" outlineLevel="0" collapsed="false">
      <c r="A392" s="7" t="s">
        <v>433</v>
      </c>
      <c r="B392" s="7" t="n">
        <v>14601.34</v>
      </c>
      <c r="C392" s="7" t="n">
        <v>14790.6</v>
      </c>
      <c r="D392" s="7" t="n">
        <v>14530.78</v>
      </c>
      <c r="E392" s="7" t="n">
        <v>14728.21</v>
      </c>
      <c r="F392" s="7" t="n">
        <v>4652</v>
      </c>
      <c r="G392" s="7" t="n">
        <f aca="false">AVERAGE(E388:E392)</f>
        <v>14730.762</v>
      </c>
      <c r="H392" s="7" t="n">
        <f aca="false">AVERAGE(E383:E392)</f>
        <v>14776.501</v>
      </c>
      <c r="I392" s="7" t="n">
        <f aca="false">AVERAGE(E373:E392)</f>
        <v>14637.369</v>
      </c>
      <c r="J392" s="7" t="n">
        <f aca="false">AVERAGE(E343:E392)</f>
        <v>14049.859</v>
      </c>
      <c r="K392" s="7" t="n">
        <f aca="false">AVERAGE(E293:E392)</f>
        <v>13707.6713</v>
      </c>
      <c r="L392" s="7" t="n">
        <f aca="false">AVERAGE(E193:E392)</f>
        <v>13105.25365</v>
      </c>
      <c r="M392" s="7" t="n">
        <f aca="false">I392</f>
        <v>14637.369</v>
      </c>
      <c r="N392" s="7" t="n">
        <f aca="false">I392+2*STDEV(E373:E392)</f>
        <v>15043.7208014259</v>
      </c>
      <c r="O392" s="7" t="n">
        <f aca="false">I392-2*STDEV(E373:E392)</f>
        <v>14231.0171985741</v>
      </c>
      <c r="P392" s="7" t="n">
        <f aca="false">MAX(E392-E391,0)</f>
        <v>179.119999999999</v>
      </c>
      <c r="Q392" s="7" t="n">
        <f aca="false">MAX(E391-E392,0)</f>
        <v>0</v>
      </c>
      <c r="R392" s="7" t="n">
        <f aca="false">(R391*13+P392)/14</f>
        <v>53.1770228894242</v>
      </c>
      <c r="S392" s="7" t="n">
        <f aca="false">(S391*13+Q392)/14</f>
        <v>34.9851903802725</v>
      </c>
      <c r="T392" s="7" t="n">
        <f aca="false">IF(S392=0,100,100-100/(1+R392/S392))</f>
        <v>60.3172503470967</v>
      </c>
      <c r="U392" s="7" t="n">
        <f aca="false">E392*2/13+U391*11/13</f>
        <v>14694.7212404165</v>
      </c>
      <c r="V392" s="7" t="n">
        <f aca="false">E392*2/27+V391*25/27</f>
        <v>14505.4942757258</v>
      </c>
      <c r="W392" s="7" t="n">
        <f aca="false">U392-V392</f>
        <v>189.226964690652</v>
      </c>
      <c r="X392" s="7" t="n">
        <f aca="false">W392*2/10+X391*8/10</f>
        <v>228.702520685553</v>
      </c>
      <c r="Y392" s="7" t="n">
        <f aca="false">W392-X392</f>
        <v>-39.4755559949017</v>
      </c>
      <c r="Z392" s="8" t="s">
        <v>42</v>
      </c>
      <c r="AA392" s="7" t="str">
        <f aca="false">IFERROR(INDEX(02_轉折點45!B:B,MATCH(A392,02_轉折點45!A:A,0)),"")</f>
        <v/>
      </c>
      <c r="AB392" s="7" t="n">
        <f aca="false">COUNTIFS(05_訊號明細!A:A,A392,05_訊號明細!C:C,"TOP")</f>
        <v>0</v>
      </c>
      <c r="AC392" s="7" t="n">
        <f aca="false">COUNTIFS(05_訊號明細!A:A,A392,05_訊號明細!C:C,"BOTTOM")</f>
        <v>0</v>
      </c>
    </row>
    <row r="393" customFormat="false" ht="15" hidden="false" customHeight="false" outlineLevel="0" collapsed="false">
      <c r="A393" s="7" t="s">
        <v>434</v>
      </c>
      <c r="B393" s="7" t="n">
        <v>14723.67</v>
      </c>
      <c r="C393" s="7" t="n">
        <v>14843.17</v>
      </c>
      <c r="D393" s="7" t="n">
        <v>14710.11</v>
      </c>
      <c r="E393" s="7" t="n">
        <v>14842.63</v>
      </c>
      <c r="F393" s="7" t="n">
        <v>4099</v>
      </c>
      <c r="G393" s="7" t="n">
        <f aca="false">AVERAGE(E389:E393)</f>
        <v>14719.2</v>
      </c>
      <c r="H393" s="7" t="n">
        <f aca="false">AVERAGE(E384:E393)</f>
        <v>14779.71</v>
      </c>
      <c r="I393" s="7" t="n">
        <f aca="false">AVERAGE(E374:E393)</f>
        <v>14665.9795</v>
      </c>
      <c r="J393" s="7" t="n">
        <f aca="false">AVERAGE(E344:E393)</f>
        <v>14079.53</v>
      </c>
      <c r="K393" s="7" t="n">
        <f aca="false">AVERAGE(E294:E393)</f>
        <v>13727.0032</v>
      </c>
      <c r="L393" s="7" t="n">
        <f aca="false">AVERAGE(E194:E393)</f>
        <v>13123.18835</v>
      </c>
      <c r="M393" s="7" t="n">
        <f aca="false">I393</f>
        <v>14665.9795</v>
      </c>
      <c r="N393" s="7" t="n">
        <f aca="false">I393+2*STDEV(E374:E393)</f>
        <v>15043.070241919</v>
      </c>
      <c r="O393" s="7" t="n">
        <f aca="false">I393-2*STDEV(E374:E393)</f>
        <v>14288.888758081</v>
      </c>
      <c r="P393" s="7" t="n">
        <f aca="false">MAX(E393-E392,0)</f>
        <v>114.42</v>
      </c>
      <c r="Q393" s="7" t="n">
        <f aca="false">MAX(E392-E393,0)</f>
        <v>0</v>
      </c>
      <c r="R393" s="7" t="n">
        <f aca="false">(R392*13+P393)/14</f>
        <v>57.5515212544654</v>
      </c>
      <c r="S393" s="7" t="n">
        <f aca="false">(S392*13+Q393)/14</f>
        <v>32.486248210253</v>
      </c>
      <c r="T393" s="7" t="n">
        <f aca="false">IF(S393=0,100,100-100/(1+R393/S393))</f>
        <v>63.9193103034579</v>
      </c>
      <c r="U393" s="7" t="n">
        <f aca="false">E393*2/13+U392*11/13</f>
        <v>14717.4764341985</v>
      </c>
      <c r="V393" s="7" t="n">
        <f aca="false">E393*2/27+V392*25/27</f>
        <v>14530.4672923387</v>
      </c>
      <c r="W393" s="7" t="n">
        <f aca="false">U393-V393</f>
        <v>187.009141859835</v>
      </c>
      <c r="X393" s="7" t="n">
        <f aca="false">W393*2/10+X392*8/10</f>
        <v>220.36384492041</v>
      </c>
      <c r="Y393" s="7" t="n">
        <f aca="false">W393-X393</f>
        <v>-33.3547030605747</v>
      </c>
      <c r="Z393" s="8" t="s">
        <v>42</v>
      </c>
      <c r="AA393" s="7" t="str">
        <f aca="false">IFERROR(INDEX(02_轉折點45!B:B,MATCH(A393,02_轉折點45!A:A,0)),"")</f>
        <v/>
      </c>
      <c r="AB393" s="7" t="n">
        <f aca="false">COUNTIFS(05_訊號明細!A:A,A393,05_訊號明細!C:C,"TOP")</f>
        <v>0</v>
      </c>
      <c r="AC393" s="7" t="n">
        <f aca="false">COUNTIFS(05_訊號明細!A:A,A393,05_訊號明細!C:C,"BOTTOM")</f>
        <v>1</v>
      </c>
    </row>
    <row r="394" customFormat="false" ht="15" hidden="false" customHeight="false" outlineLevel="0" collapsed="false">
      <c r="A394" s="7" t="s">
        <v>435</v>
      </c>
      <c r="B394" s="7" t="n">
        <v>14865.47</v>
      </c>
      <c r="C394" s="7" t="n">
        <v>14941.38</v>
      </c>
      <c r="D394" s="7" t="n">
        <v>14865.47</v>
      </c>
      <c r="E394" s="7" t="n">
        <v>14940.17</v>
      </c>
      <c r="F394" s="7" t="n">
        <v>3598</v>
      </c>
      <c r="G394" s="7" t="n">
        <f aca="false">AVERAGE(E390:E394)</f>
        <v>14748.296</v>
      </c>
      <c r="H394" s="7" t="n">
        <f aca="false">AVERAGE(E385:E394)</f>
        <v>14801.513</v>
      </c>
      <c r="I394" s="7" t="n">
        <f aca="false">AVERAGE(E375:E394)</f>
        <v>14699.276</v>
      </c>
      <c r="J394" s="7" t="n">
        <f aca="false">AVERAGE(E345:E394)</f>
        <v>14111.308</v>
      </c>
      <c r="K394" s="7" t="n">
        <f aca="false">AVERAGE(E295:E394)</f>
        <v>13743.5754</v>
      </c>
      <c r="L394" s="7" t="n">
        <f aca="false">AVERAGE(E195:E394)</f>
        <v>13140.3439</v>
      </c>
      <c r="M394" s="7" t="n">
        <f aca="false">I394</f>
        <v>14699.276</v>
      </c>
      <c r="N394" s="7" t="n">
        <f aca="false">I394+2*STDEV(E375:E394)</f>
        <v>15047.1977206212</v>
      </c>
      <c r="O394" s="7" t="n">
        <f aca="false">I394-2*STDEV(E375:E394)</f>
        <v>14351.3542793788</v>
      </c>
      <c r="P394" s="7" t="n">
        <f aca="false">MAX(E394-E393,0)</f>
        <v>97.5400000000009</v>
      </c>
      <c r="Q394" s="7" t="n">
        <f aca="false">MAX(E393-E394,0)</f>
        <v>0</v>
      </c>
      <c r="R394" s="7" t="n">
        <f aca="false">(R393*13+P394)/14</f>
        <v>60.4078411648608</v>
      </c>
      <c r="S394" s="7" t="n">
        <f aca="false">(S393*13+Q394)/14</f>
        <v>30.1658019095206</v>
      </c>
      <c r="T394" s="7" t="n">
        <f aca="false">IF(S394=0,100,100-100/(1+R394/S394))</f>
        <v>66.6947238892139</v>
      </c>
      <c r="U394" s="7" t="n">
        <f aca="false">E394*2/13+U393*11/13</f>
        <v>14751.7369827834</v>
      </c>
      <c r="V394" s="7" t="n">
        <f aca="false">E394*2/27+V393*25/27</f>
        <v>14560.8156410544</v>
      </c>
      <c r="W394" s="7" t="n">
        <f aca="false">U394-V394</f>
        <v>190.921341729023</v>
      </c>
      <c r="X394" s="7" t="n">
        <f aca="false">W394*2/10+X393*8/10</f>
        <v>214.475344282132</v>
      </c>
      <c r="Y394" s="7" t="n">
        <f aca="false">W394-X394</f>
        <v>-23.5540025531093</v>
      </c>
      <c r="Z394" s="8" t="s">
        <v>42</v>
      </c>
      <c r="AA394" s="7" t="str">
        <f aca="false">IFERROR(INDEX(02_轉折點45!B:B,MATCH(A394,02_轉折點45!A:A,0)),"")</f>
        <v/>
      </c>
      <c r="AB394" s="7" t="n">
        <f aca="false">COUNTIFS(05_訊號明細!A:A,A394,05_訊號明細!C:C,"TOP")</f>
        <v>1</v>
      </c>
      <c r="AC394" s="7" t="n">
        <f aca="false">COUNTIFS(05_訊號明細!A:A,A394,05_訊號明細!C:C,"BOTTOM")</f>
        <v>0</v>
      </c>
    </row>
    <row r="395" customFormat="false" ht="15" hidden="false" customHeight="false" outlineLevel="0" collapsed="false">
      <c r="A395" s="7" t="s">
        <v>436</v>
      </c>
      <c r="B395" s="7" t="n">
        <v>15004.43</v>
      </c>
      <c r="C395" s="7" t="n">
        <v>15125.84</v>
      </c>
      <c r="D395" s="7" t="n">
        <v>14948.04</v>
      </c>
      <c r="E395" s="7" t="n">
        <v>15111.79</v>
      </c>
      <c r="F395" s="7" t="n">
        <v>3997</v>
      </c>
      <c r="G395" s="7" t="n">
        <f aca="false">AVERAGE(E391:E395)</f>
        <v>14834.378</v>
      </c>
      <c r="H395" s="7" t="n">
        <f aca="false">AVERAGE(E386:E395)</f>
        <v>14830.083</v>
      </c>
      <c r="I395" s="7" t="n">
        <f aca="false">AVERAGE(E376:E395)</f>
        <v>14736.5675</v>
      </c>
      <c r="J395" s="7" t="n">
        <f aca="false">AVERAGE(E346:E395)</f>
        <v>14153.5112</v>
      </c>
      <c r="K395" s="7" t="n">
        <f aca="false">AVERAGE(E296:E395)</f>
        <v>13764.0938</v>
      </c>
      <c r="L395" s="7" t="n">
        <f aca="false">AVERAGE(E196:E395)</f>
        <v>13159.4465</v>
      </c>
      <c r="M395" s="7" t="n">
        <f aca="false">I395</f>
        <v>14736.5675</v>
      </c>
      <c r="N395" s="7" t="n">
        <f aca="false">I395+2*STDEV(E376:E395)</f>
        <v>15093.8202816178</v>
      </c>
      <c r="O395" s="7" t="n">
        <f aca="false">I395-2*STDEV(E376:E395)</f>
        <v>14379.3147183822</v>
      </c>
      <c r="P395" s="7" t="n">
        <f aca="false">MAX(E395-E394,0)</f>
        <v>171.620000000001</v>
      </c>
      <c r="Q395" s="7" t="n">
        <f aca="false">MAX(E394-E395,0)</f>
        <v>0</v>
      </c>
      <c r="R395" s="7" t="n">
        <f aca="false">(R394*13+P395)/14</f>
        <v>68.3515667959422</v>
      </c>
      <c r="S395" s="7" t="n">
        <f aca="false">(S394*13+Q395)/14</f>
        <v>28.0111017731263</v>
      </c>
      <c r="T395" s="7" t="n">
        <f aca="false">IF(S395=0,100,100-100/(1+R395/S395))</f>
        <v>70.9315835799533</v>
      </c>
      <c r="U395" s="7" t="n">
        <f aca="false">E395*2/13+U394*11/13</f>
        <v>14807.1297546629</v>
      </c>
      <c r="V395" s="7" t="n">
        <f aca="false">E395*2/27+V394*25/27</f>
        <v>14601.6285565318</v>
      </c>
      <c r="W395" s="7" t="n">
        <f aca="false">U395-V395</f>
        <v>205.501198131049</v>
      </c>
      <c r="X395" s="7" t="n">
        <f aca="false">W395*2/10+X394*8/10</f>
        <v>212.680515051916</v>
      </c>
      <c r="Y395" s="7" t="n">
        <f aca="false">W395-X395</f>
        <v>-7.17931692086657</v>
      </c>
      <c r="Z395" s="8" t="s">
        <v>42</v>
      </c>
      <c r="AA395" s="7" t="str">
        <f aca="false">IFERROR(INDEX(02_轉折點45!B:B,MATCH(A395,02_轉折點45!A:A,0)),"")</f>
        <v/>
      </c>
      <c r="AB395" s="7" t="n">
        <f aca="false">COUNTIFS(05_訊號明細!A:A,A395,05_訊號明細!C:C,"TOP")</f>
        <v>1</v>
      </c>
      <c r="AC395" s="7" t="n">
        <f aca="false">COUNTIFS(05_訊號明細!A:A,A395,05_訊號明細!C:C,"BOTTOM")</f>
        <v>0</v>
      </c>
    </row>
    <row r="396" customFormat="false" ht="15" hidden="false" customHeight="false" outlineLevel="0" collapsed="false">
      <c r="A396" s="7" t="s">
        <v>437</v>
      </c>
      <c r="B396" s="7" t="n">
        <v>15088.28</v>
      </c>
      <c r="C396" s="7" t="n">
        <v>15142.35</v>
      </c>
      <c r="D396" s="7" t="n">
        <v>15048.23</v>
      </c>
      <c r="E396" s="7" t="n">
        <v>15125.95</v>
      </c>
      <c r="F396" s="7" t="n">
        <v>4437</v>
      </c>
      <c r="G396" s="7" t="n">
        <f aca="false">AVERAGE(E392:E396)</f>
        <v>14949.75</v>
      </c>
      <c r="H396" s="7" t="n">
        <f aca="false">AVERAGE(E387:E396)</f>
        <v>14854.889</v>
      </c>
      <c r="I396" s="7" t="n">
        <f aca="false">AVERAGE(E377:E396)</f>
        <v>14775.606</v>
      </c>
      <c r="J396" s="7" t="n">
        <f aca="false">AVERAGE(E347:E396)</f>
        <v>14193.8472</v>
      </c>
      <c r="K396" s="7" t="n">
        <f aca="false">AVERAGE(E297:E396)</f>
        <v>13788.52</v>
      </c>
      <c r="L396" s="7" t="n">
        <f aca="false">AVERAGE(E197:E396)</f>
        <v>13177.5603</v>
      </c>
      <c r="M396" s="7" t="n">
        <f aca="false">I396</f>
        <v>14775.606</v>
      </c>
      <c r="N396" s="7" t="n">
        <f aca="false">I396+2*STDEV(E377:E396)</f>
        <v>15123.288501529</v>
      </c>
      <c r="O396" s="7" t="n">
        <f aca="false">I396-2*STDEV(E377:E396)</f>
        <v>14427.923498471</v>
      </c>
      <c r="P396" s="7" t="n">
        <f aca="false">MAX(E396-E395,0)</f>
        <v>14.1599999999999</v>
      </c>
      <c r="Q396" s="7" t="n">
        <f aca="false">MAX(E395-E396,0)</f>
        <v>0</v>
      </c>
      <c r="R396" s="7" t="n">
        <f aca="false">(R395*13+P396)/14</f>
        <v>64.480740596232</v>
      </c>
      <c r="S396" s="7" t="n">
        <f aca="false">(S395*13+Q396)/14</f>
        <v>26.0103087893316</v>
      </c>
      <c r="T396" s="7" t="n">
        <f aca="false">IF(S396=0,100,100-100/(1+R396/S396))</f>
        <v>71.2564845186986</v>
      </c>
      <c r="U396" s="7" t="n">
        <f aca="false">E396*2/13+U395*11/13</f>
        <v>14856.1790231763</v>
      </c>
      <c r="V396" s="7" t="n">
        <f aca="false">E396*2/27+V395*25/27</f>
        <v>14640.4671819739</v>
      </c>
      <c r="W396" s="7" t="n">
        <f aca="false">U396-V396</f>
        <v>215.711841202367</v>
      </c>
      <c r="X396" s="7" t="n">
        <f aca="false">W396*2/10+X395*8/10</f>
        <v>213.286780282006</v>
      </c>
      <c r="Y396" s="7" t="n">
        <f aca="false">W396-X396</f>
        <v>2.42506092036072</v>
      </c>
      <c r="Z396" s="8" t="s">
        <v>42</v>
      </c>
      <c r="AA396" s="7" t="str">
        <f aca="false">IFERROR(INDEX(02_轉折點45!B:B,MATCH(A396,02_轉折點45!A:A,0)),"")</f>
        <v/>
      </c>
      <c r="AB396" s="7" t="n">
        <f aca="false">COUNTIFS(05_訊號明細!A:A,A396,05_訊號明細!C:C,"TOP")</f>
        <v>1</v>
      </c>
      <c r="AC396" s="7" t="n">
        <f aca="false">COUNTIFS(05_訊號明細!A:A,A396,05_訊號明細!C:C,"BOTTOM")</f>
        <v>0</v>
      </c>
    </row>
    <row r="397" customFormat="false" ht="15" hidden="false" customHeight="false" outlineLevel="0" collapsed="false">
      <c r="A397" s="7" t="s">
        <v>438</v>
      </c>
      <c r="B397" s="7" t="n">
        <v>15103.01</v>
      </c>
      <c r="C397" s="7" t="n">
        <v>15107.74</v>
      </c>
      <c r="D397" s="7" t="n">
        <v>14787.8</v>
      </c>
      <c r="E397" s="7" t="n">
        <v>14956.97</v>
      </c>
      <c r="F397" s="7" t="n">
        <v>4329</v>
      </c>
      <c r="G397" s="7" t="n">
        <f aca="false">AVERAGE(E393:E397)</f>
        <v>14995.502</v>
      </c>
      <c r="H397" s="7" t="n">
        <f aca="false">AVERAGE(E388:E397)</f>
        <v>14863.132</v>
      </c>
      <c r="I397" s="7" t="n">
        <f aca="false">AVERAGE(E378:E397)</f>
        <v>14797.2055</v>
      </c>
      <c r="J397" s="7" t="n">
        <f aca="false">AVERAGE(E348:E397)</f>
        <v>14225.1242</v>
      </c>
      <c r="K397" s="7" t="n">
        <f aca="false">AVERAGE(E298:E397)</f>
        <v>13813.4497</v>
      </c>
      <c r="L397" s="7" t="n">
        <f aca="false">AVERAGE(E198:E397)</f>
        <v>13194.59045</v>
      </c>
      <c r="M397" s="7" t="n">
        <f aca="false">I397</f>
        <v>14797.2055</v>
      </c>
      <c r="N397" s="7" t="n">
        <f aca="false">I397+2*STDEV(E378:E397)</f>
        <v>15132.7940856835</v>
      </c>
      <c r="O397" s="7" t="n">
        <f aca="false">I397-2*STDEV(E378:E397)</f>
        <v>14461.6169143165</v>
      </c>
      <c r="P397" s="7" t="n">
        <f aca="false">MAX(E397-E396,0)</f>
        <v>0</v>
      </c>
      <c r="Q397" s="7" t="n">
        <f aca="false">MAX(E396-E397,0)</f>
        <v>168.980000000001</v>
      </c>
      <c r="R397" s="7" t="n">
        <f aca="false">(R396*13+P397)/14</f>
        <v>59.8749734107869</v>
      </c>
      <c r="S397" s="7" t="n">
        <f aca="false">(S396*13+Q397)/14</f>
        <v>36.2224295900937</v>
      </c>
      <c r="T397" s="7" t="n">
        <f aca="false">IF(S397=0,100,100-100/(1+R397/S397))</f>
        <v>62.3065468379392</v>
      </c>
      <c r="U397" s="7" t="n">
        <f aca="false">E397*2/13+U396*11/13</f>
        <v>14871.685327303</v>
      </c>
      <c r="V397" s="7" t="n">
        <f aca="false">E397*2/27+V396*25/27</f>
        <v>14663.911835161</v>
      </c>
      <c r="W397" s="7" t="n">
        <f aca="false">U397-V397</f>
        <v>207.773492141976</v>
      </c>
      <c r="X397" s="7" t="n">
        <f aca="false">W397*2/10+X396*8/10</f>
        <v>212.184122654</v>
      </c>
      <c r="Y397" s="7" t="n">
        <f aca="false">W397-X397</f>
        <v>-4.4106305120238</v>
      </c>
      <c r="Z397" s="8" t="s">
        <v>42</v>
      </c>
      <c r="AA397" s="7" t="str">
        <f aca="false">IFERROR(INDEX(02_轉折點45!B:B,MATCH(A397,02_轉折點45!A:A,0)),"")</f>
        <v/>
      </c>
      <c r="AB397" s="7" t="n">
        <f aca="false">COUNTIFS(05_訊號明細!A:A,A397,05_訊號明細!C:C,"TOP")</f>
        <v>1</v>
      </c>
      <c r="AC397" s="7" t="n">
        <f aca="false">COUNTIFS(05_訊號明細!A:A,A397,05_訊號明細!C:C,"BOTTOM")</f>
        <v>0</v>
      </c>
    </row>
    <row r="398" customFormat="false" ht="15" hidden="false" customHeight="false" outlineLevel="0" collapsed="false">
      <c r="A398" s="7" t="s">
        <v>439</v>
      </c>
      <c r="B398" s="7" t="n">
        <v>15005.17</v>
      </c>
      <c r="C398" s="7" t="n">
        <v>15078.85</v>
      </c>
      <c r="D398" s="7" t="n">
        <v>14913.55</v>
      </c>
      <c r="E398" s="7" t="n">
        <v>15018.1</v>
      </c>
      <c r="F398" s="7" t="n">
        <v>4268</v>
      </c>
      <c r="G398" s="7" t="n">
        <f aca="false">AVERAGE(E394:E398)</f>
        <v>15030.596</v>
      </c>
      <c r="H398" s="7" t="n">
        <f aca="false">AVERAGE(E389:E398)</f>
        <v>14874.898</v>
      </c>
      <c r="I398" s="7" t="n">
        <f aca="false">AVERAGE(E379:E398)</f>
        <v>14819.473</v>
      </c>
      <c r="J398" s="7" t="n">
        <f aca="false">AVERAGE(E349:E398)</f>
        <v>14259.228</v>
      </c>
      <c r="K398" s="7" t="n">
        <f aca="false">AVERAGE(E299:E398)</f>
        <v>13836.9456</v>
      </c>
      <c r="L398" s="7" t="n">
        <f aca="false">AVERAGE(E199:E398)</f>
        <v>13211.0517</v>
      </c>
      <c r="M398" s="7" t="n">
        <f aca="false">I398</f>
        <v>14819.473</v>
      </c>
      <c r="N398" s="7" t="n">
        <f aca="false">I398+2*STDEV(E379:E398)</f>
        <v>15151.4339511025</v>
      </c>
      <c r="O398" s="7" t="n">
        <f aca="false">I398-2*STDEV(E379:E398)</f>
        <v>14487.5120488976</v>
      </c>
      <c r="P398" s="7" t="n">
        <f aca="false">MAX(E398-E397,0)</f>
        <v>61.130000000001</v>
      </c>
      <c r="Q398" s="7" t="n">
        <f aca="false">MAX(E397-E398,0)</f>
        <v>0</v>
      </c>
      <c r="R398" s="7" t="n">
        <f aca="false">(R397*13+P398)/14</f>
        <v>59.9646181671593</v>
      </c>
      <c r="S398" s="7" t="n">
        <f aca="false">(S397*13+Q398)/14</f>
        <v>33.6351131908013</v>
      </c>
      <c r="T398" s="7" t="n">
        <f aca="false">IF(S398=0,100,100-100/(1+R398/S398))</f>
        <v>64.0649468723709</v>
      </c>
      <c r="U398" s="7" t="n">
        <f aca="false">E398*2/13+U397*11/13</f>
        <v>14894.2106615641</v>
      </c>
      <c r="V398" s="7" t="n">
        <f aca="false">E398*2/27+V397*25/27</f>
        <v>14690.1479955195</v>
      </c>
      <c r="W398" s="7" t="n">
        <f aca="false">U398-V398</f>
        <v>204.062666044611</v>
      </c>
      <c r="X398" s="7" t="n">
        <f aca="false">W398*2/10+X397*8/10</f>
        <v>210.559831332122</v>
      </c>
      <c r="Y398" s="7" t="n">
        <f aca="false">W398-X398</f>
        <v>-6.49716528751145</v>
      </c>
      <c r="Z398" s="8" t="s">
        <v>42</v>
      </c>
      <c r="AA398" s="7" t="str">
        <f aca="false">IFERROR(INDEX(02_轉折點45!B:B,MATCH(A398,02_轉折點45!A:A,0)),"")</f>
        <v/>
      </c>
      <c r="AB398" s="7" t="n">
        <f aca="false">COUNTIFS(05_訊號明細!A:A,A398,05_訊號明細!C:C,"TOP")</f>
        <v>0</v>
      </c>
      <c r="AC398" s="7" t="n">
        <f aca="false">COUNTIFS(05_訊號明細!A:A,A398,05_訊號明細!C:C,"BOTTOM")</f>
        <v>0</v>
      </c>
    </row>
    <row r="399" customFormat="false" ht="15" hidden="false" customHeight="false" outlineLevel="0" collapsed="false">
      <c r="A399" s="7" t="s">
        <v>440</v>
      </c>
      <c r="B399" s="7" t="n">
        <v>15015.3</v>
      </c>
      <c r="C399" s="7" t="n">
        <v>15091.96</v>
      </c>
      <c r="D399" s="7" t="n">
        <v>15004.42</v>
      </c>
      <c r="E399" s="7" t="n">
        <v>15048.36</v>
      </c>
      <c r="F399" s="7" t="n">
        <v>3929</v>
      </c>
      <c r="G399" s="7" t="n">
        <f aca="false">AVERAGE(E395:E399)</f>
        <v>15052.234</v>
      </c>
      <c r="H399" s="7" t="n">
        <f aca="false">AVERAGE(E390:E399)</f>
        <v>14900.265</v>
      </c>
      <c r="I399" s="7" t="n">
        <f aca="false">AVERAGE(E380:E399)</f>
        <v>14844.151</v>
      </c>
      <c r="J399" s="7" t="n">
        <f aca="false">AVERAGE(E350:E399)</f>
        <v>14295.8416</v>
      </c>
      <c r="K399" s="7" t="n">
        <f aca="false">AVERAGE(E300:E399)</f>
        <v>13864.4384</v>
      </c>
      <c r="L399" s="7" t="n">
        <f aca="false">AVERAGE(E200:E399)</f>
        <v>13225.85295</v>
      </c>
      <c r="M399" s="7" t="n">
        <f aca="false">I399</f>
        <v>14844.151</v>
      </c>
      <c r="N399" s="7" t="n">
        <f aca="false">I399+2*STDEV(E380:E399)</f>
        <v>15166.5101443292</v>
      </c>
      <c r="O399" s="7" t="n">
        <f aca="false">I399-2*STDEV(E380:E399)</f>
        <v>14521.7918556708</v>
      </c>
      <c r="P399" s="7" t="n">
        <f aca="false">MAX(E399-E398,0)</f>
        <v>30.2600000000002</v>
      </c>
      <c r="Q399" s="7" t="n">
        <f aca="false">MAX(E398-E399,0)</f>
        <v>0</v>
      </c>
      <c r="R399" s="7" t="n">
        <f aca="false">(R398*13+P399)/14</f>
        <v>57.842859726648</v>
      </c>
      <c r="S399" s="7" t="n">
        <f aca="false">(S398*13+Q399)/14</f>
        <v>31.2326051057441</v>
      </c>
      <c r="T399" s="7" t="n">
        <f aca="false">IF(S399=0,100,100-100/(1+R399/S399))</f>
        <v>64.93691594592</v>
      </c>
      <c r="U399" s="7" t="n">
        <f aca="false">E399*2/13+U398*11/13</f>
        <v>14917.9259444004</v>
      </c>
      <c r="V399" s="7" t="n">
        <f aca="false">E399*2/27+V398*25/27</f>
        <v>14716.6822180736</v>
      </c>
      <c r="W399" s="7" t="n">
        <f aca="false">U399-V399</f>
        <v>201.243726326793</v>
      </c>
      <c r="X399" s="7" t="n">
        <f aca="false">W399*2/10+X398*8/10</f>
        <v>208.696610331056</v>
      </c>
      <c r="Y399" s="7" t="n">
        <f aca="false">W399-X399</f>
        <v>-7.45288400426321</v>
      </c>
      <c r="Z399" s="8" t="s">
        <v>42</v>
      </c>
      <c r="AA399" s="7" t="str">
        <f aca="false">IFERROR(INDEX(02_轉折點45!B:B,MATCH(A399,02_轉折點45!A:A,0)),"")</f>
        <v/>
      </c>
      <c r="AB399" s="7" t="n">
        <f aca="false">COUNTIFS(05_訊號明細!A:A,A399,05_訊號明細!C:C,"TOP")</f>
        <v>1</v>
      </c>
      <c r="AC399" s="7" t="n">
        <f aca="false">COUNTIFS(05_訊號明細!A:A,A399,05_訊號明細!C:C,"BOTTOM")</f>
        <v>1</v>
      </c>
    </row>
    <row r="400" customFormat="false" ht="15" hidden="false" customHeight="false" outlineLevel="0" collapsed="false">
      <c r="A400" s="7" t="s">
        <v>441</v>
      </c>
      <c r="B400" s="7" t="n">
        <v>14882.39</v>
      </c>
      <c r="C400" s="7" t="n">
        <v>14990.86</v>
      </c>
      <c r="D400" s="7" t="n">
        <v>14882.39</v>
      </c>
      <c r="E400" s="7" t="n">
        <v>14959.9</v>
      </c>
      <c r="F400" s="7" t="n">
        <v>3645</v>
      </c>
      <c r="G400" s="7" t="n">
        <f aca="false">AVERAGE(E396:E400)</f>
        <v>15021.856</v>
      </c>
      <c r="H400" s="7" t="n">
        <f aca="false">AVERAGE(E391:E400)</f>
        <v>14928.117</v>
      </c>
      <c r="I400" s="7" t="n">
        <f aca="false">AVERAGE(E381:E400)</f>
        <v>14864.1435</v>
      </c>
      <c r="J400" s="7" t="n">
        <f aca="false">AVERAGE(E351:E400)</f>
        <v>14330.2814</v>
      </c>
      <c r="K400" s="7" t="n">
        <f aca="false">AVERAGE(E301:E400)</f>
        <v>13886.0925</v>
      </c>
      <c r="L400" s="7" t="n">
        <f aca="false">AVERAGE(E201:E400)</f>
        <v>13240.2366</v>
      </c>
      <c r="M400" s="7" t="n">
        <f aca="false">I400</f>
        <v>14864.1435</v>
      </c>
      <c r="N400" s="7" t="n">
        <f aca="false">I400+2*STDEV(E381:E400)</f>
        <v>15160.8938600335</v>
      </c>
      <c r="O400" s="7" t="n">
        <f aca="false">I400-2*STDEV(E381:E400)</f>
        <v>14567.3931399665</v>
      </c>
      <c r="P400" s="7" t="n">
        <f aca="false">MAX(E400-E399,0)</f>
        <v>0</v>
      </c>
      <c r="Q400" s="7" t="n">
        <f aca="false">MAX(E399-E400,0)</f>
        <v>88.460000000001</v>
      </c>
      <c r="R400" s="7" t="n">
        <f aca="false">(R399*13+P400)/14</f>
        <v>53.7112268890302</v>
      </c>
      <c r="S400" s="7" t="n">
        <f aca="false">(S399*13+Q400)/14</f>
        <v>35.3202761696196</v>
      </c>
      <c r="T400" s="7" t="n">
        <f aca="false">IF(S400=0,100,100-100/(1+R400/S400))</f>
        <v>60.3283388955568</v>
      </c>
      <c r="U400" s="7" t="n">
        <f aca="false">E400*2/13+U399*11/13</f>
        <v>14924.3834914157</v>
      </c>
      <c r="V400" s="7" t="n">
        <f aca="false">E400*2/27+V399*25/27</f>
        <v>14734.6983500681</v>
      </c>
      <c r="W400" s="7" t="n">
        <f aca="false">U400-V400</f>
        <v>189.685141347571</v>
      </c>
      <c r="X400" s="7" t="n">
        <f aca="false">W400*2/10+X399*8/10</f>
        <v>204.894316534359</v>
      </c>
      <c r="Y400" s="7" t="n">
        <f aca="false">W400-X400</f>
        <v>-15.2091751867885</v>
      </c>
      <c r="Z400" s="8" t="s">
        <v>42</v>
      </c>
      <c r="AA400" s="7" t="str">
        <f aca="false">IFERROR(INDEX(02_轉折點45!B:B,MATCH(A400,02_轉折點45!A:A,0)),"")</f>
        <v/>
      </c>
      <c r="AB400" s="7" t="n">
        <f aca="false">COUNTIFS(05_訊號明細!A:A,A400,05_訊號明細!C:C,"TOP")</f>
        <v>0</v>
      </c>
      <c r="AC400" s="7" t="n">
        <f aca="false">COUNTIFS(05_訊號明細!A:A,A400,05_訊號明細!C:C,"BOTTOM")</f>
        <v>0</v>
      </c>
    </row>
    <row r="401" customFormat="false" ht="15" hidden="false" customHeight="false" outlineLevel="0" collapsed="false">
      <c r="A401" s="7" t="s">
        <v>442</v>
      </c>
      <c r="B401" s="7" t="n">
        <v>15046.1</v>
      </c>
      <c r="C401" s="7" t="n">
        <v>15059.89</v>
      </c>
      <c r="D401" s="7" t="n">
        <v>14945.13</v>
      </c>
      <c r="E401" s="7" t="n">
        <v>14963.62</v>
      </c>
      <c r="F401" s="7" t="n">
        <v>3746</v>
      </c>
      <c r="G401" s="7" t="n">
        <f aca="false">AVERAGE(E397:E401)</f>
        <v>14989.39</v>
      </c>
      <c r="H401" s="7" t="n">
        <f aca="false">AVERAGE(E392:E401)</f>
        <v>14969.57</v>
      </c>
      <c r="I401" s="7" t="n">
        <f aca="false">AVERAGE(E382:E401)</f>
        <v>14875.943</v>
      </c>
      <c r="J401" s="7" t="n">
        <f aca="false">AVERAGE(E352:E401)</f>
        <v>14359.672</v>
      </c>
      <c r="K401" s="7" t="n">
        <f aca="false">AVERAGE(E302:E401)</f>
        <v>13908.208</v>
      </c>
      <c r="L401" s="7" t="n">
        <f aca="false">AVERAGE(E202:E401)</f>
        <v>13255.1279</v>
      </c>
      <c r="M401" s="7" t="n">
        <f aca="false">I401</f>
        <v>14875.943</v>
      </c>
      <c r="N401" s="7" t="n">
        <f aca="false">I401+2*STDEV(E382:E401)</f>
        <v>15168.5766891855</v>
      </c>
      <c r="O401" s="7" t="n">
        <f aca="false">I401-2*STDEV(E382:E401)</f>
        <v>14583.3093108145</v>
      </c>
      <c r="P401" s="7" t="n">
        <f aca="false">MAX(E401-E400,0)</f>
        <v>3.72000000000116</v>
      </c>
      <c r="Q401" s="7" t="n">
        <f aca="false">MAX(E400-E401,0)</f>
        <v>0</v>
      </c>
      <c r="R401" s="7" t="n">
        <f aca="false">(R400*13+P401)/14</f>
        <v>50.1404249683853</v>
      </c>
      <c r="S401" s="7" t="n">
        <f aca="false">(S400*13+Q401)/14</f>
        <v>32.797399300361</v>
      </c>
      <c r="T401" s="7" t="n">
        <f aca="false">IF(S401=0,100,100-100/(1+R401/S401))</f>
        <v>60.4554380470767</v>
      </c>
      <c r="U401" s="7" t="n">
        <f aca="false">E401*2/13+U400*11/13</f>
        <v>14930.4198773517</v>
      </c>
      <c r="V401" s="7" t="n">
        <f aca="false">E401*2/27+V400*25/27</f>
        <v>14751.6555093223</v>
      </c>
      <c r="W401" s="7" t="n">
        <f aca="false">U401-V401</f>
        <v>178.764368029404</v>
      </c>
      <c r="X401" s="7" t="n">
        <f aca="false">W401*2/10+X400*8/10</f>
        <v>199.668326833368</v>
      </c>
      <c r="Y401" s="7" t="n">
        <f aca="false">W401-X401</f>
        <v>-20.903958803964</v>
      </c>
      <c r="Z401" s="8" t="s">
        <v>42</v>
      </c>
      <c r="AA401" s="7" t="str">
        <f aca="false">IFERROR(INDEX(02_轉折點45!B:B,MATCH(A401,02_轉折點45!A:A,0)),"")</f>
        <v/>
      </c>
      <c r="AB401" s="7" t="n">
        <f aca="false">COUNTIFS(05_訊號明細!A:A,A401,05_訊號明細!C:C,"TOP")</f>
        <v>1</v>
      </c>
      <c r="AC401" s="7" t="n">
        <f aca="false">COUNTIFS(05_訊號明細!A:A,A401,05_訊號明細!C:C,"BOTTOM")</f>
        <v>0</v>
      </c>
    </row>
    <row r="402" customFormat="false" ht="15" hidden="false" customHeight="false" outlineLevel="0" collapsed="false">
      <c r="A402" s="7" t="s">
        <v>443</v>
      </c>
      <c r="B402" s="7" t="n">
        <v>14997.2</v>
      </c>
      <c r="C402" s="7" t="n">
        <v>15063.66</v>
      </c>
      <c r="D402" s="7" t="n">
        <v>14864.53</v>
      </c>
      <c r="E402" s="7" t="n">
        <v>15061.42</v>
      </c>
      <c r="F402" s="7" t="n">
        <v>4141</v>
      </c>
      <c r="G402" s="7" t="n">
        <f aca="false">AVERAGE(E398:E402)</f>
        <v>15010.28</v>
      </c>
      <c r="H402" s="7" t="n">
        <f aca="false">AVERAGE(E393:E402)</f>
        <v>15002.891</v>
      </c>
      <c r="I402" s="7" t="n">
        <f aca="false">AVERAGE(E383:E402)</f>
        <v>14889.696</v>
      </c>
      <c r="J402" s="7" t="n">
        <f aca="false">AVERAGE(E353:E402)</f>
        <v>14392.6656</v>
      </c>
      <c r="K402" s="7" t="n">
        <f aca="false">AVERAGE(E303:E402)</f>
        <v>13928.2932</v>
      </c>
      <c r="L402" s="7" t="n">
        <f aca="false">AVERAGE(E203:E402)</f>
        <v>13270.94215</v>
      </c>
      <c r="M402" s="7" t="n">
        <f aca="false">I402</f>
        <v>14889.696</v>
      </c>
      <c r="N402" s="7" t="n">
        <f aca="false">I402+2*STDEV(E383:E402)</f>
        <v>15190.3470355808</v>
      </c>
      <c r="O402" s="7" t="n">
        <f aca="false">I402-2*STDEV(E383:E402)</f>
        <v>14589.0449644192</v>
      </c>
      <c r="P402" s="7" t="n">
        <f aca="false">MAX(E402-E401,0)</f>
        <v>97.7999999999993</v>
      </c>
      <c r="Q402" s="7" t="n">
        <f aca="false">MAX(E401-E402,0)</f>
        <v>0</v>
      </c>
      <c r="R402" s="7" t="n">
        <f aca="false">(R401*13+P402)/14</f>
        <v>53.5446803277863</v>
      </c>
      <c r="S402" s="7" t="n">
        <f aca="false">(S401*13+Q402)/14</f>
        <v>30.4547279217638</v>
      </c>
      <c r="T402" s="7" t="n">
        <f aca="false">IF(S402=0,100,100-100/(1+R402/S402))</f>
        <v>63.7441161117621</v>
      </c>
      <c r="U402" s="7" t="n">
        <f aca="false">E402*2/13+U401*11/13</f>
        <v>14950.5737423746</v>
      </c>
      <c r="V402" s="7" t="n">
        <f aca="false">E402*2/27+V401*25/27</f>
        <v>14774.6010271503</v>
      </c>
      <c r="W402" s="7" t="n">
        <f aca="false">U402-V402</f>
        <v>175.972715224238</v>
      </c>
      <c r="X402" s="7" t="n">
        <f aca="false">W402*2/10+X401*8/10</f>
        <v>194.929204511542</v>
      </c>
      <c r="Y402" s="7" t="n">
        <f aca="false">W402-X402</f>
        <v>-18.9564892873044</v>
      </c>
      <c r="Z402" s="8" t="s">
        <v>42</v>
      </c>
      <c r="AA402" s="7" t="str">
        <f aca="false">IFERROR(INDEX(02_轉折點45!B:B,MATCH(A402,02_轉折點45!A:A,0)),"")</f>
        <v/>
      </c>
      <c r="AB402" s="7" t="n">
        <f aca="false">COUNTIFS(05_訊號明細!A:A,A402,05_訊號明細!C:C,"TOP")</f>
        <v>0</v>
      </c>
      <c r="AC402" s="7" t="n">
        <f aca="false">COUNTIFS(05_訊號明細!A:A,A402,05_訊號明細!C:C,"BOTTOM")</f>
        <v>1</v>
      </c>
    </row>
    <row r="403" customFormat="false" ht="15" hidden="false" customHeight="false" outlineLevel="0" collapsed="false">
      <c r="A403" s="7" t="s">
        <v>444</v>
      </c>
      <c r="B403" s="7" t="n">
        <v>15059.16</v>
      </c>
      <c r="C403" s="7" t="n">
        <v>15117.38</v>
      </c>
      <c r="D403" s="7" t="n">
        <v>15017.14</v>
      </c>
      <c r="E403" s="7" t="n">
        <v>15083.39</v>
      </c>
      <c r="F403" s="7" t="n">
        <v>4337</v>
      </c>
      <c r="G403" s="7" t="n">
        <f aca="false">AVERAGE(E399:E403)</f>
        <v>15023.338</v>
      </c>
      <c r="H403" s="7" t="n">
        <f aca="false">AVERAGE(E394:E403)</f>
        <v>15026.967</v>
      </c>
      <c r="I403" s="7" t="n">
        <f aca="false">AVERAGE(E384:E403)</f>
        <v>14903.3385</v>
      </c>
      <c r="J403" s="7" t="n">
        <f aca="false">AVERAGE(E354:E403)</f>
        <v>14421.4984</v>
      </c>
      <c r="K403" s="7" t="n">
        <f aca="false">AVERAGE(E304:E403)</f>
        <v>13949.7542</v>
      </c>
      <c r="L403" s="7" t="n">
        <f aca="false">AVERAGE(E204:E403)</f>
        <v>13287.09825</v>
      </c>
      <c r="M403" s="7" t="n">
        <f aca="false">I403</f>
        <v>14903.3385</v>
      </c>
      <c r="N403" s="7" t="n">
        <f aca="false">I403+2*STDEV(E384:E403)</f>
        <v>15213.4782993283</v>
      </c>
      <c r="O403" s="7" t="n">
        <f aca="false">I403-2*STDEV(E384:E403)</f>
        <v>14593.1987006718</v>
      </c>
      <c r="P403" s="7" t="n">
        <f aca="false">MAX(E403-E402,0)</f>
        <v>21.9699999999993</v>
      </c>
      <c r="Q403" s="7" t="n">
        <f aca="false">MAX(E402-E403,0)</f>
        <v>0</v>
      </c>
      <c r="R403" s="7" t="n">
        <f aca="false">(R402*13+P403)/14</f>
        <v>51.2893460186587</v>
      </c>
      <c r="S403" s="7" t="n">
        <f aca="false">(S402*13+Q403)/14</f>
        <v>28.2793902130664</v>
      </c>
      <c r="T403" s="7" t="n">
        <f aca="false">IF(S403=0,100,100-100/(1+R403/S403))</f>
        <v>64.4591688239092</v>
      </c>
      <c r="U403" s="7" t="n">
        <f aca="false">E403*2/13+U402*11/13</f>
        <v>14971.0070127785</v>
      </c>
      <c r="V403" s="7" t="n">
        <f aca="false">E403*2/27+V402*25/27</f>
        <v>14797.4742843984</v>
      </c>
      <c r="W403" s="7" t="n">
        <f aca="false">U403-V403</f>
        <v>173.532728380029</v>
      </c>
      <c r="X403" s="7" t="n">
        <f aca="false">W403*2/10+X402*8/10</f>
        <v>190.649909285239</v>
      </c>
      <c r="Y403" s="7" t="n">
        <f aca="false">W403-X403</f>
        <v>-17.1171809052105</v>
      </c>
      <c r="Z403" s="8" t="s">
        <v>42</v>
      </c>
      <c r="AA403" s="7" t="str">
        <f aca="false">IFERROR(INDEX(02_轉折點45!B:B,MATCH(A403,02_轉折點45!A:A,0)),"")</f>
        <v/>
      </c>
      <c r="AB403" s="7" t="n">
        <f aca="false">COUNTIFS(05_訊號明細!A:A,A403,05_訊號明細!C:C,"TOP")</f>
        <v>1</v>
      </c>
      <c r="AC403" s="7" t="n">
        <f aca="false">COUNTIFS(05_訊號明細!A:A,A403,05_訊號明細!C:C,"BOTTOM")</f>
        <v>0</v>
      </c>
    </row>
    <row r="404" customFormat="false" ht="15" hidden="false" customHeight="false" outlineLevel="0" collapsed="false">
      <c r="A404" s="7" t="s">
        <v>445</v>
      </c>
      <c r="B404" s="7" t="n">
        <v>15105.4</v>
      </c>
      <c r="C404" s="7" t="n">
        <v>15184.27</v>
      </c>
      <c r="D404" s="7" t="n">
        <v>15083.84</v>
      </c>
      <c r="E404" s="7" t="n">
        <v>15181.64</v>
      </c>
      <c r="F404" s="7" t="n">
        <v>4107</v>
      </c>
      <c r="G404" s="7" t="n">
        <f aca="false">AVERAGE(E400:E404)</f>
        <v>15049.994</v>
      </c>
      <c r="H404" s="7" t="n">
        <f aca="false">AVERAGE(E395:E404)</f>
        <v>15051.114</v>
      </c>
      <c r="I404" s="7" t="n">
        <f aca="false">AVERAGE(E385:E404)</f>
        <v>14926.3135</v>
      </c>
      <c r="J404" s="7" t="n">
        <f aca="false">AVERAGE(E355:E404)</f>
        <v>14451.9766</v>
      </c>
      <c r="K404" s="7" t="n">
        <f aca="false">AVERAGE(E305:E404)</f>
        <v>13970.7452</v>
      </c>
      <c r="L404" s="7" t="n">
        <f aca="false">AVERAGE(E205:E404)</f>
        <v>13304.8347</v>
      </c>
      <c r="M404" s="7" t="n">
        <f aca="false">I404</f>
        <v>14926.3135</v>
      </c>
      <c r="N404" s="7" t="n">
        <f aca="false">I404+2*STDEV(E385:E404)</f>
        <v>15247.8062740385</v>
      </c>
      <c r="O404" s="7" t="n">
        <f aca="false">I404-2*STDEV(E385:E404)</f>
        <v>14604.8207259615</v>
      </c>
      <c r="P404" s="7" t="n">
        <f aca="false">MAX(E404-E403,0)</f>
        <v>98.25</v>
      </c>
      <c r="Q404" s="7" t="n">
        <f aca="false">MAX(E403-E404,0)</f>
        <v>0</v>
      </c>
      <c r="R404" s="7" t="n">
        <f aca="false">(R403*13+P404)/14</f>
        <v>54.6436784458973</v>
      </c>
      <c r="S404" s="7" t="n">
        <f aca="false">(S403*13+Q404)/14</f>
        <v>26.2594337692759</v>
      </c>
      <c r="T404" s="7" t="n">
        <f aca="false">IF(S404=0,100,100-100/(1+R404/S404))</f>
        <v>67.5421216189616</v>
      </c>
      <c r="U404" s="7" t="n">
        <f aca="false">E404*2/13+U403*11/13</f>
        <v>15003.4120877356</v>
      </c>
      <c r="V404" s="7" t="n">
        <f aca="false">E404*2/27+V403*25/27</f>
        <v>14825.9310040726</v>
      </c>
      <c r="W404" s="7" t="n">
        <f aca="false">U404-V404</f>
        <v>177.481083662997</v>
      </c>
      <c r="X404" s="7" t="n">
        <f aca="false">W404*2/10+X403*8/10</f>
        <v>188.016144160791</v>
      </c>
      <c r="Y404" s="7" t="n">
        <f aca="false">W404-X404</f>
        <v>-10.5350604977941</v>
      </c>
      <c r="Z404" s="8" t="s">
        <v>42</v>
      </c>
      <c r="AA404" s="7" t="str">
        <f aca="false">IFERROR(INDEX(02_轉折點45!B:B,MATCH(A404,02_轉折點45!A:A,0)),"")</f>
        <v/>
      </c>
      <c r="AB404" s="7" t="n">
        <f aca="false">COUNTIFS(05_訊號明細!A:A,A404,05_訊號明細!C:C,"TOP")</f>
        <v>0</v>
      </c>
      <c r="AC404" s="7" t="n">
        <f aca="false">COUNTIFS(05_訊號明細!A:A,A404,05_訊號明細!C:C,"BOTTOM")</f>
        <v>0</v>
      </c>
    </row>
    <row r="405" customFormat="false" ht="15" hidden="false" customHeight="false" outlineLevel="0" collapsed="false">
      <c r="A405" s="7" t="s">
        <v>446</v>
      </c>
      <c r="B405" s="7" t="n">
        <v>15125.74</v>
      </c>
      <c r="C405" s="7" t="n">
        <v>15162.34</v>
      </c>
      <c r="D405" s="7" t="n">
        <v>15063.02</v>
      </c>
      <c r="E405" s="7" t="n">
        <v>15109.36</v>
      </c>
      <c r="F405" s="7" t="n">
        <v>4173</v>
      </c>
      <c r="G405" s="7" t="n">
        <f aca="false">AVERAGE(E401:E405)</f>
        <v>15079.886</v>
      </c>
      <c r="H405" s="7" t="n">
        <f aca="false">AVERAGE(E396:E405)</f>
        <v>15050.871</v>
      </c>
      <c r="I405" s="7" t="n">
        <f aca="false">AVERAGE(E386:E405)</f>
        <v>14940.477</v>
      </c>
      <c r="J405" s="7" t="n">
        <f aca="false">AVERAGE(E356:E405)</f>
        <v>14480.109</v>
      </c>
      <c r="K405" s="7" t="n">
        <f aca="false">AVERAGE(E306:E405)</f>
        <v>13990.316</v>
      </c>
      <c r="L405" s="7" t="n">
        <f aca="false">AVERAGE(E206:E405)</f>
        <v>13321.9923</v>
      </c>
      <c r="M405" s="7" t="n">
        <f aca="false">I405</f>
        <v>14940.477</v>
      </c>
      <c r="N405" s="7" t="n">
        <f aca="false">I405+2*STDEV(E386:E405)</f>
        <v>15268.2759738335</v>
      </c>
      <c r="O405" s="7" t="n">
        <f aca="false">I405-2*STDEV(E386:E405)</f>
        <v>14612.6780261665</v>
      </c>
      <c r="P405" s="7" t="n">
        <f aca="false">MAX(E405-E404,0)</f>
        <v>0</v>
      </c>
      <c r="Q405" s="7" t="n">
        <f aca="false">MAX(E404-E405,0)</f>
        <v>72.2799999999988</v>
      </c>
      <c r="R405" s="7" t="n">
        <f aca="false">(R404*13+P405)/14</f>
        <v>50.7405585569047</v>
      </c>
      <c r="S405" s="7" t="n">
        <f aca="false">(S404*13+Q405)/14</f>
        <v>29.5466170714704</v>
      </c>
      <c r="T405" s="7" t="n">
        <f aca="false">IF(S405=0,100,100-100/(1+R405/S405))</f>
        <v>63.1988336366038</v>
      </c>
      <c r="U405" s="7" t="n">
        <f aca="false">E405*2/13+U404*11/13</f>
        <v>15019.7117665455</v>
      </c>
      <c r="V405" s="7" t="n">
        <f aca="false">E405*2/27+V404*25/27</f>
        <v>14846.9257445117</v>
      </c>
      <c r="W405" s="7" t="n">
        <f aca="false">U405-V405</f>
        <v>172.786022033837</v>
      </c>
      <c r="X405" s="7" t="n">
        <f aca="false">W405*2/10+X404*8/10</f>
        <v>184.9701197354</v>
      </c>
      <c r="Y405" s="7" t="n">
        <f aca="false">W405-X405</f>
        <v>-12.184097701563</v>
      </c>
      <c r="Z405" s="8" t="s">
        <v>42</v>
      </c>
      <c r="AA405" s="7" t="str">
        <f aca="false">IFERROR(INDEX(02_轉折點45!B:B,MATCH(A405,02_轉折點45!A:A,0)),"")</f>
        <v/>
      </c>
      <c r="AB405" s="7" t="n">
        <f aca="false">COUNTIFS(05_訊號明細!A:A,A405,05_訊號明細!C:C,"TOP")</f>
        <v>0</v>
      </c>
      <c r="AC405" s="7" t="n">
        <f aca="false">COUNTIFS(05_訊號明細!A:A,A405,05_訊號明細!C:C,"BOTTOM")</f>
        <v>0</v>
      </c>
    </row>
    <row r="406" customFormat="false" ht="15" hidden="false" customHeight="false" outlineLevel="0" collapsed="false">
      <c r="A406" s="7" t="s">
        <v>447</v>
      </c>
      <c r="B406" s="7" t="n">
        <v>15136.14</v>
      </c>
      <c r="C406" s="7" t="n">
        <v>15154.68</v>
      </c>
      <c r="D406" s="7" t="n">
        <v>15081.75</v>
      </c>
      <c r="E406" s="7" t="n">
        <v>15133.11</v>
      </c>
      <c r="F406" s="7" t="n">
        <v>4112</v>
      </c>
      <c r="G406" s="7" t="n">
        <f aca="false">AVERAGE(E402:E406)</f>
        <v>15113.784</v>
      </c>
      <c r="H406" s="7" t="n">
        <f aca="false">AVERAGE(E397:E406)</f>
        <v>15051.587</v>
      </c>
      <c r="I406" s="7" t="n">
        <f aca="false">AVERAGE(E387:E406)</f>
        <v>14953.238</v>
      </c>
      <c r="J406" s="7" t="n">
        <f aca="false">AVERAGE(E357:E406)</f>
        <v>14509.6142</v>
      </c>
      <c r="K406" s="7" t="n">
        <f aca="false">AVERAGE(E307:E406)</f>
        <v>14009.6233</v>
      </c>
      <c r="L406" s="7" t="n">
        <f aca="false">AVERAGE(E207:E406)</f>
        <v>13339.331</v>
      </c>
      <c r="M406" s="7" t="n">
        <f aca="false">I406</f>
        <v>14953.238</v>
      </c>
      <c r="N406" s="7" t="n">
        <f aca="false">I406+2*STDEV(E387:E406)</f>
        <v>15290.512297902</v>
      </c>
      <c r="O406" s="7" t="n">
        <f aca="false">I406-2*STDEV(E387:E406)</f>
        <v>14615.963702098</v>
      </c>
      <c r="P406" s="7" t="n">
        <f aca="false">MAX(E406-E405,0)</f>
        <v>23.75</v>
      </c>
      <c r="Q406" s="7" t="n">
        <f aca="false">MAX(E405-E406,0)</f>
        <v>0</v>
      </c>
      <c r="R406" s="7" t="n">
        <f aca="false">(R405*13+P406)/14</f>
        <v>48.8126615171258</v>
      </c>
      <c r="S406" s="7" t="n">
        <f aca="false">(S405*13+Q406)/14</f>
        <v>27.4361444235082</v>
      </c>
      <c r="T406" s="7" t="n">
        <f aca="false">IF(S406=0,100,100-100/(1+R406/S406))</f>
        <v>64.0176077709734</v>
      </c>
      <c r="U406" s="7" t="n">
        <f aca="false">E406*2/13+U405*11/13</f>
        <v>15037.1576486154</v>
      </c>
      <c r="V406" s="7" t="n">
        <f aca="false">E406*2/27+V405*25/27</f>
        <v>14868.1245782516</v>
      </c>
      <c r="W406" s="7" t="n">
        <f aca="false">U406-V406</f>
        <v>169.033070363881</v>
      </c>
      <c r="X406" s="7" t="n">
        <f aca="false">W406*2/10+X405*8/10</f>
        <v>181.782709861096</v>
      </c>
      <c r="Y406" s="7" t="n">
        <f aca="false">W406-X406</f>
        <v>-12.7496394972152</v>
      </c>
      <c r="Z406" s="8" t="s">
        <v>42</v>
      </c>
      <c r="AA406" s="7" t="str">
        <f aca="false">IFERROR(INDEX(02_轉折點45!B:B,MATCH(A406,02_轉折點45!A:A,0)),"")</f>
        <v/>
      </c>
      <c r="AB406" s="7" t="n">
        <f aca="false">COUNTIFS(05_訊號明細!A:A,A406,05_訊號明細!C:C,"TOP")</f>
        <v>0</v>
      </c>
      <c r="AC406" s="7" t="n">
        <f aca="false">COUNTIFS(05_訊號明細!A:A,A406,05_訊號明細!C:C,"BOTTOM")</f>
        <v>0</v>
      </c>
    </row>
    <row r="407" customFormat="false" ht="15" hidden="false" customHeight="false" outlineLevel="0" collapsed="false">
      <c r="A407" s="7" t="s">
        <v>448</v>
      </c>
      <c r="B407" s="7" t="n">
        <v>15157.37</v>
      </c>
      <c r="C407" s="7" t="n">
        <v>15169.45</v>
      </c>
      <c r="D407" s="7" t="n">
        <v>15010.16</v>
      </c>
      <c r="E407" s="7" t="n">
        <v>15053.58</v>
      </c>
      <c r="F407" s="7" t="n">
        <v>3992</v>
      </c>
      <c r="G407" s="7" t="n">
        <f aca="false">AVERAGE(E403:E407)</f>
        <v>15112.216</v>
      </c>
      <c r="H407" s="7" t="n">
        <f aca="false">AVERAGE(E398:E407)</f>
        <v>15061.248</v>
      </c>
      <c r="I407" s="7" t="n">
        <f aca="false">AVERAGE(E388:E407)</f>
        <v>14962.19</v>
      </c>
      <c r="J407" s="7" t="n">
        <f aca="false">AVERAGE(E358:E407)</f>
        <v>14536.9556</v>
      </c>
      <c r="K407" s="7" t="n">
        <f aca="false">AVERAGE(E308:E407)</f>
        <v>14032.2677</v>
      </c>
      <c r="L407" s="7" t="n">
        <f aca="false">AVERAGE(E208:E407)</f>
        <v>13356.28435</v>
      </c>
      <c r="M407" s="7" t="n">
        <f aca="false">I407</f>
        <v>14962.19</v>
      </c>
      <c r="N407" s="7" t="n">
        <f aca="false">I407+2*STDEV(E388:E407)</f>
        <v>15300.1727612546</v>
      </c>
      <c r="O407" s="7" t="n">
        <f aca="false">I407-2*STDEV(E388:E407)</f>
        <v>14624.2072387454</v>
      </c>
      <c r="P407" s="7" t="n">
        <f aca="false">MAX(E407-E406,0)</f>
        <v>0</v>
      </c>
      <c r="Q407" s="7" t="n">
        <f aca="false">MAX(E406-E407,0)</f>
        <v>79.5300000000007</v>
      </c>
      <c r="R407" s="7" t="n">
        <f aca="false">(R406*13+P407)/14</f>
        <v>45.3260428373311</v>
      </c>
      <c r="S407" s="7" t="n">
        <f aca="false">(S406*13+Q407)/14</f>
        <v>31.1571341075434</v>
      </c>
      <c r="T407" s="7" t="n">
        <f aca="false">IF(S407=0,100,100-100/(1+R407/S407))</f>
        <v>59.2627616266515</v>
      </c>
      <c r="U407" s="7" t="n">
        <f aca="false">E407*2/13+U406*11/13</f>
        <v>15039.6841642131</v>
      </c>
      <c r="V407" s="7" t="n">
        <f aca="false">E407*2/27+V406*25/27</f>
        <v>14881.8620168996</v>
      </c>
      <c r="W407" s="7" t="n">
        <f aca="false">U407-V407</f>
        <v>157.822147313475</v>
      </c>
      <c r="X407" s="7" t="n">
        <f aca="false">W407*2/10+X406*8/10</f>
        <v>176.990597351572</v>
      </c>
      <c r="Y407" s="7" t="n">
        <f aca="false">W407-X407</f>
        <v>-19.1684500380975</v>
      </c>
      <c r="Z407" s="8" t="s">
        <v>42</v>
      </c>
      <c r="AA407" s="7" t="str">
        <f aca="false">IFERROR(INDEX(02_轉折點45!B:B,MATCH(A407,02_轉折點45!A:A,0)),"")</f>
        <v/>
      </c>
      <c r="AB407" s="7" t="n">
        <f aca="false">COUNTIFS(05_訊號明細!A:A,A407,05_訊號明細!C:C,"TOP")</f>
        <v>0</v>
      </c>
      <c r="AC407" s="7" t="n">
        <f aca="false">COUNTIFS(05_訊號明細!A:A,A407,05_訊號明細!C:C,"BOTTOM")</f>
        <v>0</v>
      </c>
    </row>
    <row r="408" customFormat="false" ht="15" hidden="false" customHeight="false" outlineLevel="0" collapsed="false">
      <c r="A408" s="7" t="s">
        <v>449</v>
      </c>
      <c r="B408" s="7" t="n">
        <v>15101.82</v>
      </c>
      <c r="C408" s="7" t="n">
        <v>15127.78</v>
      </c>
      <c r="D408" s="7" t="n">
        <v>14972.6</v>
      </c>
      <c r="E408" s="7" t="n">
        <v>15027.76</v>
      </c>
      <c r="F408" s="7" t="n">
        <v>4002</v>
      </c>
      <c r="G408" s="7" t="n">
        <f aca="false">AVERAGE(E404:E408)</f>
        <v>15101.09</v>
      </c>
      <c r="H408" s="7" t="n">
        <f aca="false">AVERAGE(E399:E408)</f>
        <v>15062.214</v>
      </c>
      <c r="I408" s="7" t="n">
        <f aca="false">AVERAGE(E389:E408)</f>
        <v>14968.556</v>
      </c>
      <c r="J408" s="7" t="n">
        <f aca="false">AVERAGE(E359:E408)</f>
        <v>14564.419</v>
      </c>
      <c r="K408" s="7" t="n">
        <f aca="false">AVERAGE(E309:E408)</f>
        <v>14053.8754</v>
      </c>
      <c r="L408" s="7" t="n">
        <f aca="false">AVERAGE(E209:E408)</f>
        <v>13372.9603</v>
      </c>
      <c r="M408" s="7" t="n">
        <f aca="false">I408</f>
        <v>14968.556</v>
      </c>
      <c r="N408" s="7" t="n">
        <f aca="false">I408+2*STDEV(E389:E408)</f>
        <v>15306.4377890702</v>
      </c>
      <c r="O408" s="7" t="n">
        <f aca="false">I408-2*STDEV(E389:E408)</f>
        <v>14630.6742109298</v>
      </c>
      <c r="P408" s="7" t="n">
        <f aca="false">MAX(E408-E407,0)</f>
        <v>0</v>
      </c>
      <c r="Q408" s="7" t="n">
        <f aca="false">MAX(E407-E408,0)</f>
        <v>25.8199999999997</v>
      </c>
      <c r="R408" s="7" t="n">
        <f aca="false">(R407*13+P408)/14</f>
        <v>42.0884683489503</v>
      </c>
      <c r="S408" s="7" t="n">
        <f aca="false">(S407*13+Q408)/14</f>
        <v>30.7759102427189</v>
      </c>
      <c r="T408" s="7" t="n">
        <f aca="false">IF(S408=0,100,100-100/(1+R408/S408))</f>
        <v>57.7627493192708</v>
      </c>
      <c r="U408" s="7" t="n">
        <f aca="false">E408*2/13+U407*11/13</f>
        <v>15037.8496774111</v>
      </c>
      <c r="V408" s="7" t="n">
        <f aca="false">E408*2/27+V407*25/27</f>
        <v>14892.669274907</v>
      </c>
      <c r="W408" s="7" t="n">
        <f aca="false">U408-V408</f>
        <v>145.180402504024</v>
      </c>
      <c r="X408" s="7" t="n">
        <f aca="false">W408*2/10+X407*8/10</f>
        <v>170.628558382062</v>
      </c>
      <c r="Y408" s="7" t="n">
        <f aca="false">W408-X408</f>
        <v>-25.4481558780386</v>
      </c>
      <c r="Z408" s="8" t="s">
        <v>42</v>
      </c>
      <c r="AA408" s="7" t="str">
        <f aca="false">IFERROR(INDEX(02_轉折點45!B:B,MATCH(A408,02_轉折點45!A:A,0)),"")</f>
        <v/>
      </c>
      <c r="AB408" s="7" t="n">
        <f aca="false">COUNTIFS(05_訊號明細!A:A,A408,05_訊號明細!C:C,"TOP")</f>
        <v>0</v>
      </c>
      <c r="AC408" s="7" t="n">
        <f aca="false">COUNTIFS(05_訊號明細!A:A,A408,05_訊號明細!C:C,"BOTTOM")</f>
        <v>0</v>
      </c>
    </row>
    <row r="409" customFormat="false" ht="15" hidden="false" customHeight="false" outlineLevel="0" collapsed="false">
      <c r="A409" s="7" t="s">
        <v>450</v>
      </c>
      <c r="B409" s="7" t="n">
        <v>15012.6</v>
      </c>
      <c r="C409" s="7" t="n">
        <v>15097.91</v>
      </c>
      <c r="D409" s="7" t="n">
        <v>14956.25</v>
      </c>
      <c r="E409" s="7" t="n">
        <v>15088.98</v>
      </c>
      <c r="F409" s="7" t="n">
        <v>4049</v>
      </c>
      <c r="G409" s="7" t="n">
        <f aca="false">AVERAGE(E405:E409)</f>
        <v>15082.558</v>
      </c>
      <c r="H409" s="7" t="n">
        <f aca="false">AVERAGE(E400:E409)</f>
        <v>15066.276</v>
      </c>
      <c r="I409" s="7" t="n">
        <f aca="false">AVERAGE(E390:E409)</f>
        <v>14983.2705</v>
      </c>
      <c r="J409" s="7" t="n">
        <f aca="false">AVERAGE(E360:E409)</f>
        <v>14592.6828</v>
      </c>
      <c r="K409" s="7" t="n">
        <f aca="false">AVERAGE(E310:E409)</f>
        <v>14073.9001</v>
      </c>
      <c r="L409" s="7" t="n">
        <f aca="false">AVERAGE(E210:E409)</f>
        <v>13390.8826</v>
      </c>
      <c r="M409" s="7" t="n">
        <f aca="false">I409</f>
        <v>14983.2705</v>
      </c>
      <c r="N409" s="7" t="n">
        <f aca="false">I409+2*STDEV(E390:E409)</f>
        <v>15314.8446449812</v>
      </c>
      <c r="O409" s="7" t="n">
        <f aca="false">I409-2*STDEV(E390:E409)</f>
        <v>14651.6963550188</v>
      </c>
      <c r="P409" s="7" t="n">
        <f aca="false">MAX(E409-E408,0)</f>
        <v>61.2199999999993</v>
      </c>
      <c r="Q409" s="7" t="n">
        <f aca="false">MAX(E408-E409,0)</f>
        <v>0</v>
      </c>
      <c r="R409" s="7" t="n">
        <f aca="false">(R408*13+P409)/14</f>
        <v>43.4550063240252</v>
      </c>
      <c r="S409" s="7" t="n">
        <f aca="false">(S408*13+Q409)/14</f>
        <v>28.5776309396675</v>
      </c>
      <c r="T409" s="7" t="n">
        <f aca="false">IF(S409=0,100,100-100/(1+R409/S409))</f>
        <v>60.3268295799691</v>
      </c>
      <c r="U409" s="7" t="n">
        <f aca="false">E409*2/13+U408*11/13</f>
        <v>15045.7158808863</v>
      </c>
      <c r="V409" s="7" t="n">
        <f aca="false">E409*2/27+V408*25/27</f>
        <v>14907.2108100991</v>
      </c>
      <c r="W409" s="7" t="n">
        <f aca="false">U409-V409</f>
        <v>138.505070787176</v>
      </c>
      <c r="X409" s="7" t="n">
        <f aca="false">W409*2/10+X408*8/10</f>
        <v>164.203860863085</v>
      </c>
      <c r="Y409" s="7" t="n">
        <f aca="false">W409-X409</f>
        <v>-25.698790075909</v>
      </c>
      <c r="Z409" s="8" t="s">
        <v>42</v>
      </c>
      <c r="AA409" s="7" t="str">
        <f aca="false">IFERROR(INDEX(02_轉折點45!B:B,MATCH(A409,02_轉折點45!A:A,0)),"")</f>
        <v/>
      </c>
      <c r="AB409" s="7" t="n">
        <f aca="false">COUNTIFS(05_訊號明細!A:A,A409,05_訊號明細!C:C,"TOP")</f>
        <v>0</v>
      </c>
      <c r="AC409" s="7" t="n">
        <f aca="false">COUNTIFS(05_訊號明細!A:A,A409,05_訊號明細!C:C,"BOTTOM")</f>
        <v>0</v>
      </c>
    </row>
    <row r="410" customFormat="false" ht="15" hidden="false" customHeight="false" outlineLevel="0" collapsed="false">
      <c r="A410" s="7" t="s">
        <v>451</v>
      </c>
      <c r="B410" s="7" t="n">
        <v>15101.84</v>
      </c>
      <c r="C410" s="7" t="n">
        <v>15150.48</v>
      </c>
      <c r="D410" s="7" t="n">
        <v>15079.3</v>
      </c>
      <c r="E410" s="7" t="n">
        <v>15136.68</v>
      </c>
      <c r="F410" s="7" t="n">
        <v>4061</v>
      </c>
      <c r="G410" s="7" t="n">
        <f aca="false">AVERAGE(E406:E410)</f>
        <v>15088.022</v>
      </c>
      <c r="H410" s="7" t="n">
        <f aca="false">AVERAGE(E401:E410)</f>
        <v>15083.954</v>
      </c>
      <c r="I410" s="7" t="n">
        <f aca="false">AVERAGE(E391:E410)</f>
        <v>15006.0355</v>
      </c>
      <c r="J410" s="7" t="n">
        <f aca="false">AVERAGE(E361:E410)</f>
        <v>14624.8228</v>
      </c>
      <c r="K410" s="7" t="n">
        <f aca="false">AVERAGE(E311:E410)</f>
        <v>14095.089</v>
      </c>
      <c r="L410" s="7" t="n">
        <f aca="false">AVERAGE(E211:E410)</f>
        <v>13408.57125</v>
      </c>
      <c r="M410" s="7" t="n">
        <f aca="false">I410</f>
        <v>15006.0355</v>
      </c>
      <c r="N410" s="7" t="n">
        <f aca="false">I410+2*STDEV(E391:E410)</f>
        <v>15311.8573989422</v>
      </c>
      <c r="O410" s="7" t="n">
        <f aca="false">I410-2*STDEV(E391:E410)</f>
        <v>14700.2136010578</v>
      </c>
      <c r="P410" s="7" t="n">
        <f aca="false">MAX(E410-E409,0)</f>
        <v>47.7000000000007</v>
      </c>
      <c r="Q410" s="7" t="n">
        <f aca="false">MAX(E409-E410,0)</f>
        <v>0</v>
      </c>
      <c r="R410" s="7" t="n">
        <f aca="false">(R409*13+P410)/14</f>
        <v>43.7582201580235</v>
      </c>
      <c r="S410" s="7" t="n">
        <f aca="false">(S409*13+Q410)/14</f>
        <v>26.5363715868341</v>
      </c>
      <c r="T410" s="7" t="n">
        <f aca="false">IF(S410=0,100,100-100/(1+R410/S410))</f>
        <v>62.2497678297201</v>
      </c>
      <c r="U410" s="7" t="n">
        <f aca="false">E410*2/13+U409*11/13</f>
        <v>15059.7103607499</v>
      </c>
      <c r="V410" s="7" t="n">
        <f aca="false">E410*2/27+V409*25/27</f>
        <v>14924.2085278695</v>
      </c>
      <c r="W410" s="7" t="n">
        <f aca="false">U410-V410</f>
        <v>135.501832880389</v>
      </c>
      <c r="X410" s="7" t="n">
        <f aca="false">W410*2/10+X409*8/10</f>
        <v>158.463455266546</v>
      </c>
      <c r="Y410" s="7" t="n">
        <f aca="false">W410-X410</f>
        <v>-22.9616223861568</v>
      </c>
      <c r="Z410" s="8" t="s">
        <v>42</v>
      </c>
      <c r="AA410" s="7" t="str">
        <f aca="false">IFERROR(INDEX(02_轉折點45!B:B,MATCH(A410,02_轉折點45!A:A,0)),"")</f>
        <v/>
      </c>
      <c r="AB410" s="7" t="n">
        <f aca="false">COUNTIFS(05_訊號明細!A:A,A410,05_訊號明細!C:C,"TOP")</f>
        <v>0</v>
      </c>
      <c r="AC410" s="7" t="n">
        <f aca="false">COUNTIFS(05_訊號明細!A:A,A410,05_訊號明細!C:C,"BOTTOM")</f>
        <v>0</v>
      </c>
    </row>
    <row r="411" customFormat="false" ht="15" hidden="false" customHeight="false" outlineLevel="0" collapsed="false">
      <c r="A411" s="7" t="s">
        <v>452</v>
      </c>
      <c r="B411" s="7" t="n">
        <v>15090.05</v>
      </c>
      <c r="C411" s="7" t="n">
        <v>15142.03</v>
      </c>
      <c r="D411" s="7" t="n">
        <v>14931.15</v>
      </c>
      <c r="E411" s="7" t="n">
        <v>15140.77</v>
      </c>
      <c r="F411" s="7" t="n">
        <v>3974</v>
      </c>
      <c r="G411" s="7" t="n">
        <f aca="false">AVERAGE(E407:E411)</f>
        <v>15089.554</v>
      </c>
      <c r="H411" s="7" t="n">
        <f aca="false">AVERAGE(E402:E411)</f>
        <v>15101.669</v>
      </c>
      <c r="I411" s="7" t="n">
        <f aca="false">AVERAGE(E392:E411)</f>
        <v>15035.6195</v>
      </c>
      <c r="J411" s="7" t="n">
        <f aca="false">AVERAGE(E362:E411)</f>
        <v>14652.2228</v>
      </c>
      <c r="K411" s="7" t="n">
        <f aca="false">AVERAGE(E312:E411)</f>
        <v>14118.5079</v>
      </c>
      <c r="L411" s="7" t="n">
        <f aca="false">AVERAGE(E212:E411)</f>
        <v>13428.5613</v>
      </c>
      <c r="M411" s="7" t="n">
        <f aca="false">I411</f>
        <v>15035.6195</v>
      </c>
      <c r="N411" s="7" t="n">
        <f aca="false">I411+2*STDEV(E392:E411)</f>
        <v>15258.5678514865</v>
      </c>
      <c r="O411" s="7" t="n">
        <f aca="false">I411-2*STDEV(E392:E411)</f>
        <v>14812.6711485136</v>
      </c>
      <c r="P411" s="7" t="n">
        <f aca="false">MAX(E411-E410,0)</f>
        <v>4.09000000000015</v>
      </c>
      <c r="Q411" s="7" t="n">
        <f aca="false">MAX(E410-E411,0)</f>
        <v>0</v>
      </c>
      <c r="R411" s="7" t="n">
        <f aca="false">(R410*13+P411)/14</f>
        <v>40.9247758610218</v>
      </c>
      <c r="S411" s="7" t="n">
        <f aca="false">(S410*13+Q411)/14</f>
        <v>24.6409164734888</v>
      </c>
      <c r="T411" s="7" t="n">
        <f aca="false">IF(S411=0,100,100-100/(1+R411/S411))</f>
        <v>62.4179725766138</v>
      </c>
      <c r="U411" s="7" t="n">
        <f aca="false">E411*2/13+U410*11/13</f>
        <v>15072.1810744807</v>
      </c>
      <c r="V411" s="7" t="n">
        <f aca="false">E411*2/27+V410*25/27</f>
        <v>14940.2501183977</v>
      </c>
      <c r="W411" s="7" t="n">
        <f aca="false">U411-V411</f>
        <v>131.930956082986</v>
      </c>
      <c r="X411" s="7" t="n">
        <f aca="false">W411*2/10+X410*8/10</f>
        <v>153.156955429834</v>
      </c>
      <c r="Y411" s="7" t="n">
        <f aca="false">W411-X411</f>
        <v>-21.2259993468478</v>
      </c>
      <c r="Z411" s="8" t="s">
        <v>42</v>
      </c>
      <c r="AA411" s="7" t="str">
        <f aca="false">IFERROR(INDEX(02_轉折點45!B:B,MATCH(A411,02_轉折點45!A:A,0)),"")</f>
        <v/>
      </c>
      <c r="AB411" s="7" t="n">
        <f aca="false">COUNTIFS(05_訊號明細!A:A,A411,05_訊號明細!C:C,"TOP")</f>
        <v>1</v>
      </c>
      <c r="AC411" s="7" t="n">
        <f aca="false">COUNTIFS(05_訊號明細!A:A,A411,05_訊號明細!C:C,"BOTTOM")</f>
        <v>0</v>
      </c>
    </row>
    <row r="412" customFormat="false" ht="15" hidden="false" customHeight="false" outlineLevel="0" collapsed="false">
      <c r="A412" s="7" t="s">
        <v>453</v>
      </c>
      <c r="B412" s="7" t="n">
        <v>15018.94</v>
      </c>
      <c r="C412" s="7" t="n">
        <v>15062.7</v>
      </c>
      <c r="D412" s="7" t="n">
        <v>14906.22</v>
      </c>
      <c r="E412" s="7" t="n">
        <v>15002.83</v>
      </c>
      <c r="F412" s="7" t="n">
        <v>4169</v>
      </c>
      <c r="G412" s="7" t="n">
        <f aca="false">AVERAGE(E408:E412)</f>
        <v>15079.404</v>
      </c>
      <c r="H412" s="7" t="n">
        <f aca="false">AVERAGE(E403:E412)</f>
        <v>15095.81</v>
      </c>
      <c r="I412" s="7" t="n">
        <f aca="false">AVERAGE(E393:E412)</f>
        <v>15049.3505</v>
      </c>
      <c r="J412" s="7" t="n">
        <f aca="false">AVERAGE(E363:E412)</f>
        <v>14676.2216</v>
      </c>
      <c r="K412" s="7" t="n">
        <f aca="false">AVERAGE(E313:E412)</f>
        <v>14140.7311</v>
      </c>
      <c r="L412" s="7" t="n">
        <f aca="false">AVERAGE(E213:E412)</f>
        <v>13446.82175</v>
      </c>
      <c r="M412" s="7" t="n">
        <f aca="false">I412</f>
        <v>15049.3505</v>
      </c>
      <c r="N412" s="7" t="n">
        <f aca="false">I412+2*STDEV(E393:E412)</f>
        <v>15220.3580952114</v>
      </c>
      <c r="O412" s="7" t="n">
        <f aca="false">I412-2*STDEV(E393:E412)</f>
        <v>14878.3429047886</v>
      </c>
      <c r="P412" s="7" t="n">
        <f aca="false">MAX(E412-E411,0)</f>
        <v>0</v>
      </c>
      <c r="Q412" s="7" t="n">
        <f aca="false">MAX(E411-E412,0)</f>
        <v>137.940000000001</v>
      </c>
      <c r="R412" s="7" t="n">
        <f aca="false">(R411*13+P412)/14</f>
        <v>38.0015775852345</v>
      </c>
      <c r="S412" s="7" t="n">
        <f aca="false">(S411*13+Q412)/14</f>
        <v>32.733708153954</v>
      </c>
      <c r="T412" s="7" t="n">
        <f aca="false">IF(S412=0,100,100-100/(1+R412/S412))</f>
        <v>53.7236503509041</v>
      </c>
      <c r="U412" s="7" t="n">
        <f aca="false">E412*2/13+U411*11/13</f>
        <v>15061.5116784068</v>
      </c>
      <c r="V412" s="7" t="n">
        <f aca="false">E412*2/27+V411*25/27</f>
        <v>14944.8856651831</v>
      </c>
      <c r="W412" s="7" t="n">
        <f aca="false">U412-V412</f>
        <v>116.626013223677</v>
      </c>
      <c r="X412" s="7" t="n">
        <f aca="false">W412*2/10+X411*8/10</f>
        <v>145.850766988602</v>
      </c>
      <c r="Y412" s="7" t="n">
        <f aca="false">W412-X412</f>
        <v>-29.2247537649258</v>
      </c>
      <c r="Z412" s="8" t="s">
        <v>42</v>
      </c>
      <c r="AA412" s="7" t="str">
        <f aca="false">IFERROR(INDEX(02_轉折點45!B:B,MATCH(A412,02_轉折點45!A:A,0)),"")</f>
        <v/>
      </c>
      <c r="AB412" s="7" t="n">
        <f aca="false">COUNTIFS(05_訊號明細!A:A,A412,05_訊號明細!C:C,"TOP")</f>
        <v>0</v>
      </c>
      <c r="AC412" s="7" t="n">
        <f aca="false">COUNTIFS(05_訊號明細!A:A,A412,05_訊號明細!C:C,"BOTTOM")</f>
        <v>0</v>
      </c>
    </row>
    <row r="413" customFormat="false" ht="15" hidden="false" customHeight="false" outlineLevel="0" collapsed="false">
      <c r="A413" s="7" t="s">
        <v>454</v>
      </c>
      <c r="B413" s="7" t="n">
        <v>14975.02</v>
      </c>
      <c r="C413" s="7" t="n">
        <v>15039.9</v>
      </c>
      <c r="D413" s="7" t="n">
        <v>14846.51</v>
      </c>
      <c r="E413" s="7" t="n">
        <v>14857.92</v>
      </c>
      <c r="F413" s="7" t="n">
        <v>3842</v>
      </c>
      <c r="G413" s="7" t="n">
        <f aca="false">AVERAGE(E409:E413)</f>
        <v>15045.436</v>
      </c>
      <c r="H413" s="7" t="n">
        <f aca="false">AVERAGE(E404:E413)</f>
        <v>15073.263</v>
      </c>
      <c r="I413" s="7" t="n">
        <f aca="false">AVERAGE(E394:E413)</f>
        <v>15050.115</v>
      </c>
      <c r="J413" s="7" t="n">
        <f aca="false">AVERAGE(E364:E413)</f>
        <v>14697.1628</v>
      </c>
      <c r="K413" s="7" t="n">
        <f aca="false">AVERAGE(E314:E413)</f>
        <v>14159.5191</v>
      </c>
      <c r="L413" s="7" t="n">
        <f aca="false">AVERAGE(E214:E413)</f>
        <v>13465.8466</v>
      </c>
      <c r="M413" s="7" t="n">
        <f aca="false">I413</f>
        <v>15050.115</v>
      </c>
      <c r="N413" s="7" t="n">
        <f aca="false">I413+2*STDEV(E394:E413)</f>
        <v>15217.3259733871</v>
      </c>
      <c r="O413" s="7" t="n">
        <f aca="false">I413-2*STDEV(E394:E413)</f>
        <v>14882.9040266129</v>
      </c>
      <c r="P413" s="7" t="n">
        <f aca="false">MAX(E413-E412,0)</f>
        <v>0</v>
      </c>
      <c r="Q413" s="7" t="n">
        <f aca="false">MAX(E412-E413,0)</f>
        <v>144.91</v>
      </c>
      <c r="R413" s="7" t="n">
        <f aca="false">(R412*13+P413)/14</f>
        <v>35.2871791862892</v>
      </c>
      <c r="S413" s="7" t="n">
        <f aca="false">(S412*13+Q413)/14</f>
        <v>40.7463004286715</v>
      </c>
      <c r="T413" s="7" t="n">
        <f aca="false">IF(S413=0,100,100-100/(1+R413/S413))</f>
        <v>46.4100543142128</v>
      </c>
      <c r="U413" s="7" t="n">
        <f aca="false">E413*2/13+U412*11/13</f>
        <v>15030.1898817288</v>
      </c>
      <c r="V413" s="7" t="n">
        <f aca="false">E413*2/27+V412*25/27</f>
        <v>14938.4437640584</v>
      </c>
      <c r="W413" s="7" t="n">
        <f aca="false">U413-V413</f>
        <v>91.7461176703873</v>
      </c>
      <c r="X413" s="7" t="n">
        <f aca="false">W413*2/10+X412*8/10</f>
        <v>135.029837124959</v>
      </c>
      <c r="Y413" s="7" t="n">
        <f aca="false">W413-X413</f>
        <v>-43.2837194545721</v>
      </c>
      <c r="Z413" s="8" t="s">
        <v>42</v>
      </c>
      <c r="AA413" s="7" t="str">
        <f aca="false">IFERROR(INDEX(02_轉折點45!B:B,MATCH(A413,02_轉折點45!A:A,0)),"")</f>
        <v/>
      </c>
      <c r="AB413" s="7" t="n">
        <f aca="false">COUNTIFS(05_訊號明細!A:A,A413,05_訊號明細!C:C,"TOP")</f>
        <v>1</v>
      </c>
      <c r="AC413" s="7" t="n">
        <f aca="false">COUNTIFS(05_訊號明細!A:A,A413,05_訊號明細!C:C,"BOTTOM")</f>
        <v>0</v>
      </c>
    </row>
    <row r="414" customFormat="false" ht="15" hidden="false" customHeight="false" outlineLevel="0" collapsed="false">
      <c r="A414" s="7" t="s">
        <v>455</v>
      </c>
      <c r="B414" s="7" t="n">
        <v>14773.19</v>
      </c>
      <c r="C414" s="7" t="n">
        <v>15000.19</v>
      </c>
      <c r="D414" s="7" t="n">
        <v>14773.19</v>
      </c>
      <c r="E414" s="7" t="n">
        <v>14933.94</v>
      </c>
      <c r="F414" s="7" t="n">
        <v>4191</v>
      </c>
      <c r="G414" s="7" t="n">
        <f aca="false">AVERAGE(E410:E414)</f>
        <v>15014.428</v>
      </c>
      <c r="H414" s="7" t="n">
        <f aca="false">AVERAGE(E405:E414)</f>
        <v>15048.493</v>
      </c>
      <c r="I414" s="7" t="n">
        <f aca="false">AVERAGE(E395:E414)</f>
        <v>15049.8035</v>
      </c>
      <c r="J414" s="7" t="n">
        <f aca="false">AVERAGE(E365:E414)</f>
        <v>14719.5428</v>
      </c>
      <c r="K414" s="7" t="n">
        <f aca="false">AVERAGE(E315:E414)</f>
        <v>14179.2011</v>
      </c>
      <c r="L414" s="7" t="n">
        <f aca="false">AVERAGE(E215:E414)</f>
        <v>13485.0925</v>
      </c>
      <c r="M414" s="7" t="n">
        <f aca="false">I414</f>
        <v>15049.8035</v>
      </c>
      <c r="N414" s="7" t="n">
        <f aca="false">I414+2*STDEV(E395:E414)</f>
        <v>15217.8977452786</v>
      </c>
      <c r="O414" s="7" t="n">
        <f aca="false">I414-2*STDEV(E395:E414)</f>
        <v>14881.7092547214</v>
      </c>
      <c r="P414" s="7" t="n">
        <f aca="false">MAX(E414-E413,0)</f>
        <v>76.0200000000004</v>
      </c>
      <c r="Q414" s="7" t="n">
        <f aca="false">MAX(E413-E414,0)</f>
        <v>0</v>
      </c>
      <c r="R414" s="7" t="n">
        <f aca="false">(R413*13+P414)/14</f>
        <v>38.1966663872686</v>
      </c>
      <c r="S414" s="7" t="n">
        <f aca="false">(S413*13+Q414)/14</f>
        <v>37.8358503980521</v>
      </c>
      <c r="T414" s="7" t="n">
        <f aca="false">IF(S414=0,100,100-100/(1+R414/S414))</f>
        <v>50.237277420551</v>
      </c>
      <c r="U414" s="7" t="n">
        <f aca="false">E414*2/13+U413*11/13</f>
        <v>15015.3822076167</v>
      </c>
      <c r="V414" s="7" t="n">
        <f aca="false">E414*2/27+V413*25/27</f>
        <v>14938.1101519059</v>
      </c>
      <c r="W414" s="7" t="n">
        <f aca="false">U414-V414</f>
        <v>77.2720557107405</v>
      </c>
      <c r="X414" s="7" t="n">
        <f aca="false">W414*2/10+X413*8/10</f>
        <v>123.478280842116</v>
      </c>
      <c r="Y414" s="7" t="n">
        <f aca="false">W414-X414</f>
        <v>-46.2062251313752</v>
      </c>
      <c r="Z414" s="8" t="s">
        <v>42</v>
      </c>
      <c r="AA414" s="7" t="str">
        <f aca="false">IFERROR(INDEX(02_轉折點45!B:B,MATCH(A414,02_轉折點45!A:A,0)),"")</f>
        <v/>
      </c>
      <c r="AB414" s="7" t="n">
        <f aca="false">COUNTIFS(05_訊號明細!A:A,A414,05_訊號明細!C:C,"TOP")</f>
        <v>0</v>
      </c>
      <c r="AC414" s="7" t="n">
        <f aca="false">COUNTIFS(05_訊號明細!A:A,A414,05_訊號明細!C:C,"BOTTOM")</f>
        <v>0</v>
      </c>
    </row>
    <row r="415" customFormat="false" ht="15" hidden="false" customHeight="false" outlineLevel="0" collapsed="false">
      <c r="A415" s="7" t="s">
        <v>456</v>
      </c>
      <c r="B415" s="7" t="n">
        <v>14974.06</v>
      </c>
      <c r="C415" s="7" t="n">
        <v>15103.94</v>
      </c>
      <c r="D415" s="7" t="n">
        <v>14968.87</v>
      </c>
      <c r="E415" s="7" t="n">
        <v>15092.57</v>
      </c>
      <c r="F415" s="7" t="n">
        <v>3886</v>
      </c>
      <c r="G415" s="7" t="n">
        <f aca="false">AVERAGE(E411:E415)</f>
        <v>15005.606</v>
      </c>
      <c r="H415" s="7" t="n">
        <f aca="false">AVERAGE(E406:E415)</f>
        <v>15046.814</v>
      </c>
      <c r="I415" s="7" t="n">
        <f aca="false">AVERAGE(E396:E415)</f>
        <v>15048.8425</v>
      </c>
      <c r="J415" s="7" t="n">
        <f aca="false">AVERAGE(E366:E415)</f>
        <v>14742.1872</v>
      </c>
      <c r="K415" s="7" t="n">
        <f aca="false">AVERAGE(E316:E415)</f>
        <v>14201.1615</v>
      </c>
      <c r="L415" s="7" t="n">
        <f aca="false">AVERAGE(E216:E415)</f>
        <v>13504.1558</v>
      </c>
      <c r="M415" s="7" t="n">
        <f aca="false">I415</f>
        <v>15048.8425</v>
      </c>
      <c r="N415" s="7" t="n">
        <f aca="false">I415+2*STDEV(E396:E415)</f>
        <v>15215.659534707</v>
      </c>
      <c r="O415" s="7" t="n">
        <f aca="false">I415-2*STDEV(E396:E415)</f>
        <v>14882.025465293</v>
      </c>
      <c r="P415" s="7" t="n">
        <f aca="false">MAX(E415-E414,0)</f>
        <v>158.629999999999</v>
      </c>
      <c r="Q415" s="7" t="n">
        <f aca="false">MAX(E414-E415,0)</f>
        <v>0</v>
      </c>
      <c r="R415" s="7" t="n">
        <f aca="false">(R414*13+P415)/14</f>
        <v>46.7990473596065</v>
      </c>
      <c r="S415" s="7" t="n">
        <f aca="false">(S414*13+Q415)/14</f>
        <v>35.1332896553341</v>
      </c>
      <c r="T415" s="7" t="n">
        <f aca="false">IF(S415=0,100,100-100/(1+R415/S415))</f>
        <v>57.1191413117785</v>
      </c>
      <c r="U415" s="7" t="n">
        <f aca="false">E415*2/13+U414*11/13</f>
        <v>15027.2572525987</v>
      </c>
      <c r="V415" s="7" t="n">
        <f aca="false">E415*2/27+V414*25/27</f>
        <v>14949.5516221351</v>
      </c>
      <c r="W415" s="7" t="n">
        <f aca="false">U415-V415</f>
        <v>77.7056304636008</v>
      </c>
      <c r="X415" s="7" t="n">
        <f aca="false">W415*2/10+X414*8/10</f>
        <v>114.323750766413</v>
      </c>
      <c r="Y415" s="7" t="n">
        <f aca="false">W415-X415</f>
        <v>-36.6181203028119</v>
      </c>
      <c r="Z415" s="8" t="s">
        <v>42</v>
      </c>
      <c r="AA415" s="7" t="str">
        <f aca="false">IFERROR(INDEX(02_轉折點45!B:B,MATCH(A415,02_轉折點45!A:A,0)),"")</f>
        <v/>
      </c>
      <c r="AB415" s="7" t="n">
        <f aca="false">COUNTIFS(05_訊號明細!A:A,A415,05_訊號明細!C:C,"TOP")</f>
        <v>0</v>
      </c>
      <c r="AC415" s="7" t="n">
        <f aca="false">COUNTIFS(05_訊號明細!A:A,A415,05_訊號明細!C:C,"BOTTOM")</f>
        <v>0</v>
      </c>
    </row>
    <row r="416" customFormat="false" ht="15" hidden="false" customHeight="false" outlineLevel="0" collapsed="false">
      <c r="A416" s="7" t="s">
        <v>457</v>
      </c>
      <c r="B416" s="7" t="n">
        <v>15140.14</v>
      </c>
      <c r="C416" s="7" t="n">
        <v>15341.47</v>
      </c>
      <c r="D416" s="7" t="n">
        <v>15140.14</v>
      </c>
      <c r="E416" s="7" t="n">
        <v>15312.82</v>
      </c>
      <c r="F416" s="7" t="n">
        <v>3907</v>
      </c>
      <c r="G416" s="7" t="n">
        <f aca="false">AVERAGE(E412:E416)</f>
        <v>15040.016</v>
      </c>
      <c r="H416" s="7" t="n">
        <f aca="false">AVERAGE(E407:E416)</f>
        <v>15064.785</v>
      </c>
      <c r="I416" s="7" t="n">
        <f aca="false">AVERAGE(E397:E416)</f>
        <v>15058.186</v>
      </c>
      <c r="J416" s="7" t="n">
        <f aca="false">AVERAGE(E367:E416)</f>
        <v>14768.4776</v>
      </c>
      <c r="K416" s="7" t="n">
        <f aca="false">AVERAGE(E317:E416)</f>
        <v>14223.3753</v>
      </c>
      <c r="L416" s="7" t="n">
        <f aca="false">AVERAGE(E217:E416)</f>
        <v>13521.8348</v>
      </c>
      <c r="M416" s="7" t="n">
        <f aca="false">I416</f>
        <v>15058.186</v>
      </c>
      <c r="N416" s="7" t="n">
        <f aca="false">I416+2*STDEV(E397:E416)</f>
        <v>15260.3715159995</v>
      </c>
      <c r="O416" s="7" t="n">
        <f aca="false">I416-2*STDEV(E397:E416)</f>
        <v>14856.0004840005</v>
      </c>
      <c r="P416" s="7" t="n">
        <f aca="false">MAX(E416-E415,0)</f>
        <v>220.25</v>
      </c>
      <c r="Q416" s="7" t="n">
        <f aca="false">MAX(E415-E416,0)</f>
        <v>0</v>
      </c>
      <c r="R416" s="7" t="n">
        <f aca="false">(R415*13+P416)/14</f>
        <v>59.1884011196346</v>
      </c>
      <c r="S416" s="7" t="n">
        <f aca="false">(S415*13+Q416)/14</f>
        <v>32.6237689656674</v>
      </c>
      <c r="T416" s="7" t="n">
        <f aca="false">IF(S416=0,100,100-100/(1+R416/S416))</f>
        <v>64.4668360029429</v>
      </c>
      <c r="U416" s="7" t="n">
        <f aca="false">E416*2/13+U415*11/13</f>
        <v>15071.1899829681</v>
      </c>
      <c r="V416" s="7" t="n">
        <f aca="false">E416*2/27+V415*25/27</f>
        <v>14976.4603908659</v>
      </c>
      <c r="W416" s="7" t="n">
        <f aca="false">U416-V416</f>
        <v>94.729592102296</v>
      </c>
      <c r="X416" s="7" t="n">
        <f aca="false">W416*2/10+X415*8/10</f>
        <v>110.404919033589</v>
      </c>
      <c r="Y416" s="7" t="n">
        <f aca="false">W416-X416</f>
        <v>-15.6753269312933</v>
      </c>
      <c r="Z416" s="8" t="s">
        <v>42</v>
      </c>
      <c r="AA416" s="7" t="str">
        <f aca="false">IFERROR(INDEX(02_轉折點45!B:B,MATCH(A416,02_轉折點45!A:A,0)),"")</f>
        <v/>
      </c>
      <c r="AB416" s="7" t="n">
        <f aca="false">COUNTIFS(05_訊號明細!A:A,A416,05_訊號明細!C:C,"TOP")</f>
        <v>2</v>
      </c>
      <c r="AC416" s="7" t="n">
        <f aca="false">COUNTIFS(05_訊號明細!A:A,A416,05_訊號明細!C:C,"BOTTOM")</f>
        <v>1</v>
      </c>
    </row>
    <row r="417" customFormat="false" ht="15" hidden="false" customHeight="false" outlineLevel="0" collapsed="false">
      <c r="A417" s="7" t="s">
        <v>458</v>
      </c>
      <c r="B417" s="7" t="n">
        <v>15338.92</v>
      </c>
      <c r="C417" s="7" t="n">
        <v>15384.42</v>
      </c>
      <c r="D417" s="7" t="n">
        <v>15319.55</v>
      </c>
      <c r="E417" s="7" t="n">
        <v>15357.68</v>
      </c>
      <c r="F417" s="7" t="n">
        <v>3810</v>
      </c>
      <c r="G417" s="7" t="n">
        <f aca="false">AVERAGE(E413:E417)</f>
        <v>15110.986</v>
      </c>
      <c r="H417" s="7" t="n">
        <f aca="false">AVERAGE(E408:E417)</f>
        <v>15095.195</v>
      </c>
      <c r="I417" s="7" t="n">
        <f aca="false">AVERAGE(E398:E417)</f>
        <v>15078.2215</v>
      </c>
      <c r="J417" s="7" t="n">
        <f aca="false">AVERAGE(E368:E417)</f>
        <v>14793.0672</v>
      </c>
      <c r="K417" s="7" t="n">
        <f aca="false">AVERAGE(E318:E417)</f>
        <v>14243.6569</v>
      </c>
      <c r="L417" s="7" t="n">
        <f aca="false">AVERAGE(E218:E417)</f>
        <v>13538.23285</v>
      </c>
      <c r="M417" s="7" t="n">
        <f aca="false">I417</f>
        <v>15078.2215</v>
      </c>
      <c r="N417" s="7" t="n">
        <f aca="false">I417+2*STDEV(E398:E417)</f>
        <v>15314.6861277565</v>
      </c>
      <c r="O417" s="7" t="n">
        <f aca="false">I417-2*STDEV(E398:E417)</f>
        <v>14841.7568722435</v>
      </c>
      <c r="P417" s="7" t="n">
        <f aca="false">MAX(E417-E416,0)</f>
        <v>44.8600000000006</v>
      </c>
      <c r="Q417" s="7" t="n">
        <f aca="false">MAX(E416-E417,0)</f>
        <v>0</v>
      </c>
      <c r="R417" s="7" t="n">
        <f aca="false">(R416*13+P417)/14</f>
        <v>58.1649438968036</v>
      </c>
      <c r="S417" s="7" t="n">
        <f aca="false">(S416*13+Q417)/14</f>
        <v>30.293499753834</v>
      </c>
      <c r="T417" s="7" t="n">
        <f aca="false">IF(S417=0,100,100-100/(1+R417/S417))</f>
        <v>65.7539761003746</v>
      </c>
      <c r="U417" s="7" t="n">
        <f aca="false">E417*2/13+U416*11/13</f>
        <v>15115.2653702038</v>
      </c>
      <c r="V417" s="7" t="n">
        <f aca="false">E417*2/27+V416*25/27</f>
        <v>15004.6988804313</v>
      </c>
      <c r="W417" s="7" t="n">
        <f aca="false">U417-V417</f>
        <v>110.566489772475</v>
      </c>
      <c r="X417" s="7" t="n">
        <f aca="false">W417*2/10+X416*8/10</f>
        <v>110.437233181366</v>
      </c>
      <c r="Y417" s="7" t="n">
        <f aca="false">W417-X417</f>
        <v>0.129256591108231</v>
      </c>
      <c r="Z417" s="8" t="s">
        <v>42</v>
      </c>
      <c r="AA417" s="7" t="str">
        <f aca="false">IFERROR(INDEX(02_轉折點45!B:B,MATCH(A417,02_轉折點45!A:A,0)),"")</f>
        <v/>
      </c>
      <c r="AB417" s="7" t="n">
        <f aca="false">COUNTIFS(05_訊號明細!A:A,A417,05_訊號明細!C:C,"TOP")</f>
        <v>0</v>
      </c>
      <c r="AC417" s="7" t="n">
        <f aca="false">COUNTIFS(05_訊號明細!A:A,A417,05_訊號明細!C:C,"BOTTOM")</f>
        <v>0</v>
      </c>
    </row>
    <row r="418" customFormat="false" ht="15" hidden="false" customHeight="false" outlineLevel="0" collapsed="false">
      <c r="A418" s="7" t="s">
        <v>459</v>
      </c>
      <c r="B418" s="7" t="n">
        <v>15384.83</v>
      </c>
      <c r="C418" s="7" t="n">
        <v>15404.36</v>
      </c>
      <c r="D418" s="7" t="n">
        <v>15341.92</v>
      </c>
      <c r="E418" s="7" t="n">
        <v>15368.92</v>
      </c>
      <c r="F418" s="7" t="n">
        <v>3654</v>
      </c>
      <c r="G418" s="7" t="n">
        <f aca="false">AVERAGE(E414:E418)</f>
        <v>15213.186</v>
      </c>
      <c r="H418" s="7" t="n">
        <f aca="false">AVERAGE(E409:E418)</f>
        <v>15129.311</v>
      </c>
      <c r="I418" s="7" t="n">
        <f aca="false">AVERAGE(E399:E418)</f>
        <v>15095.7625</v>
      </c>
      <c r="J418" s="7" t="n">
        <f aca="false">AVERAGE(E369:E418)</f>
        <v>14819.8374</v>
      </c>
      <c r="K418" s="7" t="n">
        <f aca="false">AVERAGE(E319:E418)</f>
        <v>14261.3645</v>
      </c>
      <c r="L418" s="7" t="n">
        <f aca="false">AVERAGE(E219:E418)</f>
        <v>13554.6207</v>
      </c>
      <c r="M418" s="7" t="n">
        <f aca="false">I418</f>
        <v>15095.7625</v>
      </c>
      <c r="N418" s="7" t="n">
        <f aca="false">I418+2*STDEV(E399:E418)</f>
        <v>15363.4370904914</v>
      </c>
      <c r="O418" s="7" t="n">
        <f aca="false">I418-2*STDEV(E399:E418)</f>
        <v>14828.0879095086</v>
      </c>
      <c r="P418" s="7" t="n">
        <f aca="false">MAX(E418-E417,0)</f>
        <v>11.2399999999998</v>
      </c>
      <c r="Q418" s="7" t="n">
        <f aca="false">MAX(E417-E418,0)</f>
        <v>0</v>
      </c>
      <c r="R418" s="7" t="n">
        <f aca="false">(R417*13+P418)/14</f>
        <v>54.813162189889</v>
      </c>
      <c r="S418" s="7" t="n">
        <f aca="false">(S417*13+Q418)/14</f>
        <v>28.1296783428459</v>
      </c>
      <c r="T418" s="7" t="n">
        <f aca="false">IF(S418=0,100,100-100/(1+R418/S418))</f>
        <v>66.085465409466</v>
      </c>
      <c r="U418" s="7" t="n">
        <f aca="false">E418*2/13+U417*11/13</f>
        <v>15154.2891594032</v>
      </c>
      <c r="V418" s="7" t="n">
        <f aca="false">E418*2/27+V417*25/27</f>
        <v>15031.6782226216</v>
      </c>
      <c r="W418" s="7" t="n">
        <f aca="false">U418-V418</f>
        <v>122.610936781617</v>
      </c>
      <c r="X418" s="7" t="n">
        <f aca="false">W418*2/10+X417*8/10</f>
        <v>112.871973901417</v>
      </c>
      <c r="Y418" s="7" t="n">
        <f aca="false">W418-X418</f>
        <v>9.73896288020055</v>
      </c>
      <c r="Z418" s="8" t="s">
        <v>42</v>
      </c>
      <c r="AA418" s="7" t="str">
        <f aca="false">IFERROR(INDEX(02_轉折點45!B:B,MATCH(A418,02_轉折點45!A:A,0)),"")</f>
        <v/>
      </c>
      <c r="AB418" s="7" t="n">
        <f aca="false">COUNTIFS(05_訊號明細!A:A,A418,05_訊號明細!C:C,"TOP")</f>
        <v>0</v>
      </c>
      <c r="AC418" s="7" t="n">
        <f aca="false">COUNTIFS(05_訊號明細!A:A,A418,05_訊號明細!C:C,"BOTTOM")</f>
        <v>0</v>
      </c>
    </row>
    <row r="419" customFormat="false" ht="15" hidden="false" customHeight="false" outlineLevel="0" collapsed="false">
      <c r="A419" s="7" t="s">
        <v>460</v>
      </c>
      <c r="B419" s="7" t="n">
        <v>15348.98</v>
      </c>
      <c r="C419" s="7" t="n">
        <v>15369.28</v>
      </c>
      <c r="D419" s="7" t="n">
        <v>15265.23</v>
      </c>
      <c r="E419" s="7" t="n">
        <v>15278.52</v>
      </c>
      <c r="F419" s="7" t="n">
        <v>3631</v>
      </c>
      <c r="G419" s="7" t="n">
        <f aca="false">AVERAGE(E415:E419)</f>
        <v>15282.102</v>
      </c>
      <c r="H419" s="7" t="n">
        <f aca="false">AVERAGE(E410:E419)</f>
        <v>15148.265</v>
      </c>
      <c r="I419" s="7" t="n">
        <f aca="false">AVERAGE(E400:E419)</f>
        <v>15107.2705</v>
      </c>
      <c r="J419" s="7" t="n">
        <f aca="false">AVERAGE(E370:E419)</f>
        <v>14845.7476</v>
      </c>
      <c r="K419" s="7" t="n">
        <f aca="false">AVERAGE(E320:E419)</f>
        <v>14278.3651</v>
      </c>
      <c r="L419" s="7" t="n">
        <f aca="false">AVERAGE(E220:E419)</f>
        <v>13571.86135</v>
      </c>
      <c r="M419" s="7" t="n">
        <f aca="false">I419</f>
        <v>15107.2705</v>
      </c>
      <c r="N419" s="7" t="n">
        <f aca="false">I419+2*STDEV(E400:E419)</f>
        <v>15385.9291804469</v>
      </c>
      <c r="O419" s="7" t="n">
        <f aca="false">I419-2*STDEV(E400:E419)</f>
        <v>14828.6118195531</v>
      </c>
      <c r="P419" s="7" t="n">
        <f aca="false">MAX(E419-E418,0)</f>
        <v>0</v>
      </c>
      <c r="Q419" s="7" t="n">
        <f aca="false">MAX(E418-E419,0)</f>
        <v>90.3999999999996</v>
      </c>
      <c r="R419" s="7" t="n">
        <f aca="false">(R418*13+P419)/14</f>
        <v>50.8979363191827</v>
      </c>
      <c r="S419" s="7" t="n">
        <f aca="false">(S418*13+Q419)/14</f>
        <v>32.577558461214</v>
      </c>
      <c r="T419" s="7" t="n">
        <f aca="false">IF(S419=0,100,100-100/(1+R419/S419))</f>
        <v>60.9735065998501</v>
      </c>
      <c r="U419" s="7" t="n">
        <f aca="false">E419*2/13+U418*11/13</f>
        <v>15173.4015964181</v>
      </c>
      <c r="V419" s="7" t="n">
        <f aca="false">E419*2/27+V418*25/27</f>
        <v>15049.9627987237</v>
      </c>
      <c r="W419" s="7" t="n">
        <f aca="false">U419-V419</f>
        <v>123.438797694402</v>
      </c>
      <c r="X419" s="7" t="n">
        <f aca="false">W419*2/10+X418*8/10</f>
        <v>114.985338660014</v>
      </c>
      <c r="Y419" s="7" t="n">
        <f aca="false">W419-X419</f>
        <v>8.45345903438818</v>
      </c>
      <c r="Z419" s="8" t="s">
        <v>42</v>
      </c>
      <c r="AA419" s="7" t="str">
        <f aca="false">IFERROR(INDEX(02_轉折點45!B:B,MATCH(A419,02_轉折點45!A:A,0)),"")</f>
        <v/>
      </c>
      <c r="AB419" s="7" t="n">
        <f aca="false">COUNTIFS(05_訊號明細!A:A,A419,05_訊號明細!C:C,"TOP")</f>
        <v>0</v>
      </c>
      <c r="AC419" s="7" t="n">
        <f aca="false">COUNTIFS(05_訊號明細!A:A,A419,05_訊號明細!C:C,"BOTTOM")</f>
        <v>0</v>
      </c>
    </row>
    <row r="420" customFormat="false" ht="15" hidden="false" customHeight="false" outlineLevel="0" collapsed="false">
      <c r="A420" s="7" t="s">
        <v>461</v>
      </c>
      <c r="B420" s="7" t="n">
        <v>15305.75</v>
      </c>
      <c r="C420" s="7" t="n">
        <v>15447.03</v>
      </c>
      <c r="D420" s="7" t="n">
        <v>15292.74</v>
      </c>
      <c r="E420" s="7" t="n">
        <v>15432.95</v>
      </c>
      <c r="F420" s="7" t="n">
        <v>4049</v>
      </c>
      <c r="G420" s="7" t="n">
        <f aca="false">AVERAGE(E416:E420)</f>
        <v>15350.178</v>
      </c>
      <c r="H420" s="7" t="n">
        <f aca="false">AVERAGE(E411:E420)</f>
        <v>15177.892</v>
      </c>
      <c r="I420" s="7" t="n">
        <f aca="false">AVERAGE(E401:E420)</f>
        <v>15130.923</v>
      </c>
      <c r="J420" s="7" t="n">
        <f aca="false">AVERAGE(E371:E420)</f>
        <v>14871.1304</v>
      </c>
      <c r="K420" s="7" t="n">
        <f aca="false">AVERAGE(E321:E420)</f>
        <v>14296.5276</v>
      </c>
      <c r="L420" s="7" t="n">
        <f aca="false">AVERAGE(E221:E420)</f>
        <v>13590.90465</v>
      </c>
      <c r="M420" s="7" t="n">
        <f aca="false">I420</f>
        <v>15130.923</v>
      </c>
      <c r="N420" s="7" t="n">
        <f aca="false">I420+2*STDEV(E401:E420)</f>
        <v>15435.9686025339</v>
      </c>
      <c r="O420" s="7" t="n">
        <f aca="false">I420-2*STDEV(E401:E420)</f>
        <v>14825.8773974661</v>
      </c>
      <c r="P420" s="7" t="n">
        <f aca="false">MAX(E420-E419,0)</f>
        <v>154.43</v>
      </c>
      <c r="Q420" s="7" t="n">
        <f aca="false">MAX(E419-E420,0)</f>
        <v>0</v>
      </c>
      <c r="R420" s="7" t="n">
        <f aca="false">(R419*13+P420)/14</f>
        <v>58.2930837249554</v>
      </c>
      <c r="S420" s="7" t="n">
        <f aca="false">(S419*13+Q420)/14</f>
        <v>30.2505899996987</v>
      </c>
      <c r="T420" s="7" t="n">
        <f aca="false">IF(S420=0,100,100-100/(1+R420/S420))</f>
        <v>65.8354022064077</v>
      </c>
      <c r="U420" s="7" t="n">
        <f aca="false">E420*2/13+U419*11/13</f>
        <v>15213.3321200461</v>
      </c>
      <c r="V420" s="7" t="n">
        <f aca="false">E420*2/27+V419*25/27</f>
        <v>15078.3322210405</v>
      </c>
      <c r="W420" s="7" t="n">
        <f aca="false">U420-V420</f>
        <v>134.999899005619</v>
      </c>
      <c r="X420" s="7" t="n">
        <f aca="false">W420*2/10+X419*8/10</f>
        <v>118.988250729135</v>
      </c>
      <c r="Y420" s="7" t="n">
        <f aca="false">W420-X420</f>
        <v>16.0116482764845</v>
      </c>
      <c r="Z420" s="8" t="s">
        <v>42</v>
      </c>
      <c r="AA420" s="7" t="str">
        <f aca="false">IFERROR(INDEX(02_轉折點45!B:B,MATCH(A420,02_轉折點45!A:A,0)),"")</f>
        <v/>
      </c>
      <c r="AB420" s="7" t="n">
        <f aca="false">COUNTIFS(05_訊號明細!A:A,A420,05_訊號明細!C:C,"TOP")</f>
        <v>0</v>
      </c>
      <c r="AC420" s="7" t="n">
        <f aca="false">COUNTIFS(05_訊號明細!A:A,A420,05_訊號明細!C:C,"BOTTOM")</f>
        <v>1</v>
      </c>
    </row>
    <row r="421" customFormat="false" ht="15" hidden="false" customHeight="false" outlineLevel="0" collapsed="false">
      <c r="A421" s="7" t="s">
        <v>462</v>
      </c>
      <c r="B421" s="7" t="n">
        <v>15460.93</v>
      </c>
      <c r="C421" s="7" t="n">
        <v>15620.62</v>
      </c>
      <c r="D421" s="7" t="n">
        <v>15459.74</v>
      </c>
      <c r="E421" s="7" t="n">
        <v>15605.09</v>
      </c>
      <c r="F421" s="7" t="n">
        <v>4062</v>
      </c>
      <c r="G421" s="7" t="n">
        <f aca="false">AVERAGE(E417:E421)</f>
        <v>15408.632</v>
      </c>
      <c r="H421" s="7" t="n">
        <f aca="false">AVERAGE(E412:E421)</f>
        <v>15224.324</v>
      </c>
      <c r="I421" s="7" t="n">
        <f aca="false">AVERAGE(E402:E421)</f>
        <v>15162.9965</v>
      </c>
      <c r="J421" s="7" t="n">
        <f aca="false">AVERAGE(E372:E421)</f>
        <v>14902.2406</v>
      </c>
      <c r="K421" s="7" t="n">
        <f aca="false">AVERAGE(E322:E421)</f>
        <v>14314.9934</v>
      </c>
      <c r="L421" s="7" t="n">
        <f aca="false">AVERAGE(E222:E421)</f>
        <v>13609.46545</v>
      </c>
      <c r="M421" s="7" t="n">
        <f aca="false">I421</f>
        <v>15162.9965</v>
      </c>
      <c r="N421" s="7" t="n">
        <f aca="false">I421+2*STDEV(E402:E421)</f>
        <v>15523.7765774214</v>
      </c>
      <c r="O421" s="7" t="n">
        <f aca="false">I421-2*STDEV(E402:E421)</f>
        <v>14802.2164225786</v>
      </c>
      <c r="P421" s="7" t="n">
        <f aca="false">MAX(E421-E420,0)</f>
        <v>172.139999999999</v>
      </c>
      <c r="Q421" s="7" t="n">
        <f aca="false">MAX(E420-E421,0)</f>
        <v>0</v>
      </c>
      <c r="R421" s="7" t="n">
        <f aca="false">(R420*13+P421)/14</f>
        <v>66.4250063160299</v>
      </c>
      <c r="S421" s="7" t="n">
        <f aca="false">(S420*13+Q421)/14</f>
        <v>28.0898335711488</v>
      </c>
      <c r="T421" s="7" t="n">
        <f aca="false">IF(S421=0,100,100-100/(1+R421/S421))</f>
        <v>70.279975499425</v>
      </c>
      <c r="U421" s="7" t="n">
        <f aca="false">E421*2/13+U420*11/13</f>
        <v>15273.6025631159</v>
      </c>
      <c r="V421" s="7" t="n">
        <f aca="false">E421*2/27+V420*25/27</f>
        <v>15117.3513157782</v>
      </c>
      <c r="W421" s="7" t="n">
        <f aca="false">U421-V421</f>
        <v>156.251247337706</v>
      </c>
      <c r="X421" s="7" t="n">
        <f aca="false">W421*2/10+X420*8/10</f>
        <v>126.440850050849</v>
      </c>
      <c r="Y421" s="7" t="n">
        <f aca="false">W421-X421</f>
        <v>29.8103972868574</v>
      </c>
      <c r="Z421" s="8" t="s">
        <v>42</v>
      </c>
      <c r="AA421" s="7" t="str">
        <f aca="false">IFERROR(INDEX(02_轉折點45!B:B,MATCH(A421,02_轉折點45!A:A,0)),"")</f>
        <v/>
      </c>
      <c r="AB421" s="7" t="n">
        <f aca="false">COUNTIFS(05_訊號明細!A:A,A421,05_訊號明細!C:C,"TOP")</f>
        <v>0</v>
      </c>
      <c r="AC421" s="7" t="n">
        <f aca="false">COUNTIFS(05_訊號明細!A:A,A421,05_訊號明細!C:C,"BOTTOM")</f>
        <v>0</v>
      </c>
    </row>
    <row r="422" customFormat="false" ht="15" hidden="false" customHeight="false" outlineLevel="0" collapsed="false">
      <c r="A422" s="7" t="s">
        <v>463</v>
      </c>
      <c r="B422" s="7" t="n">
        <v>15601.34</v>
      </c>
      <c r="C422" s="7" t="n">
        <v>15604.45</v>
      </c>
      <c r="D422" s="7" t="n">
        <v>15522.78</v>
      </c>
      <c r="E422" s="7" t="n">
        <v>15582.51</v>
      </c>
      <c r="F422" s="7" t="n">
        <v>4188</v>
      </c>
      <c r="G422" s="7" t="n">
        <f aca="false">AVERAGE(E418:E422)</f>
        <v>15453.598</v>
      </c>
      <c r="H422" s="7" t="n">
        <f aca="false">AVERAGE(E413:E422)</f>
        <v>15282.292</v>
      </c>
      <c r="I422" s="7" t="n">
        <f aca="false">AVERAGE(E403:E422)</f>
        <v>15189.051</v>
      </c>
      <c r="J422" s="7" t="n">
        <f aca="false">AVERAGE(E373:E422)</f>
        <v>14931.1462</v>
      </c>
      <c r="K422" s="7" t="n">
        <f aca="false">AVERAGE(E323:E422)</f>
        <v>14332.3679</v>
      </c>
      <c r="L422" s="7" t="n">
        <f aca="false">AVERAGE(E223:E422)</f>
        <v>13628.2423</v>
      </c>
      <c r="M422" s="7" t="n">
        <f aca="false">I422</f>
        <v>15189.051</v>
      </c>
      <c r="N422" s="7" t="n">
        <f aca="false">I422+2*STDEV(E403:E422)</f>
        <v>15591.7701282376</v>
      </c>
      <c r="O422" s="7" t="n">
        <f aca="false">I422-2*STDEV(E403:E422)</f>
        <v>14786.3318717624</v>
      </c>
      <c r="P422" s="7" t="n">
        <f aca="false">MAX(E422-E421,0)</f>
        <v>0</v>
      </c>
      <c r="Q422" s="7" t="n">
        <f aca="false">MAX(E421-E422,0)</f>
        <v>22.5799999999999</v>
      </c>
      <c r="R422" s="7" t="n">
        <f aca="false">(R421*13+P422)/14</f>
        <v>61.6803630077421</v>
      </c>
      <c r="S422" s="7" t="n">
        <f aca="false">(S421*13+Q422)/14</f>
        <v>27.6962740303525</v>
      </c>
      <c r="T422" s="7" t="n">
        <f aca="false">IF(S422=0,100,100-100/(1+R422/S422))</f>
        <v>69.0117295210519</v>
      </c>
      <c r="U422" s="7" t="n">
        <f aca="false">E422*2/13+U421*11/13</f>
        <v>15321.126784175</v>
      </c>
      <c r="V422" s="7" t="n">
        <f aca="false">E422*2/27+V421*25/27</f>
        <v>15151.8075146095</v>
      </c>
      <c r="W422" s="7" t="n">
        <f aca="false">U422-V422</f>
        <v>169.319269565551</v>
      </c>
      <c r="X422" s="7" t="n">
        <f aca="false">W422*2/10+X421*8/10</f>
        <v>135.016533953789</v>
      </c>
      <c r="Y422" s="7" t="n">
        <f aca="false">W422-X422</f>
        <v>34.3027356117613</v>
      </c>
      <c r="Z422" s="8" t="s">
        <v>42</v>
      </c>
      <c r="AA422" s="7" t="str">
        <f aca="false">IFERROR(INDEX(02_轉折點45!B:B,MATCH(A422,02_轉折點45!A:A,0)),"")</f>
        <v/>
      </c>
      <c r="AB422" s="7" t="n">
        <f aca="false">COUNTIFS(05_訊號明細!A:A,A422,05_訊號明細!C:C,"TOP")</f>
        <v>0</v>
      </c>
      <c r="AC422" s="7" t="n">
        <f aca="false">COUNTIFS(05_訊號明細!A:A,A422,05_訊號明細!C:C,"BOTTOM")</f>
        <v>0</v>
      </c>
    </row>
    <row r="423" customFormat="false" ht="15" hidden="false" customHeight="false" outlineLevel="0" collapsed="false">
      <c r="A423" s="7" t="s">
        <v>464</v>
      </c>
      <c r="B423" s="7" t="n">
        <v>15637.13</v>
      </c>
      <c r="C423" s="7" t="n">
        <v>15696.42</v>
      </c>
      <c r="D423" s="7" t="n">
        <v>15603.67</v>
      </c>
      <c r="E423" s="7" t="n">
        <v>15611.57</v>
      </c>
      <c r="F423" s="7" t="n">
        <v>4272</v>
      </c>
      <c r="G423" s="7" t="n">
        <f aca="false">AVERAGE(E419:E423)</f>
        <v>15502.128</v>
      </c>
      <c r="H423" s="7" t="n">
        <f aca="false">AVERAGE(E414:E423)</f>
        <v>15357.657</v>
      </c>
      <c r="I423" s="7" t="n">
        <f aca="false">AVERAGE(E404:E423)</f>
        <v>15215.46</v>
      </c>
      <c r="J423" s="7" t="n">
        <f aca="false">AVERAGE(E374:E423)</f>
        <v>14957.9692</v>
      </c>
      <c r="K423" s="7" t="n">
        <f aca="false">AVERAGE(E324:E423)</f>
        <v>14350.2901</v>
      </c>
      <c r="L423" s="7" t="n">
        <f aca="false">AVERAGE(E224:E423)</f>
        <v>13646.61095</v>
      </c>
      <c r="M423" s="7" t="n">
        <f aca="false">I423</f>
        <v>15215.46</v>
      </c>
      <c r="N423" s="7" t="n">
        <f aca="false">I423+2*STDEV(E404:E423)</f>
        <v>15656.4581883242</v>
      </c>
      <c r="O423" s="7" t="n">
        <f aca="false">I423-2*STDEV(E404:E423)</f>
        <v>14774.4618116758</v>
      </c>
      <c r="P423" s="7" t="n">
        <f aca="false">MAX(E423-E422,0)</f>
        <v>29.0599999999995</v>
      </c>
      <c r="Q423" s="7" t="n">
        <f aca="false">MAX(E422-E423,0)</f>
        <v>0</v>
      </c>
      <c r="R423" s="7" t="n">
        <f aca="false">(R422*13+P423)/14</f>
        <v>59.3503370786176</v>
      </c>
      <c r="S423" s="7" t="n">
        <f aca="false">(S422*13+Q423)/14</f>
        <v>25.7179687424701</v>
      </c>
      <c r="T423" s="7" t="n">
        <f aca="false">IF(S423=0,100,100-100/(1+R423/S423))</f>
        <v>69.7678606688616</v>
      </c>
      <c r="U423" s="7" t="n">
        <f aca="false">E423*2/13+U422*11/13</f>
        <v>15365.8103558404</v>
      </c>
      <c r="V423" s="7" t="n">
        <f aca="false">E423*2/27+V422*25/27</f>
        <v>15185.8639950088</v>
      </c>
      <c r="W423" s="7" t="n">
        <f aca="false">U423-V423</f>
        <v>179.946360831635</v>
      </c>
      <c r="X423" s="7" t="n">
        <f aca="false">W423*2/10+X422*8/10</f>
        <v>144.002499329358</v>
      </c>
      <c r="Y423" s="7" t="n">
        <f aca="false">W423-X423</f>
        <v>35.9438615022762</v>
      </c>
      <c r="Z423" s="8" t="s">
        <v>42</v>
      </c>
      <c r="AA423" s="7" t="str">
        <f aca="false">IFERROR(INDEX(02_轉折點45!B:B,MATCH(A423,02_轉折點45!A:A,0)),"")</f>
        <v/>
      </c>
      <c r="AB423" s="7" t="n">
        <f aca="false">COUNTIFS(05_訊號明細!A:A,A423,05_訊號明細!C:C,"TOP")</f>
        <v>0</v>
      </c>
      <c r="AC423" s="7" t="n">
        <f aca="false">COUNTIFS(05_訊號明細!A:A,A423,05_訊號明細!C:C,"BOTTOM")</f>
        <v>0</v>
      </c>
    </row>
    <row r="424" customFormat="false" ht="15" hidden="false" customHeight="false" outlineLevel="0" collapsed="false">
      <c r="A424" s="7" t="s">
        <v>465</v>
      </c>
      <c r="B424" s="7" t="n">
        <v>15656.28</v>
      </c>
      <c r="C424" s="7" t="n">
        <v>15681.76</v>
      </c>
      <c r="D424" s="7" t="n">
        <v>15554.29</v>
      </c>
      <c r="E424" s="7" t="n">
        <v>15604.25</v>
      </c>
      <c r="F424" s="7" t="n">
        <v>4051</v>
      </c>
      <c r="G424" s="7" t="n">
        <f aca="false">AVERAGE(E420:E424)</f>
        <v>15567.274</v>
      </c>
      <c r="H424" s="7" t="n">
        <f aca="false">AVERAGE(E415:E424)</f>
        <v>15424.688</v>
      </c>
      <c r="I424" s="7" t="n">
        <f aca="false">AVERAGE(E405:E424)</f>
        <v>15236.5905</v>
      </c>
      <c r="J424" s="7" t="n">
        <f aca="false">AVERAGE(E375:E424)</f>
        <v>14984.5694</v>
      </c>
      <c r="K424" s="7" t="n">
        <f aca="false">AVERAGE(E325:E424)</f>
        <v>14366.4677</v>
      </c>
      <c r="L424" s="7" t="n">
        <f aca="false">AVERAGE(E225:E424)</f>
        <v>13664.5653</v>
      </c>
      <c r="M424" s="7" t="n">
        <f aca="false">I424</f>
        <v>15236.5905</v>
      </c>
      <c r="N424" s="7" t="n">
        <f aca="false">I424+2*STDEV(E405:E424)</f>
        <v>15710.068353891</v>
      </c>
      <c r="O424" s="7" t="n">
        <f aca="false">I424-2*STDEV(E405:E424)</f>
        <v>14763.112646109</v>
      </c>
      <c r="P424" s="7" t="n">
        <f aca="false">MAX(E424-E423,0)</f>
        <v>0</v>
      </c>
      <c r="Q424" s="7" t="n">
        <f aca="false">MAX(E423-E424,0)</f>
        <v>7.31999999999971</v>
      </c>
      <c r="R424" s="7" t="n">
        <f aca="false">(R423*13+P424)/14</f>
        <v>55.1110272872878</v>
      </c>
      <c r="S424" s="7" t="n">
        <f aca="false">(S423*13+Q424)/14</f>
        <v>24.403828118008</v>
      </c>
      <c r="T424" s="7" t="n">
        <f aca="false">IF(S424=0,100,100-100/(1+R424/S424))</f>
        <v>69.3090957738412</v>
      </c>
      <c r="U424" s="7" t="n">
        <f aca="false">E424*2/13+U423*11/13</f>
        <v>15402.4933780188</v>
      </c>
      <c r="V424" s="7" t="n">
        <f aca="false">E424*2/27+V423*25/27</f>
        <v>15216.855550934</v>
      </c>
      <c r="W424" s="7" t="n">
        <f aca="false">U424-V424</f>
        <v>185.637827084758</v>
      </c>
      <c r="X424" s="7" t="n">
        <f aca="false">W424*2/10+X423*8/10</f>
        <v>152.329564880438</v>
      </c>
      <c r="Y424" s="7" t="n">
        <f aca="false">W424-X424</f>
        <v>33.3082622043198</v>
      </c>
      <c r="Z424" s="8" t="s">
        <v>42</v>
      </c>
      <c r="AA424" s="7" t="str">
        <f aca="false">IFERROR(INDEX(02_轉折點45!B:B,MATCH(A424,02_轉折點45!A:A,0)),"")</f>
        <v/>
      </c>
      <c r="AB424" s="7" t="n">
        <f aca="false">COUNTIFS(05_訊號明細!A:A,A424,05_訊號明細!C:C,"TOP")</f>
        <v>0</v>
      </c>
      <c r="AC424" s="7" t="n">
        <f aca="false">COUNTIFS(05_訊號明細!A:A,A424,05_訊號明細!C:C,"BOTTOM")</f>
        <v>0</v>
      </c>
    </row>
    <row r="425" customFormat="false" ht="15" hidden="false" customHeight="false" outlineLevel="0" collapsed="false">
      <c r="A425" s="7" t="s">
        <v>466</v>
      </c>
      <c r="B425" s="7" t="n">
        <v>15578.96</v>
      </c>
      <c r="C425" s="7" t="n">
        <v>15668.12</v>
      </c>
      <c r="D425" s="7" t="n">
        <v>15554.97</v>
      </c>
      <c r="E425" s="7" t="n">
        <v>15652.86</v>
      </c>
      <c r="F425" s="7" t="n">
        <v>3707</v>
      </c>
      <c r="G425" s="7" t="n">
        <f aca="false">AVERAGE(E421:E425)</f>
        <v>15611.256</v>
      </c>
      <c r="H425" s="7" t="n">
        <f aca="false">AVERAGE(E416:E425)</f>
        <v>15480.717</v>
      </c>
      <c r="I425" s="7" t="n">
        <f aca="false">AVERAGE(E406:E425)</f>
        <v>15263.7655</v>
      </c>
      <c r="J425" s="7" t="n">
        <f aca="false">AVERAGE(E376:E425)</f>
        <v>15010.3074</v>
      </c>
      <c r="K425" s="7" t="n">
        <f aca="false">AVERAGE(E326:E425)</f>
        <v>14384.9572</v>
      </c>
      <c r="L425" s="7" t="n">
        <f aca="false">AVERAGE(E226:E425)</f>
        <v>13682.94215</v>
      </c>
      <c r="M425" s="7" t="n">
        <f aca="false">I425</f>
        <v>15263.7655</v>
      </c>
      <c r="N425" s="7" t="n">
        <f aca="false">I425+2*STDEV(E406:E425)</f>
        <v>15767.8925005183</v>
      </c>
      <c r="O425" s="7" t="n">
        <f aca="false">I425-2*STDEV(E406:E425)</f>
        <v>14759.6384994817</v>
      </c>
      <c r="P425" s="7" t="n">
        <f aca="false">MAX(E425-E424,0)</f>
        <v>48.6100000000006</v>
      </c>
      <c r="Q425" s="7" t="n">
        <f aca="false">MAX(E424-E425,0)</f>
        <v>0</v>
      </c>
      <c r="R425" s="7" t="n">
        <f aca="false">(R424*13+P425)/14</f>
        <v>54.6466681953387</v>
      </c>
      <c r="S425" s="7" t="n">
        <f aca="false">(S424*13+Q425)/14</f>
        <v>22.6606975381503</v>
      </c>
      <c r="T425" s="7" t="n">
        <f aca="false">IF(S425=0,100,100-100/(1+R425/S425))</f>
        <v>70.6875310998551</v>
      </c>
      <c r="U425" s="7" t="n">
        <f aca="false">E425*2/13+U424*11/13</f>
        <v>15441.0113198621</v>
      </c>
      <c r="V425" s="7" t="n">
        <f aca="false">E425*2/27+V424*25/27</f>
        <v>15249.1521767908</v>
      </c>
      <c r="W425" s="7" t="n">
        <f aca="false">U425-V425</f>
        <v>191.85914307128</v>
      </c>
      <c r="X425" s="7" t="n">
        <f aca="false">W425*2/10+X424*8/10</f>
        <v>160.235480518607</v>
      </c>
      <c r="Y425" s="7" t="n">
        <f aca="false">W425-X425</f>
        <v>31.6236625526737</v>
      </c>
      <c r="Z425" s="8" t="s">
        <v>42</v>
      </c>
      <c r="AA425" s="7" t="str">
        <f aca="false">IFERROR(INDEX(02_轉折點45!B:B,MATCH(A425,02_轉折點45!A:A,0)),"")</f>
        <v/>
      </c>
      <c r="AB425" s="7" t="n">
        <f aca="false">COUNTIFS(05_訊號明細!A:A,A425,05_訊號明細!C:C,"TOP")</f>
        <v>0</v>
      </c>
      <c r="AC425" s="7" t="n">
        <f aca="false">COUNTIFS(05_訊號明細!A:A,A425,05_訊號明細!C:C,"BOTTOM")</f>
        <v>0</v>
      </c>
    </row>
    <row r="426" customFormat="false" ht="15" hidden="false" customHeight="false" outlineLevel="0" collapsed="false">
      <c r="A426" s="7" t="s">
        <v>467</v>
      </c>
      <c r="B426" s="7" t="n">
        <v>15662.3</v>
      </c>
      <c r="C426" s="7" t="n">
        <v>15701.4</v>
      </c>
      <c r="D426" s="7" t="n">
        <v>15610.23</v>
      </c>
      <c r="E426" s="7" t="n">
        <v>15675.76</v>
      </c>
      <c r="F426" s="7" t="n">
        <v>4014</v>
      </c>
      <c r="G426" s="7" t="n">
        <f aca="false">AVERAGE(E422:E426)</f>
        <v>15625.39</v>
      </c>
      <c r="H426" s="7" t="n">
        <f aca="false">AVERAGE(E417:E426)</f>
        <v>15517.011</v>
      </c>
      <c r="I426" s="7" t="n">
        <f aca="false">AVERAGE(E407:E426)</f>
        <v>15290.898</v>
      </c>
      <c r="J426" s="7" t="n">
        <f aca="false">AVERAGE(E377:E426)</f>
        <v>15036.919</v>
      </c>
      <c r="K426" s="7" t="n">
        <f aca="false">AVERAGE(E327:E426)</f>
        <v>14401.4529</v>
      </c>
      <c r="L426" s="7" t="n">
        <f aca="false">AVERAGE(E227:E426)</f>
        <v>13701.8474</v>
      </c>
      <c r="M426" s="7" t="n">
        <f aca="false">I426</f>
        <v>15290.898</v>
      </c>
      <c r="N426" s="7" t="n">
        <f aca="false">I426+2*STDEV(E407:E426)</f>
        <v>15823.0494055071</v>
      </c>
      <c r="O426" s="7" t="n">
        <f aca="false">I426-2*STDEV(E407:E426)</f>
        <v>14758.7465944929</v>
      </c>
      <c r="P426" s="7" t="n">
        <f aca="false">MAX(E426-E425,0)</f>
        <v>22.8999999999996</v>
      </c>
      <c r="Q426" s="7" t="n">
        <f aca="false">MAX(E425-E426,0)</f>
        <v>0</v>
      </c>
      <c r="R426" s="7" t="n">
        <f aca="false">(R425*13+P426)/14</f>
        <v>52.3790490385288</v>
      </c>
      <c r="S426" s="7" t="n">
        <f aca="false">(S425*13+Q426)/14</f>
        <v>21.0420762854252</v>
      </c>
      <c r="T426" s="7" t="n">
        <f aca="false">IF(S426=0,100,100-100/(1+R426/S426))</f>
        <v>71.3405696349901</v>
      </c>
      <c r="U426" s="7" t="n">
        <f aca="false">E426*2/13+U425*11/13</f>
        <v>15477.1265014217</v>
      </c>
      <c r="V426" s="7" t="n">
        <f aca="false">E426*2/27+V425*25/27</f>
        <v>15280.7527562878</v>
      </c>
      <c r="W426" s="7" t="n">
        <f aca="false">U426-V426</f>
        <v>196.373745133984</v>
      </c>
      <c r="X426" s="7" t="n">
        <f aca="false">W426*2/10+X425*8/10</f>
        <v>167.463133441682</v>
      </c>
      <c r="Y426" s="7" t="n">
        <f aca="false">W426-X426</f>
        <v>28.9106116923017</v>
      </c>
      <c r="Z426" s="8" t="s">
        <v>42</v>
      </c>
      <c r="AA426" s="7" t="str">
        <f aca="false">IFERROR(INDEX(02_轉折點45!B:B,MATCH(A426,02_轉折點45!A:A,0)),"")</f>
        <v/>
      </c>
      <c r="AB426" s="7" t="n">
        <f aca="false">COUNTIFS(05_訊號明細!A:A,A426,05_訊號明細!C:C,"TOP")</f>
        <v>0</v>
      </c>
      <c r="AC426" s="7" t="n">
        <f aca="false">COUNTIFS(05_訊號明細!A:A,A426,05_訊號明細!C:C,"BOTTOM")</f>
        <v>0</v>
      </c>
    </row>
    <row r="427" customFormat="false" ht="15" hidden="false" customHeight="false" outlineLevel="0" collapsed="false">
      <c r="A427" s="7" t="s">
        <v>468</v>
      </c>
      <c r="B427" s="7" t="n">
        <v>15669.01</v>
      </c>
      <c r="C427" s="7" t="n">
        <v>15669.01</v>
      </c>
      <c r="D427" s="7" t="n">
        <v>15528.45</v>
      </c>
      <c r="E427" s="7" t="n">
        <v>15620.85</v>
      </c>
      <c r="F427" s="7" t="n">
        <v>4132</v>
      </c>
      <c r="G427" s="7" t="n">
        <f aca="false">AVERAGE(E423:E427)</f>
        <v>15633.058</v>
      </c>
      <c r="H427" s="7" t="n">
        <f aca="false">AVERAGE(E418:E427)</f>
        <v>15543.328</v>
      </c>
      <c r="I427" s="7" t="n">
        <f aca="false">AVERAGE(E408:E427)</f>
        <v>15319.2615</v>
      </c>
      <c r="J427" s="7" t="n">
        <f aca="false">AVERAGE(E378:E427)</f>
        <v>15058.8364</v>
      </c>
      <c r="K427" s="7" t="n">
        <f aca="false">AVERAGE(E328:E427)</f>
        <v>14417.2423</v>
      </c>
      <c r="L427" s="7" t="n">
        <f aca="false">AVERAGE(E228:E427)</f>
        <v>13720.0245</v>
      </c>
      <c r="M427" s="7" t="n">
        <f aca="false">I427</f>
        <v>15319.2615</v>
      </c>
      <c r="N427" s="7" t="n">
        <f aca="false">I427+2*STDEV(E408:E427)</f>
        <v>15858.576472682</v>
      </c>
      <c r="O427" s="7" t="n">
        <f aca="false">I427-2*STDEV(E408:E427)</f>
        <v>14779.946527318</v>
      </c>
      <c r="P427" s="7" t="n">
        <f aca="false">MAX(E427-E426,0)</f>
        <v>0</v>
      </c>
      <c r="Q427" s="7" t="n">
        <f aca="false">MAX(E426-E427,0)</f>
        <v>54.9099999999999</v>
      </c>
      <c r="R427" s="7" t="n">
        <f aca="false">(R426*13+P427)/14</f>
        <v>48.6376883929196</v>
      </c>
      <c r="S427" s="7" t="n">
        <f aca="false">(S426*13+Q427)/14</f>
        <v>23.4612136936091</v>
      </c>
      <c r="T427" s="7" t="n">
        <f aca="false">IF(S427=0,100,100-100/(1+R427/S427))</f>
        <v>67.4596796696676</v>
      </c>
      <c r="U427" s="7" t="n">
        <f aca="false">E427*2/13+U426*11/13</f>
        <v>15499.2378088953</v>
      </c>
      <c r="V427" s="7" t="n">
        <f aca="false">E427*2/27+V426*25/27</f>
        <v>15305.9451447109</v>
      </c>
      <c r="W427" s="7" t="n">
        <f aca="false">U427-V427</f>
        <v>193.292664184433</v>
      </c>
      <c r="X427" s="7" t="n">
        <f aca="false">W427*2/10+X426*8/10</f>
        <v>172.629039590232</v>
      </c>
      <c r="Y427" s="7" t="n">
        <f aca="false">W427-X427</f>
        <v>20.6636245942009</v>
      </c>
      <c r="Z427" s="8" t="s">
        <v>42</v>
      </c>
      <c r="AA427" s="7" t="str">
        <f aca="false">IFERROR(INDEX(02_轉折點45!B:B,MATCH(A427,02_轉折點45!A:A,0)),"")</f>
        <v/>
      </c>
      <c r="AB427" s="7" t="n">
        <f aca="false">COUNTIFS(05_訊號明細!A:A,A427,05_訊號明細!C:C,"TOP")</f>
        <v>0</v>
      </c>
      <c r="AC427" s="7" t="n">
        <f aca="false">COUNTIFS(05_訊號明細!A:A,A427,05_訊號明細!C:C,"BOTTOM")</f>
        <v>0</v>
      </c>
    </row>
    <row r="428" customFormat="false" ht="15" hidden="false" customHeight="false" outlineLevel="0" collapsed="false">
      <c r="A428" s="7" t="s">
        <v>469</v>
      </c>
      <c r="B428" s="7" t="n">
        <v>15639.44</v>
      </c>
      <c r="C428" s="7" t="n">
        <v>15675.46</v>
      </c>
      <c r="D428" s="7" t="n">
        <v>15556.74</v>
      </c>
      <c r="E428" s="7" t="n">
        <v>15561.05</v>
      </c>
      <c r="F428" s="7" t="n">
        <v>4031</v>
      </c>
      <c r="G428" s="7" t="n">
        <f aca="false">AVERAGE(E424:E428)</f>
        <v>15622.954</v>
      </c>
      <c r="H428" s="7" t="n">
        <f aca="false">AVERAGE(E419:E428)</f>
        <v>15562.541</v>
      </c>
      <c r="I428" s="7" t="n">
        <f aca="false">AVERAGE(E409:E428)</f>
        <v>15345.926</v>
      </c>
      <c r="J428" s="7" t="n">
        <f aca="false">AVERAGE(E379:E428)</f>
        <v>15078.6024</v>
      </c>
      <c r="K428" s="7" t="n">
        <f aca="false">AVERAGE(E329:E428)</f>
        <v>14433.7761</v>
      </c>
      <c r="L428" s="7" t="n">
        <f aca="false">AVERAGE(E229:E428)</f>
        <v>13738.29755</v>
      </c>
      <c r="M428" s="7" t="n">
        <f aca="false">I428</f>
        <v>15345.926</v>
      </c>
      <c r="N428" s="7" t="n">
        <f aca="false">I428+2*STDEV(E409:E428)</f>
        <v>15877.2315780226</v>
      </c>
      <c r="O428" s="7" t="n">
        <f aca="false">I428-2*STDEV(E409:E428)</f>
        <v>14814.6204219774</v>
      </c>
      <c r="P428" s="7" t="n">
        <f aca="false">MAX(E428-E427,0)</f>
        <v>0</v>
      </c>
      <c r="Q428" s="7" t="n">
        <f aca="false">MAX(E427-E428,0)</f>
        <v>59.8000000000011</v>
      </c>
      <c r="R428" s="7" t="n">
        <f aca="false">(R427*13+P428)/14</f>
        <v>45.1635677934253</v>
      </c>
      <c r="S428" s="7" t="n">
        <f aca="false">(S427*13+Q428)/14</f>
        <v>26.0568412869228</v>
      </c>
      <c r="T428" s="7" t="n">
        <f aca="false">IF(S428=0,100,100-100/(1+R428/S428))</f>
        <v>63.4138000281261</v>
      </c>
      <c r="U428" s="7" t="n">
        <f aca="false">E428*2/13+U427*11/13</f>
        <v>15508.7473767576</v>
      </c>
      <c r="V428" s="7" t="n">
        <f aca="false">E428*2/27+V427*25/27</f>
        <v>15324.8418006582</v>
      </c>
      <c r="W428" s="7" t="n">
        <f aca="false">U428-V428</f>
        <v>183.905576099351</v>
      </c>
      <c r="X428" s="7" t="n">
        <f aca="false">W428*2/10+X427*8/10</f>
        <v>174.884346892056</v>
      </c>
      <c r="Y428" s="7" t="n">
        <f aca="false">W428-X428</f>
        <v>9.02122920729454</v>
      </c>
      <c r="Z428" s="8" t="s">
        <v>42</v>
      </c>
      <c r="AA428" s="7" t="str">
        <f aca="false">IFERROR(INDEX(02_轉折點45!B:B,MATCH(A428,02_轉折點45!A:A,0)),"")</f>
        <v/>
      </c>
      <c r="AB428" s="7" t="n">
        <f aca="false">COUNTIFS(05_訊號明細!A:A,A428,05_訊號明細!C:C,"TOP")</f>
        <v>0</v>
      </c>
      <c r="AC428" s="7" t="n">
        <f aca="false">COUNTIFS(05_訊號明細!A:A,A428,05_訊號明細!C:C,"BOTTOM")</f>
        <v>0</v>
      </c>
    </row>
    <row r="429" customFormat="false" ht="15" hidden="false" customHeight="false" outlineLevel="0" collapsed="false">
      <c r="A429" s="7" t="s">
        <v>470</v>
      </c>
      <c r="B429" s="7" t="n">
        <v>15648.05</v>
      </c>
      <c r="C429" s="7" t="n">
        <v>15673.5</v>
      </c>
      <c r="D429" s="7" t="n">
        <v>15433.43</v>
      </c>
      <c r="E429" s="7" t="n">
        <v>15440.75</v>
      </c>
      <c r="F429" s="7" t="n">
        <v>4587</v>
      </c>
      <c r="G429" s="7" t="n">
        <f aca="false">AVERAGE(E425:E429)</f>
        <v>15590.254</v>
      </c>
      <c r="H429" s="7" t="n">
        <f aca="false">AVERAGE(E420:E429)</f>
        <v>15578.764</v>
      </c>
      <c r="I429" s="7" t="n">
        <f aca="false">AVERAGE(E410:E429)</f>
        <v>15363.5145</v>
      </c>
      <c r="J429" s="7" t="n">
        <f aca="false">AVERAGE(E380:E429)</f>
        <v>15096.3214</v>
      </c>
      <c r="K429" s="7" t="n">
        <f aca="false">AVERAGE(E330:E429)</f>
        <v>14450.0906</v>
      </c>
      <c r="L429" s="7" t="n">
        <f aca="false">AVERAGE(E230:E429)</f>
        <v>13755.9716</v>
      </c>
      <c r="M429" s="7" t="n">
        <f aca="false">I429</f>
        <v>15363.5145</v>
      </c>
      <c r="N429" s="7" t="n">
        <f aca="false">I429+2*STDEV(E410:E429)</f>
        <v>15882.1442572592</v>
      </c>
      <c r="O429" s="7" t="n">
        <f aca="false">I429-2*STDEV(E410:E429)</f>
        <v>14844.8847427408</v>
      </c>
      <c r="P429" s="7" t="n">
        <f aca="false">MAX(E429-E428,0)</f>
        <v>0</v>
      </c>
      <c r="Q429" s="7" t="n">
        <f aca="false">MAX(E428-E429,0)</f>
        <v>120.299999999999</v>
      </c>
      <c r="R429" s="7" t="n">
        <f aca="false">(R428*13+P429)/14</f>
        <v>41.9375986653235</v>
      </c>
      <c r="S429" s="7" t="n">
        <f aca="false">(S428*13+Q429)/14</f>
        <v>32.788495480714</v>
      </c>
      <c r="T429" s="7" t="n">
        <f aca="false">IF(S429=0,100,100-100/(1+R429/S429))</f>
        <v>56.1217592657321</v>
      </c>
      <c r="U429" s="7" t="n">
        <f aca="false">E429*2/13+U428*11/13</f>
        <v>15498.2862418718</v>
      </c>
      <c r="V429" s="7" t="n">
        <f aca="false">E429*2/27+V428*25/27</f>
        <v>15333.4275932021</v>
      </c>
      <c r="W429" s="7" t="n">
        <f aca="false">U429-V429</f>
        <v>164.858648669735</v>
      </c>
      <c r="X429" s="7" t="n">
        <f aca="false">W429*2/10+X428*8/10</f>
        <v>172.879207247592</v>
      </c>
      <c r="Y429" s="7" t="n">
        <f aca="false">W429-X429</f>
        <v>-8.02055857785686</v>
      </c>
      <c r="Z429" s="8" t="s">
        <v>42</v>
      </c>
      <c r="AA429" s="7" t="str">
        <f aca="false">IFERROR(INDEX(02_轉折點45!B:B,MATCH(A429,02_轉折點45!A:A,0)),"")</f>
        <v/>
      </c>
      <c r="AB429" s="7" t="n">
        <f aca="false">COUNTIFS(05_訊號明細!A:A,A429,05_訊號明細!C:C,"TOP")</f>
        <v>1</v>
      </c>
      <c r="AC429" s="7" t="n">
        <f aca="false">COUNTIFS(05_訊號明細!A:A,A429,05_訊號明細!C:C,"BOTTOM")</f>
        <v>0</v>
      </c>
    </row>
    <row r="430" customFormat="false" ht="15" hidden="false" customHeight="false" outlineLevel="0" collapsed="false">
      <c r="A430" s="7" t="s">
        <v>471</v>
      </c>
      <c r="B430" s="7" t="n">
        <v>15545.66</v>
      </c>
      <c r="C430" s="7" t="n">
        <v>15562.28</v>
      </c>
      <c r="D430" s="7" t="n">
        <v>15351.7</v>
      </c>
      <c r="E430" s="7" t="n">
        <v>15434.5</v>
      </c>
      <c r="F430" s="7" t="n">
        <v>4723</v>
      </c>
      <c r="G430" s="7" t="n">
        <f aca="false">AVERAGE(E426:E430)</f>
        <v>15546.582</v>
      </c>
      <c r="H430" s="7" t="n">
        <f aca="false">AVERAGE(E421:E430)</f>
        <v>15578.919</v>
      </c>
      <c r="I430" s="7" t="n">
        <f aca="false">AVERAGE(E411:E430)</f>
        <v>15378.4055</v>
      </c>
      <c r="J430" s="7" t="n">
        <f aca="false">AVERAGE(E381:E430)</f>
        <v>15113.8104</v>
      </c>
      <c r="K430" s="7" t="n">
        <f aca="false">AVERAGE(E331:E430)</f>
        <v>14465.0841</v>
      </c>
      <c r="L430" s="7" t="n">
        <f aca="false">AVERAGE(E231:E430)</f>
        <v>13772.74505</v>
      </c>
      <c r="M430" s="7" t="n">
        <f aca="false">I430</f>
        <v>15378.4055</v>
      </c>
      <c r="N430" s="7" t="n">
        <f aca="false">I430+2*STDEV(E411:E430)</f>
        <v>15886.6097963623</v>
      </c>
      <c r="O430" s="7" t="n">
        <f aca="false">I430-2*STDEV(E411:E430)</f>
        <v>14870.2012036377</v>
      </c>
      <c r="P430" s="7" t="n">
        <f aca="false">MAX(E430-E429,0)</f>
        <v>0</v>
      </c>
      <c r="Q430" s="7" t="n">
        <f aca="false">MAX(E429-E430,0)</f>
        <v>6.25</v>
      </c>
      <c r="R430" s="7" t="n">
        <f aca="false">(R429*13+P430)/14</f>
        <v>38.9420559035147</v>
      </c>
      <c r="S430" s="7" t="n">
        <f aca="false">(S429*13+Q430)/14</f>
        <v>30.892888660663</v>
      </c>
      <c r="T430" s="7" t="n">
        <f aca="false">IF(S430=0,100,100-100/(1+R430/S430))</f>
        <v>55.7629939374081</v>
      </c>
      <c r="U430" s="7" t="n">
        <f aca="false">E430*2/13+U429*11/13</f>
        <v>15488.4729738915</v>
      </c>
      <c r="V430" s="7" t="n">
        <f aca="false">E430*2/27+V429*25/27</f>
        <v>15340.9144381501</v>
      </c>
      <c r="W430" s="7" t="n">
        <f aca="false">U430-V430</f>
        <v>147.558535741462</v>
      </c>
      <c r="X430" s="7" t="n">
        <f aca="false">W430*2/10+X429*8/10</f>
        <v>167.815072946366</v>
      </c>
      <c r="Y430" s="7" t="n">
        <f aca="false">W430-X430</f>
        <v>-20.2565372049038</v>
      </c>
      <c r="Z430" s="8" t="s">
        <v>42</v>
      </c>
      <c r="AA430" s="7" t="str">
        <f aca="false">IFERROR(INDEX(02_轉折點45!B:B,MATCH(A430,02_轉折點45!A:A,0)),"")</f>
        <v/>
      </c>
      <c r="AB430" s="7" t="n">
        <f aca="false">COUNTIFS(05_訊號明細!A:A,A430,05_訊號明細!C:C,"TOP")</f>
        <v>1</v>
      </c>
      <c r="AC430" s="7" t="n">
        <f aca="false">COUNTIFS(05_訊號明細!A:A,A430,05_訊號明細!C:C,"BOTTOM")</f>
        <v>0</v>
      </c>
    </row>
    <row r="431" customFormat="false" ht="15" hidden="false" customHeight="false" outlineLevel="0" collapsed="false">
      <c r="A431" s="7" t="s">
        <v>472</v>
      </c>
      <c r="B431" s="7" t="n">
        <v>15505.78</v>
      </c>
      <c r="C431" s="7" t="n">
        <v>15525.97</v>
      </c>
      <c r="D431" s="7" t="n">
        <v>15352.06</v>
      </c>
      <c r="E431" s="7" t="n">
        <v>15382.9</v>
      </c>
      <c r="F431" s="7" t="n">
        <v>4593</v>
      </c>
      <c r="G431" s="7" t="n">
        <f aca="false">AVERAGE(E427:E431)</f>
        <v>15488.01</v>
      </c>
      <c r="H431" s="7" t="n">
        <f aca="false">AVERAGE(E422:E431)</f>
        <v>15556.7</v>
      </c>
      <c r="I431" s="7" t="n">
        <f aca="false">AVERAGE(E412:E431)</f>
        <v>15390.512</v>
      </c>
      <c r="J431" s="7" t="n">
        <f aca="false">AVERAGE(E382:E431)</f>
        <v>15126.9158</v>
      </c>
      <c r="K431" s="7" t="n">
        <f aca="false">AVERAGE(E332:E431)</f>
        <v>14481.2895</v>
      </c>
      <c r="L431" s="7" t="n">
        <f aca="false">AVERAGE(E232:E431)</f>
        <v>13788.89845</v>
      </c>
      <c r="M431" s="7" t="n">
        <f aca="false">I431</f>
        <v>15390.512</v>
      </c>
      <c r="N431" s="7" t="n">
        <f aca="false">I431+2*STDEV(E412:E431)</f>
        <v>15886.2641357164</v>
      </c>
      <c r="O431" s="7" t="n">
        <f aca="false">I431-2*STDEV(E412:E431)</f>
        <v>14894.7598642836</v>
      </c>
      <c r="P431" s="7" t="n">
        <f aca="false">MAX(E431-E430,0)</f>
        <v>0</v>
      </c>
      <c r="Q431" s="7" t="n">
        <f aca="false">MAX(E430-E431,0)</f>
        <v>51.6000000000004</v>
      </c>
      <c r="R431" s="7" t="n">
        <f aca="false">(R430*13+P431)/14</f>
        <v>36.1604804818351</v>
      </c>
      <c r="S431" s="7" t="n">
        <f aca="false">(S430*13+Q431)/14</f>
        <v>32.3719680420443</v>
      </c>
      <c r="T431" s="7" t="n">
        <f aca="false">IF(S431=0,100,100-100/(1+R431/S431))</f>
        <v>52.7640282241417</v>
      </c>
      <c r="U431" s="7" t="n">
        <f aca="false">E431*2/13+U430*11/13</f>
        <v>15472.2309779082</v>
      </c>
      <c r="V431" s="7" t="n">
        <f aca="false">E431*2/27+V430*25/27</f>
        <v>15344.0244797686</v>
      </c>
      <c r="W431" s="7" t="n">
        <f aca="false">U431-V431</f>
        <v>128.206498139636</v>
      </c>
      <c r="X431" s="7" t="n">
        <f aca="false">W431*2/10+X430*8/10</f>
        <v>159.89335798502</v>
      </c>
      <c r="Y431" s="7" t="n">
        <f aca="false">W431-X431</f>
        <v>-31.6868598453838</v>
      </c>
      <c r="Z431" s="8" t="s">
        <v>42</v>
      </c>
      <c r="AA431" s="7" t="str">
        <f aca="false">IFERROR(INDEX(02_轉折點45!B:B,MATCH(A431,02_轉折點45!A:A,0)),"")</f>
        <v/>
      </c>
      <c r="AB431" s="7" t="n">
        <f aca="false">COUNTIFS(05_訊號明細!A:A,A431,05_訊號明細!C:C,"TOP")</f>
        <v>0</v>
      </c>
      <c r="AC431" s="7" t="n">
        <f aca="false">COUNTIFS(05_訊號明細!A:A,A431,05_訊號明細!C:C,"BOTTOM")</f>
        <v>0</v>
      </c>
    </row>
    <row r="432" customFormat="false" ht="15" hidden="false" customHeight="false" outlineLevel="0" collapsed="false">
      <c r="A432" s="7" t="s">
        <v>473</v>
      </c>
      <c r="B432" s="7" t="n">
        <v>15419.95</v>
      </c>
      <c r="C432" s="7" t="n">
        <v>15518.95</v>
      </c>
      <c r="D432" s="7" t="n">
        <v>15316.4</v>
      </c>
      <c r="E432" s="7" t="n">
        <v>15503.53</v>
      </c>
      <c r="F432" s="7" t="n">
        <v>4465</v>
      </c>
      <c r="G432" s="7" t="n">
        <f aca="false">AVERAGE(E428:E432)</f>
        <v>15464.546</v>
      </c>
      <c r="H432" s="7" t="n">
        <f aca="false">AVERAGE(E423:E432)</f>
        <v>15548.802</v>
      </c>
      <c r="I432" s="7" t="n">
        <f aca="false">AVERAGE(E413:E432)</f>
        <v>15415.547</v>
      </c>
      <c r="J432" s="7" t="n">
        <f aca="false">AVERAGE(E383:E432)</f>
        <v>15141.2592</v>
      </c>
      <c r="K432" s="7" t="n">
        <f aca="false">AVERAGE(E333:E432)</f>
        <v>14496.9104</v>
      </c>
      <c r="L432" s="7" t="n">
        <f aca="false">AVERAGE(E233:E432)</f>
        <v>13805.12505</v>
      </c>
      <c r="M432" s="7" t="n">
        <f aca="false">I432</f>
        <v>15415.547</v>
      </c>
      <c r="N432" s="7" t="n">
        <f aca="false">I432+2*STDEV(E413:E432)</f>
        <v>15878.3415016323</v>
      </c>
      <c r="O432" s="7" t="n">
        <f aca="false">I432-2*STDEV(E413:E432)</f>
        <v>14952.7524983677</v>
      </c>
      <c r="P432" s="7" t="n">
        <f aca="false">MAX(E432-E431,0)</f>
        <v>120.630000000001</v>
      </c>
      <c r="Q432" s="7" t="n">
        <f aca="false">MAX(E431-E432,0)</f>
        <v>0</v>
      </c>
      <c r="R432" s="7" t="n">
        <f aca="false">(R431*13+P432)/14</f>
        <v>42.1940175902755</v>
      </c>
      <c r="S432" s="7" t="n">
        <f aca="false">(S431*13+Q432)/14</f>
        <v>30.0596846104697</v>
      </c>
      <c r="T432" s="7" t="n">
        <f aca="false">IF(S432=0,100,100-100/(1+R432/S432))</f>
        <v>58.3970319929715</v>
      </c>
      <c r="U432" s="7" t="n">
        <f aca="false">E432*2/13+U431*11/13</f>
        <v>15477.0462120762</v>
      </c>
      <c r="V432" s="7" t="n">
        <f aca="false">E432*2/27+V431*25/27</f>
        <v>15355.8397034894</v>
      </c>
      <c r="W432" s="7" t="n">
        <f aca="false">U432-V432</f>
        <v>121.206508586758</v>
      </c>
      <c r="X432" s="7" t="n">
        <f aca="false">W432*2/10+X431*8/10</f>
        <v>152.155988105368</v>
      </c>
      <c r="Y432" s="7" t="n">
        <f aca="false">W432-X432</f>
        <v>-30.9494795186095</v>
      </c>
      <c r="Z432" s="8" t="s">
        <v>42</v>
      </c>
      <c r="AA432" s="7" t="str">
        <f aca="false">IFERROR(INDEX(02_轉折點45!B:B,MATCH(A432,02_轉折點45!A:A,0)),"")</f>
        <v/>
      </c>
      <c r="AB432" s="7" t="n">
        <f aca="false">COUNTIFS(05_訊號明細!A:A,A432,05_訊號明細!C:C,"TOP")</f>
        <v>0</v>
      </c>
      <c r="AC432" s="7" t="n">
        <f aca="false">COUNTIFS(05_訊號明細!A:A,A432,05_訊號明細!C:C,"BOTTOM")</f>
        <v>0</v>
      </c>
    </row>
    <row r="433" customFormat="false" ht="15" hidden="false" customHeight="false" outlineLevel="0" collapsed="false">
      <c r="A433" s="7" t="s">
        <v>474</v>
      </c>
      <c r="B433" s="7" t="n">
        <v>15452.67</v>
      </c>
      <c r="C433" s="7" t="n">
        <v>15539.14</v>
      </c>
      <c r="D433" s="7" t="n">
        <v>15370.88</v>
      </c>
      <c r="E433" s="7" t="n">
        <v>15515.91</v>
      </c>
      <c r="F433" s="7" t="n">
        <v>3702</v>
      </c>
      <c r="G433" s="7" t="n">
        <f aca="false">AVERAGE(E429:E433)</f>
        <v>15455.518</v>
      </c>
      <c r="H433" s="7" t="n">
        <f aca="false">AVERAGE(E424:E433)</f>
        <v>15539.236</v>
      </c>
      <c r="I433" s="7" t="n">
        <f aca="false">AVERAGE(E414:E433)</f>
        <v>15448.4465</v>
      </c>
      <c r="J433" s="7" t="n">
        <f aca="false">AVERAGE(E384:E433)</f>
        <v>15155.3666</v>
      </c>
      <c r="K433" s="7" t="n">
        <f aca="false">AVERAGE(E334:E433)</f>
        <v>14511.8079</v>
      </c>
      <c r="L433" s="7" t="n">
        <f aca="false">AVERAGE(E234:E433)</f>
        <v>13821.363</v>
      </c>
      <c r="M433" s="7" t="n">
        <f aca="false">I433</f>
        <v>15448.4465</v>
      </c>
      <c r="N433" s="7" t="n">
        <f aca="false">I433+2*STDEV(E414:E433)</f>
        <v>15830.9111897097</v>
      </c>
      <c r="O433" s="7" t="n">
        <f aca="false">I433-2*STDEV(E414:E433)</f>
        <v>15065.9818102903</v>
      </c>
      <c r="P433" s="7" t="n">
        <f aca="false">MAX(E433-E432,0)</f>
        <v>12.3799999999992</v>
      </c>
      <c r="Q433" s="7" t="n">
        <f aca="false">MAX(E432-E433,0)</f>
        <v>0</v>
      </c>
      <c r="R433" s="7" t="n">
        <f aca="false">(R432*13+P433)/14</f>
        <v>40.0644449052558</v>
      </c>
      <c r="S433" s="7" t="n">
        <f aca="false">(S432*13+Q433)/14</f>
        <v>27.9125642811504</v>
      </c>
      <c r="T433" s="7" t="n">
        <f aca="false">IF(S433=0,100,100-100/(1+R433/S433))</f>
        <v>58.9382283580486</v>
      </c>
      <c r="U433" s="7" t="n">
        <f aca="false">E433*2/13+U432*11/13</f>
        <v>15483.0252563722</v>
      </c>
      <c r="V433" s="7" t="n">
        <f aca="false">E433*2/27+V432*25/27</f>
        <v>15367.6967624902</v>
      </c>
      <c r="W433" s="7" t="n">
        <f aca="false">U433-V433</f>
        <v>115.328493881951</v>
      </c>
      <c r="X433" s="7" t="n">
        <f aca="false">W433*2/10+X432*8/10</f>
        <v>144.790489260684</v>
      </c>
      <c r="Y433" s="7" t="n">
        <f aca="false">W433-X433</f>
        <v>-29.4619953787335</v>
      </c>
      <c r="Z433" s="8" t="s">
        <v>42</v>
      </c>
      <c r="AA433" s="7" t="str">
        <f aca="false">IFERROR(INDEX(02_轉折點45!B:B,MATCH(A433,02_轉折點45!A:A,0)),"")</f>
        <v/>
      </c>
      <c r="AB433" s="7" t="n">
        <f aca="false">COUNTIFS(05_訊號明細!A:A,A433,05_訊號明細!C:C,"TOP")</f>
        <v>0</v>
      </c>
      <c r="AC433" s="7" t="n">
        <f aca="false">COUNTIFS(05_訊號明細!A:A,A433,05_訊號明細!C:C,"BOTTOM")</f>
        <v>0</v>
      </c>
    </row>
    <row r="434" customFormat="false" ht="15" hidden="false" customHeight="false" outlineLevel="0" collapsed="false">
      <c r="A434" s="7" t="s">
        <v>475</v>
      </c>
      <c r="B434" s="7" t="n">
        <v>15481.43</v>
      </c>
      <c r="C434" s="7" t="n">
        <v>15485.21</v>
      </c>
      <c r="D434" s="7" t="n">
        <v>15291.04</v>
      </c>
      <c r="E434" s="7" t="n">
        <v>15333.47</v>
      </c>
      <c r="F434" s="7" t="n">
        <v>6710</v>
      </c>
      <c r="G434" s="7" t="n">
        <f aca="false">AVERAGE(E430:E434)</f>
        <v>15434.062</v>
      </c>
      <c r="H434" s="7" t="n">
        <f aca="false">AVERAGE(E425:E434)</f>
        <v>15512.158</v>
      </c>
      <c r="I434" s="7" t="n">
        <f aca="false">AVERAGE(E415:E434)</f>
        <v>15468.423</v>
      </c>
      <c r="J434" s="7" t="n">
        <f aca="false">AVERAGE(E385:E434)</f>
        <v>15167.5932</v>
      </c>
      <c r="K434" s="7" t="n">
        <f aca="false">AVERAGE(E335:E434)</f>
        <v>14525.5398</v>
      </c>
      <c r="L434" s="7" t="n">
        <f aca="false">AVERAGE(E235:E434)</f>
        <v>13835.7537</v>
      </c>
      <c r="M434" s="7" t="n">
        <f aca="false">I434</f>
        <v>15468.423</v>
      </c>
      <c r="N434" s="7" t="n">
        <f aca="false">I434+2*STDEV(E415:E434)</f>
        <v>15771.1641020449</v>
      </c>
      <c r="O434" s="7" t="n">
        <f aca="false">I434-2*STDEV(E415:E434)</f>
        <v>15165.6818979551</v>
      </c>
      <c r="P434" s="7" t="n">
        <f aca="false">MAX(E434-E433,0)</f>
        <v>0</v>
      </c>
      <c r="Q434" s="7" t="n">
        <f aca="false">MAX(E433-E434,0)</f>
        <v>182.440000000001</v>
      </c>
      <c r="R434" s="7" t="n">
        <f aca="false">(R433*13+P434)/14</f>
        <v>37.2026988405946</v>
      </c>
      <c r="S434" s="7" t="n">
        <f aca="false">(S433*13+Q434)/14</f>
        <v>38.9502382610683</v>
      </c>
      <c r="T434" s="7" t="n">
        <f aca="false">IF(S434=0,100,100-100/(1+R434/S434))</f>
        <v>48.852611936595</v>
      </c>
      <c r="U434" s="7" t="n">
        <f aca="false">E434*2/13+U433*11/13</f>
        <v>15460.0167553918</v>
      </c>
      <c r="V434" s="7" t="n">
        <f aca="false">E434*2/27+V433*25/27</f>
        <v>15365.1614467502</v>
      </c>
      <c r="W434" s="7" t="n">
        <f aca="false">U434-V434</f>
        <v>94.8553086416341</v>
      </c>
      <c r="X434" s="7" t="n">
        <f aca="false">W434*2/10+X433*8/10</f>
        <v>134.803453136874</v>
      </c>
      <c r="Y434" s="7" t="n">
        <f aca="false">W434-X434</f>
        <v>-39.94814449524</v>
      </c>
      <c r="Z434" s="8" t="s">
        <v>42</v>
      </c>
      <c r="AA434" s="7" t="str">
        <f aca="false">IFERROR(INDEX(02_轉折點45!B:B,MATCH(A434,02_轉折點45!A:A,0)),"")</f>
        <v/>
      </c>
      <c r="AB434" s="7" t="n">
        <f aca="false">COUNTIFS(05_訊號明細!A:A,A434,05_訊號明細!C:C,"TOP")</f>
        <v>0</v>
      </c>
      <c r="AC434" s="7" t="n">
        <f aca="false">COUNTIFS(05_訊號明細!A:A,A434,05_訊號明細!C:C,"BOTTOM")</f>
        <v>0</v>
      </c>
    </row>
    <row r="435" customFormat="false" ht="15" hidden="false" customHeight="false" outlineLevel="0" collapsed="false">
      <c r="A435" s="7" t="s">
        <v>476</v>
      </c>
      <c r="B435" s="7" t="n">
        <v>15068.65</v>
      </c>
      <c r="C435" s="7" t="n">
        <v>15157.26</v>
      </c>
      <c r="D435" s="7" t="n">
        <v>14821.03</v>
      </c>
      <c r="E435" s="7" t="n">
        <v>15012.19</v>
      </c>
      <c r="F435" s="7" t="n">
        <v>4879</v>
      </c>
      <c r="G435" s="7" t="n">
        <f aca="false">AVERAGE(E431:E435)</f>
        <v>15349.6</v>
      </c>
      <c r="H435" s="7" t="n">
        <f aca="false">AVERAGE(E426:E435)</f>
        <v>15448.091</v>
      </c>
      <c r="I435" s="7" t="n">
        <f aca="false">AVERAGE(E416:E435)</f>
        <v>15464.404</v>
      </c>
      <c r="J435" s="7" t="n">
        <f aca="false">AVERAGE(E386:E435)</f>
        <v>15171.3152</v>
      </c>
      <c r="K435" s="7" t="n">
        <f aca="false">AVERAGE(E336:E435)</f>
        <v>14536.6455</v>
      </c>
      <c r="L435" s="7" t="n">
        <f aca="false">AVERAGE(E236:E435)</f>
        <v>13848.5326</v>
      </c>
      <c r="M435" s="7" t="n">
        <f aca="false">I435</f>
        <v>15464.404</v>
      </c>
      <c r="N435" s="7" t="n">
        <f aca="false">I435+2*STDEV(E416:E435)</f>
        <v>15789.4652431624</v>
      </c>
      <c r="O435" s="7" t="n">
        <f aca="false">I435-2*STDEV(E416:E435)</f>
        <v>15139.3427568376</v>
      </c>
      <c r="P435" s="7" t="n">
        <f aca="false">MAX(E435-E434,0)</f>
        <v>0</v>
      </c>
      <c r="Q435" s="7" t="n">
        <f aca="false">MAX(E434-E435,0)</f>
        <v>321.279999999999</v>
      </c>
      <c r="R435" s="7" t="n">
        <f aca="false">(R434*13+P435)/14</f>
        <v>34.5453632091236</v>
      </c>
      <c r="S435" s="7" t="n">
        <f aca="false">(S434*13+Q435)/14</f>
        <v>59.116649813849</v>
      </c>
      <c r="T435" s="7" t="n">
        <f aca="false">IF(S435=0,100,100-100/(1+R435/S435))</f>
        <v>36.8830031452032</v>
      </c>
      <c r="U435" s="7" t="n">
        <f aca="false">E435*2/13+U434*11/13</f>
        <v>15391.1203314854</v>
      </c>
      <c r="V435" s="7" t="n">
        <f aca="false">E435*2/27+V434*25/27</f>
        <v>15339.0154136576</v>
      </c>
      <c r="W435" s="7" t="n">
        <f aca="false">U435-V435</f>
        <v>52.1049178278063</v>
      </c>
      <c r="X435" s="7" t="n">
        <f aca="false">W435*2/10+X434*8/10</f>
        <v>118.263746075061</v>
      </c>
      <c r="Y435" s="7" t="n">
        <f aca="false">W435-X435</f>
        <v>-66.1588282472543</v>
      </c>
      <c r="Z435" s="7" t="s">
        <v>78</v>
      </c>
      <c r="AA435" s="7" t="str">
        <f aca="false">IFERROR(INDEX(02_轉折點45!B:B,MATCH(A435,02_轉折點45!A:A,0)),"")</f>
        <v/>
      </c>
      <c r="AB435" s="7" t="n">
        <f aca="false">COUNTIFS(05_訊號明細!A:A,A435,05_訊號明細!C:C,"TOP")</f>
        <v>6</v>
      </c>
      <c r="AC435" s="7" t="n">
        <f aca="false">COUNTIFS(05_訊號明細!A:A,A435,05_訊號明細!C:C,"BOTTOM")</f>
        <v>0</v>
      </c>
    </row>
    <row r="436" customFormat="false" ht="15" hidden="false" customHeight="false" outlineLevel="0" collapsed="false">
      <c r="A436" s="7" t="s">
        <v>477</v>
      </c>
      <c r="B436" s="7" t="n">
        <v>15096.97</v>
      </c>
      <c r="C436" s="7" t="n">
        <v>15139.9</v>
      </c>
      <c r="D436" s="7" t="n">
        <v>14986.98</v>
      </c>
      <c r="E436" s="7" t="n">
        <v>15027.77</v>
      </c>
      <c r="F436" s="7" t="n">
        <v>4083</v>
      </c>
      <c r="G436" s="7" t="n">
        <f aca="false">AVERAGE(E432:E436)</f>
        <v>15278.574</v>
      </c>
      <c r="H436" s="7" t="n">
        <f aca="false">AVERAGE(E427:E436)</f>
        <v>15383.292</v>
      </c>
      <c r="I436" s="7" t="n">
        <f aca="false">AVERAGE(E417:E436)</f>
        <v>15450.1515</v>
      </c>
      <c r="J436" s="7" t="n">
        <f aca="false">AVERAGE(E387:E436)</f>
        <v>15174.3128</v>
      </c>
      <c r="K436" s="7" t="n">
        <f aca="false">AVERAGE(E337:E436)</f>
        <v>14547.2212</v>
      </c>
      <c r="L436" s="7" t="n">
        <f aca="false">AVERAGE(E237:E436)</f>
        <v>13861.3358</v>
      </c>
      <c r="M436" s="7" t="n">
        <f aca="false">I436</f>
        <v>15450.1515</v>
      </c>
      <c r="N436" s="7" t="n">
        <f aca="false">I436+2*STDEV(E417:E436)</f>
        <v>15824.4625785809</v>
      </c>
      <c r="O436" s="7" t="n">
        <f aca="false">I436-2*STDEV(E417:E436)</f>
        <v>15075.8404214191</v>
      </c>
      <c r="P436" s="7" t="n">
        <f aca="false">MAX(E436-E435,0)</f>
        <v>15.5799999999999</v>
      </c>
      <c r="Q436" s="7" t="n">
        <f aca="false">MAX(E435-E436,0)</f>
        <v>0</v>
      </c>
      <c r="R436" s="7" t="n">
        <f aca="false">(R435*13+P436)/14</f>
        <v>33.1906944084719</v>
      </c>
      <c r="S436" s="7" t="n">
        <f aca="false">(S435*13+Q436)/14</f>
        <v>54.8940319700027</v>
      </c>
      <c r="T436" s="7" t="n">
        <f aca="false">IF(S436=0,100,100-100/(1+R436/S436))</f>
        <v>37.6804194927746</v>
      </c>
      <c r="U436" s="7" t="n">
        <f aca="false">E436*2/13+U435*11/13</f>
        <v>15335.2202804876</v>
      </c>
      <c r="V436" s="7" t="n">
        <f aca="false">E436*2/27+V435*25/27</f>
        <v>15315.9601978311</v>
      </c>
      <c r="W436" s="7" t="n">
        <f aca="false">U436-V436</f>
        <v>19.2600826565431</v>
      </c>
      <c r="X436" s="7" t="n">
        <f aca="false">W436*2/10+X435*8/10</f>
        <v>98.4630133913571</v>
      </c>
      <c r="Y436" s="7" t="n">
        <f aca="false">W436-X436</f>
        <v>-79.202930734814</v>
      </c>
      <c r="Z436" s="8" t="s">
        <v>42</v>
      </c>
      <c r="AA436" s="7" t="str">
        <f aca="false">IFERROR(INDEX(02_轉折點45!B:B,MATCH(A436,02_轉折點45!A:A,0)),"")</f>
        <v/>
      </c>
      <c r="AB436" s="7" t="n">
        <f aca="false">COUNTIFS(05_訊號明細!A:A,A436,05_訊號明細!C:C,"TOP")</f>
        <v>0</v>
      </c>
      <c r="AC436" s="7" t="n">
        <f aca="false">COUNTIFS(05_訊號明細!A:A,A436,05_訊號明細!C:C,"BOTTOM")</f>
        <v>0</v>
      </c>
    </row>
    <row r="437" customFormat="false" ht="15" hidden="false" customHeight="false" outlineLevel="0" collapsed="false">
      <c r="A437" s="7" t="s">
        <v>478</v>
      </c>
      <c r="B437" s="7" t="n">
        <v>15073.96</v>
      </c>
      <c r="C437" s="7" t="n">
        <v>15230.34</v>
      </c>
      <c r="D437" s="7" t="n">
        <v>15029.9</v>
      </c>
      <c r="E437" s="7" t="n">
        <v>15176.51</v>
      </c>
      <c r="F437" s="7" t="n">
        <v>4252</v>
      </c>
      <c r="G437" s="7" t="n">
        <f aca="false">AVERAGE(E433:E437)</f>
        <v>15213.17</v>
      </c>
      <c r="H437" s="7" t="n">
        <f aca="false">AVERAGE(E428:E437)</f>
        <v>15338.858</v>
      </c>
      <c r="I437" s="7" t="n">
        <f aca="false">AVERAGE(E418:E437)</f>
        <v>15441.093</v>
      </c>
      <c r="J437" s="7" t="n">
        <f aca="false">AVERAGE(E388:E437)</f>
        <v>15180.3522</v>
      </c>
      <c r="K437" s="7" t="n">
        <f aca="false">AVERAGE(E338:E437)</f>
        <v>14560.3787</v>
      </c>
      <c r="L437" s="7" t="n">
        <f aca="false">AVERAGE(E238:E437)</f>
        <v>13874.57595</v>
      </c>
      <c r="M437" s="7" t="n">
        <f aca="false">I437</f>
        <v>15441.093</v>
      </c>
      <c r="N437" s="7" t="n">
        <f aca="false">I437+2*STDEV(E418:E437)</f>
        <v>15833.1736269446</v>
      </c>
      <c r="O437" s="7" t="n">
        <f aca="false">I437-2*STDEV(E418:E437)</f>
        <v>15049.0123730554</v>
      </c>
      <c r="P437" s="7" t="n">
        <f aca="false">MAX(E437-E436,0)</f>
        <v>148.74</v>
      </c>
      <c r="Q437" s="7" t="n">
        <f aca="false">MAX(E436-E437,0)</f>
        <v>0</v>
      </c>
      <c r="R437" s="7" t="n">
        <f aca="false">(R436*13+P437)/14</f>
        <v>41.4442162364382</v>
      </c>
      <c r="S437" s="7" t="n">
        <f aca="false">(S436*13+Q437)/14</f>
        <v>50.973029686431</v>
      </c>
      <c r="T437" s="7" t="n">
        <f aca="false">IF(S437=0,100,100-100/(1+R437/S437))</f>
        <v>44.8446778764942</v>
      </c>
      <c r="U437" s="7" t="n">
        <f aca="false">E437*2/13+U436*11/13</f>
        <v>15310.8033142588</v>
      </c>
      <c r="V437" s="7" t="n">
        <f aca="false">E437*2/27+V436*25/27</f>
        <v>15305.6305535473</v>
      </c>
      <c r="W437" s="7" t="n">
        <f aca="false">U437-V437</f>
        <v>5.1727607114608</v>
      </c>
      <c r="X437" s="7" t="n">
        <f aca="false">W437*2/10+X436*8/10</f>
        <v>79.8049628553778</v>
      </c>
      <c r="Y437" s="7" t="n">
        <f aca="false">W437-X437</f>
        <v>-74.632202143917</v>
      </c>
      <c r="Z437" s="8" t="s">
        <v>42</v>
      </c>
      <c r="AA437" s="7" t="str">
        <f aca="false">IFERROR(INDEX(02_轉折點45!B:B,MATCH(A437,02_轉折點45!A:A,0)),"")</f>
        <v/>
      </c>
      <c r="AB437" s="7" t="n">
        <f aca="false">COUNTIFS(05_訊號明細!A:A,A437,05_訊號明細!C:C,"TOP")</f>
        <v>0</v>
      </c>
      <c r="AC437" s="7" t="n">
        <f aca="false">COUNTIFS(05_訊號明細!A:A,A437,05_訊號明細!C:C,"BOTTOM")</f>
        <v>1</v>
      </c>
    </row>
    <row r="438" customFormat="false" ht="15" hidden="false" customHeight="false" outlineLevel="0" collapsed="false">
      <c r="A438" s="7" t="s">
        <v>479</v>
      </c>
      <c r="B438" s="7" t="n">
        <v>15231.2</v>
      </c>
      <c r="C438" s="7" t="n">
        <v>15356.92</v>
      </c>
      <c r="D438" s="7" t="n">
        <v>15199.43</v>
      </c>
      <c r="E438" s="7" t="n">
        <v>15316.58</v>
      </c>
      <c r="F438" s="7" t="n">
        <v>4196</v>
      </c>
      <c r="G438" s="7" t="n">
        <f aca="false">AVERAGE(E434:E438)</f>
        <v>15173.304</v>
      </c>
      <c r="H438" s="7" t="n">
        <f aca="false">AVERAGE(E429:E438)</f>
        <v>15314.411</v>
      </c>
      <c r="I438" s="7" t="n">
        <f aca="false">AVERAGE(E419:E438)</f>
        <v>15438.476</v>
      </c>
      <c r="J438" s="7" t="n">
        <f aca="false">AVERAGE(E389:E438)</f>
        <v>15188.675</v>
      </c>
      <c r="K438" s="7" t="n">
        <f aca="false">AVERAGE(E339:E438)</f>
        <v>14575.5473</v>
      </c>
      <c r="L438" s="7" t="n">
        <f aca="false">AVERAGE(E239:E438)</f>
        <v>13888.1765</v>
      </c>
      <c r="M438" s="7" t="n">
        <f aca="false">I438</f>
        <v>15438.476</v>
      </c>
      <c r="N438" s="7" t="n">
        <f aca="false">I438+2*STDEV(E419:E438)</f>
        <v>15833.2742448316</v>
      </c>
      <c r="O438" s="7" t="n">
        <f aca="false">I438-2*STDEV(E419:E438)</f>
        <v>15043.6777551684</v>
      </c>
      <c r="P438" s="7" t="n">
        <f aca="false">MAX(E438-E437,0)</f>
        <v>140.07</v>
      </c>
      <c r="Q438" s="7" t="n">
        <f aca="false">MAX(E437-E438,0)</f>
        <v>0</v>
      </c>
      <c r="R438" s="7" t="n">
        <f aca="false">(R437*13+P438)/14</f>
        <v>48.4889150766926</v>
      </c>
      <c r="S438" s="7" t="n">
        <f aca="false">(S437*13+Q438)/14</f>
        <v>47.3320989945431</v>
      </c>
      <c r="T438" s="7" t="n">
        <f aca="false">IF(S438=0,100,100-100/(1+R438/S438))</f>
        <v>50.6036338131892</v>
      </c>
      <c r="U438" s="7" t="n">
        <f aca="false">E438*2/13+U437*11/13</f>
        <v>15311.692035142</v>
      </c>
      <c r="V438" s="7" t="n">
        <f aca="false">E438*2/27+V437*25/27</f>
        <v>15306.4416236549</v>
      </c>
      <c r="W438" s="7" t="n">
        <f aca="false">U438-V438</f>
        <v>5.2504114871208</v>
      </c>
      <c r="X438" s="7" t="n">
        <f aca="false">W438*2/10+X437*8/10</f>
        <v>64.8940525817264</v>
      </c>
      <c r="Y438" s="7" t="n">
        <f aca="false">W438-X438</f>
        <v>-59.6436410946056</v>
      </c>
      <c r="Z438" s="8" t="s">
        <v>42</v>
      </c>
      <c r="AA438" s="7" t="str">
        <f aca="false">IFERROR(INDEX(02_轉折點45!B:B,MATCH(A438,02_轉折點45!A:A,0)),"")</f>
        <v/>
      </c>
      <c r="AB438" s="7" t="n">
        <f aca="false">COUNTIFS(05_訊號明細!A:A,A438,05_訊號明細!C:C,"TOP")</f>
        <v>0</v>
      </c>
      <c r="AC438" s="7" t="n">
        <f aca="false">COUNTIFS(05_訊號明細!A:A,A438,05_訊號明細!C:C,"BOTTOM")</f>
        <v>0</v>
      </c>
    </row>
    <row r="439" customFormat="false" ht="15" hidden="false" customHeight="false" outlineLevel="0" collapsed="false">
      <c r="A439" s="7" t="s">
        <v>480</v>
      </c>
      <c r="B439" s="7" t="n">
        <v>15222.97</v>
      </c>
      <c r="C439" s="7" t="n">
        <v>15345.54</v>
      </c>
      <c r="D439" s="7" t="n">
        <v>15209.16</v>
      </c>
      <c r="E439" s="7" t="n">
        <v>15329.68</v>
      </c>
      <c r="F439" s="7" t="n">
        <v>3992</v>
      </c>
      <c r="G439" s="7" t="n">
        <f aca="false">AVERAGE(E435:E439)</f>
        <v>15172.546</v>
      </c>
      <c r="H439" s="7" t="n">
        <f aca="false">AVERAGE(E430:E439)</f>
        <v>15303.304</v>
      </c>
      <c r="I439" s="7" t="n">
        <f aca="false">AVERAGE(E420:E439)</f>
        <v>15441.034</v>
      </c>
      <c r="J439" s="7" t="n">
        <f aca="false">AVERAGE(E390:E439)</f>
        <v>15199.3748</v>
      </c>
      <c r="K439" s="7" t="n">
        <f aca="false">AVERAGE(E340:E439)</f>
        <v>14593.3974</v>
      </c>
      <c r="L439" s="7" t="n">
        <f aca="false">AVERAGE(E240:E439)</f>
        <v>13901.6463</v>
      </c>
      <c r="M439" s="7" t="n">
        <f aca="false">I439</f>
        <v>15441.034</v>
      </c>
      <c r="N439" s="7" t="n">
        <f aca="false">I439+2*STDEV(E420:E439)</f>
        <v>15832.113918466</v>
      </c>
      <c r="O439" s="7" t="n">
        <f aca="false">I439-2*STDEV(E420:E439)</f>
        <v>15049.954081534</v>
      </c>
      <c r="P439" s="7" t="n">
        <f aca="false">MAX(E439-E438,0)</f>
        <v>13.1000000000004</v>
      </c>
      <c r="Q439" s="7" t="n">
        <f aca="false">MAX(E438-E439,0)</f>
        <v>0</v>
      </c>
      <c r="R439" s="7" t="n">
        <f aca="false">(R438*13+P439)/14</f>
        <v>45.9611354283574</v>
      </c>
      <c r="S439" s="7" t="n">
        <f aca="false">(S438*13+Q439)/14</f>
        <v>43.9512347806472</v>
      </c>
      <c r="T439" s="7" t="n">
        <f aca="false">IF(S439=0,100,100-100/(1+R439/S439))</f>
        <v>51.1176997353302</v>
      </c>
      <c r="U439" s="7" t="n">
        <f aca="false">E439*2/13+U438*11/13</f>
        <v>15314.459414351</v>
      </c>
      <c r="V439" s="7" t="n">
        <f aca="false">E439*2/27+V438*25/27</f>
        <v>15308.1629848657</v>
      </c>
      <c r="W439" s="7" t="n">
        <f aca="false">U439-V439</f>
        <v>6.29642948528999</v>
      </c>
      <c r="X439" s="7" t="n">
        <f aca="false">W439*2/10+X438*8/10</f>
        <v>53.1745279624391</v>
      </c>
      <c r="Y439" s="7" t="n">
        <f aca="false">W439-X439</f>
        <v>-46.8780984771491</v>
      </c>
      <c r="Z439" s="8" t="s">
        <v>42</v>
      </c>
      <c r="AA439" s="7" t="str">
        <f aca="false">IFERROR(INDEX(02_轉折點45!B:B,MATCH(A439,02_轉折點45!A:A,0)),"")</f>
        <v/>
      </c>
      <c r="AB439" s="7" t="n">
        <f aca="false">COUNTIFS(05_訊號明細!A:A,A439,05_訊號明細!C:C,"TOP")</f>
        <v>1</v>
      </c>
      <c r="AC439" s="7" t="n">
        <f aca="false">COUNTIFS(05_訊號明細!A:A,A439,05_訊號明細!C:C,"BOTTOM")</f>
        <v>0</v>
      </c>
    </row>
    <row r="440" customFormat="false" ht="15" hidden="false" customHeight="false" outlineLevel="0" collapsed="false">
      <c r="A440" s="7" t="s">
        <v>481</v>
      </c>
      <c r="B440" s="7" t="n">
        <v>15205.23</v>
      </c>
      <c r="C440" s="7" t="n">
        <v>15240.58</v>
      </c>
      <c r="D440" s="7" t="n">
        <v>15106.45</v>
      </c>
      <c r="E440" s="7" t="n">
        <v>15204.82</v>
      </c>
      <c r="F440" s="7" t="n">
        <v>4651</v>
      </c>
      <c r="G440" s="7" t="n">
        <f aca="false">AVERAGE(E436:E440)</f>
        <v>15211.072</v>
      </c>
      <c r="H440" s="7" t="n">
        <f aca="false">AVERAGE(E431:E440)</f>
        <v>15280.336</v>
      </c>
      <c r="I440" s="7" t="n">
        <f aca="false">AVERAGE(E421:E440)</f>
        <v>15429.6275</v>
      </c>
      <c r="J440" s="7" t="n">
        <f aca="false">AVERAGE(E391:E440)</f>
        <v>15209.8436</v>
      </c>
      <c r="K440" s="7" t="n">
        <f aca="false">AVERAGE(E341:E440)</f>
        <v>14610.4119</v>
      </c>
      <c r="L440" s="7" t="n">
        <f aca="false">AVERAGE(E241:E440)</f>
        <v>13915.8472</v>
      </c>
      <c r="M440" s="7" t="n">
        <f aca="false">I440</f>
        <v>15429.6275</v>
      </c>
      <c r="N440" s="7" t="n">
        <f aca="false">I440+2*STDEV(E421:E440)</f>
        <v>15834.7554655862</v>
      </c>
      <c r="O440" s="7" t="n">
        <f aca="false">I440-2*STDEV(E421:E440)</f>
        <v>15024.4995344138</v>
      </c>
      <c r="P440" s="7" t="n">
        <f aca="false">MAX(E440-E439,0)</f>
        <v>0</v>
      </c>
      <c r="Q440" s="7" t="n">
        <f aca="false">MAX(E439-E440,0)</f>
        <v>124.860000000001</v>
      </c>
      <c r="R440" s="7" t="n">
        <f aca="false">(R439*13+P440)/14</f>
        <v>42.6781971834747</v>
      </c>
      <c r="S440" s="7" t="n">
        <f aca="false">(S439*13+Q440)/14</f>
        <v>49.7304322963153</v>
      </c>
      <c r="T440" s="7" t="n">
        <f aca="false">IF(S440=0,100,100-100/(1+R440/S440))</f>
        <v>46.184211824945</v>
      </c>
      <c r="U440" s="7" t="n">
        <f aca="false">E440*2/13+U439*11/13</f>
        <v>15297.5918121431</v>
      </c>
      <c r="V440" s="7" t="n">
        <f aca="false">E440*2/27+V439*25/27</f>
        <v>15300.5079489497</v>
      </c>
      <c r="W440" s="7" t="n">
        <f aca="false">U440-V440</f>
        <v>-2.91613680657429</v>
      </c>
      <c r="X440" s="7" t="n">
        <f aca="false">W440*2/10+X439*8/10</f>
        <v>41.9563950086365</v>
      </c>
      <c r="Y440" s="7" t="n">
        <f aca="false">W440-X440</f>
        <v>-44.8725318152107</v>
      </c>
      <c r="Z440" s="8" t="s">
        <v>42</v>
      </c>
      <c r="AA440" s="7" t="str">
        <f aca="false">IFERROR(INDEX(02_轉折點45!B:B,MATCH(A440,02_轉折點45!A:A,0)),"")</f>
        <v/>
      </c>
      <c r="AB440" s="7" t="n">
        <f aca="false">COUNTIFS(05_訊號明細!A:A,A440,05_訊號明細!C:C,"TOP")</f>
        <v>0</v>
      </c>
      <c r="AC440" s="7" t="n">
        <f aca="false">COUNTIFS(05_訊號明細!A:A,A440,05_訊號明細!C:C,"BOTTOM")</f>
        <v>0</v>
      </c>
    </row>
    <row r="441" customFormat="false" ht="15" hidden="false" customHeight="false" outlineLevel="0" collapsed="false">
      <c r="A441" s="7" t="s">
        <v>482</v>
      </c>
      <c r="B441" s="7" t="n">
        <v>15001.98</v>
      </c>
      <c r="C441" s="7" t="n">
        <v>15040.57</v>
      </c>
      <c r="D441" s="7" t="n">
        <v>14758.98</v>
      </c>
      <c r="E441" s="7" t="n">
        <v>14770.3</v>
      </c>
      <c r="F441" s="7" t="n">
        <v>4990</v>
      </c>
      <c r="G441" s="7" t="n">
        <f aca="false">AVERAGE(E437:E441)</f>
        <v>15159.578</v>
      </c>
      <c r="H441" s="7" t="n">
        <f aca="false">AVERAGE(E432:E441)</f>
        <v>15219.076</v>
      </c>
      <c r="I441" s="7" t="n">
        <f aca="false">AVERAGE(E422:E441)</f>
        <v>15387.888</v>
      </c>
      <c r="J441" s="7" t="n">
        <f aca="false">AVERAGE(E392:E441)</f>
        <v>15214.2678</v>
      </c>
      <c r="K441" s="7" t="n">
        <f aca="false">AVERAGE(E342:E441)</f>
        <v>14621.9776</v>
      </c>
      <c r="L441" s="7" t="n">
        <f aca="false">AVERAGE(E242:E441)</f>
        <v>13927.69</v>
      </c>
      <c r="M441" s="7" t="n">
        <f aca="false">I441</f>
        <v>15387.888</v>
      </c>
      <c r="N441" s="7" t="n">
        <f aca="false">I441+2*STDEV(E422:E441)</f>
        <v>15879.6502706617</v>
      </c>
      <c r="O441" s="7" t="n">
        <f aca="false">I441-2*STDEV(E422:E441)</f>
        <v>14896.1257293383</v>
      </c>
      <c r="P441" s="7" t="n">
        <f aca="false">MAX(E441-E440,0)</f>
        <v>0</v>
      </c>
      <c r="Q441" s="7" t="n">
        <f aca="false">MAX(E440-E441,0)</f>
        <v>434.52</v>
      </c>
      <c r="R441" s="7" t="n">
        <f aca="false">(R440*13+P441)/14</f>
        <v>39.6297545275123</v>
      </c>
      <c r="S441" s="7" t="n">
        <f aca="false">(S440*13+Q441)/14</f>
        <v>77.2154014180071</v>
      </c>
      <c r="T441" s="7" t="n">
        <f aca="false">IF(S441=0,100,100-100/(1+R441/S441))</f>
        <v>33.9164719382892</v>
      </c>
      <c r="U441" s="7" t="n">
        <f aca="false">E441*2/13+U440*11/13</f>
        <v>15216.4699948903</v>
      </c>
      <c r="V441" s="7" t="n">
        <f aca="false">E441*2/27+V440*25/27</f>
        <v>15261.2332860645</v>
      </c>
      <c r="W441" s="7" t="n">
        <f aca="false">U441-V441</f>
        <v>-44.7632911742003</v>
      </c>
      <c r="X441" s="7" t="n">
        <f aca="false">W441*2/10+X440*8/10</f>
        <v>24.6124577720691</v>
      </c>
      <c r="Y441" s="7" t="n">
        <f aca="false">W441-X441</f>
        <v>-69.3757489462694</v>
      </c>
      <c r="Z441" s="8" t="s">
        <v>42</v>
      </c>
      <c r="AA441" s="7" t="str">
        <f aca="false">IFERROR(INDEX(02_轉折點45!B:B,MATCH(A441,02_轉折點45!A:A,0)),"")</f>
        <v/>
      </c>
      <c r="AB441" s="7" t="n">
        <f aca="false">COUNTIFS(05_訊號明細!A:A,A441,05_訊號明細!C:C,"TOP")</f>
        <v>2</v>
      </c>
      <c r="AC441" s="7" t="n">
        <f aca="false">COUNTIFS(05_訊號明細!A:A,A441,05_訊號明細!C:C,"BOTTOM")</f>
        <v>0</v>
      </c>
    </row>
    <row r="442" customFormat="false" ht="15" hidden="false" customHeight="false" outlineLevel="0" collapsed="false">
      <c r="A442" s="7" t="s">
        <v>483</v>
      </c>
      <c r="B442" s="7" t="n">
        <v>14835.51</v>
      </c>
      <c r="C442" s="7" t="n">
        <v>14914.92</v>
      </c>
      <c r="D442" s="7" t="n">
        <v>14727.41</v>
      </c>
      <c r="E442" s="7" t="n">
        <v>14752.89</v>
      </c>
      <c r="F442" s="7" t="n">
        <v>5295</v>
      </c>
      <c r="G442" s="7" t="n">
        <f aca="false">AVERAGE(E438:E442)</f>
        <v>15074.854</v>
      </c>
      <c r="H442" s="7" t="n">
        <f aca="false">AVERAGE(E433:E442)</f>
        <v>15144.012</v>
      </c>
      <c r="I442" s="7" t="n">
        <f aca="false">AVERAGE(E423:E442)</f>
        <v>15346.407</v>
      </c>
      <c r="J442" s="7" t="n">
        <f aca="false">AVERAGE(E393:E442)</f>
        <v>15214.7614</v>
      </c>
      <c r="K442" s="7" t="n">
        <f aca="false">AVERAGE(E343:E442)</f>
        <v>14632.3102</v>
      </c>
      <c r="L442" s="7" t="n">
        <f aca="false">AVERAGE(E243:E442)</f>
        <v>13939.5774</v>
      </c>
      <c r="M442" s="7" t="n">
        <f aca="false">I442</f>
        <v>15346.407</v>
      </c>
      <c r="N442" s="7" t="n">
        <f aca="false">I442+2*STDEV(E423:E442)</f>
        <v>15904.5287357153</v>
      </c>
      <c r="O442" s="7" t="n">
        <f aca="false">I442-2*STDEV(E423:E442)</f>
        <v>14788.2852642847</v>
      </c>
      <c r="P442" s="7" t="n">
        <f aca="false">MAX(E442-E441,0)</f>
        <v>0</v>
      </c>
      <c r="Q442" s="7" t="n">
        <f aca="false">MAX(E441-E442,0)</f>
        <v>17.4099999999999</v>
      </c>
      <c r="R442" s="7" t="n">
        <f aca="false">(R441*13+P442)/14</f>
        <v>36.7990577755471</v>
      </c>
      <c r="S442" s="7" t="n">
        <f aca="false">(S441*13+Q442)/14</f>
        <v>72.9435870310066</v>
      </c>
      <c r="T442" s="7" t="n">
        <f aca="false">IF(S442=0,100,100-100/(1+R442/S442))</f>
        <v>33.5321404367589</v>
      </c>
      <c r="U442" s="7" t="n">
        <f aca="false">E442*2/13+U441*11/13</f>
        <v>15145.1499956764</v>
      </c>
      <c r="V442" s="7" t="n">
        <f aca="false">E442*2/27+V441*25/27</f>
        <v>15223.5782278375</v>
      </c>
      <c r="W442" s="7" t="n">
        <f aca="false">U442-V442</f>
        <v>-78.4282321610972</v>
      </c>
      <c r="X442" s="7" t="n">
        <f aca="false">W442*2/10+X441*8/10</f>
        <v>4.00431978543585</v>
      </c>
      <c r="Y442" s="7" t="n">
        <f aca="false">W442-X442</f>
        <v>-82.432551946533</v>
      </c>
      <c r="Z442" s="8" t="s">
        <v>42</v>
      </c>
      <c r="AA442" s="7" t="str">
        <f aca="false">IFERROR(INDEX(02_轉折點45!B:B,MATCH(A442,02_轉折點45!A:A,0)),"")</f>
        <v/>
      </c>
      <c r="AB442" s="7" t="n">
        <f aca="false">COUNTIFS(05_訊號明細!A:A,A442,05_訊號明細!C:C,"TOP")</f>
        <v>0</v>
      </c>
      <c r="AC442" s="7" t="n">
        <f aca="false">COUNTIFS(05_訊號明細!A:A,A442,05_訊號明細!C:C,"BOTTOM")</f>
        <v>0</v>
      </c>
    </row>
    <row r="443" customFormat="false" ht="15" hidden="false" customHeight="false" outlineLevel="0" collapsed="false">
      <c r="A443" s="7" t="s">
        <v>484</v>
      </c>
      <c r="B443" s="7" t="n">
        <v>14830.3</v>
      </c>
      <c r="C443" s="7" t="n">
        <v>14888.22</v>
      </c>
      <c r="D443" s="7" t="n">
        <v>14684.55</v>
      </c>
      <c r="E443" s="7" t="n">
        <v>14689.62</v>
      </c>
      <c r="F443" s="7" t="n">
        <v>5951</v>
      </c>
      <c r="G443" s="7" t="n">
        <f aca="false">AVERAGE(E439:E443)</f>
        <v>14949.462</v>
      </c>
      <c r="H443" s="7" t="n">
        <f aca="false">AVERAGE(E434:E443)</f>
        <v>15061.383</v>
      </c>
      <c r="I443" s="7" t="n">
        <f aca="false">AVERAGE(E424:E443)</f>
        <v>15300.3095</v>
      </c>
      <c r="J443" s="7" t="n">
        <f aca="false">AVERAGE(E394:E443)</f>
        <v>15211.7012</v>
      </c>
      <c r="K443" s="7" t="n">
        <f aca="false">AVERAGE(E344:E443)</f>
        <v>14645.6156</v>
      </c>
      <c r="L443" s="7" t="n">
        <f aca="false">AVERAGE(E244:E443)</f>
        <v>13950.71445</v>
      </c>
      <c r="M443" s="7" t="n">
        <f aca="false">I443</f>
        <v>15300.3095</v>
      </c>
      <c r="N443" s="7" t="n">
        <f aca="false">I443+2*STDEV(E424:E443)</f>
        <v>15915.5856550453</v>
      </c>
      <c r="O443" s="7" t="n">
        <f aca="false">I443-2*STDEV(E424:E443)</f>
        <v>14685.0333449547</v>
      </c>
      <c r="P443" s="7" t="n">
        <f aca="false">MAX(E443-E442,0)</f>
        <v>0</v>
      </c>
      <c r="Q443" s="7" t="n">
        <f aca="false">MAX(E442-E443,0)</f>
        <v>63.2699999999986</v>
      </c>
      <c r="R443" s="7" t="n">
        <f aca="false">(R442*13+P443)/14</f>
        <v>34.1705536487223</v>
      </c>
      <c r="S443" s="7" t="n">
        <f aca="false">(S442*13+Q443)/14</f>
        <v>72.2526165287917</v>
      </c>
      <c r="T443" s="7" t="n">
        <f aca="false">IF(S443=0,100,100-100/(1+R443/S443))</f>
        <v>32.1081899662694</v>
      </c>
      <c r="U443" s="7" t="n">
        <f aca="false">E443*2/13+U442*11/13</f>
        <v>15075.0684578801</v>
      </c>
      <c r="V443" s="7" t="n">
        <f aca="false">E443*2/27+V442*25/27</f>
        <v>15184.0257665162</v>
      </c>
      <c r="W443" s="7" t="n">
        <f aca="false">U443-V443</f>
        <v>-108.957308636172</v>
      </c>
      <c r="X443" s="7" t="n">
        <f aca="false">W443*2/10+X442*8/10</f>
        <v>-18.5880058988858</v>
      </c>
      <c r="Y443" s="7" t="n">
        <f aca="false">W443-X443</f>
        <v>-90.3693027372867</v>
      </c>
      <c r="Z443" s="7" t="s">
        <v>78</v>
      </c>
      <c r="AA443" s="7" t="str">
        <f aca="false">IFERROR(INDEX(02_轉折點45!B:B,MATCH(A443,02_轉折點45!A:A,0)),"")</f>
        <v/>
      </c>
      <c r="AB443" s="7" t="n">
        <f aca="false">COUNTIFS(05_訊號明細!A:A,A443,05_訊號明細!C:C,"TOP")</f>
        <v>2</v>
      </c>
      <c r="AC443" s="7" t="n">
        <f aca="false">COUNTIFS(05_訊號明細!A:A,A443,05_訊號明細!C:C,"BOTTOM")</f>
        <v>0</v>
      </c>
    </row>
    <row r="444" customFormat="false" ht="15" hidden="false" customHeight="false" outlineLevel="0" collapsed="false">
      <c r="A444" s="7" t="s">
        <v>485</v>
      </c>
      <c r="B444" s="7" t="n">
        <v>14731.38</v>
      </c>
      <c r="C444" s="7" t="n">
        <v>14830.84</v>
      </c>
      <c r="D444" s="7" t="n">
        <v>14555.12</v>
      </c>
      <c r="E444" s="7" t="n">
        <v>14791.87</v>
      </c>
      <c r="F444" s="7" t="n">
        <v>4711</v>
      </c>
      <c r="G444" s="7" t="n">
        <f aca="false">AVERAGE(E440:E444)</f>
        <v>14841.9</v>
      </c>
      <c r="H444" s="7" t="n">
        <f aca="false">AVERAGE(E435:E444)</f>
        <v>15007.223</v>
      </c>
      <c r="I444" s="7" t="n">
        <f aca="false">AVERAGE(E425:E444)</f>
        <v>15259.6905</v>
      </c>
      <c r="J444" s="7" t="n">
        <f aca="false">AVERAGE(E395:E444)</f>
        <v>15208.7352</v>
      </c>
      <c r="K444" s="7" t="n">
        <f aca="false">AVERAGE(E345:E444)</f>
        <v>14660.0216</v>
      </c>
      <c r="L444" s="7" t="n">
        <f aca="false">AVERAGE(E245:E444)</f>
        <v>13961.6942</v>
      </c>
      <c r="M444" s="7" t="n">
        <f aca="false">I444</f>
        <v>15259.6905</v>
      </c>
      <c r="N444" s="7" t="n">
        <f aca="false">I444+2*STDEV(E425:E444)</f>
        <v>15897.3367280169</v>
      </c>
      <c r="O444" s="7" t="n">
        <f aca="false">I444-2*STDEV(E425:E444)</f>
        <v>14622.0442719831</v>
      </c>
      <c r="P444" s="7" t="n">
        <f aca="false">MAX(E444-E443,0)</f>
        <v>102.25</v>
      </c>
      <c r="Q444" s="7" t="n">
        <f aca="false">MAX(E443-E444,0)</f>
        <v>0</v>
      </c>
      <c r="R444" s="7" t="n">
        <f aca="false">(R443*13+P444)/14</f>
        <v>39.0333712452421</v>
      </c>
      <c r="S444" s="7" t="n">
        <f aca="false">(S443*13+Q444)/14</f>
        <v>67.0917153481637</v>
      </c>
      <c r="T444" s="7" t="n">
        <f aca="false">IF(S444=0,100,100-100/(1+R444/S444))</f>
        <v>36.7805318216508</v>
      </c>
      <c r="U444" s="7" t="n">
        <f aca="false">E444*2/13+U443*11/13</f>
        <v>15031.49946436</v>
      </c>
      <c r="V444" s="7" t="n">
        <f aca="false">E444*2/27+V443*25/27</f>
        <v>15154.9771912187</v>
      </c>
      <c r="W444" s="7" t="n">
        <f aca="false">U444-V444</f>
        <v>-123.477726858682</v>
      </c>
      <c r="X444" s="7" t="n">
        <f aca="false">W444*2/10+X443*8/10</f>
        <v>-39.5659500908451</v>
      </c>
      <c r="Y444" s="7" t="n">
        <f aca="false">W444-X444</f>
        <v>-83.9117767678371</v>
      </c>
      <c r="Z444" s="8" t="s">
        <v>42</v>
      </c>
      <c r="AA444" s="7" t="str">
        <f aca="false">IFERROR(INDEX(02_轉折點45!B:B,MATCH(A444,02_轉折點45!A:A,0)),"")</f>
        <v/>
      </c>
      <c r="AB444" s="7" t="n">
        <f aca="false">COUNTIFS(05_訊號明細!A:A,A444,05_訊號明細!C:C,"TOP")</f>
        <v>0</v>
      </c>
      <c r="AC444" s="7" t="n">
        <f aca="false">COUNTIFS(05_訊號明細!A:A,A444,05_訊號明細!C:C,"BOTTOM")</f>
        <v>0</v>
      </c>
    </row>
    <row r="445" customFormat="false" ht="15" hidden="false" customHeight="false" outlineLevel="0" collapsed="false">
      <c r="A445" s="7" t="s">
        <v>486</v>
      </c>
      <c r="B445" s="7" t="n">
        <v>14713.6</v>
      </c>
      <c r="C445" s="7" t="n">
        <v>14727.6</v>
      </c>
      <c r="D445" s="7" t="n">
        <v>14384.93</v>
      </c>
      <c r="E445" s="7" t="n">
        <v>14472.12</v>
      </c>
      <c r="F445" s="7" t="n">
        <v>4557</v>
      </c>
      <c r="G445" s="7" t="n">
        <f aca="false">AVERAGE(E441:E445)</f>
        <v>14695.36</v>
      </c>
      <c r="H445" s="7" t="n">
        <f aca="false">AVERAGE(E436:E445)</f>
        <v>14953.216</v>
      </c>
      <c r="I445" s="7" t="n">
        <f aca="false">AVERAGE(E426:E445)</f>
        <v>15200.6535</v>
      </c>
      <c r="J445" s="7" t="n">
        <f aca="false">AVERAGE(E396:E445)</f>
        <v>15195.9418</v>
      </c>
      <c r="K445" s="7" t="n">
        <f aca="false">AVERAGE(E346:E445)</f>
        <v>14674.7265</v>
      </c>
      <c r="L445" s="7" t="n">
        <f aca="false">AVERAGE(E246:E445)</f>
        <v>13970.714</v>
      </c>
      <c r="M445" s="7" t="n">
        <f aca="false">I445</f>
        <v>15200.6535</v>
      </c>
      <c r="N445" s="7" t="n">
        <f aca="false">I445+2*STDEV(E426:E445)</f>
        <v>15900.6223822941</v>
      </c>
      <c r="O445" s="7" t="n">
        <f aca="false">I445-2*STDEV(E426:E445)</f>
        <v>14500.6846177059</v>
      </c>
      <c r="P445" s="7" t="n">
        <f aca="false">MAX(E445-E444,0)</f>
        <v>0</v>
      </c>
      <c r="Q445" s="7" t="n">
        <f aca="false">MAX(E444-E445,0)</f>
        <v>319.75</v>
      </c>
      <c r="R445" s="7" t="n">
        <f aca="false">(R444*13+P445)/14</f>
        <v>36.2452732991534</v>
      </c>
      <c r="S445" s="7" t="n">
        <f aca="false">(S444*13+Q445)/14</f>
        <v>85.1387356804378</v>
      </c>
      <c r="T445" s="7" t="n">
        <f aca="false">IF(S445=0,100,100-100/(1+R445/S445))</f>
        <v>29.8600067701236</v>
      </c>
      <c r="U445" s="7" t="n">
        <f aca="false">E445*2/13+U444*11/13</f>
        <v>14945.4410852277</v>
      </c>
      <c r="V445" s="7" t="n">
        <f aca="false">E445*2/27+V444*25/27</f>
        <v>15104.3951770544</v>
      </c>
      <c r="W445" s="7" t="n">
        <f aca="false">U445-V445</f>
        <v>-158.954091826647</v>
      </c>
      <c r="X445" s="7" t="n">
        <f aca="false">W445*2/10+X444*8/10</f>
        <v>-63.4435784380054</v>
      </c>
      <c r="Y445" s="7" t="n">
        <f aca="false">W445-X445</f>
        <v>-95.5105133886412</v>
      </c>
      <c r="Z445" s="7" t="s">
        <v>78</v>
      </c>
      <c r="AA445" s="7" t="str">
        <f aca="false">IFERROR(INDEX(02_轉折點45!B:B,MATCH(A445,02_轉折點45!A:A,0)),"")</f>
        <v/>
      </c>
      <c r="AB445" s="7" t="n">
        <f aca="false">COUNTIFS(05_訊號明細!A:A,A445,05_訊號明細!C:C,"TOP")</f>
        <v>3</v>
      </c>
      <c r="AC445" s="7" t="n">
        <f aca="false">COUNTIFS(05_訊號明細!A:A,A445,05_訊號明細!C:C,"BOTTOM")</f>
        <v>0</v>
      </c>
    </row>
    <row r="446" customFormat="false" ht="15" hidden="false" customHeight="false" outlineLevel="0" collapsed="false">
      <c r="A446" s="7" t="s">
        <v>487</v>
      </c>
      <c r="B446" s="7" t="n">
        <v>14533.43</v>
      </c>
      <c r="C446" s="7" t="n">
        <v>14763.64</v>
      </c>
      <c r="D446" s="7" t="n">
        <v>14520.23</v>
      </c>
      <c r="E446" s="7" t="n">
        <v>14674.15</v>
      </c>
      <c r="F446" s="7" t="n">
        <v>4176</v>
      </c>
      <c r="G446" s="7" t="n">
        <f aca="false">AVERAGE(E442:E446)</f>
        <v>14676.13</v>
      </c>
      <c r="H446" s="7" t="n">
        <f aca="false">AVERAGE(E437:E446)</f>
        <v>14917.854</v>
      </c>
      <c r="I446" s="7" t="n">
        <f aca="false">AVERAGE(E427:E446)</f>
        <v>15150.573</v>
      </c>
      <c r="J446" s="7" t="n">
        <f aca="false">AVERAGE(E397:E446)</f>
        <v>15186.9058</v>
      </c>
      <c r="K446" s="7" t="n">
        <f aca="false">AVERAGE(E347:E446)</f>
        <v>14690.3765</v>
      </c>
      <c r="L446" s="7" t="n">
        <f aca="false">AVERAGE(E247:E446)</f>
        <v>13980.32445</v>
      </c>
      <c r="M446" s="7" t="n">
        <f aca="false">I446</f>
        <v>15150.573</v>
      </c>
      <c r="N446" s="7" t="n">
        <f aca="false">I446+2*STDEV(E427:E446)</f>
        <v>15850.7401516852</v>
      </c>
      <c r="O446" s="7" t="n">
        <f aca="false">I446-2*STDEV(E427:E446)</f>
        <v>14450.4058483148</v>
      </c>
      <c r="P446" s="7" t="n">
        <f aca="false">MAX(E446-E445,0)</f>
        <v>202.029999999999</v>
      </c>
      <c r="Q446" s="7" t="n">
        <f aca="false">MAX(E445-E446,0)</f>
        <v>0</v>
      </c>
      <c r="R446" s="7" t="n">
        <f aca="false">(R445*13+P446)/14</f>
        <v>48.087039492071</v>
      </c>
      <c r="S446" s="7" t="n">
        <f aca="false">(S445*13+Q446)/14</f>
        <v>79.0573974175493</v>
      </c>
      <c r="T446" s="7" t="n">
        <f aca="false">IF(S446=0,100,100-100/(1+R446/S446))</f>
        <v>37.8207970878453</v>
      </c>
      <c r="U446" s="7" t="n">
        <f aca="false">E446*2/13+U445*11/13</f>
        <v>14903.7039951927</v>
      </c>
      <c r="V446" s="7" t="n">
        <f aca="false">E446*2/27+V445*25/27</f>
        <v>15072.5251639392</v>
      </c>
      <c r="W446" s="7" t="n">
        <f aca="false">U446-V446</f>
        <v>-168.821168746545</v>
      </c>
      <c r="X446" s="7" t="n">
        <f aca="false">W446*2/10+X445*8/10</f>
        <v>-84.5190964997132</v>
      </c>
      <c r="Y446" s="7" t="n">
        <f aca="false">W446-X446</f>
        <v>-84.3020722468313</v>
      </c>
      <c r="Z446" s="7" t="s">
        <v>78</v>
      </c>
      <c r="AA446" s="7" t="str">
        <f aca="false">IFERROR(INDEX(02_轉折點45!B:B,MATCH(A446,02_轉折點45!A:A,0)),"")</f>
        <v/>
      </c>
      <c r="AB446" s="7" t="n">
        <f aca="false">COUNTIFS(05_訊號明細!A:A,A446,05_訊號明細!C:C,"TOP")</f>
        <v>0</v>
      </c>
      <c r="AC446" s="7" t="n">
        <f aca="false">COUNTIFS(05_訊號明細!A:A,A446,05_訊號明細!C:C,"BOTTOM")</f>
        <v>0</v>
      </c>
    </row>
    <row r="447" customFormat="false" ht="15" hidden="false" customHeight="false" outlineLevel="0" collapsed="false">
      <c r="A447" s="7" t="s">
        <v>488</v>
      </c>
      <c r="B447" s="7" t="n">
        <v>14529.89</v>
      </c>
      <c r="C447" s="7" t="n">
        <v>14775.64</v>
      </c>
      <c r="D447" s="7" t="n">
        <v>14499.48</v>
      </c>
      <c r="E447" s="7" t="n">
        <v>14766.75</v>
      </c>
      <c r="F447" s="7" t="n">
        <v>4466</v>
      </c>
      <c r="G447" s="7" t="n">
        <f aca="false">AVERAGE(E443:E447)</f>
        <v>14678.902</v>
      </c>
      <c r="H447" s="7" t="n">
        <f aca="false">AVERAGE(E438:E447)</f>
        <v>14876.878</v>
      </c>
      <c r="I447" s="7" t="n">
        <f aca="false">AVERAGE(E428:E447)</f>
        <v>15107.868</v>
      </c>
      <c r="J447" s="7" t="n">
        <f aca="false">AVERAGE(E398:E447)</f>
        <v>15183.1014</v>
      </c>
      <c r="K447" s="7" t="n">
        <f aca="false">AVERAGE(E348:E447)</f>
        <v>14704.1128</v>
      </c>
      <c r="L447" s="7" t="n">
        <f aca="false">AVERAGE(E248:E447)</f>
        <v>13990.4673</v>
      </c>
      <c r="M447" s="7" t="n">
        <f aca="false">I447</f>
        <v>15107.868</v>
      </c>
      <c r="N447" s="7" t="n">
        <f aca="false">I447+2*STDEV(E428:E447)</f>
        <v>15791.2492204989</v>
      </c>
      <c r="O447" s="7" t="n">
        <f aca="false">I447-2*STDEV(E428:E447)</f>
        <v>14424.4867795011</v>
      </c>
      <c r="P447" s="7" t="n">
        <f aca="false">MAX(E447-E446,0)</f>
        <v>92.6000000000004</v>
      </c>
      <c r="Q447" s="7" t="n">
        <f aca="false">MAX(E446-E447,0)</f>
        <v>0</v>
      </c>
      <c r="R447" s="7" t="n">
        <f aca="false">(R446*13+P447)/14</f>
        <v>51.2665366712088</v>
      </c>
      <c r="S447" s="7" t="n">
        <f aca="false">(S446*13+Q447)/14</f>
        <v>73.4104404591529</v>
      </c>
      <c r="T447" s="7" t="n">
        <f aca="false">IF(S447=0,100,100-100/(1+R447/S447))</f>
        <v>41.1194896212512</v>
      </c>
      <c r="U447" s="7" t="n">
        <f aca="false">E447*2/13+U446*11/13</f>
        <v>14882.6341497784</v>
      </c>
      <c r="V447" s="7" t="n">
        <f aca="false">E447*2/27+V446*25/27</f>
        <v>15049.8751517956</v>
      </c>
      <c r="W447" s="7" t="n">
        <f aca="false">U447-V447</f>
        <v>-167.241002017161</v>
      </c>
      <c r="X447" s="7" t="n">
        <f aca="false">W447*2/10+X446*8/10</f>
        <v>-101.063477603203</v>
      </c>
      <c r="Y447" s="7" t="n">
        <f aca="false">W447-X447</f>
        <v>-66.1775244139582</v>
      </c>
      <c r="Z447" s="8" t="s">
        <v>42</v>
      </c>
      <c r="AA447" s="7" t="str">
        <f aca="false">IFERROR(INDEX(02_轉折點45!B:B,MATCH(A447,02_轉折點45!A:A,0)),"")</f>
        <v/>
      </c>
      <c r="AB447" s="7" t="n">
        <f aca="false">COUNTIFS(05_訊號明細!A:A,A447,05_訊號明細!C:C,"TOP")</f>
        <v>0</v>
      </c>
      <c r="AC447" s="7" t="n">
        <f aca="false">COUNTIFS(05_訊號明細!A:A,A447,05_訊號明細!C:C,"BOTTOM")</f>
        <v>1</v>
      </c>
    </row>
    <row r="448" customFormat="false" ht="15" hidden="false" customHeight="false" outlineLevel="0" collapsed="false">
      <c r="A448" s="7" t="s">
        <v>489</v>
      </c>
      <c r="B448" s="7" t="n">
        <v>14899.07</v>
      </c>
      <c r="C448" s="7" t="n">
        <v>15010.32</v>
      </c>
      <c r="D448" s="7" t="n">
        <v>14878.22</v>
      </c>
      <c r="E448" s="7" t="n">
        <v>14897.13</v>
      </c>
      <c r="F448" s="7" t="n">
        <v>3984</v>
      </c>
      <c r="G448" s="7" t="n">
        <f aca="false">AVERAGE(E444:E448)</f>
        <v>14720.404</v>
      </c>
      <c r="H448" s="7" t="n">
        <f aca="false">AVERAGE(E439:E448)</f>
        <v>14834.933</v>
      </c>
      <c r="I448" s="7" t="n">
        <f aca="false">AVERAGE(E429:E448)</f>
        <v>15074.672</v>
      </c>
      <c r="J448" s="7" t="n">
        <f aca="false">AVERAGE(E399:E448)</f>
        <v>15180.682</v>
      </c>
      <c r="K448" s="7" t="n">
        <f aca="false">AVERAGE(E349:E448)</f>
        <v>14719.955</v>
      </c>
      <c r="L448" s="7" t="n">
        <f aca="false">AVERAGE(E249:E448)</f>
        <v>14001.50165</v>
      </c>
      <c r="M448" s="7" t="n">
        <f aca="false">I448</f>
        <v>15074.672</v>
      </c>
      <c r="N448" s="7" t="n">
        <f aca="false">I448+2*STDEV(E429:E448)</f>
        <v>15729.258101565</v>
      </c>
      <c r="O448" s="7" t="n">
        <f aca="false">I448-2*STDEV(E429:E448)</f>
        <v>14420.085898435</v>
      </c>
      <c r="P448" s="7" t="n">
        <f aca="false">MAX(E448-E447,0)</f>
        <v>130.379999999999</v>
      </c>
      <c r="Q448" s="7" t="n">
        <f aca="false">MAX(E447-E448,0)</f>
        <v>0</v>
      </c>
      <c r="R448" s="7" t="n">
        <f aca="false">(R447*13+P448)/14</f>
        <v>56.9174983375509</v>
      </c>
      <c r="S448" s="7" t="n">
        <f aca="false">(S447*13+Q448)/14</f>
        <v>68.1668375692134</v>
      </c>
      <c r="T448" s="7" t="n">
        <f aca="false">IF(S448=0,100,100-100/(1+R448/S448))</f>
        <v>45.5032981747421</v>
      </c>
      <c r="U448" s="7" t="n">
        <f aca="false">E448*2/13+U447*11/13</f>
        <v>14884.8642805818</v>
      </c>
      <c r="V448" s="7" t="n">
        <f aca="false">E448*2/27+V447*25/27</f>
        <v>15038.560696107</v>
      </c>
      <c r="W448" s="7" t="n">
        <f aca="false">U448-V448</f>
        <v>-153.696415525283</v>
      </c>
      <c r="X448" s="7" t="n">
        <f aca="false">W448*2/10+X447*8/10</f>
        <v>-111.590065187619</v>
      </c>
      <c r="Y448" s="7" t="n">
        <f aca="false">W448-X448</f>
        <v>-42.1063503376639</v>
      </c>
      <c r="Z448" s="8" t="s">
        <v>42</v>
      </c>
      <c r="AA448" s="7" t="str">
        <f aca="false">IFERROR(INDEX(02_轉折點45!B:B,MATCH(A448,02_轉折點45!A:A,0)),"")</f>
        <v/>
      </c>
      <c r="AB448" s="7" t="n">
        <f aca="false">COUNTIFS(05_訊號明細!A:A,A448,05_訊號明細!C:C,"TOP")</f>
        <v>2</v>
      </c>
      <c r="AC448" s="7" t="n">
        <f aca="false">COUNTIFS(05_訊號明細!A:A,A448,05_訊號明細!C:C,"BOTTOM")</f>
        <v>0</v>
      </c>
    </row>
    <row r="449" customFormat="false" ht="15" hidden="false" customHeight="false" outlineLevel="0" collapsed="false">
      <c r="A449" s="7" t="s">
        <v>490</v>
      </c>
      <c r="B449" s="7" t="n">
        <v>14942.36</v>
      </c>
      <c r="C449" s="7" t="n">
        <v>14948.35</v>
      </c>
      <c r="D449" s="7" t="n">
        <v>14805.5</v>
      </c>
      <c r="E449" s="7" t="n">
        <v>14820.75</v>
      </c>
      <c r="F449" s="7" t="n">
        <v>3571</v>
      </c>
      <c r="G449" s="7" t="n">
        <f aca="false">AVERAGE(E445:E449)</f>
        <v>14726.18</v>
      </c>
      <c r="H449" s="7" t="n">
        <f aca="false">AVERAGE(E440:E449)</f>
        <v>14784.04</v>
      </c>
      <c r="I449" s="7" t="n">
        <f aca="false">AVERAGE(E430:E449)</f>
        <v>15043.672</v>
      </c>
      <c r="J449" s="7" t="n">
        <f aca="false">AVERAGE(E400:E449)</f>
        <v>15176.1298</v>
      </c>
      <c r="K449" s="7" t="n">
        <f aca="false">AVERAGE(E350:E449)</f>
        <v>14735.9857</v>
      </c>
      <c r="L449" s="7" t="n">
        <f aca="false">AVERAGE(E250:E449)</f>
        <v>14012.0176</v>
      </c>
      <c r="M449" s="7" t="n">
        <f aca="false">I449</f>
        <v>15043.672</v>
      </c>
      <c r="N449" s="7" t="n">
        <f aca="false">I449+2*STDEV(E430:E449)</f>
        <v>15683.8261526062</v>
      </c>
      <c r="O449" s="7" t="n">
        <f aca="false">I449-2*STDEV(E430:E449)</f>
        <v>14403.5178473938</v>
      </c>
      <c r="P449" s="7" t="n">
        <f aca="false">MAX(E449-E448,0)</f>
        <v>0</v>
      </c>
      <c r="Q449" s="7" t="n">
        <f aca="false">MAX(E448-E449,0)</f>
        <v>76.3799999999992</v>
      </c>
      <c r="R449" s="7" t="n">
        <f aca="false">(R448*13+P449)/14</f>
        <v>52.8519627420116</v>
      </c>
      <c r="S449" s="7" t="n">
        <f aca="false">(S448*13+Q449)/14</f>
        <v>68.7534920285553</v>
      </c>
      <c r="T449" s="7" t="n">
        <f aca="false">IF(S449=0,100,100-100/(1+R449/S449))</f>
        <v>43.4618355251641</v>
      </c>
      <c r="U449" s="7" t="n">
        <f aca="false">E449*2/13+U448*11/13</f>
        <v>14875.0005451076</v>
      </c>
      <c r="V449" s="7" t="n">
        <f aca="false">E449*2/27+V448*25/27</f>
        <v>15022.4265704695</v>
      </c>
      <c r="W449" s="7" t="n">
        <f aca="false">U449-V449</f>
        <v>-147.426025361841</v>
      </c>
      <c r="X449" s="7" t="n">
        <f aca="false">W449*2/10+X448*8/10</f>
        <v>-118.757257222463</v>
      </c>
      <c r="Y449" s="7" t="n">
        <f aca="false">W449-X449</f>
        <v>-28.668768139378</v>
      </c>
      <c r="Z449" s="8" t="s">
        <v>42</v>
      </c>
      <c r="AA449" s="7" t="str">
        <f aca="false">IFERROR(INDEX(02_轉折點45!B:B,MATCH(A449,02_轉折點45!A:A,0)),"")</f>
        <v/>
      </c>
      <c r="AB449" s="7" t="n">
        <f aca="false">COUNTIFS(05_訊號明細!A:A,A449,05_訊號明細!C:C,"TOP")</f>
        <v>0</v>
      </c>
      <c r="AC449" s="7" t="n">
        <f aca="false">COUNTIFS(05_訊號明細!A:A,A449,05_訊號明細!C:C,"BOTTOM")</f>
        <v>0</v>
      </c>
    </row>
    <row r="450" customFormat="false" ht="15" hidden="false" customHeight="false" outlineLevel="0" collapsed="false">
      <c r="A450" s="7" t="s">
        <v>491</v>
      </c>
      <c r="B450" s="7" t="n">
        <v>14765.69</v>
      </c>
      <c r="C450" s="7" t="n">
        <v>14907.57</v>
      </c>
      <c r="D450" s="7" t="n">
        <v>14709.05</v>
      </c>
      <c r="E450" s="7" t="n">
        <v>14713.73</v>
      </c>
      <c r="F450" s="7" t="n">
        <v>3540</v>
      </c>
      <c r="G450" s="7" t="n">
        <f aca="false">AVERAGE(E446:E450)</f>
        <v>14774.502</v>
      </c>
      <c r="H450" s="7" t="n">
        <f aca="false">AVERAGE(E441:E450)</f>
        <v>14734.931</v>
      </c>
      <c r="I450" s="7" t="n">
        <f aca="false">AVERAGE(E431:E450)</f>
        <v>15007.6335</v>
      </c>
      <c r="J450" s="7" t="n">
        <f aca="false">AVERAGE(E401:E450)</f>
        <v>15171.2064</v>
      </c>
      <c r="K450" s="7" t="n">
        <f aca="false">AVERAGE(E351:E450)</f>
        <v>14750.7439</v>
      </c>
      <c r="L450" s="7" t="n">
        <f aca="false">AVERAGE(E251:E450)</f>
        <v>14022.32055</v>
      </c>
      <c r="M450" s="7" t="n">
        <f aca="false">I450</f>
        <v>15007.6335</v>
      </c>
      <c r="N450" s="7" t="n">
        <f aca="false">I450+2*STDEV(E431:E450)</f>
        <v>15636.1952817233</v>
      </c>
      <c r="O450" s="7" t="n">
        <f aca="false">I450-2*STDEV(E431:E450)</f>
        <v>14379.0717182767</v>
      </c>
      <c r="P450" s="7" t="n">
        <f aca="false">MAX(E450-E449,0)</f>
        <v>0</v>
      </c>
      <c r="Q450" s="7" t="n">
        <f aca="false">MAX(E449-E450,0)</f>
        <v>107.02</v>
      </c>
      <c r="R450" s="7" t="n">
        <f aca="false">(R449*13+P450)/14</f>
        <v>49.0768225461536</v>
      </c>
      <c r="S450" s="7" t="n">
        <f aca="false">(S449*13+Q450)/14</f>
        <v>71.4868140265157</v>
      </c>
      <c r="T450" s="7" t="n">
        <f aca="false">IF(S450=0,100,100-100/(1+R450/S450))</f>
        <v>40.7061564674791</v>
      </c>
      <c r="U450" s="7" t="n">
        <f aca="false">E450*2/13+U449*11/13</f>
        <v>14850.1896920142</v>
      </c>
      <c r="V450" s="7" t="n">
        <f aca="false">E450*2/27+V449*25/27</f>
        <v>14999.5601578421</v>
      </c>
      <c r="W450" s="7" t="n">
        <f aca="false">U450-V450</f>
        <v>-149.370465827955</v>
      </c>
      <c r="X450" s="7" t="n">
        <f aca="false">W450*2/10+X449*8/10</f>
        <v>-124.879898943562</v>
      </c>
      <c r="Y450" s="7" t="n">
        <f aca="false">W450-X450</f>
        <v>-24.4905668843933</v>
      </c>
      <c r="Z450" s="8" t="s">
        <v>42</v>
      </c>
      <c r="AA450" s="7" t="str">
        <f aca="false">IFERROR(INDEX(02_轉折點45!B:B,MATCH(A450,02_轉折點45!A:A,0)),"")</f>
        <v/>
      </c>
      <c r="AB450" s="7" t="n">
        <f aca="false">COUNTIFS(05_訊號明細!A:A,A450,05_訊號明細!C:C,"TOP")</f>
        <v>1</v>
      </c>
      <c r="AC450" s="7" t="n">
        <f aca="false">COUNTIFS(05_訊號明細!A:A,A450,05_訊號明細!C:C,"BOTTOM")</f>
        <v>0</v>
      </c>
    </row>
    <row r="451" customFormat="false" ht="15" hidden="false" customHeight="false" outlineLevel="0" collapsed="false">
      <c r="A451" s="7" t="s">
        <v>492</v>
      </c>
      <c r="B451" s="7" t="n">
        <v>14772.29</v>
      </c>
      <c r="C451" s="7" t="n">
        <v>14784.78</v>
      </c>
      <c r="D451" s="7" t="n">
        <v>14636.33</v>
      </c>
      <c r="E451" s="7" t="n">
        <v>14662.11</v>
      </c>
      <c r="F451" s="7" t="n">
        <v>4064</v>
      </c>
      <c r="G451" s="7" t="n">
        <f aca="false">AVERAGE(E447:E451)</f>
        <v>14772.094</v>
      </c>
      <c r="H451" s="7" t="n">
        <f aca="false">AVERAGE(E442:E451)</f>
        <v>14724.112</v>
      </c>
      <c r="I451" s="7" t="n">
        <f aca="false">AVERAGE(E432:E451)</f>
        <v>14971.594</v>
      </c>
      <c r="J451" s="7" t="n">
        <f aca="false">AVERAGE(E402:E451)</f>
        <v>15165.1762</v>
      </c>
      <c r="K451" s="7" t="n">
        <f aca="false">AVERAGE(E352:E451)</f>
        <v>14762.4241</v>
      </c>
      <c r="L451" s="7" t="n">
        <f aca="false">AVERAGE(E252:E451)</f>
        <v>14032.07605</v>
      </c>
      <c r="M451" s="7" t="n">
        <f aca="false">I451</f>
        <v>14971.594</v>
      </c>
      <c r="N451" s="7" t="n">
        <f aca="false">I451+2*STDEV(E432:E451)</f>
        <v>15592.1644880749</v>
      </c>
      <c r="O451" s="7" t="n">
        <f aca="false">I451-2*STDEV(E432:E451)</f>
        <v>14351.0235119251</v>
      </c>
      <c r="P451" s="7" t="n">
        <f aca="false">MAX(E451-E450,0)</f>
        <v>0</v>
      </c>
      <c r="Q451" s="7" t="n">
        <f aca="false">MAX(E450-E451,0)</f>
        <v>51.619999999999</v>
      </c>
      <c r="R451" s="7" t="n">
        <f aca="false">(R450*13+P451)/14</f>
        <v>45.5713352214284</v>
      </c>
      <c r="S451" s="7" t="n">
        <f aca="false">(S450*13+Q451)/14</f>
        <v>70.0677558817645</v>
      </c>
      <c r="T451" s="7" t="n">
        <f aca="false">IF(S451=0,100,100-100/(1+R451/S451))</f>
        <v>39.4082440346767</v>
      </c>
      <c r="U451" s="7" t="n">
        <f aca="false">E451*2/13+U450*11/13</f>
        <v>14821.2543547812</v>
      </c>
      <c r="V451" s="7" t="n">
        <f aca="false">E451*2/27+V450*25/27</f>
        <v>14974.5638498538</v>
      </c>
      <c r="W451" s="7" t="n">
        <f aca="false">U451-V451</f>
        <v>-153.309495072595</v>
      </c>
      <c r="X451" s="7" t="n">
        <f aca="false">W451*2/10+X450*8/10</f>
        <v>-130.565818169368</v>
      </c>
      <c r="Y451" s="7" t="n">
        <f aca="false">W451-X451</f>
        <v>-22.7436769032271</v>
      </c>
      <c r="Z451" s="8" t="s">
        <v>42</v>
      </c>
      <c r="AA451" s="7" t="str">
        <f aca="false">IFERROR(INDEX(02_轉折點45!B:B,MATCH(A451,02_轉折點45!A:A,0)),"")</f>
        <v/>
      </c>
      <c r="AB451" s="7" t="n">
        <f aca="false">COUNTIFS(05_訊號明細!A:A,A451,05_訊號明細!C:C,"TOP")</f>
        <v>0</v>
      </c>
      <c r="AC451" s="7" t="n">
        <f aca="false">COUNTIFS(05_訊號明細!A:A,A451,05_訊號明細!C:C,"BOTTOM")</f>
        <v>0</v>
      </c>
    </row>
    <row r="452" customFormat="false" ht="15" hidden="false" customHeight="false" outlineLevel="0" collapsed="false">
      <c r="A452" s="7" t="s">
        <v>493</v>
      </c>
      <c r="B452" s="7" t="n">
        <v>14751.8</v>
      </c>
      <c r="C452" s="7" t="n">
        <v>14800.83</v>
      </c>
      <c r="D452" s="7" t="n">
        <v>14676.58</v>
      </c>
      <c r="E452" s="7" t="n">
        <v>14774.6</v>
      </c>
      <c r="F452" s="7" t="n">
        <v>4054</v>
      </c>
      <c r="G452" s="7" t="n">
        <f aca="false">AVERAGE(E448:E452)</f>
        <v>14773.664</v>
      </c>
      <c r="H452" s="7" t="n">
        <f aca="false">AVERAGE(E443:E452)</f>
        <v>14726.283</v>
      </c>
      <c r="I452" s="7" t="n">
        <f aca="false">AVERAGE(E433:E452)</f>
        <v>14935.1475</v>
      </c>
      <c r="J452" s="7" t="n">
        <f aca="false">AVERAGE(E403:E452)</f>
        <v>15159.4398</v>
      </c>
      <c r="K452" s="7" t="n">
        <f aca="false">AVERAGE(E353:E452)</f>
        <v>14776.0527</v>
      </c>
      <c r="L452" s="7" t="n">
        <f aca="false">AVERAGE(E253:E452)</f>
        <v>14041.75475</v>
      </c>
      <c r="M452" s="7" t="n">
        <f aca="false">I452</f>
        <v>14935.1475</v>
      </c>
      <c r="N452" s="7" t="n">
        <f aca="false">I452+2*STDEV(E433:E452)</f>
        <v>15507.9605955161</v>
      </c>
      <c r="O452" s="7" t="n">
        <f aca="false">I452-2*STDEV(E433:E452)</f>
        <v>14362.3344044839</v>
      </c>
      <c r="P452" s="7" t="n">
        <f aca="false">MAX(E452-E451,0)</f>
        <v>112.49</v>
      </c>
      <c r="Q452" s="7" t="n">
        <f aca="false">MAX(E451-E452,0)</f>
        <v>0</v>
      </c>
      <c r="R452" s="7" t="n">
        <f aca="false">(R451*13+P452)/14</f>
        <v>50.3512398484692</v>
      </c>
      <c r="S452" s="7" t="n">
        <f aca="false">(S451*13+Q452)/14</f>
        <v>65.0629161759241</v>
      </c>
      <c r="T452" s="7" t="n">
        <f aca="false">IF(S452=0,100,100-100/(1+R452/S452))</f>
        <v>43.6265719759951</v>
      </c>
      <c r="U452" s="7" t="n">
        <f aca="false">E452*2/13+U451*11/13</f>
        <v>14814.0767617379</v>
      </c>
      <c r="V452" s="7" t="n">
        <f aca="false">E452*2/27+V451*25/27</f>
        <v>14959.7517128276</v>
      </c>
      <c r="W452" s="7" t="n">
        <f aca="false">U452-V452</f>
        <v>-145.674951089652</v>
      </c>
      <c r="X452" s="7" t="n">
        <f aca="false">W452*2/10+X451*8/10</f>
        <v>-133.587644753425</v>
      </c>
      <c r="Y452" s="7" t="n">
        <f aca="false">W452-X452</f>
        <v>-12.0873063362266</v>
      </c>
      <c r="Z452" s="8" t="s">
        <v>42</v>
      </c>
      <c r="AA452" s="7" t="str">
        <f aca="false">IFERROR(INDEX(02_轉折點45!B:B,MATCH(A452,02_轉折點45!A:A,0)),"")</f>
        <v/>
      </c>
      <c r="AB452" s="7" t="n">
        <f aca="false">COUNTIFS(05_訊號明細!A:A,A452,05_訊號明細!C:C,"TOP")</f>
        <v>0</v>
      </c>
      <c r="AC452" s="7" t="n">
        <f aca="false">COUNTIFS(05_訊號明細!A:A,A452,05_訊號明細!C:C,"BOTTOM")</f>
        <v>0</v>
      </c>
    </row>
    <row r="453" customFormat="false" ht="15" hidden="false" customHeight="false" outlineLevel="0" collapsed="false">
      <c r="A453" s="7" t="s">
        <v>494</v>
      </c>
      <c r="B453" s="7" t="n">
        <v>14925.58</v>
      </c>
      <c r="C453" s="7" t="n">
        <v>15059.89</v>
      </c>
      <c r="D453" s="7" t="n">
        <v>14901.59</v>
      </c>
      <c r="E453" s="7" t="n">
        <v>15052.42</v>
      </c>
      <c r="F453" s="7" t="n">
        <v>4262</v>
      </c>
      <c r="G453" s="7" t="n">
        <f aca="false">AVERAGE(E449:E453)</f>
        <v>14804.722</v>
      </c>
      <c r="H453" s="7" t="n">
        <f aca="false">AVERAGE(E444:E453)</f>
        <v>14762.563</v>
      </c>
      <c r="I453" s="7" t="n">
        <f aca="false">AVERAGE(E434:E453)</f>
        <v>14911.973</v>
      </c>
      <c r="J453" s="7" t="n">
        <f aca="false">AVERAGE(E404:E453)</f>
        <v>15158.8204</v>
      </c>
      <c r="K453" s="7" t="n">
        <f aca="false">AVERAGE(E354:E453)</f>
        <v>14790.1594</v>
      </c>
      <c r="L453" s="7" t="n">
        <f aca="false">AVERAGE(E254:E453)</f>
        <v>14052.7994</v>
      </c>
      <c r="M453" s="7" t="n">
        <f aca="false">I453</f>
        <v>14911.973</v>
      </c>
      <c r="N453" s="7" t="n">
        <f aca="false">I453+2*STDEV(E434:E453)</f>
        <v>15419.6554764441</v>
      </c>
      <c r="O453" s="7" t="n">
        <f aca="false">I453-2*STDEV(E434:E453)</f>
        <v>14404.2905235559</v>
      </c>
      <c r="P453" s="7" t="n">
        <f aca="false">MAX(E453-E452,0)</f>
        <v>277.82</v>
      </c>
      <c r="Q453" s="7" t="n">
        <f aca="false">MAX(E452-E453,0)</f>
        <v>0</v>
      </c>
      <c r="R453" s="7" t="n">
        <f aca="false">(R452*13+P453)/14</f>
        <v>66.5990084307214</v>
      </c>
      <c r="S453" s="7" t="n">
        <f aca="false">(S452*13+Q453)/14</f>
        <v>60.415565020501</v>
      </c>
      <c r="T453" s="7" t="n">
        <f aca="false">IF(S453=0,100,100-100/(1+R453/S453))</f>
        <v>52.4341472172069</v>
      </c>
      <c r="U453" s="7" t="n">
        <f aca="false">E453*2/13+U452*11/13</f>
        <v>14850.7449522398</v>
      </c>
      <c r="V453" s="7" t="n">
        <f aca="false">E453*2/27+V452*25/27</f>
        <v>14966.6160303959</v>
      </c>
      <c r="W453" s="7" t="n">
        <f aca="false">U453-V453</f>
        <v>-115.871078156124</v>
      </c>
      <c r="X453" s="7" t="n">
        <f aca="false">W453*2/10+X452*8/10</f>
        <v>-130.044331433965</v>
      </c>
      <c r="Y453" s="7" t="n">
        <f aca="false">W453-X453</f>
        <v>14.1732532778408</v>
      </c>
      <c r="Z453" s="8" t="s">
        <v>42</v>
      </c>
      <c r="AA453" s="7" t="str">
        <f aca="false">IFERROR(INDEX(02_轉折點45!B:B,MATCH(A453,02_轉折點45!A:A,0)),"")</f>
        <v/>
      </c>
      <c r="AB453" s="7" t="n">
        <f aca="false">COUNTIFS(05_訊號明細!A:A,A453,05_訊號明細!C:C,"TOP")</f>
        <v>2</v>
      </c>
      <c r="AC453" s="7" t="n">
        <f aca="false">COUNTIFS(05_訊號明細!A:A,A453,05_訊號明細!C:C,"BOTTOM")</f>
        <v>0</v>
      </c>
    </row>
    <row r="454" customFormat="false" ht="15" hidden="false" customHeight="false" outlineLevel="0" collapsed="false">
      <c r="A454" s="7" t="s">
        <v>495</v>
      </c>
      <c r="B454" s="7" t="n">
        <v>15106.97</v>
      </c>
      <c r="C454" s="7" t="n">
        <v>15150.14</v>
      </c>
      <c r="D454" s="7" t="n">
        <v>15064.59</v>
      </c>
      <c r="E454" s="7" t="n">
        <v>15146.92</v>
      </c>
      <c r="F454" s="7" t="n">
        <v>4494</v>
      </c>
      <c r="G454" s="7" t="n">
        <f aca="false">AVERAGE(E450:E454)</f>
        <v>14869.956</v>
      </c>
      <c r="H454" s="7" t="n">
        <f aca="false">AVERAGE(E445:E454)</f>
        <v>14798.068</v>
      </c>
      <c r="I454" s="7" t="n">
        <f aca="false">AVERAGE(E435:E454)</f>
        <v>14902.6455</v>
      </c>
      <c r="J454" s="7" t="n">
        <f aca="false">AVERAGE(E405:E454)</f>
        <v>15158.126</v>
      </c>
      <c r="K454" s="7" t="n">
        <f aca="false">AVERAGE(E355:E454)</f>
        <v>14805.0513</v>
      </c>
      <c r="L454" s="7" t="n">
        <f aca="false">AVERAGE(E255:E454)</f>
        <v>14064.3072</v>
      </c>
      <c r="M454" s="7" t="n">
        <f aca="false">I454</f>
        <v>14902.6455</v>
      </c>
      <c r="N454" s="7" t="n">
        <f aca="false">I454+2*STDEV(E435:E454)</f>
        <v>15383.8878477221</v>
      </c>
      <c r="O454" s="7" t="n">
        <f aca="false">I454-2*STDEV(E435:E454)</f>
        <v>14421.4031522779</v>
      </c>
      <c r="P454" s="7" t="n">
        <f aca="false">MAX(E454-E453,0)</f>
        <v>94.5</v>
      </c>
      <c r="Q454" s="7" t="n">
        <f aca="false">MAX(E453-E454,0)</f>
        <v>0</v>
      </c>
      <c r="R454" s="7" t="n">
        <f aca="false">(R453*13+P454)/14</f>
        <v>68.5919363999555</v>
      </c>
      <c r="S454" s="7" t="n">
        <f aca="false">(S453*13+Q454)/14</f>
        <v>56.1001675190366</v>
      </c>
      <c r="T454" s="7" t="n">
        <f aca="false">IF(S454=0,100,100-100/(1+R454/S454))</f>
        <v>55.009045676635</v>
      </c>
      <c r="U454" s="7" t="n">
        <f aca="false">E454*2/13+U453*11/13</f>
        <v>14896.3103442029</v>
      </c>
      <c r="V454" s="7" t="n">
        <f aca="false">E454*2/27+V453*25/27</f>
        <v>14979.9718799962</v>
      </c>
      <c r="W454" s="7" t="n">
        <f aca="false">U454-V454</f>
        <v>-83.6615357933188</v>
      </c>
      <c r="X454" s="7" t="n">
        <f aca="false">W454*2/10+X453*8/10</f>
        <v>-120.767772305836</v>
      </c>
      <c r="Y454" s="7" t="n">
        <f aca="false">W454-X454</f>
        <v>37.1062365125168</v>
      </c>
      <c r="Z454" s="8" t="s">
        <v>42</v>
      </c>
      <c r="AA454" s="7" t="str">
        <f aca="false">IFERROR(INDEX(02_轉折點45!B:B,MATCH(A454,02_轉折點45!A:A,0)),"")</f>
        <v/>
      </c>
      <c r="AB454" s="7" t="n">
        <f aca="false">COUNTIFS(05_訊號明細!A:A,A454,05_訊號明細!C:C,"TOP")</f>
        <v>0</v>
      </c>
      <c r="AC454" s="7" t="n">
        <f aca="false">COUNTIFS(05_訊號明細!A:A,A454,05_訊號明細!C:C,"BOTTOM")</f>
        <v>0</v>
      </c>
    </row>
    <row r="455" customFormat="false" ht="15" hidden="false" customHeight="false" outlineLevel="0" collapsed="false">
      <c r="A455" s="7" t="s">
        <v>496</v>
      </c>
      <c r="B455" s="7" t="n">
        <v>15091.58</v>
      </c>
      <c r="C455" s="7" t="n">
        <v>15307.51</v>
      </c>
      <c r="D455" s="7" t="n">
        <v>15074.71</v>
      </c>
      <c r="E455" s="7" t="n">
        <v>15300.89</v>
      </c>
      <c r="F455" s="7" t="n">
        <v>4168</v>
      </c>
      <c r="G455" s="7" t="n">
        <f aca="false">AVERAGE(E451:E455)</f>
        <v>14987.388</v>
      </c>
      <c r="H455" s="7" t="n">
        <f aca="false">AVERAGE(E446:E455)</f>
        <v>14880.945</v>
      </c>
      <c r="I455" s="7" t="n">
        <f aca="false">AVERAGE(E436:E455)</f>
        <v>14917.0805</v>
      </c>
      <c r="J455" s="7" t="n">
        <f aca="false">AVERAGE(E406:E455)</f>
        <v>15161.9566</v>
      </c>
      <c r="K455" s="7" t="n">
        <f aca="false">AVERAGE(E356:E455)</f>
        <v>14821.0328</v>
      </c>
      <c r="L455" s="7" t="n">
        <f aca="false">AVERAGE(E256:E455)</f>
        <v>14076.37025</v>
      </c>
      <c r="M455" s="7" t="n">
        <f aca="false">I455</f>
        <v>14917.0805</v>
      </c>
      <c r="N455" s="7" t="n">
        <f aca="false">I455+2*STDEV(E436:E455)</f>
        <v>15428.5291621754</v>
      </c>
      <c r="O455" s="7" t="n">
        <f aca="false">I455-2*STDEV(E436:E455)</f>
        <v>14405.6318378246</v>
      </c>
      <c r="P455" s="7" t="n">
        <f aca="false">MAX(E455-E454,0)</f>
        <v>153.969999999999</v>
      </c>
      <c r="Q455" s="7" t="n">
        <f aca="false">MAX(E454-E455,0)</f>
        <v>0</v>
      </c>
      <c r="R455" s="7" t="n">
        <f aca="false">(R454*13+P455)/14</f>
        <v>74.6903695142444</v>
      </c>
      <c r="S455" s="7" t="n">
        <f aca="false">(S454*13+Q455)/14</f>
        <v>52.0930126962483</v>
      </c>
      <c r="T455" s="7" t="n">
        <f aca="false">IF(S455=0,100,100-100/(1+R455/S455))</f>
        <v>58.911797596817</v>
      </c>
      <c r="U455" s="7" t="n">
        <f aca="false">E455*2/13+U454*11/13</f>
        <v>14958.5533681717</v>
      </c>
      <c r="V455" s="7" t="n">
        <f aca="false">E455*2/27+V454*25/27</f>
        <v>15003.7435925891</v>
      </c>
      <c r="W455" s="7" t="n">
        <f aca="false">U455-V455</f>
        <v>-45.1902244174034</v>
      </c>
      <c r="X455" s="7" t="n">
        <f aca="false">W455*2/10+X454*8/10</f>
        <v>-105.652262728149</v>
      </c>
      <c r="Y455" s="7" t="n">
        <f aca="false">W455-X455</f>
        <v>60.4620383107457</v>
      </c>
      <c r="Z455" s="8" t="s">
        <v>42</v>
      </c>
      <c r="AA455" s="7" t="str">
        <f aca="false">IFERROR(INDEX(02_轉折點45!B:B,MATCH(A455,02_轉折點45!A:A,0)),"")</f>
        <v/>
      </c>
      <c r="AB455" s="7" t="n">
        <f aca="false">COUNTIFS(05_訊號明細!A:A,A455,05_訊號明細!C:C,"TOP")</f>
        <v>0</v>
      </c>
      <c r="AC455" s="7" t="n">
        <f aca="false">COUNTIFS(05_訊號明細!A:A,A455,05_訊號明細!C:C,"BOTTOM")</f>
        <v>0</v>
      </c>
    </row>
    <row r="456" customFormat="false" ht="15" hidden="false" customHeight="false" outlineLevel="0" collapsed="false">
      <c r="A456" s="7" t="s">
        <v>497</v>
      </c>
      <c r="B456" s="7" t="n">
        <v>15349.45</v>
      </c>
      <c r="C456" s="7" t="n">
        <v>15414.97</v>
      </c>
      <c r="D456" s="7" t="n">
        <v>15320.62</v>
      </c>
      <c r="E456" s="7" t="n">
        <v>15410.72</v>
      </c>
      <c r="F456" s="7" t="n">
        <v>4483</v>
      </c>
      <c r="G456" s="7" t="n">
        <f aca="false">AVERAGE(E452:E456)</f>
        <v>15137.11</v>
      </c>
      <c r="H456" s="7" t="n">
        <f aca="false">AVERAGE(E447:E456)</f>
        <v>14954.602</v>
      </c>
      <c r="I456" s="7" t="n">
        <f aca="false">AVERAGE(E437:E456)</f>
        <v>14936.228</v>
      </c>
      <c r="J456" s="7" t="n">
        <f aca="false">AVERAGE(E407:E456)</f>
        <v>15167.5088</v>
      </c>
      <c r="K456" s="7" t="n">
        <f aca="false">AVERAGE(E357:E456)</f>
        <v>14838.5615</v>
      </c>
      <c r="L456" s="7" t="n">
        <f aca="false">AVERAGE(E257:E456)</f>
        <v>14089.95055</v>
      </c>
      <c r="M456" s="7" t="n">
        <f aca="false">I456</f>
        <v>14936.228</v>
      </c>
      <c r="N456" s="7" t="n">
        <f aca="false">I456+2*STDEV(E437:E456)</f>
        <v>15491.8876823161</v>
      </c>
      <c r="O456" s="7" t="n">
        <f aca="false">I456-2*STDEV(E437:E456)</f>
        <v>14380.5683176839</v>
      </c>
      <c r="P456" s="7" t="n">
        <f aca="false">MAX(E456-E455,0)</f>
        <v>109.83</v>
      </c>
      <c r="Q456" s="7" t="n">
        <f aca="false">MAX(E455-E456,0)</f>
        <v>0</v>
      </c>
      <c r="R456" s="7" t="n">
        <f aca="false">(R455*13+P456)/14</f>
        <v>77.2003431203698</v>
      </c>
      <c r="S456" s="7" t="n">
        <f aca="false">(S455*13+Q456)/14</f>
        <v>48.3720832179449</v>
      </c>
      <c r="T456" s="7" t="n">
        <f aca="false">IF(S456=0,100,100-100/(1+R456/S456))</f>
        <v>61.4787381047956</v>
      </c>
      <c r="U456" s="7" t="n">
        <f aca="false">E456*2/13+U455*11/13</f>
        <v>15028.117465376</v>
      </c>
      <c r="V456" s="7" t="n">
        <f aca="false">E456*2/27+V455*25/27</f>
        <v>15033.8899931381</v>
      </c>
      <c r="W456" s="7" t="n">
        <f aca="false">U456-V456</f>
        <v>-5.77252776200476</v>
      </c>
      <c r="X456" s="7" t="n">
        <f aca="false">W456*2/10+X455*8/10</f>
        <v>-85.6763157349203</v>
      </c>
      <c r="Y456" s="7" t="n">
        <f aca="false">W456-X456</f>
        <v>79.9037879729155</v>
      </c>
      <c r="Z456" s="8" t="s">
        <v>42</v>
      </c>
      <c r="AA456" s="7" t="str">
        <f aca="false">IFERROR(INDEX(02_轉折點45!B:B,MATCH(A456,02_轉折點45!A:A,0)),"")</f>
        <v/>
      </c>
      <c r="AB456" s="7" t="n">
        <f aca="false">COUNTIFS(05_訊號明細!A:A,A456,05_訊號明細!C:C,"TOP")</f>
        <v>0</v>
      </c>
      <c r="AC456" s="7" t="n">
        <f aca="false">COUNTIFS(05_訊號明細!A:A,A456,05_訊號明細!C:C,"BOTTOM")</f>
        <v>0</v>
      </c>
    </row>
    <row r="457" customFormat="false" ht="15" hidden="false" customHeight="false" outlineLevel="0" collapsed="false">
      <c r="A457" s="7" t="s">
        <v>498</v>
      </c>
      <c r="B457" s="7" t="n">
        <v>15448</v>
      </c>
      <c r="C457" s="7" t="n">
        <v>15457.11</v>
      </c>
      <c r="D457" s="7" t="n">
        <v>15333.43</v>
      </c>
      <c r="E457" s="7" t="n">
        <v>15388.71</v>
      </c>
      <c r="F457" s="7" t="n">
        <v>4117</v>
      </c>
      <c r="G457" s="7" t="n">
        <f aca="false">AVERAGE(E453:E457)</f>
        <v>15259.932</v>
      </c>
      <c r="H457" s="7" t="n">
        <f aca="false">AVERAGE(E448:E457)</f>
        <v>15016.798</v>
      </c>
      <c r="I457" s="7" t="n">
        <f aca="false">AVERAGE(E438:E457)</f>
        <v>14946.838</v>
      </c>
      <c r="J457" s="7" t="n">
        <f aca="false">AVERAGE(E408:E457)</f>
        <v>15174.2114</v>
      </c>
      <c r="K457" s="7" t="n">
        <f aca="false">AVERAGE(E358:E457)</f>
        <v>14855.5835</v>
      </c>
      <c r="L457" s="7" t="n">
        <f aca="false">AVERAGE(E258:E457)</f>
        <v>14102.8822</v>
      </c>
      <c r="M457" s="7" t="n">
        <f aca="false">I457</f>
        <v>14946.838</v>
      </c>
      <c r="N457" s="7" t="n">
        <f aca="false">I457+2*STDEV(E438:E457)</f>
        <v>15529.2742754246</v>
      </c>
      <c r="O457" s="7" t="n">
        <f aca="false">I457-2*STDEV(E438:E457)</f>
        <v>14364.4017245754</v>
      </c>
      <c r="P457" s="7" t="n">
        <f aca="false">MAX(E457-E456,0)</f>
        <v>0</v>
      </c>
      <c r="Q457" s="7" t="n">
        <f aca="false">MAX(E456-E457,0)</f>
        <v>22.0100000000002</v>
      </c>
      <c r="R457" s="7" t="n">
        <f aca="false">(R456*13+P457)/14</f>
        <v>71.6860328974862</v>
      </c>
      <c r="S457" s="7" t="n">
        <f aca="false">(S456*13+Q457)/14</f>
        <v>46.489077273806</v>
      </c>
      <c r="T457" s="7" t="n">
        <f aca="false">IF(S457=0,100,100-100/(1+R457/S457))</f>
        <v>60.6608555672839</v>
      </c>
      <c r="U457" s="7" t="n">
        <f aca="false">E457*2/13+U456*11/13</f>
        <v>15083.5932399336</v>
      </c>
      <c r="V457" s="7" t="n">
        <f aca="false">E457*2/27+V456*25/27</f>
        <v>15060.1729566093</v>
      </c>
      <c r="W457" s="7" t="n">
        <f aca="false">U457-V457</f>
        <v>23.4202833242725</v>
      </c>
      <c r="X457" s="7" t="n">
        <f aca="false">W457*2/10+X456*8/10</f>
        <v>-63.8569959230817</v>
      </c>
      <c r="Y457" s="7" t="n">
        <f aca="false">W457-X457</f>
        <v>87.2772792473542</v>
      </c>
      <c r="Z457" s="8" t="s">
        <v>42</v>
      </c>
      <c r="AA457" s="7" t="str">
        <f aca="false">IFERROR(INDEX(02_轉折點45!B:B,MATCH(A457,02_轉折點45!A:A,0)),"")</f>
        <v/>
      </c>
      <c r="AB457" s="7" t="n">
        <f aca="false">COUNTIFS(05_訊號明細!A:A,A457,05_訊號明細!C:C,"TOP")</f>
        <v>0</v>
      </c>
      <c r="AC457" s="7" t="n">
        <f aca="false">COUNTIFS(05_訊號明細!A:A,A457,05_訊號明細!C:C,"BOTTOM")</f>
        <v>0</v>
      </c>
    </row>
    <row r="458" customFormat="false" ht="15" hidden="false" customHeight="false" outlineLevel="0" collapsed="false">
      <c r="A458" s="7" t="s">
        <v>499</v>
      </c>
      <c r="B458" s="7" t="n">
        <v>15365.81</v>
      </c>
      <c r="C458" s="7" t="n">
        <v>15497.58</v>
      </c>
      <c r="D458" s="7" t="n">
        <v>15350.5</v>
      </c>
      <c r="E458" s="7" t="n">
        <v>15489.59</v>
      </c>
      <c r="F458" s="7" t="n">
        <v>4962</v>
      </c>
      <c r="G458" s="7" t="n">
        <f aca="false">AVERAGE(E454:E458)</f>
        <v>15347.366</v>
      </c>
      <c r="H458" s="7" t="n">
        <f aca="false">AVERAGE(E449:E458)</f>
        <v>15076.044</v>
      </c>
      <c r="I458" s="7" t="n">
        <f aca="false">AVERAGE(E439:E458)</f>
        <v>14955.4885</v>
      </c>
      <c r="J458" s="7" t="n">
        <f aca="false">AVERAGE(E409:E458)</f>
        <v>15183.448</v>
      </c>
      <c r="K458" s="7" t="n">
        <f aca="false">AVERAGE(E359:E458)</f>
        <v>14873.9335</v>
      </c>
      <c r="L458" s="7" t="n">
        <f aca="false">AVERAGE(E259:E458)</f>
        <v>14117.2134</v>
      </c>
      <c r="M458" s="7" t="n">
        <f aca="false">I458</f>
        <v>14955.4885</v>
      </c>
      <c r="N458" s="7" t="n">
        <f aca="false">I458+2*STDEV(E439:E458)</f>
        <v>15565.5318176777</v>
      </c>
      <c r="O458" s="7" t="n">
        <f aca="false">I458-2*STDEV(E439:E458)</f>
        <v>14345.4451823223</v>
      </c>
      <c r="P458" s="7" t="n">
        <f aca="false">MAX(E458-E457,0)</f>
        <v>100.880000000001</v>
      </c>
      <c r="Q458" s="7" t="n">
        <f aca="false">MAX(E457-E458,0)</f>
        <v>0</v>
      </c>
      <c r="R458" s="7" t="n">
        <f aca="false">(R457*13+P458)/14</f>
        <v>73.7713162619516</v>
      </c>
      <c r="S458" s="7" t="n">
        <f aca="false">(S457*13+Q458)/14</f>
        <v>43.1684288971055</v>
      </c>
      <c r="T458" s="7" t="n">
        <f aca="false">IF(S458=0,100,100-100/(1+R458/S458))</f>
        <v>63.0848956970195</v>
      </c>
      <c r="U458" s="7" t="n">
        <f aca="false">E458*2/13+U457*11/13</f>
        <v>15146.0542799438</v>
      </c>
      <c r="V458" s="7" t="n">
        <f aca="false">E458*2/27+V457*25/27</f>
        <v>15091.9816264901</v>
      </c>
      <c r="W458" s="7" t="n">
        <f aca="false">U458-V458</f>
        <v>54.0726534537007</v>
      </c>
      <c r="X458" s="7" t="n">
        <f aca="false">W458*2/10+X457*8/10</f>
        <v>-40.2710660477252</v>
      </c>
      <c r="Y458" s="7" t="n">
        <f aca="false">W458-X458</f>
        <v>94.3437195014259</v>
      </c>
      <c r="Z458" s="8" t="s">
        <v>42</v>
      </c>
      <c r="AA458" s="7" t="str">
        <f aca="false">IFERROR(INDEX(02_轉折點45!B:B,MATCH(A458,02_轉折點45!A:A,0)),"")</f>
        <v/>
      </c>
      <c r="AB458" s="7" t="n">
        <f aca="false">COUNTIFS(05_訊號明細!A:A,A458,05_訊號明細!C:C,"TOP")</f>
        <v>0</v>
      </c>
      <c r="AC458" s="7" t="n">
        <f aca="false">COUNTIFS(05_訊號明細!A:A,A458,05_訊號明細!C:C,"BOTTOM")</f>
        <v>0</v>
      </c>
    </row>
    <row r="459" customFormat="false" ht="15" hidden="false" customHeight="false" outlineLevel="0" collapsed="false">
      <c r="A459" s="7" t="s">
        <v>500</v>
      </c>
      <c r="B459" s="7" t="n">
        <v>15422.07</v>
      </c>
      <c r="C459" s="7" t="n">
        <v>15474.28</v>
      </c>
      <c r="D459" s="7" t="n">
        <v>15291.95</v>
      </c>
      <c r="E459" s="7" t="n">
        <v>15355.07</v>
      </c>
      <c r="F459" s="7" t="n">
        <v>5776</v>
      </c>
      <c r="G459" s="7" t="n">
        <f aca="false">AVERAGE(E455:E459)</f>
        <v>15388.996</v>
      </c>
      <c r="H459" s="7" t="n">
        <f aca="false">AVERAGE(E450:E459)</f>
        <v>15129.476</v>
      </c>
      <c r="I459" s="7" t="n">
        <f aca="false">AVERAGE(E440:E459)</f>
        <v>14956.758</v>
      </c>
      <c r="J459" s="7" t="n">
        <f aca="false">AVERAGE(E410:E459)</f>
        <v>15188.7698</v>
      </c>
      <c r="K459" s="7" t="n">
        <f aca="false">AVERAGE(E360:E459)</f>
        <v>14890.7263</v>
      </c>
      <c r="L459" s="7" t="n">
        <f aca="false">AVERAGE(E260:E459)</f>
        <v>14129.2909</v>
      </c>
      <c r="M459" s="7" t="n">
        <f aca="false">I459</f>
        <v>14956.758</v>
      </c>
      <c r="N459" s="7" t="n">
        <f aca="false">I459+2*STDEV(E440:E459)</f>
        <v>15570.1763596381</v>
      </c>
      <c r="O459" s="7" t="n">
        <f aca="false">I459-2*STDEV(E440:E459)</f>
        <v>14343.3396403619</v>
      </c>
      <c r="P459" s="7" t="n">
        <f aca="false">MAX(E459-E458,0)</f>
        <v>0</v>
      </c>
      <c r="Q459" s="7" t="n">
        <f aca="false">MAX(E458-E459,0)</f>
        <v>134.52</v>
      </c>
      <c r="R459" s="7" t="n">
        <f aca="false">(R458*13+P459)/14</f>
        <v>68.501936528955</v>
      </c>
      <c r="S459" s="7" t="n">
        <f aca="false">(S458*13+Q459)/14</f>
        <v>49.6935411187409</v>
      </c>
      <c r="T459" s="7" t="n">
        <f aca="false">IF(S459=0,100,100-100/(1+R459/S459))</f>
        <v>57.9564784476256</v>
      </c>
      <c r="U459" s="7" t="n">
        <f aca="false">E459*2/13+U458*11/13</f>
        <v>15178.2105445678</v>
      </c>
      <c r="V459" s="7" t="n">
        <f aca="false">E459*2/27+V458*25/27</f>
        <v>15111.4696541575</v>
      </c>
      <c r="W459" s="7" t="n">
        <f aca="false">U459-V459</f>
        <v>66.7408904103322</v>
      </c>
      <c r="X459" s="7" t="n">
        <f aca="false">W459*2/10+X458*8/10</f>
        <v>-18.8686747561137</v>
      </c>
      <c r="Y459" s="7" t="n">
        <f aca="false">W459-X459</f>
        <v>85.609565166446</v>
      </c>
      <c r="Z459" s="8" t="s">
        <v>42</v>
      </c>
      <c r="AA459" s="7" t="str">
        <f aca="false">IFERROR(INDEX(02_轉折點45!B:B,MATCH(A459,02_轉折點45!A:A,0)),"")</f>
        <v/>
      </c>
      <c r="AB459" s="7" t="n">
        <f aca="false">COUNTIFS(05_訊號明細!A:A,A459,05_訊號明細!C:C,"TOP")</f>
        <v>1</v>
      </c>
      <c r="AC459" s="7" t="n">
        <f aca="false">COUNTIFS(05_訊號明細!A:A,A459,05_訊號明細!C:C,"BOTTOM")</f>
        <v>1</v>
      </c>
    </row>
    <row r="460" customFormat="false" ht="15" hidden="false" customHeight="false" outlineLevel="0" collapsed="false">
      <c r="A460" s="7" t="s">
        <v>501</v>
      </c>
      <c r="B460" s="7" t="n">
        <v>15417.25</v>
      </c>
      <c r="C460" s="7" t="n">
        <v>15555.65</v>
      </c>
      <c r="D460" s="7" t="n">
        <v>15338.49</v>
      </c>
      <c r="E460" s="7" t="n">
        <v>15514.19</v>
      </c>
      <c r="F460" s="7" t="n">
        <v>5750</v>
      </c>
      <c r="G460" s="7" t="n">
        <f aca="false">AVERAGE(E456:E460)</f>
        <v>15431.656</v>
      </c>
      <c r="H460" s="7" t="n">
        <f aca="false">AVERAGE(E451:E460)</f>
        <v>15209.522</v>
      </c>
      <c r="I460" s="7" t="n">
        <f aca="false">AVERAGE(E441:E460)</f>
        <v>14972.2265</v>
      </c>
      <c r="J460" s="7" t="n">
        <f aca="false">AVERAGE(E411:E460)</f>
        <v>15196.32</v>
      </c>
      <c r="K460" s="7" t="n">
        <f aca="false">AVERAGE(E361:E460)</f>
        <v>14910.5714</v>
      </c>
      <c r="L460" s="7" t="n">
        <f aca="false">AVERAGE(E261:E460)</f>
        <v>14141.33585</v>
      </c>
      <c r="M460" s="7" t="n">
        <f aca="false">I460</f>
        <v>14972.2265</v>
      </c>
      <c r="N460" s="7" t="n">
        <f aca="false">I460+2*STDEV(E441:E460)</f>
        <v>15626.2424482451</v>
      </c>
      <c r="O460" s="7" t="n">
        <f aca="false">I460-2*STDEV(E441:E460)</f>
        <v>14318.2105517549</v>
      </c>
      <c r="P460" s="7" t="n">
        <f aca="false">MAX(E460-E459,0)</f>
        <v>159.120000000001</v>
      </c>
      <c r="Q460" s="7" t="n">
        <f aca="false">MAX(E459-E460,0)</f>
        <v>0</v>
      </c>
      <c r="R460" s="7" t="n">
        <f aca="false">(R459*13+P460)/14</f>
        <v>74.9746553483154</v>
      </c>
      <c r="S460" s="7" t="n">
        <f aca="false">(S459*13+Q460)/14</f>
        <v>46.1440024674022</v>
      </c>
      <c r="T460" s="7" t="n">
        <f aca="false">IF(S460=0,100,100-100/(1+R460/S460))</f>
        <v>61.901821486818</v>
      </c>
      <c r="U460" s="7" t="n">
        <f aca="false">E460*2/13+U459*11/13</f>
        <v>15229.8996915574</v>
      </c>
      <c r="V460" s="7" t="n">
        <f aca="false">E460*2/27+V459*25/27</f>
        <v>15141.3007908866</v>
      </c>
      <c r="W460" s="7" t="n">
        <f aca="false">U460-V460</f>
        <v>88.5989006708205</v>
      </c>
      <c r="X460" s="7" t="n">
        <f aca="false">W460*2/10+X459*8/10</f>
        <v>2.62484032927312</v>
      </c>
      <c r="Y460" s="7" t="n">
        <f aca="false">W460-X460</f>
        <v>85.9740603415474</v>
      </c>
      <c r="Z460" s="8" t="s">
        <v>42</v>
      </c>
      <c r="AA460" s="7" t="str">
        <f aca="false">IFERROR(INDEX(02_轉折點45!B:B,MATCH(A460,02_轉折點45!A:A,0)),"")</f>
        <v/>
      </c>
      <c r="AB460" s="7" t="n">
        <f aca="false">COUNTIFS(05_訊號明細!A:A,A460,05_訊號明細!C:C,"TOP")</f>
        <v>0</v>
      </c>
      <c r="AC460" s="7" t="n">
        <f aca="false">COUNTIFS(05_訊號明細!A:A,A460,05_訊號明細!C:C,"BOTTOM")</f>
        <v>0</v>
      </c>
    </row>
    <row r="461" customFormat="false" ht="15" hidden="false" customHeight="false" outlineLevel="0" collapsed="false">
      <c r="A461" s="7" t="s">
        <v>502</v>
      </c>
      <c r="B461" s="7" t="n">
        <v>15615.36</v>
      </c>
      <c r="C461" s="7" t="n">
        <v>15710.79</v>
      </c>
      <c r="D461" s="7" t="n">
        <v>15518.59</v>
      </c>
      <c r="E461" s="7" t="n">
        <v>15559.49</v>
      </c>
      <c r="F461" s="7" t="n">
        <v>7173</v>
      </c>
      <c r="G461" s="7" t="n">
        <f aca="false">AVERAGE(E457:E461)</f>
        <v>15461.41</v>
      </c>
      <c r="H461" s="7" t="n">
        <f aca="false">AVERAGE(E452:E461)</f>
        <v>15299.26</v>
      </c>
      <c r="I461" s="7" t="n">
        <f aca="false">AVERAGE(E442:E461)</f>
        <v>15011.686</v>
      </c>
      <c r="J461" s="7" t="n">
        <f aca="false">AVERAGE(E412:E461)</f>
        <v>15204.6944</v>
      </c>
      <c r="K461" s="7" t="n">
        <f aca="false">AVERAGE(E362:E461)</f>
        <v>14928.4586</v>
      </c>
      <c r="L461" s="7" t="n">
        <f aca="false">AVERAGE(E262:E461)</f>
        <v>14154.62085</v>
      </c>
      <c r="M461" s="7" t="n">
        <f aca="false">I461</f>
        <v>15011.686</v>
      </c>
      <c r="N461" s="7" t="n">
        <f aca="false">I461+2*STDEV(E442:E461)</f>
        <v>15708.2509781728</v>
      </c>
      <c r="O461" s="7" t="n">
        <f aca="false">I461-2*STDEV(E442:E461)</f>
        <v>14315.1210218272</v>
      </c>
      <c r="P461" s="7" t="n">
        <f aca="false">MAX(E461-E460,0)</f>
        <v>45.2999999999993</v>
      </c>
      <c r="Q461" s="7" t="n">
        <f aca="false">MAX(E460-E461,0)</f>
        <v>0</v>
      </c>
      <c r="R461" s="7" t="n">
        <f aca="false">(R460*13+P461)/14</f>
        <v>72.85503710915</v>
      </c>
      <c r="S461" s="7" t="n">
        <f aca="false">(S460*13+Q461)/14</f>
        <v>42.8480022911592</v>
      </c>
      <c r="T461" s="7" t="n">
        <f aca="false">IF(S461=0,100,100-100/(1+R461/S461))</f>
        <v>62.9672629921901</v>
      </c>
      <c r="U461" s="7" t="n">
        <f aca="false">E461*2/13+U460*11/13</f>
        <v>15280.6058928563</v>
      </c>
      <c r="V461" s="7" t="n">
        <f aca="false">E461*2/27+V460*25/27</f>
        <v>15172.2777693394</v>
      </c>
      <c r="W461" s="7" t="n">
        <f aca="false">U461-V461</f>
        <v>108.328123516838</v>
      </c>
      <c r="X461" s="7" t="n">
        <f aca="false">W461*2/10+X460*8/10</f>
        <v>23.7654969667861</v>
      </c>
      <c r="Y461" s="7" t="n">
        <f aca="false">W461-X461</f>
        <v>84.5626265500518</v>
      </c>
      <c r="Z461" s="8" t="s">
        <v>42</v>
      </c>
      <c r="AA461" s="7" t="str">
        <f aca="false">IFERROR(INDEX(02_轉折點45!B:B,MATCH(A461,02_轉折點45!A:A,0)),"")</f>
        <v/>
      </c>
      <c r="AB461" s="7" t="n">
        <f aca="false">COUNTIFS(05_訊號明細!A:A,A461,05_訊號明細!C:C,"TOP")</f>
        <v>0</v>
      </c>
      <c r="AC461" s="7" t="n">
        <f aca="false">COUNTIFS(05_訊號明細!A:A,A461,05_訊號明細!C:C,"BOTTOM")</f>
        <v>0</v>
      </c>
    </row>
    <row r="462" customFormat="false" ht="15" hidden="false" customHeight="false" outlineLevel="0" collapsed="false">
      <c r="A462" s="7" t="s">
        <v>503</v>
      </c>
      <c r="B462" s="7" t="n">
        <v>15603.16</v>
      </c>
      <c r="C462" s="7" t="n">
        <v>15729.75</v>
      </c>
      <c r="D462" s="7" t="n">
        <v>15578.68</v>
      </c>
      <c r="E462" s="7" t="n">
        <v>15598.39</v>
      </c>
      <c r="F462" s="7" t="n">
        <v>6130</v>
      </c>
      <c r="G462" s="7" t="n">
        <f aca="false">AVERAGE(E458:E462)</f>
        <v>15503.346</v>
      </c>
      <c r="H462" s="7" t="n">
        <f aca="false">AVERAGE(E453:E462)</f>
        <v>15381.639</v>
      </c>
      <c r="I462" s="7" t="n">
        <f aca="false">AVERAGE(E443:E462)</f>
        <v>15053.961</v>
      </c>
      <c r="J462" s="7" t="n">
        <f aca="false">AVERAGE(E413:E462)</f>
        <v>15216.6056</v>
      </c>
      <c r="K462" s="7" t="n">
        <f aca="false">AVERAGE(E363:E462)</f>
        <v>14946.4136</v>
      </c>
      <c r="L462" s="7" t="n">
        <f aca="false">AVERAGE(E263:E462)</f>
        <v>14168.15235</v>
      </c>
      <c r="M462" s="7" t="n">
        <f aca="false">I462</f>
        <v>15053.961</v>
      </c>
      <c r="N462" s="7" t="n">
        <f aca="false">I462+2*STDEV(E443:E462)</f>
        <v>15786.11224313</v>
      </c>
      <c r="O462" s="7" t="n">
        <f aca="false">I462-2*STDEV(E443:E462)</f>
        <v>14321.80975687</v>
      </c>
      <c r="P462" s="7" t="n">
        <f aca="false">MAX(E462-E461,0)</f>
        <v>38.8999999999996</v>
      </c>
      <c r="Q462" s="7" t="n">
        <f aca="false">MAX(E461-E462,0)</f>
        <v>0</v>
      </c>
      <c r="R462" s="7" t="n">
        <f aca="false">(R461*13+P462)/14</f>
        <v>70.4296773156393</v>
      </c>
      <c r="S462" s="7" t="n">
        <f aca="false">(S461*13+Q462)/14</f>
        <v>39.7874306989336</v>
      </c>
      <c r="T462" s="7" t="n">
        <f aca="false">IF(S462=0,100,100-100/(1+R462/S462))</f>
        <v>63.9008576656966</v>
      </c>
      <c r="U462" s="7" t="n">
        <f aca="false">E462*2/13+U461*11/13</f>
        <v>15329.4957554938</v>
      </c>
      <c r="V462" s="7" t="n">
        <f aca="false">E462*2/27+V461*25/27</f>
        <v>15203.8416382772</v>
      </c>
      <c r="W462" s="7" t="n">
        <f aca="false">U462-V462</f>
        <v>125.654117216516</v>
      </c>
      <c r="X462" s="7" t="n">
        <f aca="false">W462*2/10+X461*8/10</f>
        <v>44.1432210167321</v>
      </c>
      <c r="Y462" s="7" t="n">
        <f aca="false">W462-X462</f>
        <v>81.5108961997841</v>
      </c>
      <c r="Z462" s="8" t="s">
        <v>42</v>
      </c>
      <c r="AA462" s="7" t="str">
        <f aca="false">IFERROR(INDEX(02_轉折點45!B:B,MATCH(A462,02_轉折點45!A:A,0)),"")</f>
        <v/>
      </c>
      <c r="AB462" s="7" t="n">
        <f aca="false">COUNTIFS(05_訊號明細!A:A,A462,05_訊號明細!C:C,"TOP")</f>
        <v>0</v>
      </c>
      <c r="AC462" s="7" t="n">
        <f aca="false">COUNTIFS(05_訊號明細!A:A,A462,05_訊號明細!C:C,"BOTTOM")</f>
        <v>0</v>
      </c>
    </row>
    <row r="463" customFormat="false" ht="15" hidden="false" customHeight="false" outlineLevel="0" collapsed="false">
      <c r="A463" s="7" t="s">
        <v>504</v>
      </c>
      <c r="B463" s="7" t="n">
        <v>15674.39</v>
      </c>
      <c r="C463" s="7" t="n">
        <v>15784</v>
      </c>
      <c r="D463" s="7" t="n">
        <v>15650.01</v>
      </c>
      <c r="E463" s="7" t="n">
        <v>15778.16</v>
      </c>
      <c r="F463" s="7" t="n">
        <v>5715</v>
      </c>
      <c r="G463" s="7" t="n">
        <f aca="false">AVERAGE(E459:E463)</f>
        <v>15561.06</v>
      </c>
      <c r="H463" s="7" t="n">
        <f aca="false">AVERAGE(E454:E463)</f>
        <v>15454.213</v>
      </c>
      <c r="I463" s="7" t="n">
        <f aca="false">AVERAGE(E444:E463)</f>
        <v>15108.388</v>
      </c>
      <c r="J463" s="7" t="n">
        <f aca="false">AVERAGE(E414:E463)</f>
        <v>15235.0104</v>
      </c>
      <c r="K463" s="7" t="n">
        <f aca="false">AVERAGE(E364:E463)</f>
        <v>14966.0866</v>
      </c>
      <c r="L463" s="7" t="n">
        <f aca="false">AVERAGE(E264:E463)</f>
        <v>14182.175</v>
      </c>
      <c r="M463" s="7" t="n">
        <f aca="false">I463</f>
        <v>15108.388</v>
      </c>
      <c r="N463" s="7" t="n">
        <f aca="false">I463+2*STDEV(E444:E463)</f>
        <v>15886.8736709116</v>
      </c>
      <c r="O463" s="7" t="n">
        <f aca="false">I463-2*STDEV(E444:E463)</f>
        <v>14329.9023290884</v>
      </c>
      <c r="P463" s="7" t="n">
        <f aca="false">MAX(E463-E462,0)</f>
        <v>179.77</v>
      </c>
      <c r="Q463" s="7" t="n">
        <f aca="false">MAX(E462-E463,0)</f>
        <v>0</v>
      </c>
      <c r="R463" s="7" t="n">
        <f aca="false">(R462*13+P463)/14</f>
        <v>78.2397003645222</v>
      </c>
      <c r="S463" s="7" t="n">
        <f aca="false">(S462*13+Q463)/14</f>
        <v>36.9454713632955</v>
      </c>
      <c r="T463" s="7" t="n">
        <f aca="false">IF(S463=0,100,100-100/(1+R463/S463))</f>
        <v>67.9251497314277</v>
      </c>
      <c r="U463" s="7" t="n">
        <f aca="false">E463*2/13+U462*11/13</f>
        <v>15398.5210238793</v>
      </c>
      <c r="V463" s="7" t="n">
        <f aca="false">E463*2/27+V462*25/27</f>
        <v>15246.3837391456</v>
      </c>
      <c r="W463" s="7" t="n">
        <f aca="false">U463-V463</f>
        <v>152.137284733739</v>
      </c>
      <c r="X463" s="7" t="n">
        <f aca="false">W463*2/10+X462*8/10</f>
        <v>65.7420337601335</v>
      </c>
      <c r="Y463" s="7" t="n">
        <f aca="false">W463-X463</f>
        <v>86.3952509736054</v>
      </c>
      <c r="Z463" s="8" t="s">
        <v>42</v>
      </c>
      <c r="AA463" s="7" t="str">
        <f aca="false">IFERROR(INDEX(02_轉折點45!B:B,MATCH(A463,02_轉折點45!A:A,0)),"")</f>
        <v/>
      </c>
      <c r="AB463" s="7" t="n">
        <f aca="false">COUNTIFS(05_訊號明細!A:A,A463,05_訊號明細!C:C,"TOP")</f>
        <v>2</v>
      </c>
      <c r="AC463" s="7" t="n">
        <f aca="false">COUNTIFS(05_訊號明細!A:A,A463,05_訊號明細!C:C,"BOTTOM")</f>
        <v>0</v>
      </c>
    </row>
    <row r="464" customFormat="false" ht="15" hidden="false" customHeight="false" outlineLevel="0" collapsed="false">
      <c r="A464" s="7" t="s">
        <v>505</v>
      </c>
      <c r="B464" s="7" t="n">
        <v>15638.74</v>
      </c>
      <c r="C464" s="7" t="n">
        <v>15856.9</v>
      </c>
      <c r="D464" s="7" t="n">
        <v>15638.74</v>
      </c>
      <c r="E464" s="7" t="n">
        <v>15850.47</v>
      </c>
      <c r="F464" s="7" t="n">
        <v>5338</v>
      </c>
      <c r="G464" s="7" t="n">
        <f aca="false">AVERAGE(E460:E464)</f>
        <v>15660.14</v>
      </c>
      <c r="H464" s="7" t="n">
        <f aca="false">AVERAGE(E455:E464)</f>
        <v>15524.568</v>
      </c>
      <c r="I464" s="7" t="n">
        <f aca="false">AVERAGE(E445:E464)</f>
        <v>15161.318</v>
      </c>
      <c r="J464" s="7" t="n">
        <f aca="false">AVERAGE(E415:E464)</f>
        <v>15253.341</v>
      </c>
      <c r="K464" s="7" t="n">
        <f aca="false">AVERAGE(E365:E464)</f>
        <v>14986.4419</v>
      </c>
      <c r="L464" s="7" t="n">
        <f aca="false">AVERAGE(E265:E464)</f>
        <v>14196.9339</v>
      </c>
      <c r="M464" s="7" t="n">
        <f aca="false">I464</f>
        <v>15161.318</v>
      </c>
      <c r="N464" s="7" t="n">
        <f aca="false">I464+2*STDEV(E445:E464)</f>
        <v>15991.4302392747</v>
      </c>
      <c r="O464" s="7" t="n">
        <f aca="false">I464-2*STDEV(E445:E464)</f>
        <v>14331.2057607253</v>
      </c>
      <c r="P464" s="7" t="n">
        <f aca="false">MAX(E464-E463,0)</f>
        <v>72.3099999999995</v>
      </c>
      <c r="Q464" s="7" t="n">
        <f aca="false">MAX(E463-E464,0)</f>
        <v>0</v>
      </c>
      <c r="R464" s="7" t="n">
        <f aca="false">(R463*13+P464)/14</f>
        <v>77.8161503384849</v>
      </c>
      <c r="S464" s="7" t="n">
        <f aca="false">(S463*13+Q464)/14</f>
        <v>34.3065091230601</v>
      </c>
      <c r="T464" s="7" t="n">
        <f aca="false">IF(S464=0,100,100-100/(1+R464/S464))</f>
        <v>69.4026976457633</v>
      </c>
      <c r="U464" s="7" t="n">
        <f aca="false">E464*2/13+U463*11/13</f>
        <v>15468.0516355902</v>
      </c>
      <c r="V464" s="7" t="n">
        <f aca="false">E464*2/27+V463*25/27</f>
        <v>15291.1308695793</v>
      </c>
      <c r="W464" s="7" t="n">
        <f aca="false">U464-V464</f>
        <v>176.920766010953</v>
      </c>
      <c r="X464" s="7" t="n">
        <f aca="false">W464*2/10+X463*8/10</f>
        <v>87.9777802102974</v>
      </c>
      <c r="Y464" s="7" t="n">
        <f aca="false">W464-X464</f>
        <v>88.9429858006558</v>
      </c>
      <c r="Z464" s="8" t="s">
        <v>42</v>
      </c>
      <c r="AA464" s="7" t="str">
        <f aca="false">IFERROR(INDEX(02_轉折點45!B:B,MATCH(A464,02_轉折點45!A:A,0)),"")</f>
        <v/>
      </c>
      <c r="AB464" s="7" t="n">
        <f aca="false">COUNTIFS(05_訊號明細!A:A,A464,05_訊號明細!C:C,"TOP")</f>
        <v>0</v>
      </c>
      <c r="AC464" s="7" t="n">
        <f aca="false">COUNTIFS(05_訊號明細!A:A,A464,05_訊號明細!C:C,"BOTTOM")</f>
        <v>0</v>
      </c>
    </row>
    <row r="465" customFormat="false" ht="15" hidden="false" customHeight="false" outlineLevel="0" collapsed="false">
      <c r="A465" s="7" t="s">
        <v>506</v>
      </c>
      <c r="B465" s="7" t="n">
        <v>15879.61</v>
      </c>
      <c r="C465" s="7" t="n">
        <v>15910.35</v>
      </c>
      <c r="D465" s="7" t="n">
        <v>15785.31</v>
      </c>
      <c r="E465" s="7" t="n">
        <v>15905.28</v>
      </c>
      <c r="F465" s="7" t="n">
        <v>5274</v>
      </c>
      <c r="G465" s="7" t="n">
        <f aca="false">AVERAGE(E461:E465)</f>
        <v>15738.358</v>
      </c>
      <c r="H465" s="7" t="n">
        <f aca="false">AVERAGE(E456:E465)</f>
        <v>15585.007</v>
      </c>
      <c r="I465" s="7" t="n">
        <f aca="false">AVERAGE(E446:E465)</f>
        <v>15232.976</v>
      </c>
      <c r="J465" s="7" t="n">
        <f aca="false">AVERAGE(E416:E465)</f>
        <v>15269.5952</v>
      </c>
      <c r="K465" s="7" t="n">
        <f aca="false">AVERAGE(E366:E465)</f>
        <v>15005.8912</v>
      </c>
      <c r="L465" s="7" t="n">
        <f aca="false">AVERAGE(E266:E465)</f>
        <v>14212.44065</v>
      </c>
      <c r="M465" s="7" t="n">
        <f aca="false">I465</f>
        <v>15232.976</v>
      </c>
      <c r="N465" s="7" t="n">
        <f aca="false">I465+2*STDEV(E446:E465)</f>
        <v>16060.0123399996</v>
      </c>
      <c r="O465" s="7" t="n">
        <f aca="false">I465-2*STDEV(E446:E465)</f>
        <v>14405.9396600004</v>
      </c>
      <c r="P465" s="7" t="n">
        <f aca="false">MAX(E465-E464,0)</f>
        <v>54.8100000000013</v>
      </c>
      <c r="Q465" s="7" t="n">
        <f aca="false">MAX(E464-E465,0)</f>
        <v>0</v>
      </c>
      <c r="R465" s="7" t="n">
        <f aca="false">(R464*13+P465)/14</f>
        <v>76.1728538857361</v>
      </c>
      <c r="S465" s="7" t="n">
        <f aca="false">(S464*13+Q465)/14</f>
        <v>31.8560441856986</v>
      </c>
      <c r="T465" s="7" t="n">
        <f aca="false">IF(S465=0,100,100-100/(1+R465/S465))</f>
        <v>70.511553154385</v>
      </c>
      <c r="U465" s="7" t="n">
        <f aca="false">E465*2/13+U464*11/13</f>
        <v>15535.3175378071</v>
      </c>
      <c r="V465" s="7" t="n">
        <f aca="false">E465*2/27+V464*25/27</f>
        <v>15336.6233977586</v>
      </c>
      <c r="W465" s="7" t="n">
        <f aca="false">U465-V465</f>
        <v>198.69414004853</v>
      </c>
      <c r="X465" s="7" t="n">
        <f aca="false">W465*2/10+X464*8/10</f>
        <v>110.121052177944</v>
      </c>
      <c r="Y465" s="7" t="n">
        <f aca="false">W465-X465</f>
        <v>88.5730878705863</v>
      </c>
      <c r="Z465" s="8" t="s">
        <v>42</v>
      </c>
      <c r="AA465" s="7" t="str">
        <f aca="false">IFERROR(INDEX(02_轉折點45!B:B,MATCH(A465,02_轉折點45!A:A,0)),"")</f>
        <v/>
      </c>
      <c r="AB465" s="7" t="n">
        <f aca="false">COUNTIFS(05_訊號明細!A:A,A465,05_訊號明細!C:C,"TOP")</f>
        <v>1</v>
      </c>
      <c r="AC465" s="7" t="n">
        <f aca="false">COUNTIFS(05_訊號明細!A:A,A465,05_訊號明細!C:C,"BOTTOM")</f>
        <v>0</v>
      </c>
    </row>
    <row r="466" customFormat="false" ht="15" hidden="false" customHeight="false" outlineLevel="0" collapsed="false">
      <c r="A466" s="7" t="s">
        <v>507</v>
      </c>
      <c r="B466" s="7" t="n">
        <v>15885.34</v>
      </c>
      <c r="C466" s="7" t="n">
        <v>15988.33</v>
      </c>
      <c r="D466" s="7" t="n">
        <v>15877.27</v>
      </c>
      <c r="E466" s="7" t="n">
        <v>15972.49</v>
      </c>
      <c r="F466" s="7" t="n">
        <v>5129</v>
      </c>
      <c r="G466" s="7" t="n">
        <f aca="false">AVERAGE(E462:E466)</f>
        <v>15820.958</v>
      </c>
      <c r="H466" s="7" t="n">
        <f aca="false">AVERAGE(E457:E466)</f>
        <v>15641.184</v>
      </c>
      <c r="I466" s="7" t="n">
        <f aca="false">AVERAGE(E447:E466)</f>
        <v>15297.893</v>
      </c>
      <c r="J466" s="7" t="n">
        <f aca="false">AVERAGE(E417:E466)</f>
        <v>15282.7886</v>
      </c>
      <c r="K466" s="7" t="n">
        <f aca="false">AVERAGE(E367:E466)</f>
        <v>15025.6331</v>
      </c>
      <c r="L466" s="7" t="n">
        <f aca="false">AVERAGE(E267:E466)</f>
        <v>14227.3204</v>
      </c>
      <c r="M466" s="7" t="n">
        <f aca="false">I466</f>
        <v>15297.893</v>
      </c>
      <c r="N466" s="7" t="n">
        <f aca="false">I466+2*STDEV(E447:E466)</f>
        <v>16143.8441472295</v>
      </c>
      <c r="O466" s="7" t="n">
        <f aca="false">I466-2*STDEV(E447:E466)</f>
        <v>14451.9418527705</v>
      </c>
      <c r="P466" s="7" t="n">
        <f aca="false">MAX(E466-E465,0)</f>
        <v>67.2099999999991</v>
      </c>
      <c r="Q466" s="7" t="n">
        <f aca="false">MAX(E465-E466,0)</f>
        <v>0</v>
      </c>
      <c r="R466" s="7" t="n">
        <f aca="false">(R465*13+P466)/14</f>
        <v>75.5326500367549</v>
      </c>
      <c r="S466" s="7" t="n">
        <f aca="false">(S465*13+Q466)/14</f>
        <v>29.5806124581487</v>
      </c>
      <c r="T466" s="7" t="n">
        <f aca="false">IF(S466=0,100,100-100/(1+R466/S466))</f>
        <v>71.858344269751</v>
      </c>
      <c r="U466" s="7" t="n">
        <f aca="false">E466*2/13+U465*11/13</f>
        <v>15602.5748396829</v>
      </c>
      <c r="V466" s="7" t="n">
        <f aca="false">E466*2/27+V465*25/27</f>
        <v>15383.7246275542</v>
      </c>
      <c r="W466" s="7" t="n">
        <f aca="false">U466-V466</f>
        <v>218.850212128698</v>
      </c>
      <c r="X466" s="7" t="n">
        <f aca="false">W466*2/10+X465*8/10</f>
        <v>131.866884168095</v>
      </c>
      <c r="Y466" s="7" t="n">
        <f aca="false">W466-X466</f>
        <v>86.9833279606035</v>
      </c>
      <c r="Z466" s="8" t="s">
        <v>42</v>
      </c>
      <c r="AA466" s="7" t="str">
        <f aca="false">IFERROR(INDEX(02_轉折點45!B:B,MATCH(A466,02_轉折點45!A:A,0)),"")</f>
        <v/>
      </c>
      <c r="AB466" s="7" t="n">
        <f aca="false">COUNTIFS(05_訊號明細!A:A,A466,05_訊號明細!C:C,"TOP")</f>
        <v>0</v>
      </c>
      <c r="AC466" s="7" t="n">
        <f aca="false">COUNTIFS(05_訊號明細!A:A,A466,05_訊號明細!C:C,"BOTTOM")</f>
        <v>0</v>
      </c>
    </row>
    <row r="467" customFormat="false" ht="15" hidden="false" customHeight="false" outlineLevel="0" collapsed="false">
      <c r="A467" s="7" t="s">
        <v>508</v>
      </c>
      <c r="B467" s="7" t="n">
        <v>16000.6</v>
      </c>
      <c r="C467" s="7" t="n">
        <v>16157.6</v>
      </c>
      <c r="D467" s="7" t="n">
        <v>15950.59</v>
      </c>
      <c r="E467" s="7" t="n">
        <v>16144.5</v>
      </c>
      <c r="F467" s="7" t="n">
        <v>5325</v>
      </c>
      <c r="G467" s="7" t="n">
        <f aca="false">AVERAGE(E463:E467)</f>
        <v>15930.18</v>
      </c>
      <c r="H467" s="7" t="n">
        <f aca="false">AVERAGE(E458:E467)</f>
        <v>15716.763</v>
      </c>
      <c r="I467" s="7" t="n">
        <f aca="false">AVERAGE(E448:E467)</f>
        <v>15366.7805</v>
      </c>
      <c r="J467" s="7" t="n">
        <f aca="false">AVERAGE(E418:E467)</f>
        <v>15298.525</v>
      </c>
      <c r="K467" s="7" t="n">
        <f aca="false">AVERAGE(E368:E467)</f>
        <v>15045.7961</v>
      </c>
      <c r="L467" s="7" t="n">
        <f aca="false">AVERAGE(E268:E467)</f>
        <v>14241.56065</v>
      </c>
      <c r="M467" s="7" t="n">
        <f aca="false">I467</f>
        <v>15366.7805</v>
      </c>
      <c r="N467" s="7" t="n">
        <f aca="false">I467+2*STDEV(E448:E467)</f>
        <v>16253.9972188514</v>
      </c>
      <c r="O467" s="7" t="n">
        <f aca="false">I467-2*STDEV(E448:E467)</f>
        <v>14479.5637811486</v>
      </c>
      <c r="P467" s="7" t="n">
        <f aca="false">MAX(E467-E466,0)</f>
        <v>172.01</v>
      </c>
      <c r="Q467" s="7" t="n">
        <f aca="false">MAX(E466-E467,0)</f>
        <v>0</v>
      </c>
      <c r="R467" s="7" t="n">
        <f aca="false">(R466*13+P467)/14</f>
        <v>82.4238893198438</v>
      </c>
      <c r="S467" s="7" t="n">
        <f aca="false">(S466*13+Q467)/14</f>
        <v>27.467711568281</v>
      </c>
      <c r="T467" s="7" t="n">
        <f aca="false">IF(S467=0,100,100-100/(1+R467/S467))</f>
        <v>75.0047216108495</v>
      </c>
      <c r="U467" s="7" t="n">
        <f aca="false">E467*2/13+U466*11/13</f>
        <v>15685.9479412702</v>
      </c>
      <c r="V467" s="7" t="n">
        <f aca="false">E467*2/27+V466*25/27</f>
        <v>15440.0783588465</v>
      </c>
      <c r="W467" s="7" t="n">
        <f aca="false">U467-V467</f>
        <v>245.869582423662</v>
      </c>
      <c r="X467" s="7" t="n">
        <f aca="false">W467*2/10+X466*8/10</f>
        <v>154.667423819208</v>
      </c>
      <c r="Y467" s="7" t="n">
        <f aca="false">W467-X467</f>
        <v>91.2021586044537</v>
      </c>
      <c r="Z467" s="8" t="s">
        <v>42</v>
      </c>
      <c r="AA467" s="7" t="str">
        <f aca="false">IFERROR(INDEX(02_轉折點45!B:B,MATCH(A467,02_轉折點45!A:A,0)),"")</f>
        <v/>
      </c>
      <c r="AB467" s="7" t="n">
        <f aca="false">COUNTIFS(05_訊號明細!A:A,A467,05_訊號明細!C:C,"TOP")</f>
        <v>0</v>
      </c>
      <c r="AC467" s="7" t="n">
        <f aca="false">COUNTIFS(05_訊號明細!A:A,A467,05_訊號明細!C:C,"BOTTOM")</f>
        <v>0</v>
      </c>
    </row>
    <row r="468" customFormat="false" ht="15" hidden="false" customHeight="false" outlineLevel="0" collapsed="false">
      <c r="A468" s="7" t="s">
        <v>509</v>
      </c>
      <c r="B468" s="7" t="n">
        <v>16193.22</v>
      </c>
      <c r="C468" s="7" t="n">
        <v>16387.95</v>
      </c>
      <c r="D468" s="7" t="n">
        <v>16169.56</v>
      </c>
      <c r="E468" s="7" t="n">
        <v>16346.24</v>
      </c>
      <c r="F468" s="7" t="n">
        <v>5297</v>
      </c>
      <c r="G468" s="7" t="n">
        <f aca="false">AVERAGE(E464:E468)</f>
        <v>16043.796</v>
      </c>
      <c r="H468" s="7" t="n">
        <f aca="false">AVERAGE(E459:E468)</f>
        <v>15802.428</v>
      </c>
      <c r="I468" s="7" t="n">
        <f aca="false">AVERAGE(E449:E468)</f>
        <v>15439.236</v>
      </c>
      <c r="J468" s="7" t="n">
        <f aca="false">AVERAGE(E419:E468)</f>
        <v>15318.0714</v>
      </c>
      <c r="K468" s="7" t="n">
        <f aca="false">AVERAGE(E369:E468)</f>
        <v>15068.9544</v>
      </c>
      <c r="L468" s="7" t="n">
        <f aca="false">AVERAGE(E269:E468)</f>
        <v>14256.2669</v>
      </c>
      <c r="M468" s="7" t="n">
        <f aca="false">I468</f>
        <v>15439.236</v>
      </c>
      <c r="N468" s="7" t="n">
        <f aca="false">I468+2*STDEV(E449:E468)</f>
        <v>16398.7043269921</v>
      </c>
      <c r="O468" s="7" t="n">
        <f aca="false">I468-2*STDEV(E449:E468)</f>
        <v>14479.7676730079</v>
      </c>
      <c r="P468" s="7" t="n">
        <f aca="false">MAX(E468-E467,0)</f>
        <v>201.74</v>
      </c>
      <c r="Q468" s="7" t="n">
        <f aca="false">MAX(E467-E468,0)</f>
        <v>0</v>
      </c>
      <c r="R468" s="7" t="n">
        <f aca="false">(R467*13+P468)/14</f>
        <v>90.9464686541407</v>
      </c>
      <c r="S468" s="7" t="n">
        <f aca="false">(S467*13+Q468)/14</f>
        <v>25.5057321705466</v>
      </c>
      <c r="T468" s="7" t="n">
        <f aca="false">IF(S468=0,100,100-100/(1+R468/S468))</f>
        <v>78.0976812890431</v>
      </c>
      <c r="U468" s="7" t="n">
        <f aca="false">E468*2/13+U467*11/13</f>
        <v>15787.5313349209</v>
      </c>
      <c r="V468" s="7" t="n">
        <f aca="false">E468*2/27+V467*25/27</f>
        <v>15507.2014433764</v>
      </c>
      <c r="W468" s="7" t="n">
        <f aca="false">U468-V468</f>
        <v>280.329891544516</v>
      </c>
      <c r="X468" s="7" t="n">
        <f aca="false">W468*2/10+X467*8/10</f>
        <v>179.79991736427</v>
      </c>
      <c r="Y468" s="7" t="n">
        <f aca="false">W468-X468</f>
        <v>100.529974180246</v>
      </c>
      <c r="Z468" s="8" t="s">
        <v>42</v>
      </c>
      <c r="AA468" s="7" t="str">
        <f aca="false">IFERROR(INDEX(02_轉折點45!B:B,MATCH(A468,02_轉折點45!A:A,0)),"")</f>
        <v/>
      </c>
      <c r="AB468" s="7" t="n">
        <f aca="false">COUNTIFS(05_訊號明細!A:A,A468,05_訊號明細!C:C,"TOP")</f>
        <v>0</v>
      </c>
      <c r="AC468" s="7" t="n">
        <f aca="false">COUNTIFS(05_訊號明細!A:A,A468,05_訊號明細!C:C,"BOTTOM")</f>
        <v>1</v>
      </c>
    </row>
    <row r="469" customFormat="false" ht="15" hidden="false" customHeight="false" outlineLevel="0" collapsed="false">
      <c r="A469" s="7" t="s">
        <v>510</v>
      </c>
      <c r="B469" s="7" t="n">
        <v>16397.59</v>
      </c>
      <c r="C469" s="7" t="n">
        <v>16454.48</v>
      </c>
      <c r="D469" s="7" t="n">
        <v>16302.06</v>
      </c>
      <c r="E469" s="7" t="n">
        <v>16359.38</v>
      </c>
      <c r="F469" s="7" t="n">
        <v>5566</v>
      </c>
      <c r="G469" s="7" t="n">
        <f aca="false">AVERAGE(E465:E469)</f>
        <v>16145.578</v>
      </c>
      <c r="H469" s="7" t="n">
        <f aca="false">AVERAGE(E460:E469)</f>
        <v>15902.859</v>
      </c>
      <c r="I469" s="7" t="n">
        <f aca="false">AVERAGE(E450:E469)</f>
        <v>15516.1675</v>
      </c>
      <c r="J469" s="7" t="n">
        <f aca="false">AVERAGE(E420:E469)</f>
        <v>15339.6886</v>
      </c>
      <c r="K469" s="7" t="n">
        <f aca="false">AVERAGE(E370:E469)</f>
        <v>15092.7181</v>
      </c>
      <c r="L469" s="7" t="n">
        <f aca="false">AVERAGE(E270:E469)</f>
        <v>14271.2318</v>
      </c>
      <c r="M469" s="7" t="n">
        <f aca="false">I469</f>
        <v>15516.1675</v>
      </c>
      <c r="N469" s="7" t="n">
        <f aca="false">I469+2*STDEV(E450:E469)</f>
        <v>16512.8486684232</v>
      </c>
      <c r="O469" s="7" t="n">
        <f aca="false">I469-2*STDEV(E450:E469)</f>
        <v>14519.4863315768</v>
      </c>
      <c r="P469" s="7" t="n">
        <f aca="false">MAX(E469-E468,0)</f>
        <v>13.1399999999994</v>
      </c>
      <c r="Q469" s="7" t="n">
        <f aca="false">MAX(E468-E469,0)</f>
        <v>0</v>
      </c>
      <c r="R469" s="7" t="n">
        <f aca="false">(R468*13+P469)/14</f>
        <v>85.3888637502734</v>
      </c>
      <c r="S469" s="7" t="n">
        <f aca="false">(S468*13+Q469)/14</f>
        <v>23.6838941583647</v>
      </c>
      <c r="T469" s="7" t="n">
        <f aca="false">IF(S469=0,100,100-100/(1+R469/S469))</f>
        <v>78.2861508111834</v>
      </c>
      <c r="U469" s="7" t="n">
        <f aca="false">E469*2/13+U468*11/13</f>
        <v>15875.5080526254</v>
      </c>
      <c r="V469" s="7" t="n">
        <f aca="false">E469*2/27+V468*25/27</f>
        <v>15570.3257809041</v>
      </c>
      <c r="W469" s="7" t="n">
        <f aca="false">U469-V469</f>
        <v>305.182271721314</v>
      </c>
      <c r="X469" s="7" t="n">
        <f aca="false">W469*2/10+X468*8/10</f>
        <v>204.876388235679</v>
      </c>
      <c r="Y469" s="7" t="n">
        <f aca="false">W469-X469</f>
        <v>100.305883485636</v>
      </c>
      <c r="Z469" s="8" t="s">
        <v>42</v>
      </c>
      <c r="AA469" s="7" t="str">
        <f aca="false">IFERROR(INDEX(02_轉折點45!B:B,MATCH(A469,02_轉折點45!A:A,0)),"")</f>
        <v/>
      </c>
      <c r="AB469" s="7" t="n">
        <f aca="false">COUNTIFS(05_訊號明細!A:A,A469,05_訊號明細!C:C,"TOP")</f>
        <v>0</v>
      </c>
      <c r="AC469" s="7" t="n">
        <f aca="false">COUNTIFS(05_訊號明細!A:A,A469,05_訊號明細!C:C,"BOTTOM")</f>
        <v>0</v>
      </c>
    </row>
    <row r="470" customFormat="false" ht="15" hidden="false" customHeight="false" outlineLevel="0" collapsed="false">
      <c r="A470" s="7" t="s">
        <v>511</v>
      </c>
      <c r="B470" s="7" t="n">
        <v>16351.49</v>
      </c>
      <c r="C470" s="7" t="n">
        <v>16401.93</v>
      </c>
      <c r="D470" s="7" t="n">
        <v>16314</v>
      </c>
      <c r="E470" s="7" t="n">
        <v>16336.03</v>
      </c>
      <c r="F470" s="7" t="n">
        <v>5724</v>
      </c>
      <c r="G470" s="7" t="n">
        <f aca="false">AVERAGE(E466:E470)</f>
        <v>16231.728</v>
      </c>
      <c r="H470" s="7" t="n">
        <f aca="false">AVERAGE(E461:E470)</f>
        <v>15985.043</v>
      </c>
      <c r="I470" s="7" t="n">
        <f aca="false">AVERAGE(E451:E470)</f>
        <v>15597.2825</v>
      </c>
      <c r="J470" s="7" t="n">
        <f aca="false">AVERAGE(E421:E470)</f>
        <v>15357.7502</v>
      </c>
      <c r="K470" s="7" t="n">
        <f aca="false">AVERAGE(E371:E470)</f>
        <v>15114.4403</v>
      </c>
      <c r="L470" s="7" t="n">
        <f aca="false">AVERAGE(E271:E470)</f>
        <v>14285.4955</v>
      </c>
      <c r="M470" s="7" t="n">
        <f aca="false">I470</f>
        <v>15597.2825</v>
      </c>
      <c r="N470" s="7" t="n">
        <f aca="false">I470+2*STDEV(E451:E470)</f>
        <v>16582.9908087891</v>
      </c>
      <c r="O470" s="7" t="n">
        <f aca="false">I470-2*STDEV(E451:E470)</f>
        <v>14611.5741912109</v>
      </c>
      <c r="P470" s="7" t="n">
        <f aca="false">MAX(E470-E469,0)</f>
        <v>0</v>
      </c>
      <c r="Q470" s="7" t="n">
        <f aca="false">MAX(E469-E470,0)</f>
        <v>23.3499999999985</v>
      </c>
      <c r="R470" s="7" t="n">
        <f aca="false">(R469*13+P470)/14</f>
        <v>79.2896591966825</v>
      </c>
      <c r="S470" s="7" t="n">
        <f aca="false">(S469*13+Q470)/14</f>
        <v>23.6600445756243</v>
      </c>
      <c r="T470" s="7" t="n">
        <f aca="false">IF(S470=0,100,100-100/(1+R470/S470))</f>
        <v>77.0178604613054</v>
      </c>
      <c r="U470" s="7" t="n">
        <f aca="false">E470*2/13+U469*11/13</f>
        <v>15946.3575829907</v>
      </c>
      <c r="V470" s="7" t="n">
        <f aca="false">E470*2/27+V469*25/27</f>
        <v>15627.0446119482</v>
      </c>
      <c r="W470" s="7" t="n">
        <f aca="false">U470-V470</f>
        <v>319.312971042498</v>
      </c>
      <c r="X470" s="7" t="n">
        <f aca="false">W470*2/10+X469*8/10</f>
        <v>227.763704797043</v>
      </c>
      <c r="Y470" s="7" t="n">
        <f aca="false">W470-X470</f>
        <v>91.5492662454556</v>
      </c>
      <c r="Z470" s="8" t="s">
        <v>42</v>
      </c>
      <c r="AA470" s="7" t="str">
        <f aca="false">IFERROR(INDEX(02_轉折點45!B:B,MATCH(A470,02_轉折點45!A:A,0)),"")</f>
        <v/>
      </c>
      <c r="AB470" s="7" t="n">
        <f aca="false">COUNTIFS(05_訊號明細!A:A,A470,05_訊號明細!C:C,"TOP")</f>
        <v>0</v>
      </c>
      <c r="AC470" s="7" t="n">
        <f aca="false">COUNTIFS(05_訊號明細!A:A,A470,05_訊號明細!C:C,"BOTTOM")</f>
        <v>0</v>
      </c>
    </row>
    <row r="471" customFormat="false" ht="15" hidden="false" customHeight="false" outlineLevel="0" collapsed="false">
      <c r="A471" s="7" t="s">
        <v>512</v>
      </c>
      <c r="B471" s="7" t="n">
        <v>16389.99</v>
      </c>
      <c r="C471" s="7" t="n">
        <v>16401.89</v>
      </c>
      <c r="D471" s="7" t="n">
        <v>16168.63</v>
      </c>
      <c r="E471" s="7" t="n">
        <v>16219.94</v>
      </c>
      <c r="F471" s="7" t="n">
        <v>5575</v>
      </c>
      <c r="G471" s="7" t="n">
        <f aca="false">AVERAGE(E467:E471)</f>
        <v>16281.218</v>
      </c>
      <c r="H471" s="7" t="n">
        <f aca="false">AVERAGE(E462:E471)</f>
        <v>16051.088</v>
      </c>
      <c r="I471" s="7" t="n">
        <f aca="false">AVERAGE(E452:E471)</f>
        <v>15675.174</v>
      </c>
      <c r="J471" s="7" t="n">
        <f aca="false">AVERAGE(E422:E471)</f>
        <v>15370.0472</v>
      </c>
      <c r="K471" s="7" t="n">
        <f aca="false">AVERAGE(E372:E471)</f>
        <v>15136.1439</v>
      </c>
      <c r="L471" s="7" t="n">
        <f aca="false">AVERAGE(E272:E471)</f>
        <v>14299.14425</v>
      </c>
      <c r="M471" s="7" t="n">
        <f aca="false">I471</f>
        <v>15675.174</v>
      </c>
      <c r="N471" s="7" t="n">
        <f aca="false">I471+2*STDEV(E452:E471)</f>
        <v>16593.6409348751</v>
      </c>
      <c r="O471" s="7" t="n">
        <f aca="false">I471-2*STDEV(E452:E471)</f>
        <v>14756.7070651249</v>
      </c>
      <c r="P471" s="7" t="n">
        <f aca="false">MAX(E471-E470,0)</f>
        <v>0</v>
      </c>
      <c r="Q471" s="7" t="n">
        <f aca="false">MAX(E470-E471,0)</f>
        <v>116.09</v>
      </c>
      <c r="R471" s="7" t="n">
        <f aca="false">(R470*13+P471)/14</f>
        <v>73.6261121112051</v>
      </c>
      <c r="S471" s="7" t="n">
        <f aca="false">(S470*13+Q471)/14</f>
        <v>30.262184248794</v>
      </c>
      <c r="T471" s="7" t="n">
        <f aca="false">IF(S471=0,100,100-100/(1+R471/S471))</f>
        <v>70.8704586473072</v>
      </c>
      <c r="U471" s="7" t="n">
        <f aca="false">E471*2/13+U470*11/13</f>
        <v>15988.4471856075</v>
      </c>
      <c r="V471" s="7" t="n">
        <f aca="false">E471*2/27+V470*25/27</f>
        <v>15670.9627888409</v>
      </c>
      <c r="W471" s="7" t="n">
        <f aca="false">U471-V471</f>
        <v>317.484396766587</v>
      </c>
      <c r="X471" s="7" t="n">
        <f aca="false">W471*2/10+X470*8/10</f>
        <v>245.707843190952</v>
      </c>
      <c r="Y471" s="7" t="n">
        <f aca="false">W471-X471</f>
        <v>71.7765535756359</v>
      </c>
      <c r="Z471" s="8" t="s">
        <v>42</v>
      </c>
      <c r="AA471" s="7" t="str">
        <f aca="false">IFERROR(INDEX(02_轉折點45!B:B,MATCH(A471,02_轉折點45!A:A,0)),"")</f>
        <v/>
      </c>
      <c r="AB471" s="7" t="n">
        <f aca="false">COUNTIFS(05_訊號明細!A:A,A471,05_訊號明細!C:C,"TOP")</f>
        <v>0</v>
      </c>
      <c r="AC471" s="7" t="n">
        <f aca="false">COUNTIFS(05_訊號明細!A:A,A471,05_訊號明細!C:C,"BOTTOM")</f>
        <v>0</v>
      </c>
    </row>
    <row r="472" customFormat="false" ht="15" hidden="false" customHeight="false" outlineLevel="0" collapsed="false">
      <c r="A472" s="7" t="s">
        <v>513</v>
      </c>
      <c r="B472" s="7" t="n">
        <v>16087.02</v>
      </c>
      <c r="C472" s="7" t="n">
        <v>16224.51</v>
      </c>
      <c r="D472" s="7" t="n">
        <v>15905.28</v>
      </c>
      <c r="E472" s="7" t="n">
        <v>15985.57</v>
      </c>
      <c r="F472" s="7" t="n">
        <v>5369</v>
      </c>
      <c r="G472" s="7" t="n">
        <f aca="false">AVERAGE(E468:E472)</f>
        <v>16249.432</v>
      </c>
      <c r="H472" s="7" t="n">
        <f aca="false">AVERAGE(E463:E472)</f>
        <v>16089.806</v>
      </c>
      <c r="I472" s="7" t="n">
        <f aca="false">AVERAGE(E453:E472)</f>
        <v>15735.7225</v>
      </c>
      <c r="J472" s="7" t="n">
        <f aca="false">AVERAGE(E423:E472)</f>
        <v>15378.1084</v>
      </c>
      <c r="K472" s="7" t="n">
        <f aca="false">AVERAGE(E373:E472)</f>
        <v>15154.6273</v>
      </c>
      <c r="L472" s="7" t="n">
        <f aca="false">AVERAGE(E273:E472)</f>
        <v>14313.50885</v>
      </c>
      <c r="M472" s="7" t="n">
        <f aca="false">I472</f>
        <v>15735.7225</v>
      </c>
      <c r="N472" s="7" t="n">
        <f aca="false">I472+2*STDEV(E453:E472)</f>
        <v>16558.9385175639</v>
      </c>
      <c r="O472" s="7" t="n">
        <f aca="false">I472-2*STDEV(E453:E472)</f>
        <v>14912.5064824362</v>
      </c>
      <c r="P472" s="7" t="n">
        <f aca="false">MAX(E472-E471,0)</f>
        <v>0</v>
      </c>
      <c r="Q472" s="7" t="n">
        <f aca="false">MAX(E471-E472,0)</f>
        <v>234.370000000001</v>
      </c>
      <c r="R472" s="7" t="n">
        <f aca="false">(R471*13+P472)/14</f>
        <v>68.3671041032619</v>
      </c>
      <c r="S472" s="7" t="n">
        <f aca="false">(S471*13+Q472)/14</f>
        <v>44.8413139453087</v>
      </c>
      <c r="T472" s="7" t="n">
        <f aca="false">IF(S472=0,100,100-100/(1+R472/S472))</f>
        <v>60.3904773882892</v>
      </c>
      <c r="U472" s="7" t="n">
        <f aca="false">E472*2/13+U471*11/13</f>
        <v>15988.0045416679</v>
      </c>
      <c r="V472" s="7" t="n">
        <f aca="false">E472*2/27+V471*25/27</f>
        <v>15694.2670267046</v>
      </c>
      <c r="W472" s="7" t="n">
        <f aca="false">U472-V472</f>
        <v>293.737514963335</v>
      </c>
      <c r="X472" s="7" t="n">
        <f aca="false">W472*2/10+X471*8/10</f>
        <v>255.313777545428</v>
      </c>
      <c r="Y472" s="7" t="n">
        <f aca="false">W472-X472</f>
        <v>38.423737417907</v>
      </c>
      <c r="Z472" s="8" t="s">
        <v>42</v>
      </c>
      <c r="AA472" s="7" t="str">
        <f aca="false">IFERROR(INDEX(02_轉折點45!B:B,MATCH(A472,02_轉折點45!A:A,0)),"")</f>
        <v/>
      </c>
      <c r="AB472" s="7" t="n">
        <f aca="false">COUNTIFS(05_訊號明細!A:A,A472,05_訊號明細!C:C,"TOP")</f>
        <v>1</v>
      </c>
      <c r="AC472" s="7" t="n">
        <f aca="false">COUNTIFS(05_訊號明細!A:A,A472,05_訊號明細!C:C,"BOTTOM")</f>
        <v>0</v>
      </c>
    </row>
    <row r="473" customFormat="false" ht="15" hidden="false" customHeight="false" outlineLevel="0" collapsed="false">
      <c r="A473" s="7" t="s">
        <v>514</v>
      </c>
      <c r="B473" s="7" t="n">
        <v>16114.05</v>
      </c>
      <c r="C473" s="7" t="n">
        <v>16116.25</v>
      </c>
      <c r="D473" s="7" t="n">
        <v>16019.39</v>
      </c>
      <c r="E473" s="7" t="n">
        <v>16032.47</v>
      </c>
      <c r="F473" s="7" t="n">
        <v>4570</v>
      </c>
      <c r="G473" s="7" t="n">
        <f aca="false">AVERAGE(E469:E473)</f>
        <v>16186.678</v>
      </c>
      <c r="H473" s="7" t="n">
        <f aca="false">AVERAGE(E464:E473)</f>
        <v>16115.237</v>
      </c>
      <c r="I473" s="7" t="n">
        <f aca="false">AVERAGE(E454:E473)</f>
        <v>15784.725</v>
      </c>
      <c r="J473" s="7" t="n">
        <f aca="false">AVERAGE(E424:E473)</f>
        <v>15386.5264</v>
      </c>
      <c r="K473" s="7" t="n">
        <f aca="false">AVERAGE(E374:E473)</f>
        <v>15172.2478</v>
      </c>
      <c r="L473" s="7" t="n">
        <f aca="false">AVERAGE(E274:E473)</f>
        <v>14327.66355</v>
      </c>
      <c r="M473" s="7" t="n">
        <f aca="false">I473</f>
        <v>15784.725</v>
      </c>
      <c r="N473" s="7" t="n">
        <f aca="false">I473+2*STDEV(E454:E473)</f>
        <v>16551.4176615563</v>
      </c>
      <c r="O473" s="7" t="n">
        <f aca="false">I473-2*STDEV(E454:E473)</f>
        <v>15018.0323384437</v>
      </c>
      <c r="P473" s="7" t="n">
        <f aca="false">MAX(E473-E472,0)</f>
        <v>46.8999999999996</v>
      </c>
      <c r="Q473" s="7" t="n">
        <f aca="false">MAX(E472-E473,0)</f>
        <v>0</v>
      </c>
      <c r="R473" s="7" t="n">
        <f aca="false">(R472*13+P473)/14</f>
        <v>66.8337395244575</v>
      </c>
      <c r="S473" s="7" t="n">
        <f aca="false">(S472*13+Q473)/14</f>
        <v>41.6383629492153</v>
      </c>
      <c r="T473" s="7" t="n">
        <f aca="false">IF(S473=0,100,100-100/(1+R473/S473))</f>
        <v>61.6137587456449</v>
      </c>
      <c r="U473" s="7" t="n">
        <f aca="false">E473*2/13+U472*11/13</f>
        <v>15994.8453814113</v>
      </c>
      <c r="V473" s="7" t="n">
        <f aca="false">E473*2/27+V472*25/27</f>
        <v>15719.3190988005</v>
      </c>
      <c r="W473" s="7" t="n">
        <f aca="false">U473-V473</f>
        <v>275.526282610776</v>
      </c>
      <c r="X473" s="7" t="n">
        <f aca="false">W473*2/10+X472*8/10</f>
        <v>259.356278558498</v>
      </c>
      <c r="Y473" s="7" t="n">
        <f aca="false">W473-X473</f>
        <v>16.1700040522777</v>
      </c>
      <c r="Z473" s="8" t="s">
        <v>42</v>
      </c>
      <c r="AA473" s="7" t="str">
        <f aca="false">IFERROR(INDEX(02_轉折點45!B:B,MATCH(A473,02_轉折點45!A:A,0)),"")</f>
        <v/>
      </c>
      <c r="AB473" s="7" t="n">
        <f aca="false">COUNTIFS(05_訊號明細!A:A,A473,05_訊號明細!C:C,"TOP")</f>
        <v>0</v>
      </c>
      <c r="AC473" s="7" t="n">
        <f aca="false">COUNTIFS(05_訊號明細!A:A,A473,05_訊號明細!C:C,"BOTTOM")</f>
        <v>0</v>
      </c>
    </row>
    <row r="474" customFormat="false" ht="15" hidden="false" customHeight="false" outlineLevel="0" collapsed="false">
      <c r="A474" s="7" t="s">
        <v>515</v>
      </c>
      <c r="B474" s="7" t="n">
        <v>16078.13</v>
      </c>
      <c r="C474" s="7" t="n">
        <v>16218.55</v>
      </c>
      <c r="D474" s="7" t="n">
        <v>16012.78</v>
      </c>
      <c r="E474" s="7" t="n">
        <v>16199.89</v>
      </c>
      <c r="F474" s="7" t="n">
        <v>5447</v>
      </c>
      <c r="G474" s="7" t="n">
        <f aca="false">AVERAGE(E470:E474)</f>
        <v>16154.78</v>
      </c>
      <c r="H474" s="7" t="n">
        <f aca="false">AVERAGE(E465:E474)</f>
        <v>16150.179</v>
      </c>
      <c r="I474" s="7" t="n">
        <f aca="false">AVERAGE(E455:E474)</f>
        <v>15837.3735</v>
      </c>
      <c r="J474" s="7" t="n">
        <f aca="false">AVERAGE(E425:E474)</f>
        <v>15398.4392</v>
      </c>
      <c r="K474" s="7" t="n">
        <f aca="false">AVERAGE(E375:E474)</f>
        <v>15191.5043</v>
      </c>
      <c r="L474" s="7" t="n">
        <f aca="false">AVERAGE(E275:E474)</f>
        <v>14344.0361</v>
      </c>
      <c r="M474" s="7" t="n">
        <f aca="false">I474</f>
        <v>15837.3735</v>
      </c>
      <c r="N474" s="7" t="n">
        <f aca="false">I474+2*STDEV(E455:E474)</f>
        <v>16563.1780619579</v>
      </c>
      <c r="O474" s="7" t="n">
        <f aca="false">I474-2*STDEV(E455:E474)</f>
        <v>15111.5689380421</v>
      </c>
      <c r="P474" s="7" t="n">
        <f aca="false">MAX(E474-E473,0)</f>
        <v>167.42</v>
      </c>
      <c r="Q474" s="7" t="n">
        <f aca="false">MAX(E473-E474,0)</f>
        <v>0</v>
      </c>
      <c r="R474" s="7" t="n">
        <f aca="false">(R473*13+P474)/14</f>
        <v>74.0184724155676</v>
      </c>
      <c r="S474" s="7" t="n">
        <f aca="false">(S473*13+Q474)/14</f>
        <v>38.6641941671285</v>
      </c>
      <c r="T474" s="7" t="n">
        <f aca="false">IF(S474=0,100,100-100/(1+R474/S474))</f>
        <v>65.6875406487178</v>
      </c>
      <c r="U474" s="7" t="n">
        <f aca="false">E474*2/13+U473*11/13</f>
        <v>16026.390707348</v>
      </c>
      <c r="V474" s="7" t="n">
        <f aca="false">E474*2/27+V473*25/27</f>
        <v>15754.9169433338</v>
      </c>
      <c r="W474" s="7" t="n">
        <f aca="false">U474-V474</f>
        <v>271.473764014203</v>
      </c>
      <c r="X474" s="7" t="n">
        <f aca="false">W474*2/10+X473*8/10</f>
        <v>261.779775649639</v>
      </c>
      <c r="Y474" s="7" t="n">
        <f aca="false">W474-X474</f>
        <v>9.69398836456412</v>
      </c>
      <c r="Z474" s="8" t="s">
        <v>42</v>
      </c>
      <c r="AA474" s="7" t="str">
        <f aca="false">IFERROR(INDEX(02_轉折點45!B:B,MATCH(A474,02_轉折點45!A:A,0)),"")</f>
        <v/>
      </c>
      <c r="AB474" s="7" t="n">
        <f aca="false">COUNTIFS(05_訊號明細!A:A,A474,05_訊號明細!C:C,"TOP")</f>
        <v>0</v>
      </c>
      <c r="AC474" s="7" t="n">
        <f aca="false">COUNTIFS(05_訊號明細!A:A,A474,05_訊號明細!C:C,"BOTTOM")</f>
        <v>0</v>
      </c>
    </row>
    <row r="475" customFormat="false" ht="15" hidden="false" customHeight="false" outlineLevel="0" collapsed="false">
      <c r="A475" s="7" t="s">
        <v>516</v>
      </c>
      <c r="B475" s="7" t="n">
        <v>16227.01</v>
      </c>
      <c r="C475" s="7" t="n">
        <v>16256.73</v>
      </c>
      <c r="D475" s="7" t="n">
        <v>16096.37</v>
      </c>
      <c r="E475" s="7" t="n">
        <v>16189.12</v>
      </c>
      <c r="F475" s="7" t="n">
        <v>5020</v>
      </c>
      <c r="G475" s="7" t="n">
        <f aca="false">AVERAGE(E471:E475)</f>
        <v>16125.398</v>
      </c>
      <c r="H475" s="7" t="n">
        <f aca="false">AVERAGE(E466:E475)</f>
        <v>16178.563</v>
      </c>
      <c r="I475" s="7" t="n">
        <f aca="false">AVERAGE(E456:E475)</f>
        <v>15881.785</v>
      </c>
      <c r="J475" s="7" t="n">
        <f aca="false">AVERAGE(E426:E475)</f>
        <v>15409.1644</v>
      </c>
      <c r="K475" s="7" t="n">
        <f aca="false">AVERAGE(E376:E475)</f>
        <v>15209.7359</v>
      </c>
      <c r="L475" s="7" t="n">
        <f aca="false">AVERAGE(E276:E475)</f>
        <v>14358.7372</v>
      </c>
      <c r="M475" s="7" t="n">
        <f aca="false">I475</f>
        <v>15881.785</v>
      </c>
      <c r="N475" s="7" t="n">
        <f aca="false">I475+2*STDEV(E456:E475)</f>
        <v>16577.4447282398</v>
      </c>
      <c r="O475" s="7" t="n">
        <f aca="false">I475-2*STDEV(E456:E475)</f>
        <v>15186.1252717602</v>
      </c>
      <c r="P475" s="7" t="n">
        <f aca="false">MAX(E475-E474,0)</f>
        <v>0</v>
      </c>
      <c r="Q475" s="7" t="n">
        <f aca="false">MAX(E474-E475,0)</f>
        <v>10.7699999999986</v>
      </c>
      <c r="R475" s="7" t="n">
        <f aca="false">(R474*13+P475)/14</f>
        <v>68.7314386715985</v>
      </c>
      <c r="S475" s="7" t="n">
        <f aca="false">(S474*13+Q475)/14</f>
        <v>36.6717517266192</v>
      </c>
      <c r="T475" s="7" t="n">
        <f aca="false">IF(S475=0,100,100-100/(1+R475/S475))</f>
        <v>65.2081198035166</v>
      </c>
      <c r="U475" s="7" t="n">
        <f aca="false">E475*2/13+U474*11/13</f>
        <v>16051.4259831406</v>
      </c>
      <c r="V475" s="7" t="n">
        <f aca="false">E475*2/27+V474*25/27</f>
        <v>15787.0801327165</v>
      </c>
      <c r="W475" s="7" t="n">
        <f aca="false">U475-V475</f>
        <v>264.345850424139</v>
      </c>
      <c r="X475" s="7" t="n">
        <f aca="false">W475*2/10+X474*8/10</f>
        <v>262.292990604539</v>
      </c>
      <c r="Y475" s="7" t="n">
        <f aca="false">W475-X475</f>
        <v>2.05285981960003</v>
      </c>
      <c r="Z475" s="8" t="s">
        <v>42</v>
      </c>
      <c r="AA475" s="7" t="str">
        <f aca="false">IFERROR(INDEX(02_轉折點45!B:B,MATCH(A475,02_轉折點45!A:A,0)),"")</f>
        <v/>
      </c>
      <c r="AB475" s="7" t="n">
        <f aca="false">COUNTIFS(05_訊號明細!A:A,A475,05_訊號明細!C:C,"TOP")</f>
        <v>1</v>
      </c>
      <c r="AC475" s="7" t="n">
        <f aca="false">COUNTIFS(05_訊號明細!A:A,A475,05_訊號明細!C:C,"BOTTOM")</f>
        <v>0</v>
      </c>
    </row>
    <row r="476" customFormat="false" ht="15" hidden="false" customHeight="false" outlineLevel="0" collapsed="false">
      <c r="A476" s="7" t="s">
        <v>517</v>
      </c>
      <c r="B476" s="7" t="n">
        <v>16170.29</v>
      </c>
      <c r="C476" s="7" t="n">
        <v>16329.5</v>
      </c>
      <c r="D476" s="7" t="n">
        <v>16156.69</v>
      </c>
      <c r="E476" s="7" t="n">
        <v>16309.77</v>
      </c>
      <c r="F476" s="7" t="n">
        <v>5533</v>
      </c>
      <c r="G476" s="7" t="n">
        <f aca="false">AVERAGE(E472:E476)</f>
        <v>16143.364</v>
      </c>
      <c r="H476" s="7" t="n">
        <f aca="false">AVERAGE(E467:E476)</f>
        <v>16212.291</v>
      </c>
      <c r="I476" s="7" t="n">
        <f aca="false">AVERAGE(E457:E476)</f>
        <v>15926.7375</v>
      </c>
      <c r="J476" s="7" t="n">
        <f aca="false">AVERAGE(E427:E476)</f>
        <v>15421.8446</v>
      </c>
      <c r="K476" s="7" t="n">
        <f aca="false">AVERAGE(E377:E476)</f>
        <v>15229.3818</v>
      </c>
      <c r="L476" s="7" t="n">
        <f aca="false">AVERAGE(E277:E476)</f>
        <v>14373.00545</v>
      </c>
      <c r="M476" s="7" t="n">
        <f aca="false">I476</f>
        <v>15926.7375</v>
      </c>
      <c r="N476" s="7" t="n">
        <f aca="false">I476+2*STDEV(E457:E476)</f>
        <v>16610.3164799939</v>
      </c>
      <c r="O476" s="7" t="n">
        <f aca="false">I476-2*STDEV(E457:E476)</f>
        <v>15243.1585200061</v>
      </c>
      <c r="P476" s="7" t="n">
        <f aca="false">MAX(E476-E475,0)</f>
        <v>120.65</v>
      </c>
      <c r="Q476" s="7" t="n">
        <f aca="false">MAX(E475-E476,0)</f>
        <v>0</v>
      </c>
      <c r="R476" s="7" t="n">
        <f aca="false">(R475*13+P476)/14</f>
        <v>72.4399073379129</v>
      </c>
      <c r="S476" s="7" t="n">
        <f aca="false">(S475*13+Q476)/14</f>
        <v>34.0523408890035</v>
      </c>
      <c r="T476" s="7" t="n">
        <f aca="false">IF(S476=0,100,100-100/(1+R476/S476))</f>
        <v>68.023643545919</v>
      </c>
      <c r="U476" s="7" t="n">
        <f aca="false">E476*2/13+U475*11/13</f>
        <v>16091.1712165036</v>
      </c>
      <c r="V476" s="7" t="n">
        <f aca="false">E476*2/27+V475*25/27</f>
        <v>15825.7979006634</v>
      </c>
      <c r="W476" s="7" t="n">
        <f aca="false">U476-V476</f>
        <v>265.373315840192</v>
      </c>
      <c r="X476" s="7" t="n">
        <f aca="false">W476*2/10+X475*8/10</f>
        <v>262.90905565167</v>
      </c>
      <c r="Y476" s="7" t="n">
        <f aca="false">W476-X476</f>
        <v>2.46426018852242</v>
      </c>
      <c r="Z476" s="8" t="s">
        <v>42</v>
      </c>
      <c r="AA476" s="7" t="str">
        <f aca="false">IFERROR(INDEX(02_轉折點45!B:B,MATCH(A476,02_轉折點45!A:A,0)),"")</f>
        <v/>
      </c>
      <c r="AB476" s="7" t="n">
        <f aca="false">COUNTIFS(05_訊號明細!A:A,A476,05_訊號明細!C:C,"TOP")</f>
        <v>0</v>
      </c>
      <c r="AC476" s="7" t="n">
        <f aca="false">COUNTIFS(05_訊號明細!A:A,A476,05_訊號明細!C:C,"BOTTOM")</f>
        <v>0</v>
      </c>
    </row>
    <row r="477" customFormat="false" ht="15" hidden="false" customHeight="false" outlineLevel="0" collapsed="false">
      <c r="A477" s="7" t="s">
        <v>518</v>
      </c>
      <c r="B477" s="7" t="n">
        <v>16329.07</v>
      </c>
      <c r="C477" s="7" t="n">
        <v>16398.95</v>
      </c>
      <c r="D477" s="7" t="n">
        <v>16276.77</v>
      </c>
      <c r="E477" s="7" t="n">
        <v>16308.07</v>
      </c>
      <c r="F477" s="7" t="n">
        <v>5049</v>
      </c>
      <c r="G477" s="7" t="n">
        <f aca="false">AVERAGE(E473:E477)</f>
        <v>16207.864</v>
      </c>
      <c r="H477" s="7" t="n">
        <f aca="false">AVERAGE(E468:E477)</f>
        <v>16228.648</v>
      </c>
      <c r="I477" s="7" t="n">
        <f aca="false">AVERAGE(E458:E477)</f>
        <v>15972.7055</v>
      </c>
      <c r="J477" s="7" t="n">
        <f aca="false">AVERAGE(E428:E477)</f>
        <v>15435.589</v>
      </c>
      <c r="K477" s="7" t="n">
        <f aca="false">AVERAGE(E378:E477)</f>
        <v>15247.2127</v>
      </c>
      <c r="L477" s="7" t="n">
        <f aca="false">AVERAGE(E278:E477)</f>
        <v>14387.53395</v>
      </c>
      <c r="M477" s="7" t="n">
        <f aca="false">I477</f>
        <v>15972.7055</v>
      </c>
      <c r="N477" s="7" t="n">
        <f aca="false">I477+2*STDEV(E458:E477)</f>
        <v>16626.9645503036</v>
      </c>
      <c r="O477" s="7" t="n">
        <f aca="false">I477-2*STDEV(E458:E477)</f>
        <v>15318.4464496964</v>
      </c>
      <c r="P477" s="7" t="n">
        <f aca="false">MAX(E477-E476,0)</f>
        <v>0</v>
      </c>
      <c r="Q477" s="7" t="n">
        <f aca="false">MAX(E476-E477,0)</f>
        <v>1.70000000000073</v>
      </c>
      <c r="R477" s="7" t="n">
        <f aca="false">(R476*13+P477)/14</f>
        <v>67.2656282423477</v>
      </c>
      <c r="S477" s="7" t="n">
        <f aca="false">(S476*13+Q477)/14</f>
        <v>31.7414593969319</v>
      </c>
      <c r="T477" s="7" t="n">
        <f aca="false">IF(S477=0,100,100-100/(1+R477/S477))</f>
        <v>67.9402150353335</v>
      </c>
      <c r="U477" s="7" t="n">
        <f aca="false">E477*2/13+U476*11/13</f>
        <v>16124.5402601184</v>
      </c>
      <c r="V477" s="7" t="n">
        <f aca="false">E477*2/27+V476*25/27</f>
        <v>15861.5217598735</v>
      </c>
      <c r="W477" s="7" t="n">
        <f aca="false">U477-V477</f>
        <v>263.018500244903</v>
      </c>
      <c r="X477" s="7" t="n">
        <f aca="false">W477*2/10+X476*8/10</f>
        <v>262.930944570316</v>
      </c>
      <c r="Y477" s="7" t="n">
        <f aca="false">W477-X477</f>
        <v>0.0875556745871222</v>
      </c>
      <c r="Z477" s="8" t="s">
        <v>42</v>
      </c>
      <c r="AA477" s="7" t="str">
        <f aca="false">IFERROR(INDEX(02_轉折點45!B:B,MATCH(A477,02_轉折點45!A:A,0)),"")</f>
        <v/>
      </c>
      <c r="AB477" s="7" t="n">
        <f aca="false">COUNTIFS(05_訊號明細!A:A,A477,05_訊號明細!C:C,"TOP")</f>
        <v>0</v>
      </c>
      <c r="AC477" s="7" t="n">
        <f aca="false">COUNTIFS(05_訊號明細!A:A,A477,05_訊號明細!C:C,"BOTTOM")</f>
        <v>0</v>
      </c>
    </row>
    <row r="478" customFormat="false" ht="15" hidden="false" customHeight="false" outlineLevel="0" collapsed="false">
      <c r="A478" s="7" t="s">
        <v>519</v>
      </c>
      <c r="B478" s="7" t="n">
        <v>16398.76</v>
      </c>
      <c r="C478" s="7" t="n">
        <v>16501.92</v>
      </c>
      <c r="D478" s="7" t="n">
        <v>16309.51</v>
      </c>
      <c r="E478" s="7" t="n">
        <v>16482.97</v>
      </c>
      <c r="F478" s="7" t="n">
        <v>5391</v>
      </c>
      <c r="G478" s="7" t="n">
        <f aca="false">AVERAGE(E474:E478)</f>
        <v>16297.964</v>
      </c>
      <c r="H478" s="7" t="n">
        <f aca="false">AVERAGE(E469:E478)</f>
        <v>16242.321</v>
      </c>
      <c r="I478" s="7" t="n">
        <f aca="false">AVERAGE(E459:E478)</f>
        <v>16022.3745</v>
      </c>
      <c r="J478" s="7" t="n">
        <f aca="false">AVERAGE(E429:E478)</f>
        <v>15454.0274</v>
      </c>
      <c r="K478" s="7" t="n">
        <f aca="false">AVERAGE(E379:E478)</f>
        <v>15266.3149</v>
      </c>
      <c r="L478" s="7" t="n">
        <f aca="false">AVERAGE(E279:E478)</f>
        <v>14402.14435</v>
      </c>
      <c r="M478" s="7" t="n">
        <f aca="false">I478</f>
        <v>16022.3745</v>
      </c>
      <c r="N478" s="7" t="n">
        <f aca="false">I478+2*STDEV(E459:E478)</f>
        <v>16673.0243582502</v>
      </c>
      <c r="O478" s="7" t="n">
        <f aca="false">I478-2*STDEV(E459:E478)</f>
        <v>15371.7246417498</v>
      </c>
      <c r="P478" s="7" t="n">
        <f aca="false">MAX(E478-E477,0)</f>
        <v>174.900000000001</v>
      </c>
      <c r="Q478" s="7" t="n">
        <f aca="false">MAX(E477-E478,0)</f>
        <v>0</v>
      </c>
      <c r="R478" s="7" t="n">
        <f aca="false">(R477*13+P478)/14</f>
        <v>74.9537976536087</v>
      </c>
      <c r="S478" s="7" t="n">
        <f aca="false">(S477*13+Q478)/14</f>
        <v>29.4742122971511</v>
      </c>
      <c r="T478" s="7" t="n">
        <f aca="false">IF(S478=0,100,100-100/(1+R478/S478))</f>
        <v>71.7755683450744</v>
      </c>
      <c r="U478" s="7" t="n">
        <f aca="false">E478*2/13+U477*11/13</f>
        <v>16179.6832970233</v>
      </c>
      <c r="V478" s="7" t="n">
        <f aca="false">E478*2/27+V477*25/27</f>
        <v>15907.5549628459</v>
      </c>
      <c r="W478" s="7" t="n">
        <f aca="false">U478-V478</f>
        <v>272.128334177429</v>
      </c>
      <c r="X478" s="7" t="n">
        <f aca="false">W478*2/10+X477*8/10</f>
        <v>264.770422491739</v>
      </c>
      <c r="Y478" s="7" t="n">
        <f aca="false">W478-X478</f>
        <v>7.35791168569</v>
      </c>
      <c r="Z478" s="8" t="s">
        <v>42</v>
      </c>
      <c r="AA478" s="7" t="str">
        <f aca="false">IFERROR(INDEX(02_轉折點45!B:B,MATCH(A478,02_轉折點45!A:A,0)),"")</f>
        <v/>
      </c>
      <c r="AB478" s="7" t="n">
        <f aca="false">COUNTIFS(05_訊號明細!A:A,A478,05_訊號明細!C:C,"TOP")</f>
        <v>2</v>
      </c>
      <c r="AC478" s="7" t="n">
        <f aca="false">COUNTIFS(05_訊號明細!A:A,A478,05_訊號明細!C:C,"BOTTOM")</f>
        <v>0</v>
      </c>
    </row>
    <row r="479" customFormat="false" ht="15" hidden="false" customHeight="false" outlineLevel="0" collapsed="false">
      <c r="A479" s="7" t="s">
        <v>520</v>
      </c>
      <c r="B479" s="7" t="n">
        <v>16558.56</v>
      </c>
      <c r="C479" s="7" t="n">
        <v>16625.86</v>
      </c>
      <c r="D479" s="7" t="n">
        <v>16523.83</v>
      </c>
      <c r="E479" s="7" t="n">
        <v>16573.34</v>
      </c>
      <c r="F479" s="7" t="n">
        <v>4875</v>
      </c>
      <c r="G479" s="7" t="n">
        <f aca="false">AVERAGE(E475:E479)</f>
        <v>16372.654</v>
      </c>
      <c r="H479" s="7" t="n">
        <f aca="false">AVERAGE(E470:E479)</f>
        <v>16263.717</v>
      </c>
      <c r="I479" s="7" t="n">
        <f aca="false">AVERAGE(E460:E479)</f>
        <v>16083.288</v>
      </c>
      <c r="J479" s="7" t="n">
        <f aca="false">AVERAGE(E430:E479)</f>
        <v>15476.6792</v>
      </c>
      <c r="K479" s="7" t="n">
        <f aca="false">AVERAGE(E380:E479)</f>
        <v>15286.5003</v>
      </c>
      <c r="L479" s="7" t="n">
        <f aca="false">AVERAGE(E280:E479)</f>
        <v>14416.99125</v>
      </c>
      <c r="M479" s="7" t="n">
        <f aca="false">I479</f>
        <v>16083.288</v>
      </c>
      <c r="N479" s="7" t="n">
        <f aca="false">I479+2*STDEV(E460:E479)</f>
        <v>16698.0106122441</v>
      </c>
      <c r="O479" s="7" t="n">
        <f aca="false">I479-2*STDEV(E460:E479)</f>
        <v>15468.5653877559</v>
      </c>
      <c r="P479" s="7" t="n">
        <f aca="false">MAX(E479-E478,0)</f>
        <v>90.369999999999</v>
      </c>
      <c r="Q479" s="7" t="n">
        <f aca="false">MAX(E478-E479,0)</f>
        <v>0</v>
      </c>
      <c r="R479" s="7" t="n">
        <f aca="false">(R478*13+P479)/14</f>
        <v>76.0549549640651</v>
      </c>
      <c r="S479" s="7" t="n">
        <f aca="false">(S478*13+Q479)/14</f>
        <v>27.3689114187831</v>
      </c>
      <c r="T479" s="7" t="n">
        <f aca="false">IF(S479=0,100,100-100/(1+R479/S479))</f>
        <v>73.5371414974272</v>
      </c>
      <c r="U479" s="7" t="n">
        <f aca="false">E479*2/13+U478*11/13</f>
        <v>16240.245866712</v>
      </c>
      <c r="V479" s="7" t="n">
        <f aca="false">E479*2/27+V478*25/27</f>
        <v>15956.8723730054</v>
      </c>
      <c r="W479" s="7" t="n">
        <f aca="false">U479-V479</f>
        <v>283.373493706587</v>
      </c>
      <c r="X479" s="7" t="n">
        <f aca="false">W479*2/10+X478*8/10</f>
        <v>268.491036734709</v>
      </c>
      <c r="Y479" s="7" t="n">
        <f aca="false">W479-X479</f>
        <v>14.8824569718789</v>
      </c>
      <c r="Z479" s="8" t="s">
        <v>42</v>
      </c>
      <c r="AA479" s="7" t="str">
        <f aca="false">IFERROR(INDEX(02_轉折點45!B:B,MATCH(A479,02_轉折點45!A:A,0)),"")</f>
        <v>TOP</v>
      </c>
      <c r="AB479" s="7" t="n">
        <f aca="false">COUNTIFS(05_訊號明細!A:A,A479,05_訊號明細!C:C,"TOP")</f>
        <v>1</v>
      </c>
      <c r="AC479" s="7" t="n">
        <f aca="false">COUNTIFS(05_訊號明細!A:A,A479,05_訊號明細!C:C,"BOTTOM")</f>
        <v>0</v>
      </c>
    </row>
    <row r="480" customFormat="false" ht="15" hidden="false" customHeight="false" outlineLevel="0" collapsed="false">
      <c r="A480" s="7" t="s">
        <v>521</v>
      </c>
      <c r="B480" s="7" t="n">
        <v>16644.77</v>
      </c>
      <c r="C480" s="7" t="n">
        <v>16764.86</v>
      </c>
      <c r="D480" s="7" t="n">
        <v>16374.78</v>
      </c>
      <c r="E480" s="7" t="n">
        <v>16380.98</v>
      </c>
      <c r="F480" s="7" t="n">
        <v>5568</v>
      </c>
      <c r="G480" s="7" t="n">
        <f aca="false">AVERAGE(E476:E480)</f>
        <v>16411.026</v>
      </c>
      <c r="H480" s="7" t="n">
        <f aca="false">AVERAGE(E471:E480)</f>
        <v>16268.212</v>
      </c>
      <c r="I480" s="7" t="n">
        <f aca="false">AVERAGE(E461:E480)</f>
        <v>16126.6275</v>
      </c>
      <c r="J480" s="7" t="n">
        <f aca="false">AVERAGE(E431:E480)</f>
        <v>15495.6088</v>
      </c>
      <c r="K480" s="7" t="n">
        <f aca="false">AVERAGE(E381:E480)</f>
        <v>15304.7096</v>
      </c>
      <c r="L480" s="7" t="n">
        <f aca="false">AVERAGE(E281:E480)</f>
        <v>14430.42105</v>
      </c>
      <c r="M480" s="7" t="n">
        <f aca="false">I480</f>
        <v>16126.6275</v>
      </c>
      <c r="N480" s="7" t="n">
        <f aca="false">I480+2*STDEV(E461:E480)</f>
        <v>16692.7091800976</v>
      </c>
      <c r="O480" s="7" t="n">
        <f aca="false">I480-2*STDEV(E461:E480)</f>
        <v>15560.5458199024</v>
      </c>
      <c r="P480" s="7" t="n">
        <f aca="false">MAX(E480-E479,0)</f>
        <v>0</v>
      </c>
      <c r="Q480" s="7" t="n">
        <f aca="false">MAX(E479-E480,0)</f>
        <v>192.360000000001</v>
      </c>
      <c r="R480" s="7" t="n">
        <f aca="false">(R479*13+P480)/14</f>
        <v>70.6224581809176</v>
      </c>
      <c r="S480" s="7" t="n">
        <f aca="false">(S479*13+Q480)/14</f>
        <v>39.1539891745844</v>
      </c>
      <c r="T480" s="7" t="n">
        <f aca="false">IF(S480=0,100,100-100/(1+R480/S480))</f>
        <v>64.3329784140423</v>
      </c>
      <c r="U480" s="7" t="n">
        <f aca="false">E480*2/13+U479*11/13</f>
        <v>16261.8972718333</v>
      </c>
      <c r="V480" s="7" t="n">
        <f aca="false">E480*2/27+V479*25/27</f>
        <v>15988.2877527828</v>
      </c>
      <c r="W480" s="7" t="n">
        <f aca="false">U480-V480</f>
        <v>273.609519050438</v>
      </c>
      <c r="X480" s="7" t="n">
        <f aca="false">W480*2/10+X479*8/10</f>
        <v>269.514733197854</v>
      </c>
      <c r="Y480" s="7" t="n">
        <f aca="false">W480-X480</f>
        <v>4.09478585258393</v>
      </c>
      <c r="Z480" s="8" t="s">
        <v>42</v>
      </c>
      <c r="AA480" s="7" t="str">
        <f aca="false">IFERROR(INDEX(02_轉折點45!B:B,MATCH(A480,02_轉折點45!A:A,0)),"")</f>
        <v/>
      </c>
      <c r="AB480" s="7" t="n">
        <f aca="false">COUNTIFS(05_訊號明細!A:A,A480,05_訊號明細!C:C,"TOP")</f>
        <v>1</v>
      </c>
      <c r="AC480" s="7" t="n">
        <f aca="false">COUNTIFS(05_訊號明細!A:A,A480,05_訊號明細!C:C,"BOTTOM")</f>
        <v>0</v>
      </c>
    </row>
    <row r="481" customFormat="false" ht="15" hidden="false" customHeight="false" outlineLevel="0" collapsed="false">
      <c r="A481" s="7" t="s">
        <v>522</v>
      </c>
      <c r="B481" s="7" t="n">
        <v>16330.18</v>
      </c>
      <c r="C481" s="7" t="n">
        <v>16417.5</v>
      </c>
      <c r="D481" s="7" t="n">
        <v>16121.7</v>
      </c>
      <c r="E481" s="7" t="n">
        <v>16306.72</v>
      </c>
      <c r="F481" s="7" t="n">
        <v>5434</v>
      </c>
      <c r="G481" s="7" t="n">
        <f aca="false">AVERAGE(E477:E481)</f>
        <v>16410.416</v>
      </c>
      <c r="H481" s="7" t="n">
        <f aca="false">AVERAGE(E472:E481)</f>
        <v>16276.89</v>
      </c>
      <c r="I481" s="7" t="n">
        <f aca="false">AVERAGE(E462:E481)</f>
        <v>16163.989</v>
      </c>
      <c r="J481" s="7" t="n">
        <f aca="false">AVERAGE(E432:E481)</f>
        <v>15514.0852</v>
      </c>
      <c r="K481" s="7" t="n">
        <f aca="false">AVERAGE(E382:E481)</f>
        <v>15320.5005</v>
      </c>
      <c r="L481" s="7" t="n">
        <f aca="false">AVERAGE(E282:E481)</f>
        <v>14443.51925</v>
      </c>
      <c r="M481" s="7" t="n">
        <f aca="false">I481</f>
        <v>16163.989</v>
      </c>
      <c r="N481" s="7" t="n">
        <f aca="false">I481+2*STDEV(E462:E481)</f>
        <v>16667.6599361394</v>
      </c>
      <c r="O481" s="7" t="n">
        <f aca="false">I481-2*STDEV(E462:E481)</f>
        <v>15660.3180638606</v>
      </c>
      <c r="P481" s="7" t="n">
        <f aca="false">MAX(E481-E480,0)</f>
        <v>0</v>
      </c>
      <c r="Q481" s="7" t="n">
        <f aca="false">MAX(E480-E481,0)</f>
        <v>74.2600000000002</v>
      </c>
      <c r="R481" s="7" t="n">
        <f aca="false">(R480*13+P481)/14</f>
        <v>65.5779968822806</v>
      </c>
      <c r="S481" s="7" t="n">
        <f aca="false">(S480*13+Q481)/14</f>
        <v>41.6615613763998</v>
      </c>
      <c r="T481" s="7" t="n">
        <f aca="false">IF(S481=0,100,100-100/(1+R481/S481))</f>
        <v>61.1509390257792</v>
      </c>
      <c r="U481" s="7" t="n">
        <f aca="false">E481*2/13+U480*11/13</f>
        <v>16268.7930761666</v>
      </c>
      <c r="V481" s="7" t="n">
        <f aca="false">E481*2/27+V480*25/27</f>
        <v>16011.8753266508</v>
      </c>
      <c r="W481" s="7" t="n">
        <f aca="false">U481-V481</f>
        <v>256.917749515842</v>
      </c>
      <c r="X481" s="7" t="n">
        <f aca="false">W481*2/10+X480*8/10</f>
        <v>266.995336461452</v>
      </c>
      <c r="Y481" s="7" t="n">
        <f aca="false">W481-X481</f>
        <v>-10.0775869456101</v>
      </c>
      <c r="Z481" s="8" t="s">
        <v>42</v>
      </c>
      <c r="AA481" s="7" t="str">
        <f aca="false">IFERROR(INDEX(02_轉折點45!B:B,MATCH(A481,02_轉折點45!A:A,0)),"")</f>
        <v/>
      </c>
      <c r="AB481" s="7" t="n">
        <f aca="false">COUNTIFS(05_訊號明細!A:A,A481,05_訊號明細!C:C,"TOP")</f>
        <v>0</v>
      </c>
      <c r="AC481" s="7" t="n">
        <f aca="false">COUNTIFS(05_訊號明細!A:A,A481,05_訊號明細!C:C,"BOTTOM")</f>
        <v>0</v>
      </c>
    </row>
    <row r="482" customFormat="false" ht="15" hidden="false" customHeight="false" outlineLevel="0" collapsed="false">
      <c r="A482" s="7" t="s">
        <v>523</v>
      </c>
      <c r="B482" s="7" t="n">
        <v>16202.26</v>
      </c>
      <c r="C482" s="7" t="n">
        <v>16370.56</v>
      </c>
      <c r="D482" s="7" t="n">
        <v>16106.02</v>
      </c>
      <c r="E482" s="7" t="n">
        <v>16367.81</v>
      </c>
      <c r="F482" s="7" t="n">
        <v>4197</v>
      </c>
      <c r="G482" s="7" t="n">
        <f aca="false">AVERAGE(E478:E482)</f>
        <v>16422.364</v>
      </c>
      <c r="H482" s="7" t="n">
        <f aca="false">AVERAGE(E473:E482)</f>
        <v>16315.114</v>
      </c>
      <c r="I482" s="7" t="n">
        <f aca="false">AVERAGE(E463:E482)</f>
        <v>16202.46</v>
      </c>
      <c r="J482" s="7" t="n">
        <f aca="false">AVERAGE(E433:E482)</f>
        <v>15531.3708</v>
      </c>
      <c r="K482" s="7" t="n">
        <f aca="false">AVERAGE(E383:E482)</f>
        <v>15336.315</v>
      </c>
      <c r="L482" s="7" t="n">
        <f aca="false">AVERAGE(E283:E482)</f>
        <v>14457.08195</v>
      </c>
      <c r="M482" s="7" t="n">
        <f aca="false">I482</f>
        <v>16202.46</v>
      </c>
      <c r="N482" s="7" t="n">
        <f aca="false">I482+2*STDEV(E463:E482)</f>
        <v>16637.0296894025</v>
      </c>
      <c r="O482" s="7" t="n">
        <f aca="false">I482-2*STDEV(E463:E482)</f>
        <v>15767.8903105975</v>
      </c>
      <c r="P482" s="7" t="n">
        <f aca="false">MAX(E482-E481,0)</f>
        <v>61.0900000000001</v>
      </c>
      <c r="Q482" s="7" t="n">
        <f aca="false">MAX(E481-E482,0)</f>
        <v>0</v>
      </c>
      <c r="R482" s="7" t="n">
        <f aca="false">(R481*13+P482)/14</f>
        <v>65.2574256764035</v>
      </c>
      <c r="S482" s="7" t="n">
        <f aca="false">(S481*13+Q482)/14</f>
        <v>38.6857355637998</v>
      </c>
      <c r="T482" s="7" t="n">
        <f aca="false">IF(S482=0,100,100-100/(1+R482/S482))</f>
        <v>62.7818366285776</v>
      </c>
      <c r="U482" s="7" t="n">
        <f aca="false">E482*2/13+U481*11/13</f>
        <v>16284.026449064</v>
      </c>
      <c r="V482" s="7" t="n">
        <f aca="false">E482*2/27+V481*25/27</f>
        <v>16038.24085801</v>
      </c>
      <c r="W482" s="7" t="n">
        <f aca="false">U482-V482</f>
        <v>245.785591054086</v>
      </c>
      <c r="X482" s="7" t="n">
        <f aca="false">W482*2/10+X481*8/10</f>
        <v>262.753387379979</v>
      </c>
      <c r="Y482" s="7" t="n">
        <f aca="false">W482-X482</f>
        <v>-16.9677963258931</v>
      </c>
      <c r="Z482" s="8" t="s">
        <v>42</v>
      </c>
      <c r="AA482" s="7" t="str">
        <f aca="false">IFERROR(INDEX(02_轉折點45!B:B,MATCH(A482,02_轉折點45!A:A,0)),"")</f>
        <v/>
      </c>
      <c r="AB482" s="7" t="n">
        <f aca="false">COUNTIFS(05_訊號明細!A:A,A482,05_訊號明細!C:C,"TOP")</f>
        <v>1</v>
      </c>
      <c r="AC482" s="7" t="n">
        <f aca="false">COUNTIFS(05_訊號明細!A:A,A482,05_訊號明細!C:C,"BOTTOM")</f>
        <v>0</v>
      </c>
    </row>
    <row r="483" customFormat="false" ht="15" hidden="false" customHeight="false" outlineLevel="0" collapsed="false">
      <c r="A483" s="7" t="s">
        <v>524</v>
      </c>
      <c r="B483" s="7" t="n">
        <v>16237.41</v>
      </c>
      <c r="C483" s="7" t="n">
        <v>16302.58</v>
      </c>
      <c r="D483" s="7" t="n">
        <v>15988.95</v>
      </c>
      <c r="E483" s="7" t="n">
        <v>16025.58</v>
      </c>
      <c r="F483" s="7" t="n">
        <v>3502</v>
      </c>
      <c r="G483" s="7" t="n">
        <f aca="false">AVERAGE(E479:E483)</f>
        <v>16330.886</v>
      </c>
      <c r="H483" s="7" t="n">
        <f aca="false">AVERAGE(E474:E483)</f>
        <v>16314.425</v>
      </c>
      <c r="I483" s="7" t="n">
        <f aca="false">AVERAGE(E464:E483)</f>
        <v>16214.831</v>
      </c>
      <c r="J483" s="7" t="n">
        <f aca="false">AVERAGE(E434:E483)</f>
        <v>15541.5642</v>
      </c>
      <c r="K483" s="7" t="n">
        <f aca="false">AVERAGE(E384:E483)</f>
        <v>15348.4654</v>
      </c>
      <c r="L483" s="7" t="n">
        <f aca="false">AVERAGE(E284:E483)</f>
        <v>14468.5381</v>
      </c>
      <c r="M483" s="7" t="n">
        <f aca="false">I483</f>
        <v>16214.831</v>
      </c>
      <c r="N483" s="7" t="n">
        <f aca="false">I483+2*STDEV(E464:E483)</f>
        <v>16610.9268370421</v>
      </c>
      <c r="O483" s="7" t="n">
        <f aca="false">I483-2*STDEV(E464:E483)</f>
        <v>15818.7351629579</v>
      </c>
      <c r="P483" s="7" t="n">
        <f aca="false">MAX(E483-E482,0)</f>
        <v>0</v>
      </c>
      <c r="Q483" s="7" t="n">
        <f aca="false">MAX(E482-E483,0)</f>
        <v>342.23</v>
      </c>
      <c r="R483" s="7" t="n">
        <f aca="false">(R482*13+P483)/14</f>
        <v>60.5961809852318</v>
      </c>
      <c r="S483" s="7" t="n">
        <f aca="false">(S482*13+Q483)/14</f>
        <v>60.3674687378141</v>
      </c>
      <c r="T483" s="7" t="n">
        <f aca="false">IF(S483=0,100,100-100/(1+R483/S483))</f>
        <v>50.0945375937074</v>
      </c>
      <c r="U483" s="7" t="n">
        <f aca="false">E483*2/13+U482*11/13</f>
        <v>16244.2654569003</v>
      </c>
      <c r="V483" s="7" t="n">
        <f aca="false">E483*2/27+V482*25/27</f>
        <v>16037.3030166759</v>
      </c>
      <c r="W483" s="7" t="n">
        <f aca="false">U483-V483</f>
        <v>206.962440224457</v>
      </c>
      <c r="X483" s="7" t="n">
        <f aca="false">W483*2/10+X482*8/10</f>
        <v>251.595197948874</v>
      </c>
      <c r="Y483" s="7" t="n">
        <f aca="false">W483-X483</f>
        <v>-44.6327577244173</v>
      </c>
      <c r="Z483" s="7" t="s">
        <v>78</v>
      </c>
      <c r="AA483" s="7" t="str">
        <f aca="false">IFERROR(INDEX(02_轉折點45!B:B,MATCH(A483,02_轉折點45!A:A,0)),"")</f>
        <v/>
      </c>
      <c r="AB483" s="7" t="n">
        <f aca="false">COUNTIFS(05_訊號明細!A:A,A483,05_訊號明細!C:C,"TOP")</f>
        <v>4</v>
      </c>
      <c r="AC483" s="7" t="n">
        <f aca="false">COUNTIFS(05_訊號明細!A:A,A483,05_訊號明細!C:C,"BOTTOM")</f>
        <v>0</v>
      </c>
    </row>
    <row r="484" customFormat="false" ht="15" hidden="false" customHeight="false" outlineLevel="0" collapsed="false">
      <c r="A484" s="7" t="s">
        <v>525</v>
      </c>
      <c r="B484" s="7" t="n">
        <v>16263.43</v>
      </c>
      <c r="C484" s="7" t="n">
        <v>16437.16</v>
      </c>
      <c r="D484" s="7" t="n">
        <v>16214.56</v>
      </c>
      <c r="E484" s="7" t="n">
        <v>16399.24</v>
      </c>
      <c r="F484" s="7" t="n">
        <v>4836</v>
      </c>
      <c r="G484" s="7" t="n">
        <f aca="false">AVERAGE(E480:E484)</f>
        <v>16296.066</v>
      </c>
      <c r="H484" s="7" t="n">
        <f aca="false">AVERAGE(E475:E484)</f>
        <v>16334.36</v>
      </c>
      <c r="I484" s="7" t="n">
        <f aca="false">AVERAGE(E465:E484)</f>
        <v>16242.2695</v>
      </c>
      <c r="J484" s="7" t="n">
        <f aca="false">AVERAGE(E435:E484)</f>
        <v>15562.8796</v>
      </c>
      <c r="K484" s="7" t="n">
        <f aca="false">AVERAGE(E385:E484)</f>
        <v>15365.2364</v>
      </c>
      <c r="L484" s="7" t="n">
        <f aca="false">AVERAGE(E285:E484)</f>
        <v>14481.4958</v>
      </c>
      <c r="M484" s="7" t="n">
        <f aca="false">I484</f>
        <v>16242.2695</v>
      </c>
      <c r="N484" s="7" t="n">
        <f aca="false">I484+2*STDEV(E465:E484)</f>
        <v>16606.8678797334</v>
      </c>
      <c r="O484" s="7" t="n">
        <f aca="false">I484-2*STDEV(E465:E484)</f>
        <v>15877.6711202666</v>
      </c>
      <c r="P484" s="7" t="n">
        <f aca="false">MAX(E484-E483,0)</f>
        <v>373.660000000002</v>
      </c>
      <c r="Q484" s="7" t="n">
        <f aca="false">MAX(E483-E484,0)</f>
        <v>0</v>
      </c>
      <c r="R484" s="7" t="n">
        <f aca="false">(R483*13+P484)/14</f>
        <v>82.9578823434297</v>
      </c>
      <c r="S484" s="7" t="n">
        <f aca="false">(S483*13+Q484)/14</f>
        <v>56.0555066851131</v>
      </c>
      <c r="T484" s="7" t="n">
        <f aca="false">IF(S484=0,100,100-100/(1+R484/S484))</f>
        <v>59.6761814981695</v>
      </c>
      <c r="U484" s="7" t="n">
        <f aca="false">E484*2/13+U483*11/13</f>
        <v>16268.1076943003</v>
      </c>
      <c r="V484" s="7" t="n">
        <f aca="false">E484*2/27+V483*25/27</f>
        <v>16064.1131635888</v>
      </c>
      <c r="W484" s="7" t="n">
        <f aca="false">U484-V484</f>
        <v>203.994530711507</v>
      </c>
      <c r="X484" s="7" t="n">
        <f aca="false">W484*2/10+X483*8/10</f>
        <v>242.075064501401</v>
      </c>
      <c r="Y484" s="7" t="n">
        <f aca="false">W484-X484</f>
        <v>-38.0805337898942</v>
      </c>
      <c r="Z484" s="8" t="s">
        <v>42</v>
      </c>
      <c r="AA484" s="7" t="str">
        <f aca="false">IFERROR(INDEX(02_轉折點45!B:B,MATCH(A484,02_轉折點45!A:A,0)),"")</f>
        <v/>
      </c>
      <c r="AB484" s="7" t="n">
        <f aca="false">COUNTIFS(05_訊號明細!A:A,A484,05_訊號明細!C:C,"TOP")</f>
        <v>1</v>
      </c>
      <c r="AC484" s="7" t="n">
        <f aca="false">COUNTIFS(05_訊號明細!A:A,A484,05_訊號明細!C:C,"BOTTOM")</f>
        <v>1</v>
      </c>
    </row>
    <row r="485" customFormat="false" ht="15" hidden="false" customHeight="false" outlineLevel="0" collapsed="false">
      <c r="A485" s="7" t="s">
        <v>526</v>
      </c>
      <c r="B485" s="7" t="n">
        <v>16333.95</v>
      </c>
      <c r="C485" s="7" t="n">
        <v>16454.56</v>
      </c>
      <c r="D485" s="7" t="n">
        <v>16073.76</v>
      </c>
      <c r="E485" s="7" t="n">
        <v>16135.92</v>
      </c>
      <c r="F485" s="7" t="n">
        <v>6631</v>
      </c>
      <c r="G485" s="7" t="n">
        <f aca="false">AVERAGE(E481:E485)</f>
        <v>16247.054</v>
      </c>
      <c r="H485" s="7" t="n">
        <f aca="false">AVERAGE(E476:E485)</f>
        <v>16329.04</v>
      </c>
      <c r="I485" s="7" t="n">
        <f aca="false">AVERAGE(E466:E485)</f>
        <v>16253.8015</v>
      </c>
      <c r="J485" s="7" t="n">
        <f aca="false">AVERAGE(E436:E485)</f>
        <v>15585.3542</v>
      </c>
      <c r="K485" s="7" t="n">
        <f aca="false">AVERAGE(E386:E485)</f>
        <v>15378.3347</v>
      </c>
      <c r="L485" s="7" t="n">
        <f aca="false">AVERAGE(E286:E485)</f>
        <v>14493.30655</v>
      </c>
      <c r="M485" s="7" t="n">
        <f aca="false">I485</f>
        <v>16253.8015</v>
      </c>
      <c r="N485" s="7" t="n">
        <f aca="false">I485+2*STDEV(E466:E485)</f>
        <v>16586.7359650085</v>
      </c>
      <c r="O485" s="7" t="n">
        <f aca="false">I485-2*STDEV(E466:E485)</f>
        <v>15920.8670349915</v>
      </c>
      <c r="P485" s="7" t="n">
        <f aca="false">MAX(E485-E484,0)</f>
        <v>0</v>
      </c>
      <c r="Q485" s="7" t="n">
        <f aca="false">MAX(E484-E485,0)</f>
        <v>263.320000000002</v>
      </c>
      <c r="R485" s="7" t="n">
        <f aca="false">(R484*13+P485)/14</f>
        <v>77.032319318899</v>
      </c>
      <c r="S485" s="7" t="n">
        <f aca="false">(S484*13+Q485)/14</f>
        <v>70.8601133504622</v>
      </c>
      <c r="T485" s="7" t="n">
        <f aca="false">IF(S485=0,100,100-100/(1+R485/S485))</f>
        <v>52.0867213612733</v>
      </c>
      <c r="U485" s="7" t="n">
        <f aca="false">E485*2/13+U484*11/13</f>
        <v>16247.7711259464</v>
      </c>
      <c r="V485" s="7" t="n">
        <f aca="false">E485*2/27+V484*25/27</f>
        <v>16069.4321885081</v>
      </c>
      <c r="W485" s="7" t="n">
        <f aca="false">U485-V485</f>
        <v>178.338937438268</v>
      </c>
      <c r="X485" s="7" t="n">
        <f aca="false">W485*2/10+X484*8/10</f>
        <v>229.327839088774</v>
      </c>
      <c r="Y485" s="7" t="n">
        <f aca="false">W485-X485</f>
        <v>-50.9889016505065</v>
      </c>
      <c r="Z485" s="7" t="s">
        <v>78</v>
      </c>
      <c r="AA485" s="7" t="str">
        <f aca="false">IFERROR(INDEX(02_轉折點45!B:B,MATCH(A485,02_轉折點45!A:A,0)),"")</f>
        <v/>
      </c>
      <c r="AB485" s="7" t="n">
        <f aca="false">COUNTIFS(05_訊號明細!A:A,A485,05_訊號明細!C:C,"TOP")</f>
        <v>2</v>
      </c>
      <c r="AC485" s="7" t="n">
        <f aca="false">COUNTIFS(05_訊號明細!A:A,A485,05_訊號明細!C:C,"BOTTOM")</f>
        <v>0</v>
      </c>
    </row>
    <row r="486" customFormat="false" ht="15" hidden="false" customHeight="false" outlineLevel="0" collapsed="false">
      <c r="A486" s="7" t="s">
        <v>527</v>
      </c>
      <c r="B486" s="7" t="n">
        <v>16347.96</v>
      </c>
      <c r="C486" s="7" t="n">
        <v>16427.19</v>
      </c>
      <c r="D486" s="7" t="n">
        <v>15864</v>
      </c>
      <c r="E486" s="7" t="n">
        <v>15877.72</v>
      </c>
      <c r="F486" s="7" t="n">
        <v>6320</v>
      </c>
      <c r="G486" s="7" t="n">
        <f aca="false">AVERAGE(E482:E486)</f>
        <v>16161.254</v>
      </c>
      <c r="H486" s="7" t="n">
        <f aca="false">AVERAGE(E477:E486)</f>
        <v>16285.835</v>
      </c>
      <c r="I486" s="7" t="n">
        <f aca="false">AVERAGE(E467:E486)</f>
        <v>16249.063</v>
      </c>
      <c r="J486" s="7" t="n">
        <f aca="false">AVERAGE(E437:E486)</f>
        <v>15602.3532</v>
      </c>
      <c r="K486" s="7" t="n">
        <f aca="false">AVERAGE(E387:E486)</f>
        <v>15388.333</v>
      </c>
      <c r="L486" s="7" t="n">
        <f aca="false">AVERAGE(E287:E486)</f>
        <v>14504.1966</v>
      </c>
      <c r="M486" s="7" t="n">
        <f aca="false">I486</f>
        <v>16249.063</v>
      </c>
      <c r="N486" s="7" t="n">
        <f aca="false">I486+2*STDEV(E467:E486)</f>
        <v>16601.0102201519</v>
      </c>
      <c r="O486" s="7" t="n">
        <f aca="false">I486-2*STDEV(E467:E486)</f>
        <v>15897.1157798481</v>
      </c>
      <c r="P486" s="7" t="n">
        <f aca="false">MAX(E486-E485,0)</f>
        <v>0</v>
      </c>
      <c r="Q486" s="7" t="n">
        <f aca="false">MAX(E485-E486,0)</f>
        <v>258.200000000001</v>
      </c>
      <c r="R486" s="7" t="n">
        <f aca="false">(R485*13+P486)/14</f>
        <v>71.5300107961205</v>
      </c>
      <c r="S486" s="7" t="n">
        <f aca="false">(S485*13+Q486)/14</f>
        <v>84.2415338254293</v>
      </c>
      <c r="T486" s="7" t="n">
        <f aca="false">IF(S486=0,100,100-100/(1+R486/S486))</f>
        <v>45.9198186484599</v>
      </c>
      <c r="U486" s="7" t="n">
        <f aca="false">E486*2/13+U485*11/13</f>
        <v>16190.8401834931</v>
      </c>
      <c r="V486" s="7" t="n">
        <f aca="false">E486*2/27+V485*25/27</f>
        <v>16055.2312856557</v>
      </c>
      <c r="W486" s="7" t="n">
        <f aca="false">U486-V486</f>
        <v>135.60889783743</v>
      </c>
      <c r="X486" s="7" t="n">
        <f aca="false">W486*2/10+X485*8/10</f>
        <v>210.584050838505</v>
      </c>
      <c r="Y486" s="7" t="n">
        <f aca="false">W486-X486</f>
        <v>-74.9751530010754</v>
      </c>
      <c r="Z486" s="7" t="s">
        <v>78</v>
      </c>
      <c r="AA486" s="7" t="str">
        <f aca="false">IFERROR(INDEX(02_轉折點45!B:B,MATCH(A486,02_轉折點45!A:A,0)),"")</f>
        <v/>
      </c>
      <c r="AB486" s="7" t="n">
        <f aca="false">COUNTIFS(05_訊號明細!A:A,A486,05_訊號明細!C:C,"TOP")</f>
        <v>0</v>
      </c>
      <c r="AC486" s="7" t="n">
        <f aca="false">COUNTIFS(05_訊號明細!A:A,A486,05_訊號明細!C:C,"BOTTOM")</f>
        <v>0</v>
      </c>
    </row>
    <row r="487" customFormat="false" ht="15" hidden="false" customHeight="false" outlineLevel="0" collapsed="false">
      <c r="A487" s="7" t="s">
        <v>528</v>
      </c>
      <c r="B487" s="7" t="n">
        <v>15791.3</v>
      </c>
      <c r="C487" s="7" t="n">
        <v>16066.32</v>
      </c>
      <c r="D487" s="7" t="n">
        <v>15770.92</v>
      </c>
      <c r="E487" s="7" t="n">
        <v>15990.76</v>
      </c>
      <c r="F487" s="7" t="n">
        <v>5418</v>
      </c>
      <c r="G487" s="7" t="n">
        <f aca="false">AVERAGE(E483:E487)</f>
        <v>16085.844</v>
      </c>
      <c r="H487" s="7" t="n">
        <f aca="false">AVERAGE(E478:E487)</f>
        <v>16254.104</v>
      </c>
      <c r="I487" s="7" t="n">
        <f aca="false">AVERAGE(E468:E487)</f>
        <v>16241.376</v>
      </c>
      <c r="J487" s="7" t="n">
        <f aca="false">AVERAGE(E438:E487)</f>
        <v>15618.6382</v>
      </c>
      <c r="K487" s="7" t="n">
        <f aca="false">AVERAGE(E388:E487)</f>
        <v>15399.4952</v>
      </c>
      <c r="L487" s="7" t="n">
        <f aca="false">AVERAGE(E288:E487)</f>
        <v>14515.96285</v>
      </c>
      <c r="M487" s="7" t="n">
        <f aca="false">I487</f>
        <v>16241.376</v>
      </c>
      <c r="N487" s="7" t="n">
        <f aca="false">I487+2*STDEV(E468:E487)</f>
        <v>16609.2926773176</v>
      </c>
      <c r="O487" s="7" t="n">
        <f aca="false">I487-2*STDEV(E468:E487)</f>
        <v>15873.4593226824</v>
      </c>
      <c r="P487" s="7" t="n">
        <f aca="false">MAX(E487-E486,0)</f>
        <v>113.040000000001</v>
      </c>
      <c r="Q487" s="7" t="n">
        <f aca="false">MAX(E486-E487,0)</f>
        <v>0</v>
      </c>
      <c r="R487" s="7" t="n">
        <f aca="false">(R486*13+P487)/14</f>
        <v>74.4950100249691</v>
      </c>
      <c r="S487" s="7" t="n">
        <f aca="false">(S486*13+Q487)/14</f>
        <v>78.2242814093272</v>
      </c>
      <c r="T487" s="7" t="n">
        <f aca="false">IF(S487=0,100,100-100/(1+R487/S487))</f>
        <v>48.7790437772026</v>
      </c>
      <c r="U487" s="7" t="n">
        <f aca="false">E487*2/13+U486*11/13</f>
        <v>16160.0586168019</v>
      </c>
      <c r="V487" s="7" t="n">
        <f aca="false">E487*2/27+V486*25/27</f>
        <v>16050.4556348664</v>
      </c>
      <c r="W487" s="7" t="n">
        <f aca="false">U487-V487</f>
        <v>109.602981935492</v>
      </c>
      <c r="X487" s="7" t="n">
        <f aca="false">W487*2/10+X486*8/10</f>
        <v>190.387837057903</v>
      </c>
      <c r="Y487" s="7" t="n">
        <f aca="false">W487-X487</f>
        <v>-80.784855122411</v>
      </c>
      <c r="Z487" s="7" t="s">
        <v>78</v>
      </c>
      <c r="AA487" s="7" t="str">
        <f aca="false">IFERROR(INDEX(02_轉折點45!B:B,MATCH(A487,02_轉折點45!A:A,0)),"")</f>
        <v/>
      </c>
      <c r="AB487" s="7" t="n">
        <f aca="false">COUNTIFS(05_訊號明細!A:A,A487,05_訊號明細!C:C,"TOP")</f>
        <v>0</v>
      </c>
      <c r="AC487" s="7" t="n">
        <f aca="false">COUNTIFS(05_訊號明細!A:A,A487,05_訊號明細!C:C,"BOTTOM")</f>
        <v>0</v>
      </c>
    </row>
    <row r="488" customFormat="false" ht="15" hidden="false" customHeight="false" outlineLevel="0" collapsed="false">
      <c r="A488" s="7" t="s">
        <v>529</v>
      </c>
      <c r="B488" s="7" t="n">
        <v>16039.41</v>
      </c>
      <c r="C488" s="7" t="n">
        <v>16089.61</v>
      </c>
      <c r="D488" s="7" t="n">
        <v>15543.31</v>
      </c>
      <c r="E488" s="7" t="n">
        <v>15712.04</v>
      </c>
      <c r="F488" s="7" t="n">
        <v>5900</v>
      </c>
      <c r="G488" s="7" t="n">
        <f aca="false">AVERAGE(E484:E488)</f>
        <v>16023.136</v>
      </c>
      <c r="H488" s="7" t="n">
        <f aca="false">AVERAGE(E479:E488)</f>
        <v>16177.011</v>
      </c>
      <c r="I488" s="7" t="n">
        <f aca="false">AVERAGE(E469:E488)</f>
        <v>16209.666</v>
      </c>
      <c r="J488" s="7" t="n">
        <f aca="false">AVERAGE(E439:E488)</f>
        <v>15626.5474</v>
      </c>
      <c r="K488" s="7" t="n">
        <f aca="false">AVERAGE(E389:E488)</f>
        <v>15407.6112</v>
      </c>
      <c r="L488" s="7" t="n">
        <f aca="false">AVERAGE(E289:E488)</f>
        <v>14526.61915</v>
      </c>
      <c r="M488" s="7" t="n">
        <f aca="false">I488</f>
        <v>16209.666</v>
      </c>
      <c r="N488" s="7" t="n">
        <f aca="false">I488+2*STDEV(E469:E488)</f>
        <v>16643.0279848968</v>
      </c>
      <c r="O488" s="7" t="n">
        <f aca="false">I488-2*STDEV(E469:E488)</f>
        <v>15776.3040151032</v>
      </c>
      <c r="P488" s="7" t="n">
        <f aca="false">MAX(E488-E487,0)</f>
        <v>0</v>
      </c>
      <c r="Q488" s="7" t="n">
        <f aca="false">MAX(E487-E488,0)</f>
        <v>278.719999999999</v>
      </c>
      <c r="R488" s="7" t="n">
        <f aca="false">(R487*13+P488)/14</f>
        <v>69.1739378803284</v>
      </c>
      <c r="S488" s="7" t="n">
        <f aca="false">(S487*13+Q488)/14</f>
        <v>92.5454041658038</v>
      </c>
      <c r="T488" s="7" t="n">
        <f aca="false">IF(S488=0,100,100-100/(1+R488/S488))</f>
        <v>42.774065863189</v>
      </c>
      <c r="U488" s="7" t="n">
        <f aca="false">E488*2/13+U487*11/13</f>
        <v>16091.1326757554</v>
      </c>
      <c r="V488" s="7" t="n">
        <f aca="false">E488*2/27+V487*25/27</f>
        <v>16025.3878100615</v>
      </c>
      <c r="W488" s="7" t="n">
        <f aca="false">U488-V488</f>
        <v>65.7448656939705</v>
      </c>
      <c r="X488" s="7" t="n">
        <f aca="false">W488*2/10+X487*8/10</f>
        <v>165.459242785116</v>
      </c>
      <c r="Y488" s="7" t="n">
        <f aca="false">W488-X488</f>
        <v>-99.7143770911458</v>
      </c>
      <c r="Z488" s="7" t="s">
        <v>78</v>
      </c>
      <c r="AA488" s="7" t="str">
        <f aca="false">IFERROR(INDEX(02_轉折點45!B:B,MATCH(A488,02_轉折點45!A:A,0)),"")</f>
        <v/>
      </c>
      <c r="AB488" s="7" t="n">
        <f aca="false">COUNTIFS(05_訊號明細!A:A,A488,05_訊號明細!C:C,"TOP")</f>
        <v>1</v>
      </c>
      <c r="AC488" s="7" t="n">
        <f aca="false">COUNTIFS(05_訊號明細!A:A,A488,05_訊號明細!C:C,"BOTTOM")</f>
        <v>0</v>
      </c>
    </row>
    <row r="489" customFormat="false" ht="15" hidden="false" customHeight="false" outlineLevel="0" collapsed="false">
      <c r="A489" s="7" t="s">
        <v>530</v>
      </c>
      <c r="B489" s="7" t="n">
        <v>15744.91</v>
      </c>
      <c r="C489" s="7" t="n">
        <v>15898.59</v>
      </c>
      <c r="D489" s="7" t="n">
        <v>15557.78</v>
      </c>
      <c r="E489" s="7" t="n">
        <v>15846.16</v>
      </c>
      <c r="F489" s="7" t="n">
        <v>5115</v>
      </c>
      <c r="G489" s="7" t="n">
        <f aca="false">AVERAGE(E485:E489)</f>
        <v>15912.52</v>
      </c>
      <c r="H489" s="7" t="n">
        <f aca="false">AVERAGE(E480:E489)</f>
        <v>16104.293</v>
      </c>
      <c r="I489" s="7" t="n">
        <f aca="false">AVERAGE(E470:E489)</f>
        <v>16184.005</v>
      </c>
      <c r="J489" s="7" t="n">
        <f aca="false">AVERAGE(E440:E489)</f>
        <v>15636.877</v>
      </c>
      <c r="K489" s="7" t="n">
        <f aca="false">AVERAGE(E390:E489)</f>
        <v>15418.1259</v>
      </c>
      <c r="L489" s="7" t="n">
        <f aca="false">AVERAGE(E290:E489)</f>
        <v>14539.73125</v>
      </c>
      <c r="M489" s="7" t="n">
        <f aca="false">I489</f>
        <v>16184.005</v>
      </c>
      <c r="N489" s="7" t="n">
        <f aca="false">I489+2*STDEV(E470:E489)</f>
        <v>16640.2170903587</v>
      </c>
      <c r="O489" s="7" t="n">
        <f aca="false">I489-2*STDEV(E470:E489)</f>
        <v>15727.7929096413</v>
      </c>
      <c r="P489" s="7" t="n">
        <f aca="false">MAX(E489-E488,0)</f>
        <v>134.119999999999</v>
      </c>
      <c r="Q489" s="7" t="n">
        <f aca="false">MAX(E488-E489,0)</f>
        <v>0</v>
      </c>
      <c r="R489" s="7" t="n">
        <f aca="false">(R488*13+P489)/14</f>
        <v>73.8129423174478</v>
      </c>
      <c r="S489" s="7" t="n">
        <f aca="false">(S488*13+Q489)/14</f>
        <v>85.9350181539606</v>
      </c>
      <c r="T489" s="7" t="n">
        <f aca="false">IF(S489=0,100,100-100/(1+R489/S489))</f>
        <v>46.2058746162576</v>
      </c>
      <c r="U489" s="7" t="n">
        <f aca="false">E489*2/13+U488*11/13</f>
        <v>16053.444571793</v>
      </c>
      <c r="V489" s="7" t="n">
        <f aca="false">E489*2/27+V488*25/27</f>
        <v>16012.1116759828</v>
      </c>
      <c r="W489" s="7" t="n">
        <f aca="false">U489-V489</f>
        <v>41.3328958102247</v>
      </c>
      <c r="X489" s="7" t="n">
        <f aca="false">W489*2/10+X488*8/10</f>
        <v>140.633973390138</v>
      </c>
      <c r="Y489" s="7" t="n">
        <f aca="false">W489-X489</f>
        <v>-99.3010775799132</v>
      </c>
      <c r="Z489" s="7" t="s">
        <v>78</v>
      </c>
      <c r="AA489" s="7" t="str">
        <f aca="false">IFERROR(INDEX(02_轉折點45!B:B,MATCH(A489,02_轉折點45!A:A,0)),"")</f>
        <v/>
      </c>
      <c r="AB489" s="7" t="n">
        <f aca="false">COUNTIFS(05_訊號明細!A:A,A489,05_訊號明細!C:C,"TOP")</f>
        <v>1</v>
      </c>
      <c r="AC489" s="7" t="n">
        <f aca="false">COUNTIFS(05_訊號明細!A:A,A489,05_訊號明細!C:C,"BOTTOM")</f>
        <v>0</v>
      </c>
    </row>
    <row r="490" customFormat="false" ht="15" hidden="false" customHeight="false" outlineLevel="0" collapsed="false">
      <c r="A490" s="7" t="s">
        <v>531</v>
      </c>
      <c r="B490" s="7" t="n">
        <v>16139.56</v>
      </c>
      <c r="C490" s="7" t="n">
        <v>16343.67</v>
      </c>
      <c r="D490" s="7" t="n">
        <v>16128.44</v>
      </c>
      <c r="E490" s="7" t="n">
        <v>16325.66</v>
      </c>
      <c r="F490" s="7" t="n">
        <v>5116</v>
      </c>
      <c r="G490" s="7" t="n">
        <f aca="false">AVERAGE(E486:E490)</f>
        <v>15950.468</v>
      </c>
      <c r="H490" s="7" t="n">
        <f aca="false">AVERAGE(E481:E490)</f>
        <v>16098.761</v>
      </c>
      <c r="I490" s="7" t="n">
        <f aca="false">AVERAGE(E471:E490)</f>
        <v>16183.4865</v>
      </c>
      <c r="J490" s="7" t="n">
        <f aca="false">AVERAGE(E441:E490)</f>
        <v>15659.2938</v>
      </c>
      <c r="K490" s="7" t="n">
        <f aca="false">AVERAGE(E391:E490)</f>
        <v>15434.5687</v>
      </c>
      <c r="L490" s="7" t="n">
        <f aca="false">AVERAGE(E291:E490)</f>
        <v>14555.386</v>
      </c>
      <c r="M490" s="7" t="n">
        <f aca="false">I490</f>
        <v>16183.4865</v>
      </c>
      <c r="N490" s="7" t="n">
        <f aca="false">I490+2*STDEV(E471:E490)</f>
        <v>16638.9941175121</v>
      </c>
      <c r="O490" s="7" t="n">
        <f aca="false">I490-2*STDEV(E471:E490)</f>
        <v>15727.9788824879</v>
      </c>
      <c r="P490" s="7" t="n">
        <f aca="false">MAX(E490-E489,0)</f>
        <v>479.5</v>
      </c>
      <c r="Q490" s="7" t="n">
        <f aca="false">MAX(E489-E490,0)</f>
        <v>0</v>
      </c>
      <c r="R490" s="7" t="n">
        <f aca="false">(R489*13+P490)/14</f>
        <v>102.790589294773</v>
      </c>
      <c r="S490" s="7" t="n">
        <f aca="false">(S489*13+Q490)/14</f>
        <v>79.7968025715349</v>
      </c>
      <c r="T490" s="7" t="n">
        <f aca="false">IF(S490=0,100,100-100/(1+R490/S490))</f>
        <v>56.296652383335</v>
      </c>
      <c r="U490" s="7" t="n">
        <f aca="false">E490*2/13+U489*11/13</f>
        <v>16095.3238684403</v>
      </c>
      <c r="V490" s="7" t="n">
        <f aca="false">E490*2/27+V489*25/27</f>
        <v>16035.3374777619</v>
      </c>
      <c r="W490" s="7" t="n">
        <f aca="false">U490-V490</f>
        <v>59.9863906783994</v>
      </c>
      <c r="X490" s="7" t="n">
        <f aca="false">W490*2/10+X489*8/10</f>
        <v>124.50445684779</v>
      </c>
      <c r="Y490" s="7" t="n">
        <f aca="false">W490-X490</f>
        <v>-64.5180661693908</v>
      </c>
      <c r="Z490" s="7" t="s">
        <v>78</v>
      </c>
      <c r="AA490" s="7" t="str">
        <f aca="false">IFERROR(INDEX(02_轉折點45!B:B,MATCH(A490,02_轉折點45!A:A,0)),"")</f>
        <v/>
      </c>
      <c r="AB490" s="7" t="n">
        <f aca="false">COUNTIFS(05_訊號明細!A:A,A490,05_訊號明細!C:C,"TOP")</f>
        <v>0</v>
      </c>
      <c r="AC490" s="7" t="n">
        <f aca="false">COUNTIFS(05_訊號明細!A:A,A490,05_訊號明細!C:C,"BOTTOM")</f>
        <v>1</v>
      </c>
    </row>
    <row r="491" customFormat="false" ht="15" hidden="false" customHeight="false" outlineLevel="0" collapsed="false">
      <c r="A491" s="7" t="s">
        <v>532</v>
      </c>
      <c r="B491" s="7" t="n">
        <v>16313.88</v>
      </c>
      <c r="C491" s="7" t="n">
        <v>16401.1</v>
      </c>
      <c r="D491" s="7" t="n">
        <v>16250.39</v>
      </c>
      <c r="E491" s="7" t="n">
        <v>16394.34</v>
      </c>
      <c r="F491" s="7" t="n">
        <v>4615</v>
      </c>
      <c r="G491" s="7" t="n">
        <f aca="false">AVERAGE(E487:E491)</f>
        <v>16053.792</v>
      </c>
      <c r="H491" s="7" t="n">
        <f aca="false">AVERAGE(E482:E491)</f>
        <v>16107.523</v>
      </c>
      <c r="I491" s="7" t="n">
        <f aca="false">AVERAGE(E472:E491)</f>
        <v>16192.2065</v>
      </c>
      <c r="J491" s="7" t="n">
        <f aca="false">AVERAGE(E442:E491)</f>
        <v>15691.7746</v>
      </c>
      <c r="K491" s="7" t="n">
        <f aca="false">AVERAGE(E392:E491)</f>
        <v>15453.0212</v>
      </c>
      <c r="L491" s="7" t="n">
        <f aca="false">AVERAGE(E292:E491)</f>
        <v>14570.84675</v>
      </c>
      <c r="M491" s="7" t="n">
        <f aca="false">I491</f>
        <v>16192.2065</v>
      </c>
      <c r="N491" s="7" t="n">
        <f aca="false">I491+2*STDEV(E472:E491)</f>
        <v>16657.230262484</v>
      </c>
      <c r="O491" s="7" t="n">
        <f aca="false">I491-2*STDEV(E472:E491)</f>
        <v>15727.182737516</v>
      </c>
      <c r="P491" s="7" t="n">
        <f aca="false">MAX(E491-E490,0)</f>
        <v>68.6800000000003</v>
      </c>
      <c r="Q491" s="7" t="n">
        <f aca="false">MAX(E490-E491,0)</f>
        <v>0</v>
      </c>
      <c r="R491" s="7" t="n">
        <f aca="false">(R490*13+P491)/14</f>
        <v>100.354118630861</v>
      </c>
      <c r="S491" s="7" t="n">
        <f aca="false">(S490*13+Q491)/14</f>
        <v>74.0970309592824</v>
      </c>
      <c r="T491" s="7" t="n">
        <f aca="false">IF(S491=0,100,100-100/(1+R491/S491))</f>
        <v>57.5256275849333</v>
      </c>
      <c r="U491" s="7" t="n">
        <f aca="false">E491*2/13+U490*11/13</f>
        <v>16141.3263502187</v>
      </c>
      <c r="V491" s="7" t="n">
        <f aca="false">E491*2/27+V490*25/27</f>
        <v>16061.9302571869</v>
      </c>
      <c r="W491" s="7" t="n">
        <f aca="false">U491-V491</f>
        <v>79.3960930317717</v>
      </c>
      <c r="X491" s="7" t="n">
        <f aca="false">W491*2/10+X490*8/10</f>
        <v>115.482784084587</v>
      </c>
      <c r="Y491" s="7" t="n">
        <f aca="false">W491-X491</f>
        <v>-36.0866910528148</v>
      </c>
      <c r="Z491" s="8" t="s">
        <v>42</v>
      </c>
      <c r="AA491" s="7" t="str">
        <f aca="false">IFERROR(INDEX(02_轉折點45!B:B,MATCH(A491,02_轉折點45!A:A,0)),"")</f>
        <v/>
      </c>
      <c r="AB491" s="7" t="n">
        <f aca="false">COUNTIFS(05_訊號明細!A:A,A491,05_訊號明細!C:C,"TOP")</f>
        <v>0</v>
      </c>
      <c r="AC491" s="7" t="n">
        <f aca="false">COUNTIFS(05_訊號明細!A:A,A491,05_訊號明細!C:C,"BOTTOM")</f>
        <v>0</v>
      </c>
    </row>
    <row r="492" customFormat="false" ht="15" hidden="false" customHeight="false" outlineLevel="0" collapsed="false">
      <c r="A492" s="7" t="s">
        <v>533</v>
      </c>
      <c r="B492" s="7" t="n">
        <v>16337.81</v>
      </c>
      <c r="C492" s="7" t="n">
        <v>16413.28</v>
      </c>
      <c r="D492" s="7" t="n">
        <v>16141.39</v>
      </c>
      <c r="E492" s="7" t="n">
        <v>16149.57</v>
      </c>
      <c r="F492" s="7" t="n">
        <v>4516</v>
      </c>
      <c r="G492" s="7" t="n">
        <f aca="false">AVERAGE(E488:E492)</f>
        <v>16085.554</v>
      </c>
      <c r="H492" s="7" t="n">
        <f aca="false">AVERAGE(E483:E492)</f>
        <v>16085.699</v>
      </c>
      <c r="I492" s="7" t="n">
        <f aca="false">AVERAGE(E473:E492)</f>
        <v>16200.4065</v>
      </c>
      <c r="J492" s="7" t="n">
        <f aca="false">AVERAGE(E443:E492)</f>
        <v>15719.7082</v>
      </c>
      <c r="K492" s="7" t="n">
        <f aca="false">AVERAGE(E393:E492)</f>
        <v>15467.2348</v>
      </c>
      <c r="L492" s="7" t="n">
        <f aca="false">AVERAGE(E293:E492)</f>
        <v>14587.45305</v>
      </c>
      <c r="M492" s="7" t="n">
        <f aca="false">I492</f>
        <v>16200.4065</v>
      </c>
      <c r="N492" s="7" t="n">
        <f aca="false">I492+2*STDEV(E473:E492)</f>
        <v>16655.7717441387</v>
      </c>
      <c r="O492" s="7" t="n">
        <f aca="false">I492-2*STDEV(E473:E492)</f>
        <v>15745.0412558613</v>
      </c>
      <c r="P492" s="7" t="n">
        <f aca="false">MAX(E492-E491,0)</f>
        <v>0</v>
      </c>
      <c r="Q492" s="7" t="n">
        <f aca="false">MAX(E491-E492,0)</f>
        <v>244.77</v>
      </c>
      <c r="R492" s="7" t="n">
        <f aca="false">(R491*13+P492)/14</f>
        <v>93.1859673000848</v>
      </c>
      <c r="S492" s="7" t="n">
        <f aca="false">(S491*13+Q492)/14</f>
        <v>86.2879573193337</v>
      </c>
      <c r="T492" s="7" t="n">
        <f aca="false">IF(S492=0,100,100-100/(1+R492/S492))</f>
        <v>51.9217304116402</v>
      </c>
      <c r="U492" s="7" t="n">
        <f aca="false">E492*2/13+U491*11/13</f>
        <v>16142.5946040312</v>
      </c>
      <c r="V492" s="7" t="n">
        <f aca="false">E492*2/27+V491*25/27</f>
        <v>16068.4220899879</v>
      </c>
      <c r="W492" s="7" t="n">
        <f aca="false">U492-V492</f>
        <v>74.1725140433118</v>
      </c>
      <c r="X492" s="7" t="n">
        <f aca="false">W492*2/10+X491*8/10</f>
        <v>107.220730076332</v>
      </c>
      <c r="Y492" s="7" t="n">
        <f aca="false">W492-X492</f>
        <v>-33.0482160330198</v>
      </c>
      <c r="Z492" s="8" t="s">
        <v>42</v>
      </c>
      <c r="AA492" s="7" t="str">
        <f aca="false">IFERROR(INDEX(02_轉折點45!B:B,MATCH(A492,02_轉折點45!A:A,0)),"")</f>
        <v/>
      </c>
      <c r="AB492" s="7" t="n">
        <f aca="false">COUNTIFS(05_訊號明細!A:A,A492,05_訊號明細!C:C,"TOP")</f>
        <v>0</v>
      </c>
      <c r="AC492" s="7" t="n">
        <f aca="false">COUNTIFS(05_訊號明細!A:A,A492,05_訊號明細!C:C,"BOTTOM")</f>
        <v>0</v>
      </c>
    </row>
    <row r="493" customFormat="false" ht="15" hidden="false" customHeight="false" outlineLevel="0" collapsed="false">
      <c r="A493" s="7" t="s">
        <v>534</v>
      </c>
      <c r="B493" s="7" t="n">
        <v>16278.3</v>
      </c>
      <c r="C493" s="7" t="n">
        <v>16339.12</v>
      </c>
      <c r="D493" s="7" t="n">
        <v>16139</v>
      </c>
      <c r="E493" s="7" t="n">
        <v>16331.98</v>
      </c>
      <c r="F493" s="7" t="n">
        <v>4426</v>
      </c>
      <c r="G493" s="7" t="n">
        <f aca="false">AVERAGE(E489:E493)</f>
        <v>16209.542</v>
      </c>
      <c r="H493" s="7" t="n">
        <f aca="false">AVERAGE(E484:E493)</f>
        <v>16116.339</v>
      </c>
      <c r="I493" s="7" t="n">
        <f aca="false">AVERAGE(E474:E493)</f>
        <v>16215.382</v>
      </c>
      <c r="J493" s="7" t="n">
        <f aca="false">AVERAGE(E444:E493)</f>
        <v>15752.5554</v>
      </c>
      <c r="K493" s="7" t="n">
        <f aca="false">AVERAGE(E394:E493)</f>
        <v>15482.1283</v>
      </c>
      <c r="L493" s="7" t="n">
        <f aca="false">AVERAGE(E294:E493)</f>
        <v>14604.56575</v>
      </c>
      <c r="M493" s="7" t="n">
        <f aca="false">I493</f>
        <v>16215.382</v>
      </c>
      <c r="N493" s="7" t="n">
        <f aca="false">I493+2*STDEV(E474:E493)</f>
        <v>16667.1788237627</v>
      </c>
      <c r="O493" s="7" t="n">
        <f aca="false">I493-2*STDEV(E474:E493)</f>
        <v>15763.5851762373</v>
      </c>
      <c r="P493" s="7" t="n">
        <f aca="false">MAX(E493-E492,0)</f>
        <v>182.41</v>
      </c>
      <c r="Q493" s="7" t="n">
        <f aca="false">MAX(E492-E493,0)</f>
        <v>0</v>
      </c>
      <c r="R493" s="7" t="n">
        <f aca="false">(R492*13+P493)/14</f>
        <v>99.5591124929359</v>
      </c>
      <c r="S493" s="7" t="n">
        <f aca="false">(S492*13+Q493)/14</f>
        <v>80.1245317965241</v>
      </c>
      <c r="T493" s="7" t="n">
        <f aca="false">IF(S493=0,100,100-100/(1+R493/S493))</f>
        <v>55.407999368352</v>
      </c>
      <c r="U493" s="7" t="n">
        <f aca="false">E493*2/13+U492*11/13</f>
        <v>16171.7308187956</v>
      </c>
      <c r="V493" s="7" t="n">
        <f aca="false">E493*2/27+V492*25/27</f>
        <v>16087.9448981369</v>
      </c>
      <c r="W493" s="7" t="n">
        <f aca="false">U493-V493</f>
        <v>83.7859206586945</v>
      </c>
      <c r="X493" s="7" t="n">
        <f aca="false">W493*2/10+X492*8/10</f>
        <v>102.533768192804</v>
      </c>
      <c r="Y493" s="7" t="n">
        <f aca="false">W493-X493</f>
        <v>-18.7478475341096</v>
      </c>
      <c r="Z493" s="8" t="s">
        <v>42</v>
      </c>
      <c r="AA493" s="7" t="str">
        <f aca="false">IFERROR(INDEX(02_轉折點45!B:B,MATCH(A493,02_轉折點45!A:A,0)),"")</f>
        <v/>
      </c>
      <c r="AB493" s="7" t="n">
        <f aca="false">COUNTIFS(05_訊號明細!A:A,A493,05_訊號明細!C:C,"TOP")</f>
        <v>0</v>
      </c>
      <c r="AC493" s="7" t="n">
        <f aca="false">COUNTIFS(05_訊號明細!A:A,A493,05_訊號明細!C:C,"BOTTOM")</f>
        <v>0</v>
      </c>
    </row>
    <row r="494" customFormat="false" ht="15" hidden="false" customHeight="false" outlineLevel="0" collapsed="false">
      <c r="A494" s="7" t="s">
        <v>535</v>
      </c>
      <c r="B494" s="7" t="n">
        <v>16317.9</v>
      </c>
      <c r="C494" s="7" t="n">
        <v>16332.63</v>
      </c>
      <c r="D494" s="7" t="n">
        <v>16075.54</v>
      </c>
      <c r="E494" s="7" t="n">
        <v>16082.55</v>
      </c>
      <c r="F494" s="7" t="n">
        <v>4574</v>
      </c>
      <c r="G494" s="7" t="n">
        <f aca="false">AVERAGE(E490:E494)</f>
        <v>16256.82</v>
      </c>
      <c r="H494" s="7" t="n">
        <f aca="false">AVERAGE(E485:E494)</f>
        <v>16084.67</v>
      </c>
      <c r="I494" s="7" t="n">
        <f aca="false">AVERAGE(E475:E494)</f>
        <v>16209.515</v>
      </c>
      <c r="J494" s="7" t="n">
        <f aca="false">AVERAGE(E445:E494)</f>
        <v>15778.369</v>
      </c>
      <c r="K494" s="7" t="n">
        <f aca="false">AVERAGE(E395:E494)</f>
        <v>15493.5521</v>
      </c>
      <c r="L494" s="7" t="n">
        <f aca="false">AVERAGE(E295:E494)</f>
        <v>14618.56375</v>
      </c>
      <c r="M494" s="7" t="n">
        <f aca="false">I494</f>
        <v>16209.515</v>
      </c>
      <c r="N494" s="7" t="n">
        <f aca="false">I494+2*STDEV(E475:E494)</f>
        <v>16665.189782851</v>
      </c>
      <c r="O494" s="7" t="n">
        <f aca="false">I494-2*STDEV(E475:E494)</f>
        <v>15753.840217149</v>
      </c>
      <c r="P494" s="7" t="n">
        <f aca="false">MAX(E494-E493,0)</f>
        <v>0</v>
      </c>
      <c r="Q494" s="7" t="n">
        <f aca="false">MAX(E493-E494,0)</f>
        <v>249.43</v>
      </c>
      <c r="R494" s="7" t="n">
        <f aca="false">(R493*13+P494)/14</f>
        <v>92.4477473148691</v>
      </c>
      <c r="S494" s="7" t="n">
        <f aca="false">(S493*13+Q494)/14</f>
        <v>92.2177795253439</v>
      </c>
      <c r="T494" s="7" t="n">
        <f aca="false">IF(S494=0,100,100-100/(1+R494/S494))</f>
        <v>50.0622660313108</v>
      </c>
      <c r="U494" s="7" t="n">
        <f aca="false">E494*2/13+U493*11/13</f>
        <v>16158.0106928271</v>
      </c>
      <c r="V494" s="7" t="n">
        <f aca="false">E494*2/27+V493*25/27</f>
        <v>16087.5452760527</v>
      </c>
      <c r="W494" s="7" t="n">
        <f aca="false">U494-V494</f>
        <v>70.4654167743556</v>
      </c>
      <c r="X494" s="7" t="n">
        <f aca="false">W494*2/10+X493*8/10</f>
        <v>96.1200979091145</v>
      </c>
      <c r="Y494" s="7" t="n">
        <f aca="false">W494-X494</f>
        <v>-25.6546811347588</v>
      </c>
      <c r="Z494" s="8" t="s">
        <v>42</v>
      </c>
      <c r="AA494" s="7" t="str">
        <f aca="false">IFERROR(INDEX(02_轉折點45!B:B,MATCH(A494,02_轉折點45!A:A,0)),"")</f>
        <v/>
      </c>
      <c r="AB494" s="7" t="n">
        <f aca="false">COUNTIFS(05_訊號明細!A:A,A494,05_訊號明細!C:C,"TOP")</f>
        <v>1</v>
      </c>
      <c r="AC494" s="7" t="n">
        <f aca="false">COUNTIFS(05_訊號明細!A:A,A494,05_訊號明細!C:C,"BOTTOM")</f>
        <v>0</v>
      </c>
    </row>
    <row r="495" customFormat="false" ht="15" hidden="false" customHeight="false" outlineLevel="0" collapsed="false">
      <c r="A495" s="7" t="s">
        <v>536</v>
      </c>
      <c r="B495" s="7" t="n">
        <v>15877.65</v>
      </c>
      <c r="C495" s="7" t="n">
        <v>15995.21</v>
      </c>
      <c r="D495" s="7" t="n">
        <v>15742.8</v>
      </c>
      <c r="E495" s="7" t="n">
        <v>15914.9</v>
      </c>
      <c r="F495" s="7" t="n">
        <v>4866</v>
      </c>
      <c r="G495" s="7" t="n">
        <f aca="false">AVERAGE(E491:E495)</f>
        <v>16174.668</v>
      </c>
      <c r="H495" s="7" t="n">
        <f aca="false">AVERAGE(E486:E495)</f>
        <v>16062.568</v>
      </c>
      <c r="I495" s="7" t="n">
        <f aca="false">AVERAGE(E476:E495)</f>
        <v>16195.804</v>
      </c>
      <c r="J495" s="7" t="n">
        <f aca="false">AVERAGE(E446:E495)</f>
        <v>15807.2246</v>
      </c>
      <c r="K495" s="7" t="n">
        <f aca="false">AVERAGE(E396:E495)</f>
        <v>15501.5832</v>
      </c>
      <c r="L495" s="7" t="n">
        <f aca="false">AVERAGE(E296:E495)</f>
        <v>14632.8385</v>
      </c>
      <c r="M495" s="7" t="n">
        <f aca="false">I495</f>
        <v>16195.804</v>
      </c>
      <c r="N495" s="7" t="n">
        <f aca="false">I495+2*STDEV(E476:E495)</f>
        <v>16670.1811258975</v>
      </c>
      <c r="O495" s="7" t="n">
        <f aca="false">I495-2*STDEV(E476:E495)</f>
        <v>15721.4268741025</v>
      </c>
      <c r="P495" s="7" t="n">
        <f aca="false">MAX(E495-E494,0)</f>
        <v>0</v>
      </c>
      <c r="Q495" s="7" t="n">
        <f aca="false">MAX(E494-E495,0)</f>
        <v>167.65</v>
      </c>
      <c r="R495" s="7" t="n">
        <f aca="false">(R494*13+P495)/14</f>
        <v>85.8443367923784</v>
      </c>
      <c r="S495" s="7" t="n">
        <f aca="false">(S494*13+Q495)/14</f>
        <v>97.6057952735336</v>
      </c>
      <c r="T495" s="7" t="n">
        <f aca="false">IF(S495=0,100,100-100/(1+R495/S495))</f>
        <v>46.7943717595882</v>
      </c>
      <c r="U495" s="7" t="n">
        <f aca="false">E495*2/13+U494*11/13</f>
        <v>16120.6090477768</v>
      </c>
      <c r="V495" s="7" t="n">
        <f aca="false">E495*2/27+V494*25/27</f>
        <v>16074.7567370858</v>
      </c>
      <c r="W495" s="7" t="n">
        <f aca="false">U495-V495</f>
        <v>45.8523106909051</v>
      </c>
      <c r="X495" s="7" t="n">
        <f aca="false">W495*2/10+X494*8/10</f>
        <v>86.0665404654726</v>
      </c>
      <c r="Y495" s="7" t="n">
        <f aca="false">W495-X495</f>
        <v>-40.2142297745674</v>
      </c>
      <c r="Z495" s="8" t="s">
        <v>42</v>
      </c>
      <c r="AA495" s="7" t="str">
        <f aca="false">IFERROR(INDEX(02_轉折點45!B:B,MATCH(A495,02_轉折點45!A:A,0)),"")</f>
        <v/>
      </c>
      <c r="AB495" s="7" t="n">
        <f aca="false">COUNTIFS(05_訊號明細!A:A,A495,05_訊號明細!C:C,"TOP")</f>
        <v>0</v>
      </c>
      <c r="AC495" s="7" t="n">
        <f aca="false">COUNTIFS(05_訊號明細!A:A,A495,05_訊號明細!C:C,"BOTTOM")</f>
        <v>0</v>
      </c>
    </row>
    <row r="496" customFormat="false" ht="15" hidden="false" customHeight="false" outlineLevel="0" collapsed="false">
      <c r="A496" s="7" t="s">
        <v>537</v>
      </c>
      <c r="B496" s="7" t="n">
        <v>15908.45</v>
      </c>
      <c r="C496" s="7" t="n">
        <v>16301.27</v>
      </c>
      <c r="D496" s="7" t="n">
        <v>15746.94</v>
      </c>
      <c r="E496" s="7" t="n">
        <v>16289.59</v>
      </c>
      <c r="F496" s="7" t="n">
        <v>5344</v>
      </c>
      <c r="G496" s="7" t="n">
        <f aca="false">AVERAGE(E492:E496)</f>
        <v>16153.718</v>
      </c>
      <c r="H496" s="7" t="n">
        <f aca="false">AVERAGE(E487:E496)</f>
        <v>16103.755</v>
      </c>
      <c r="I496" s="7" t="n">
        <f aca="false">AVERAGE(E477:E496)</f>
        <v>16194.795</v>
      </c>
      <c r="J496" s="7" t="n">
        <f aca="false">AVERAGE(E447:E496)</f>
        <v>15839.5334</v>
      </c>
      <c r="K496" s="7" t="n">
        <f aca="false">AVERAGE(E397:E496)</f>
        <v>15513.2196</v>
      </c>
      <c r="L496" s="7" t="n">
        <f aca="false">AVERAGE(E297:E496)</f>
        <v>14650.8698</v>
      </c>
      <c r="M496" s="7" t="n">
        <f aca="false">I496</f>
        <v>16194.795</v>
      </c>
      <c r="N496" s="7" t="n">
        <f aca="false">I496+2*STDEV(E477:E496)</f>
        <v>16668.2363933608</v>
      </c>
      <c r="O496" s="7" t="n">
        <f aca="false">I496-2*STDEV(E477:E496)</f>
        <v>15721.3536066393</v>
      </c>
      <c r="P496" s="7" t="n">
        <f aca="false">MAX(E496-E495,0)</f>
        <v>374.690000000001</v>
      </c>
      <c r="Q496" s="7" t="n">
        <f aca="false">MAX(E495-E496,0)</f>
        <v>0</v>
      </c>
      <c r="R496" s="7" t="n">
        <f aca="false">(R495*13+P496)/14</f>
        <v>106.476169878637</v>
      </c>
      <c r="S496" s="7" t="n">
        <f aca="false">(S495*13+Q496)/14</f>
        <v>90.6339527539954</v>
      </c>
      <c r="T496" s="7" t="n">
        <f aca="false">IF(S496=0,100,100-100/(1+R496/S496))</f>
        <v>54.0186208889352</v>
      </c>
      <c r="U496" s="7" t="n">
        <f aca="false">E496*2/13+U495*11/13</f>
        <v>16146.6061173496</v>
      </c>
      <c r="V496" s="7" t="n">
        <f aca="false">E496*2/27+V495*25/27</f>
        <v>16090.6703121165</v>
      </c>
      <c r="W496" s="7" t="n">
        <f aca="false">U496-V496</f>
        <v>55.9358052330354</v>
      </c>
      <c r="X496" s="7" t="n">
        <f aca="false">W496*2/10+X495*8/10</f>
        <v>80.0403934189852</v>
      </c>
      <c r="Y496" s="7" t="n">
        <f aca="false">W496-X496</f>
        <v>-24.1045881859498</v>
      </c>
      <c r="Z496" s="8" t="s">
        <v>42</v>
      </c>
      <c r="AA496" s="7" t="str">
        <f aca="false">IFERROR(INDEX(02_轉折點45!B:B,MATCH(A496,02_轉折點45!A:A,0)),"")</f>
        <v/>
      </c>
      <c r="AB496" s="7" t="n">
        <f aca="false">COUNTIFS(05_訊號明細!A:A,A496,05_訊號明細!C:C,"TOP")</f>
        <v>0</v>
      </c>
      <c r="AC496" s="7" t="n">
        <f aca="false">COUNTIFS(05_訊號明細!A:A,A496,05_訊號明細!C:C,"BOTTOM")</f>
        <v>0</v>
      </c>
    </row>
    <row r="497" customFormat="false" ht="15" hidden="false" customHeight="false" outlineLevel="0" collapsed="false">
      <c r="A497" s="7" t="s">
        <v>538</v>
      </c>
      <c r="B497" s="7" t="n">
        <v>16335.03</v>
      </c>
      <c r="C497" s="7" t="n">
        <v>16340.53</v>
      </c>
      <c r="D497" s="7" t="n">
        <v>15802.63</v>
      </c>
      <c r="E497" s="7" t="n">
        <v>15863.94</v>
      </c>
      <c r="F497" s="7" t="n">
        <v>4906</v>
      </c>
      <c r="G497" s="7" t="n">
        <f aca="false">AVERAGE(E493:E497)</f>
        <v>16096.592</v>
      </c>
      <c r="H497" s="7" t="n">
        <f aca="false">AVERAGE(E488:E497)</f>
        <v>16091.073</v>
      </c>
      <c r="I497" s="7" t="n">
        <f aca="false">AVERAGE(E478:E497)</f>
        <v>16172.5885</v>
      </c>
      <c r="J497" s="7" t="n">
        <f aca="false">AVERAGE(E448:E497)</f>
        <v>15861.4772</v>
      </c>
      <c r="K497" s="7" t="n">
        <f aca="false">AVERAGE(E398:E497)</f>
        <v>15522.2893</v>
      </c>
      <c r="L497" s="7" t="n">
        <f aca="false">AVERAGE(E298:E497)</f>
        <v>14667.8695</v>
      </c>
      <c r="M497" s="7" t="n">
        <f aca="false">I497</f>
        <v>16172.5885</v>
      </c>
      <c r="N497" s="7" t="n">
        <f aca="false">I497+2*STDEV(E478:E497)</f>
        <v>16664.9444493432</v>
      </c>
      <c r="O497" s="7" t="n">
        <f aca="false">I497-2*STDEV(E478:E497)</f>
        <v>15680.2325506568</v>
      </c>
      <c r="P497" s="7" t="n">
        <f aca="false">MAX(E497-E496,0)</f>
        <v>0</v>
      </c>
      <c r="Q497" s="7" t="n">
        <f aca="false">MAX(E496-E497,0)</f>
        <v>425.65</v>
      </c>
      <c r="R497" s="7" t="n">
        <f aca="false">(R496*13+P497)/14</f>
        <v>98.8707291730202</v>
      </c>
      <c r="S497" s="7" t="n">
        <f aca="false">(S496*13+Q497)/14</f>
        <v>114.563670414424</v>
      </c>
      <c r="T497" s="7" t="n">
        <f aca="false">IF(S497=0,100,100-100/(1+R497/S497))</f>
        <v>46.3237085325192</v>
      </c>
      <c r="U497" s="7" t="n">
        <f aca="false">E497*2/13+U496*11/13</f>
        <v>16103.1190223727</v>
      </c>
      <c r="V497" s="7" t="n">
        <f aca="false">E497*2/27+V496*25/27</f>
        <v>16073.875474182</v>
      </c>
      <c r="W497" s="7" t="n">
        <f aca="false">U497-V497</f>
        <v>29.2435481907396</v>
      </c>
      <c r="X497" s="7" t="n">
        <f aca="false">W497*2/10+X496*8/10</f>
        <v>69.8810243733361</v>
      </c>
      <c r="Y497" s="7" t="n">
        <f aca="false">W497-X497</f>
        <v>-40.6374761825964</v>
      </c>
      <c r="Z497" s="8" t="s">
        <v>42</v>
      </c>
      <c r="AA497" s="7" t="str">
        <f aca="false">IFERROR(INDEX(02_轉折點45!B:B,MATCH(A497,02_轉折點45!A:A,0)),"")</f>
        <v/>
      </c>
      <c r="AB497" s="7" t="n">
        <f aca="false">COUNTIFS(05_訊號明細!A:A,A497,05_訊號明細!C:C,"TOP")</f>
        <v>1</v>
      </c>
      <c r="AC497" s="7" t="n">
        <f aca="false">COUNTIFS(05_訊號明細!A:A,A497,05_訊號明細!C:C,"BOTTOM")</f>
        <v>0</v>
      </c>
    </row>
    <row r="498" customFormat="false" ht="15" hidden="false" customHeight="false" outlineLevel="0" collapsed="false">
      <c r="A498" s="7" t="s">
        <v>539</v>
      </c>
      <c r="B498" s="7" t="n">
        <v>15714.54</v>
      </c>
      <c r="C498" s="7" t="n">
        <v>15960.25</v>
      </c>
      <c r="D498" s="7" t="n">
        <v>15664.1</v>
      </c>
      <c r="E498" s="7" t="n">
        <v>15801.46</v>
      </c>
      <c r="F498" s="7" t="n">
        <v>7669</v>
      </c>
      <c r="G498" s="7" t="n">
        <f aca="false">AVERAGE(E494:E498)</f>
        <v>15990.488</v>
      </c>
      <c r="H498" s="7" t="n">
        <f aca="false">AVERAGE(E489:E498)</f>
        <v>16100.015</v>
      </c>
      <c r="I498" s="7" t="n">
        <f aca="false">AVERAGE(E479:E498)</f>
        <v>16138.513</v>
      </c>
      <c r="J498" s="7" t="n">
        <f aca="false">AVERAGE(E449:E498)</f>
        <v>15879.5638</v>
      </c>
      <c r="K498" s="7" t="n">
        <f aca="false">AVERAGE(E399:E498)</f>
        <v>15530.1229</v>
      </c>
      <c r="L498" s="7" t="n">
        <f aca="false">AVERAGE(E299:E498)</f>
        <v>14683.53425</v>
      </c>
      <c r="M498" s="7" t="n">
        <f aca="false">I498</f>
        <v>16138.513</v>
      </c>
      <c r="N498" s="7" t="n">
        <f aca="false">I498+2*STDEV(E479:E498)</f>
        <v>16634.739858778</v>
      </c>
      <c r="O498" s="7" t="n">
        <f aca="false">I498-2*STDEV(E479:E498)</f>
        <v>15642.2861412221</v>
      </c>
      <c r="P498" s="7" t="n">
        <f aca="false">MAX(E498-E497,0)</f>
        <v>0</v>
      </c>
      <c r="Q498" s="7" t="n">
        <f aca="false">MAX(E497-E498,0)</f>
        <v>62.4800000000014</v>
      </c>
      <c r="R498" s="7" t="n">
        <f aca="false">(R497*13+P498)/14</f>
        <v>91.8085342320902</v>
      </c>
      <c r="S498" s="7" t="n">
        <f aca="false">(S497*13+Q498)/14</f>
        <v>110.843408241966</v>
      </c>
      <c r="T498" s="7" t="n">
        <f aca="false">IF(S498=0,100,100-100/(1+R498/S498))</f>
        <v>45.3035550072972</v>
      </c>
      <c r="U498" s="7" t="n">
        <f aca="false">E498*2/13+U497*11/13</f>
        <v>16056.7099420077</v>
      </c>
      <c r="V498" s="7" t="n">
        <f aca="false">E498*2/27+V497*25/27</f>
        <v>16053.6965501685</v>
      </c>
      <c r="W498" s="7" t="n">
        <f aca="false">U498-V498</f>
        <v>3.01339183918572</v>
      </c>
      <c r="X498" s="7" t="n">
        <f aca="false">W498*2/10+X497*8/10</f>
        <v>56.507497866506</v>
      </c>
      <c r="Y498" s="7" t="n">
        <f aca="false">W498-X498</f>
        <v>-53.4941060273203</v>
      </c>
      <c r="Z498" s="7" t="s">
        <v>78</v>
      </c>
      <c r="AA498" s="7" t="str">
        <f aca="false">IFERROR(INDEX(02_轉折點45!B:B,MATCH(A498,02_轉折點45!A:A,0)),"")</f>
        <v/>
      </c>
      <c r="AB498" s="7" t="n">
        <f aca="false">COUNTIFS(05_訊號明細!A:A,A498,05_訊號明細!C:C,"TOP")</f>
        <v>4</v>
      </c>
      <c r="AC498" s="7" t="n">
        <f aca="false">COUNTIFS(05_訊號明細!A:A,A498,05_訊號明細!C:C,"BOTTOM")</f>
        <v>0</v>
      </c>
    </row>
    <row r="499" customFormat="false" ht="15" hidden="false" customHeight="false" outlineLevel="0" collapsed="false">
      <c r="A499" s="7" t="s">
        <v>540</v>
      </c>
      <c r="B499" s="7" t="n">
        <v>15566.83</v>
      </c>
      <c r="C499" s="7" t="n">
        <v>15662.61</v>
      </c>
      <c r="D499" s="7" t="n">
        <v>15508.74</v>
      </c>
      <c r="E499" s="7" t="n">
        <v>15627.64</v>
      </c>
      <c r="F499" s="7" t="n">
        <v>4603</v>
      </c>
      <c r="G499" s="7" t="n">
        <f aca="false">AVERAGE(E495:E499)</f>
        <v>15899.506</v>
      </c>
      <c r="H499" s="7" t="n">
        <f aca="false">AVERAGE(E490:E499)</f>
        <v>16078.163</v>
      </c>
      <c r="I499" s="7" t="n">
        <f aca="false">AVERAGE(E480:E499)</f>
        <v>16091.228</v>
      </c>
      <c r="J499" s="7" t="n">
        <f aca="false">AVERAGE(E450:E499)</f>
        <v>15895.7016</v>
      </c>
      <c r="K499" s="7" t="n">
        <f aca="false">AVERAGE(E400:E499)</f>
        <v>15535.9157</v>
      </c>
      <c r="L499" s="7" t="n">
        <f aca="false">AVERAGE(E300:E499)</f>
        <v>14700.17705</v>
      </c>
      <c r="M499" s="7" t="n">
        <f aca="false">I499</f>
        <v>16091.228</v>
      </c>
      <c r="N499" s="7" t="n">
        <f aca="false">I499+2*STDEV(E480:E499)</f>
        <v>16593.1914041431</v>
      </c>
      <c r="O499" s="7" t="n">
        <f aca="false">I499-2*STDEV(E480:E499)</f>
        <v>15589.2645958569</v>
      </c>
      <c r="P499" s="7" t="n">
        <f aca="false">MAX(E499-E498,0)</f>
        <v>0</v>
      </c>
      <c r="Q499" s="7" t="n">
        <f aca="false">MAX(E498-E499,0)</f>
        <v>173.82</v>
      </c>
      <c r="R499" s="7" t="n">
        <f aca="false">(R498*13+P499)/14</f>
        <v>85.2507817869409</v>
      </c>
      <c r="S499" s="7" t="n">
        <f aca="false">(S498*13+Q499)/14</f>
        <v>115.341736224682</v>
      </c>
      <c r="T499" s="7" t="n">
        <f aca="false">IF(S499=0,100,100-100/(1+R499/S499))</f>
        <v>42.4994823495865</v>
      </c>
      <c r="U499" s="7" t="n">
        <f aca="false">E499*2/13+U498*11/13</f>
        <v>15990.6991816988</v>
      </c>
      <c r="V499" s="7" t="n">
        <f aca="false">E499*2/27+V498*25/27</f>
        <v>16022.1368057116</v>
      </c>
      <c r="W499" s="7" t="n">
        <f aca="false">U499-V499</f>
        <v>-31.4376240127622</v>
      </c>
      <c r="X499" s="7" t="n">
        <f aca="false">W499*2/10+X498*8/10</f>
        <v>38.9184734906524</v>
      </c>
      <c r="Y499" s="7" t="n">
        <f aca="false">W499-X499</f>
        <v>-70.3560975034145</v>
      </c>
      <c r="Z499" s="7" t="s">
        <v>78</v>
      </c>
      <c r="AA499" s="7" t="str">
        <f aca="false">IFERROR(INDEX(02_轉折點45!B:B,MATCH(A499,02_轉折點45!A:A,0)),"")</f>
        <v/>
      </c>
      <c r="AB499" s="7" t="n">
        <f aca="false">COUNTIFS(05_訊號明細!A:A,A499,05_訊號明細!C:C,"TOP")</f>
        <v>0</v>
      </c>
      <c r="AC499" s="7" t="n">
        <f aca="false">COUNTIFS(05_訊號明細!A:A,A499,05_訊號明細!C:C,"BOTTOM")</f>
        <v>0</v>
      </c>
    </row>
    <row r="500" customFormat="false" ht="15" hidden="false" customHeight="false" outlineLevel="0" collapsed="false">
      <c r="A500" s="7" t="s">
        <v>541</v>
      </c>
      <c r="B500" s="7" t="n">
        <v>15794.38</v>
      </c>
      <c r="C500" s="7" t="n">
        <v>15997.61</v>
      </c>
      <c r="D500" s="7" t="n">
        <v>15617.48</v>
      </c>
      <c r="E500" s="7" t="n">
        <v>15986.28</v>
      </c>
      <c r="F500" s="7" t="n">
        <v>4582</v>
      </c>
      <c r="G500" s="7" t="n">
        <f aca="false">AVERAGE(E496:E500)</f>
        <v>15913.782</v>
      </c>
      <c r="H500" s="7" t="n">
        <f aca="false">AVERAGE(E491:E500)</f>
        <v>16044.225</v>
      </c>
      <c r="I500" s="7" t="n">
        <f aca="false">AVERAGE(E481:E500)</f>
        <v>16071.493</v>
      </c>
      <c r="J500" s="7" t="n">
        <f aca="false">AVERAGE(E451:E500)</f>
        <v>15921.1526</v>
      </c>
      <c r="K500" s="7" t="n">
        <f aca="false">AVERAGE(E401:E500)</f>
        <v>15546.1795</v>
      </c>
      <c r="L500" s="7" t="n">
        <f aca="false">AVERAGE(E301:E500)</f>
        <v>14716.136</v>
      </c>
      <c r="M500" s="7" t="n">
        <f aca="false">I500</f>
        <v>16071.493</v>
      </c>
      <c r="N500" s="7" t="n">
        <f aca="false">I500+2*STDEV(E481:E500)</f>
        <v>16556.2312228791</v>
      </c>
      <c r="O500" s="7" t="n">
        <f aca="false">I500-2*STDEV(E481:E500)</f>
        <v>15586.7547771209</v>
      </c>
      <c r="P500" s="7" t="n">
        <f aca="false">MAX(E500-E499,0)</f>
        <v>358.640000000001</v>
      </c>
      <c r="Q500" s="7" t="n">
        <f aca="false">MAX(E499-E500,0)</f>
        <v>0</v>
      </c>
      <c r="R500" s="7" t="n">
        <f aca="false">(R499*13+P500)/14</f>
        <v>104.778583087874</v>
      </c>
      <c r="S500" s="7" t="n">
        <f aca="false">(S499*13+Q500)/14</f>
        <v>107.103040780062</v>
      </c>
      <c r="T500" s="7" t="n">
        <f aca="false">IF(S500=0,100,100-100/(1+R500/S500))</f>
        <v>49.4514725605376</v>
      </c>
      <c r="U500" s="7" t="n">
        <f aca="false">E500*2/13+U499*11/13</f>
        <v>15990.0193075913</v>
      </c>
      <c r="V500" s="7" t="n">
        <f aca="false">E500*2/27+V499*25/27</f>
        <v>16019.4807460292</v>
      </c>
      <c r="W500" s="7" t="n">
        <f aca="false">U500-V500</f>
        <v>-29.4614384379347</v>
      </c>
      <c r="X500" s="7" t="n">
        <f aca="false">W500*2/10+X499*8/10</f>
        <v>25.2424911049349</v>
      </c>
      <c r="Y500" s="7" t="n">
        <f aca="false">W500-X500</f>
        <v>-54.7039295428696</v>
      </c>
      <c r="Z500" s="7" t="s">
        <v>78</v>
      </c>
      <c r="AA500" s="7" t="str">
        <f aca="false">IFERROR(INDEX(02_轉折點45!B:B,MATCH(A500,02_轉折點45!A:A,0)),"")</f>
        <v/>
      </c>
      <c r="AB500" s="7" t="n">
        <f aca="false">COUNTIFS(05_訊號明細!A:A,A500,05_訊號明細!C:C,"TOP")</f>
        <v>1</v>
      </c>
      <c r="AC500" s="7" t="n">
        <f aca="false">COUNTIFS(05_訊號明細!A:A,A500,05_訊號明細!C:C,"BOTTOM")</f>
        <v>0</v>
      </c>
    </row>
    <row r="501" customFormat="false" ht="15" hidden="false" customHeight="false" outlineLevel="0" collapsed="false">
      <c r="A501" s="7" t="s">
        <v>542</v>
      </c>
      <c r="B501" s="7" t="n">
        <v>15963.54</v>
      </c>
      <c r="C501" s="7" t="n">
        <v>16186.25</v>
      </c>
      <c r="D501" s="7" t="n">
        <v>15947.56</v>
      </c>
      <c r="E501" s="7" t="n">
        <v>16180.14</v>
      </c>
      <c r="F501" s="7" t="n">
        <v>4108</v>
      </c>
      <c r="G501" s="7" t="n">
        <f aca="false">AVERAGE(E497:E501)</f>
        <v>15891.892</v>
      </c>
      <c r="H501" s="7" t="n">
        <f aca="false">AVERAGE(E492:E501)</f>
        <v>16022.805</v>
      </c>
      <c r="I501" s="7" t="n">
        <f aca="false">AVERAGE(E482:E501)</f>
        <v>16065.164</v>
      </c>
      <c r="J501" s="7" t="n">
        <f aca="false">AVERAGE(E452:E501)</f>
        <v>15951.5132</v>
      </c>
      <c r="K501" s="7" t="n">
        <f aca="false">AVERAGE(E402:E501)</f>
        <v>15558.3447</v>
      </c>
      <c r="L501" s="7" t="n">
        <f aca="false">AVERAGE(E302:E501)</f>
        <v>14733.27635</v>
      </c>
      <c r="M501" s="7" t="n">
        <f aca="false">I501</f>
        <v>16065.164</v>
      </c>
      <c r="N501" s="7" t="n">
        <f aca="false">I501+2*STDEV(E482:E501)</f>
        <v>16540.17851317</v>
      </c>
      <c r="O501" s="7" t="n">
        <f aca="false">I501-2*STDEV(E482:E501)</f>
        <v>15590.14948683</v>
      </c>
      <c r="P501" s="7" t="n">
        <f aca="false">MAX(E501-E500,0)</f>
        <v>193.859999999999</v>
      </c>
      <c r="Q501" s="7" t="n">
        <f aca="false">MAX(E500-E501,0)</f>
        <v>0</v>
      </c>
      <c r="R501" s="7" t="n">
        <f aca="false">(R500*13+P501)/14</f>
        <v>111.14154143874</v>
      </c>
      <c r="S501" s="7" t="n">
        <f aca="false">(S500*13+Q501)/14</f>
        <v>99.4528235814862</v>
      </c>
      <c r="T501" s="7" t="n">
        <f aca="false">IF(S501=0,100,100-100/(1+R501/S501))</f>
        <v>52.7751734611064</v>
      </c>
      <c r="U501" s="7" t="n">
        <f aca="false">E501*2/13+U500*11/13</f>
        <v>16019.2686448849</v>
      </c>
      <c r="V501" s="7" t="n">
        <f aca="false">E501*2/27+V500*25/27</f>
        <v>16031.3814315085</v>
      </c>
      <c r="W501" s="7" t="n">
        <f aca="false">U501-V501</f>
        <v>-12.112786623602</v>
      </c>
      <c r="X501" s="7" t="n">
        <f aca="false">W501*2/10+X500*8/10</f>
        <v>17.7714355592276</v>
      </c>
      <c r="Y501" s="7" t="n">
        <f aca="false">W501-X501</f>
        <v>-29.8842221828296</v>
      </c>
      <c r="Z501" s="8" t="s">
        <v>42</v>
      </c>
      <c r="AA501" s="7" t="str">
        <f aca="false">IFERROR(INDEX(02_轉折點45!B:B,MATCH(A501,02_轉折點45!A:A,0)),"")</f>
        <v/>
      </c>
      <c r="AB501" s="7" t="n">
        <f aca="false">COUNTIFS(05_訊號明細!A:A,A501,05_訊號明細!C:C,"TOP")</f>
        <v>0</v>
      </c>
      <c r="AC501" s="7" t="n">
        <f aca="false">COUNTIFS(05_訊號明細!A:A,A501,05_訊號明細!C:C,"BOTTOM")</f>
        <v>0</v>
      </c>
    </row>
    <row r="502" customFormat="false" ht="15" hidden="false" customHeight="false" outlineLevel="0" collapsed="false">
      <c r="A502" s="7" t="s">
        <v>543</v>
      </c>
      <c r="B502" s="7" t="n">
        <v>16203.76</v>
      </c>
      <c r="C502" s="7" t="n">
        <v>16360.75</v>
      </c>
      <c r="D502" s="7" t="n">
        <v>16188.03</v>
      </c>
      <c r="E502" s="7" t="n">
        <v>16308.21</v>
      </c>
      <c r="F502" s="7" t="n">
        <v>3935</v>
      </c>
      <c r="G502" s="7" t="n">
        <f aca="false">AVERAGE(E498:E502)</f>
        <v>15980.746</v>
      </c>
      <c r="H502" s="7" t="n">
        <f aca="false">AVERAGE(E493:E502)</f>
        <v>16038.669</v>
      </c>
      <c r="I502" s="7" t="n">
        <f aca="false">AVERAGE(E483:E502)</f>
        <v>16062.184</v>
      </c>
      <c r="J502" s="7" t="n">
        <f aca="false">AVERAGE(E453:E502)</f>
        <v>15982.1854</v>
      </c>
      <c r="K502" s="7" t="n">
        <f aca="false">AVERAGE(E403:E502)</f>
        <v>15570.8126</v>
      </c>
      <c r="L502" s="7" t="n">
        <f aca="false">AVERAGE(E303:E502)</f>
        <v>14749.5529</v>
      </c>
      <c r="M502" s="7" t="n">
        <f aca="false">I502</f>
        <v>16062.184</v>
      </c>
      <c r="N502" s="7" t="n">
        <f aca="false">I502+2*STDEV(E483:E502)</f>
        <v>16529.8958749784</v>
      </c>
      <c r="O502" s="7" t="n">
        <f aca="false">I502-2*STDEV(E483:E502)</f>
        <v>15594.4721250216</v>
      </c>
      <c r="P502" s="7" t="n">
        <f aca="false">MAX(E502-E501,0)</f>
        <v>128.07</v>
      </c>
      <c r="Q502" s="7" t="n">
        <f aca="false">MAX(E501-E502,0)</f>
        <v>0</v>
      </c>
      <c r="R502" s="7" t="n">
        <f aca="false">(R501*13+P502)/14</f>
        <v>112.350717050258</v>
      </c>
      <c r="S502" s="7" t="n">
        <f aca="false">(S501*13+Q502)/14</f>
        <v>92.3490504685229</v>
      </c>
      <c r="T502" s="7" t="n">
        <f aca="false">IF(S502=0,100,100-100/(1+R502/S502))</f>
        <v>54.8856104782582</v>
      </c>
      <c r="U502" s="7" t="n">
        <f aca="false">E502*2/13+U501*11/13</f>
        <v>16063.7211610565</v>
      </c>
      <c r="V502" s="7" t="n">
        <f aca="false">E502*2/27+V501*25/27</f>
        <v>16051.8872513968</v>
      </c>
      <c r="W502" s="7" t="n">
        <f aca="false">U502-V502</f>
        <v>11.8339096596901</v>
      </c>
      <c r="X502" s="7" t="n">
        <f aca="false">W502*2/10+X501*8/10</f>
        <v>16.5839303793201</v>
      </c>
      <c r="Y502" s="7" t="n">
        <f aca="false">W502-X502</f>
        <v>-4.75002071962996</v>
      </c>
      <c r="Z502" s="8" t="s">
        <v>42</v>
      </c>
      <c r="AA502" s="7" t="str">
        <f aca="false">IFERROR(INDEX(02_轉折點45!B:B,MATCH(A502,02_轉折點45!A:A,0)),"")</f>
        <v/>
      </c>
      <c r="AB502" s="7" t="n">
        <f aca="false">COUNTIFS(05_訊號明細!A:A,A502,05_訊號明細!C:C,"TOP")</f>
        <v>0</v>
      </c>
      <c r="AC502" s="7" t="n">
        <f aca="false">COUNTIFS(05_訊號明細!A:A,A502,05_訊號明細!C:C,"BOTTOM")</f>
        <v>0</v>
      </c>
    </row>
    <row r="503" customFormat="false" ht="15" hidden="false" customHeight="false" outlineLevel="0" collapsed="false">
      <c r="A503" s="7" t="s">
        <v>544</v>
      </c>
      <c r="B503" s="7" t="n">
        <v>16361.07</v>
      </c>
      <c r="C503" s="7" t="n">
        <v>16567.64</v>
      </c>
      <c r="D503" s="7" t="n">
        <v>16361.07</v>
      </c>
      <c r="E503" s="7" t="n">
        <v>16567.5</v>
      </c>
      <c r="F503" s="7" t="n">
        <v>3744</v>
      </c>
      <c r="G503" s="7" t="n">
        <f aca="false">AVERAGE(E499:E503)</f>
        <v>16133.954</v>
      </c>
      <c r="H503" s="7" t="n">
        <f aca="false">AVERAGE(E494:E503)</f>
        <v>16062.221</v>
      </c>
      <c r="I503" s="7" t="n">
        <f aca="false">AVERAGE(E484:E503)</f>
        <v>16089.28</v>
      </c>
      <c r="J503" s="7" t="n">
        <f aca="false">AVERAGE(E454:E503)</f>
        <v>16012.487</v>
      </c>
      <c r="K503" s="7" t="n">
        <f aca="false">AVERAGE(E404:E503)</f>
        <v>15585.6537</v>
      </c>
      <c r="L503" s="7" t="n">
        <f aca="false">AVERAGE(E304:E503)</f>
        <v>14767.70395</v>
      </c>
      <c r="M503" s="7" t="n">
        <f aca="false">I503</f>
        <v>16089.28</v>
      </c>
      <c r="N503" s="7" t="n">
        <f aca="false">I503+2*STDEV(E484:E503)</f>
        <v>16608.0648013843</v>
      </c>
      <c r="O503" s="7" t="n">
        <f aca="false">I503-2*STDEV(E484:E503)</f>
        <v>15570.4951986157</v>
      </c>
      <c r="P503" s="7" t="n">
        <f aca="false">MAX(E503-E502,0)</f>
        <v>259.290000000001</v>
      </c>
      <c r="Q503" s="7" t="n">
        <f aca="false">MAX(E502-E503,0)</f>
        <v>0</v>
      </c>
      <c r="R503" s="7" t="n">
        <f aca="false">(R502*13+P503)/14</f>
        <v>122.846380118097</v>
      </c>
      <c r="S503" s="7" t="n">
        <f aca="false">(S502*13+Q503)/14</f>
        <v>85.7526897207713</v>
      </c>
      <c r="T503" s="7" t="n">
        <f aca="false">IF(S503=0,100,100-100/(1+R503/S503))</f>
        <v>58.8911447270543</v>
      </c>
      <c r="U503" s="7" t="n">
        <f aca="false">E503*2/13+U502*11/13</f>
        <v>16141.225597817</v>
      </c>
      <c r="V503" s="7" t="n">
        <f aca="false">E503*2/27+V502*25/27</f>
        <v>16090.0807883304</v>
      </c>
      <c r="W503" s="7" t="n">
        <f aca="false">U503-V503</f>
        <v>51.1448094866591</v>
      </c>
      <c r="X503" s="7" t="n">
        <f aca="false">W503*2/10+X502*8/10</f>
        <v>23.4961062007879</v>
      </c>
      <c r="Y503" s="7" t="n">
        <f aca="false">W503-X503</f>
        <v>27.6487032858713</v>
      </c>
      <c r="Z503" s="8" t="s">
        <v>42</v>
      </c>
      <c r="AA503" s="7" t="str">
        <f aca="false">IFERROR(INDEX(02_轉折點45!B:B,MATCH(A503,02_轉折點45!A:A,0)),"")</f>
        <v/>
      </c>
      <c r="AB503" s="7" t="n">
        <f aca="false">COUNTIFS(05_訊號明細!A:A,A503,05_訊號明細!C:C,"TOP")</f>
        <v>0</v>
      </c>
      <c r="AC503" s="7" t="n">
        <f aca="false">COUNTIFS(05_訊號明細!A:A,A503,05_訊號明細!C:C,"BOTTOM")</f>
        <v>0</v>
      </c>
    </row>
    <row r="504" customFormat="false" ht="15" hidden="false" customHeight="false" outlineLevel="0" collapsed="false">
      <c r="A504" s="7" t="s">
        <v>545</v>
      </c>
      <c r="B504" s="7" t="n">
        <v>16602.92</v>
      </c>
      <c r="C504" s="7" t="n">
        <v>16607.19</v>
      </c>
      <c r="D504" s="7" t="n">
        <v>16458.49</v>
      </c>
      <c r="E504" s="7" t="n">
        <v>16488.66</v>
      </c>
      <c r="F504" s="7" t="n">
        <v>3649</v>
      </c>
      <c r="G504" s="7" t="n">
        <f aca="false">AVERAGE(E500:E504)</f>
        <v>16306.158</v>
      </c>
      <c r="H504" s="7" t="n">
        <f aca="false">AVERAGE(E495:E504)</f>
        <v>16102.832</v>
      </c>
      <c r="I504" s="7" t="n">
        <f aca="false">AVERAGE(E485:E504)</f>
        <v>16093.751</v>
      </c>
      <c r="J504" s="7" t="n">
        <f aca="false">AVERAGE(E455:E504)</f>
        <v>16039.3218</v>
      </c>
      <c r="K504" s="7" t="n">
        <f aca="false">AVERAGE(E405:E504)</f>
        <v>15598.7239</v>
      </c>
      <c r="L504" s="7" t="n">
        <f aca="false">AVERAGE(E305:E504)</f>
        <v>14784.73455</v>
      </c>
      <c r="M504" s="7" t="n">
        <f aca="false">I504</f>
        <v>16093.751</v>
      </c>
      <c r="N504" s="7" t="n">
        <f aca="false">I504+2*STDEV(E485:E504)</f>
        <v>16625.1708100976</v>
      </c>
      <c r="O504" s="7" t="n">
        <f aca="false">I504-2*STDEV(E485:E504)</f>
        <v>15562.3311899024</v>
      </c>
      <c r="P504" s="7" t="n">
        <f aca="false">MAX(E504-E503,0)</f>
        <v>0</v>
      </c>
      <c r="Q504" s="7" t="n">
        <f aca="false">MAX(E503-E504,0)</f>
        <v>78.8400000000002</v>
      </c>
      <c r="R504" s="7" t="n">
        <f aca="false">(R503*13+P504)/14</f>
        <v>114.07163868109</v>
      </c>
      <c r="S504" s="7" t="n">
        <f aca="false">(S503*13+Q504)/14</f>
        <v>85.2589261692876</v>
      </c>
      <c r="T504" s="7" t="n">
        <f aca="false">IF(S504=0,100,100-100/(1+R504/S504))</f>
        <v>57.2273694035408</v>
      </c>
      <c r="U504" s="7" t="n">
        <f aca="false">E504*2/13+U503*11/13</f>
        <v>16194.6770443067</v>
      </c>
      <c r="V504" s="7" t="n">
        <f aca="false">E504*2/27+V503*25/27</f>
        <v>16119.60517438</v>
      </c>
      <c r="W504" s="7" t="n">
        <f aca="false">U504-V504</f>
        <v>75.0718699267454</v>
      </c>
      <c r="X504" s="7" t="n">
        <f aca="false">W504*2/10+X503*8/10</f>
        <v>33.8112589459794</v>
      </c>
      <c r="Y504" s="7" t="n">
        <f aca="false">W504-X504</f>
        <v>41.260610980766</v>
      </c>
      <c r="Z504" s="8" t="s">
        <v>42</v>
      </c>
      <c r="AA504" s="7" t="str">
        <f aca="false">IFERROR(INDEX(02_轉折點45!B:B,MATCH(A504,02_轉折點45!A:A,0)),"")</f>
        <v/>
      </c>
      <c r="AB504" s="7" t="n">
        <f aca="false">COUNTIFS(05_訊號明細!A:A,A504,05_訊號明細!C:C,"TOP")</f>
        <v>0</v>
      </c>
      <c r="AC504" s="7" t="n">
        <f aca="false">COUNTIFS(05_訊號明細!A:A,A504,05_訊號明細!C:C,"BOTTOM")</f>
        <v>0</v>
      </c>
    </row>
    <row r="505" customFormat="false" ht="15" hidden="false" customHeight="false" outlineLevel="0" collapsed="false">
      <c r="A505" s="7" t="s">
        <v>546</v>
      </c>
      <c r="B505" s="7" t="n">
        <v>16510.63</v>
      </c>
      <c r="C505" s="7" t="n">
        <v>16548.92</v>
      </c>
      <c r="D505" s="7" t="n">
        <v>16396.16</v>
      </c>
      <c r="E505" s="7" t="n">
        <v>16491.01</v>
      </c>
      <c r="F505" s="7" t="n">
        <v>3714</v>
      </c>
      <c r="G505" s="7" t="n">
        <f aca="false">AVERAGE(E501:E505)</f>
        <v>16407.104</v>
      </c>
      <c r="H505" s="7" t="n">
        <f aca="false">AVERAGE(E496:E505)</f>
        <v>16160.443</v>
      </c>
      <c r="I505" s="7" t="n">
        <f aca="false">AVERAGE(E486:E505)</f>
        <v>16111.5055</v>
      </c>
      <c r="J505" s="7" t="n">
        <f aca="false">AVERAGE(E456:E505)</f>
        <v>16063.1242</v>
      </c>
      <c r="K505" s="7" t="n">
        <f aca="false">AVERAGE(E406:E505)</f>
        <v>15612.5404</v>
      </c>
      <c r="L505" s="7" t="n">
        <f aca="false">AVERAGE(E306:E505)</f>
        <v>14801.4282</v>
      </c>
      <c r="M505" s="7" t="n">
        <f aca="false">I505</f>
        <v>16111.5055</v>
      </c>
      <c r="N505" s="7" t="n">
        <f aca="false">I505+2*STDEV(E486:E505)</f>
        <v>16671.7996637719</v>
      </c>
      <c r="O505" s="7" t="n">
        <f aca="false">I505-2*STDEV(E486:E505)</f>
        <v>15551.2113362281</v>
      </c>
      <c r="P505" s="7" t="n">
        <f aca="false">MAX(E505-E504,0)</f>
        <v>2.34999999999855</v>
      </c>
      <c r="Q505" s="7" t="n">
        <f aca="false">MAX(E504-E505,0)</f>
        <v>0</v>
      </c>
      <c r="R505" s="7" t="n">
        <f aca="false">(R504*13+P505)/14</f>
        <v>106.091521632441</v>
      </c>
      <c r="S505" s="7" t="n">
        <f aca="false">(S504*13+Q505)/14</f>
        <v>79.1690028714814</v>
      </c>
      <c r="T505" s="7" t="n">
        <f aca="false">IF(S505=0,100,100-100/(1+R505/S505))</f>
        <v>57.2661239713778</v>
      </c>
      <c r="U505" s="7" t="n">
        <f aca="false">E505*2/13+U504*11/13</f>
        <v>16240.266729798</v>
      </c>
      <c r="V505" s="7" t="n">
        <f aca="false">E505*2/27+V504*25/27</f>
        <v>16147.1166429444</v>
      </c>
      <c r="W505" s="7" t="n">
        <f aca="false">U505-V505</f>
        <v>93.1500868535732</v>
      </c>
      <c r="X505" s="7" t="n">
        <f aca="false">W505*2/10+X504*8/10</f>
        <v>45.6790245274981</v>
      </c>
      <c r="Y505" s="7" t="n">
        <f aca="false">W505-X505</f>
        <v>47.471062326075</v>
      </c>
      <c r="Z505" s="8" t="s">
        <v>42</v>
      </c>
      <c r="AA505" s="7" t="str">
        <f aca="false">IFERROR(INDEX(02_轉折點45!B:B,MATCH(A505,02_轉折點45!A:A,0)),"")</f>
        <v/>
      </c>
      <c r="AB505" s="7" t="n">
        <f aca="false">COUNTIFS(05_訊號明細!A:A,A505,05_訊號明細!C:C,"TOP")</f>
        <v>0</v>
      </c>
      <c r="AC505" s="7" t="n">
        <f aca="false">COUNTIFS(05_訊號明細!A:A,A505,05_訊號明細!C:C,"BOTTOM")</f>
        <v>0</v>
      </c>
    </row>
    <row r="506" customFormat="false" ht="15" hidden="false" customHeight="false" outlineLevel="0" collapsed="false">
      <c r="A506" s="7" t="s">
        <v>547</v>
      </c>
      <c r="B506" s="7" t="n">
        <v>16485.4</v>
      </c>
      <c r="C506" s="7" t="n">
        <v>16569.62</v>
      </c>
      <c r="D506" s="7" t="n">
        <v>16415.12</v>
      </c>
      <c r="E506" s="7" t="n">
        <v>16429.1</v>
      </c>
      <c r="F506" s="7" t="n">
        <v>3751</v>
      </c>
      <c r="G506" s="7" t="n">
        <f aca="false">AVERAGE(E502:E506)</f>
        <v>16456.896</v>
      </c>
      <c r="H506" s="7" t="n">
        <f aca="false">AVERAGE(E497:E506)</f>
        <v>16174.394</v>
      </c>
      <c r="I506" s="7" t="n">
        <f aca="false">AVERAGE(E487:E506)</f>
        <v>16139.0745</v>
      </c>
      <c r="J506" s="7" t="n">
        <f aca="false">AVERAGE(E457:E506)</f>
        <v>16083.4918</v>
      </c>
      <c r="K506" s="7" t="n">
        <f aca="false">AVERAGE(E407:E506)</f>
        <v>15625.5003</v>
      </c>
      <c r="L506" s="7" t="n">
        <f aca="false">AVERAGE(E307:E506)</f>
        <v>14817.5618</v>
      </c>
      <c r="M506" s="7" t="n">
        <f aca="false">I506</f>
        <v>16139.0745</v>
      </c>
      <c r="N506" s="7" t="n">
        <f aca="false">I506+2*STDEV(E487:E506)</f>
        <v>16705.1645009335</v>
      </c>
      <c r="O506" s="7" t="n">
        <f aca="false">I506-2*STDEV(E487:E506)</f>
        <v>15572.9844990665</v>
      </c>
      <c r="P506" s="7" t="n">
        <f aca="false">MAX(E506-E505,0)</f>
        <v>0</v>
      </c>
      <c r="Q506" s="7" t="n">
        <f aca="false">MAX(E505-E506,0)</f>
        <v>61.9099999999999</v>
      </c>
      <c r="R506" s="7" t="n">
        <f aca="false">(R505*13+P506)/14</f>
        <v>98.5135558015522</v>
      </c>
      <c r="S506" s="7" t="n">
        <f aca="false">(S505*13+Q506)/14</f>
        <v>77.9362169520898</v>
      </c>
      <c r="T506" s="7" t="n">
        <f aca="false">IF(S506=0,100,100-100/(1+R506/S506))</f>
        <v>55.8309337916214</v>
      </c>
      <c r="U506" s="7" t="n">
        <f aca="false">E506*2/13+U505*11/13</f>
        <v>16269.3180021368</v>
      </c>
      <c r="V506" s="7" t="n">
        <f aca="false">E506*2/27+V505*25/27</f>
        <v>16168.0042990226</v>
      </c>
      <c r="W506" s="7" t="n">
        <f aca="false">U506-V506</f>
        <v>101.31370311415</v>
      </c>
      <c r="X506" s="7" t="n">
        <f aca="false">W506*2/10+X505*8/10</f>
        <v>56.8059602448286</v>
      </c>
      <c r="Y506" s="7" t="n">
        <f aca="false">W506-X506</f>
        <v>44.5077428693219</v>
      </c>
      <c r="Z506" s="8" t="s">
        <v>42</v>
      </c>
      <c r="AA506" s="7" t="str">
        <f aca="false">IFERROR(INDEX(02_轉折點45!B:B,MATCH(A506,02_轉折點45!A:A,0)),"")</f>
        <v/>
      </c>
      <c r="AB506" s="7" t="n">
        <f aca="false">COUNTIFS(05_訊號明細!A:A,A506,05_訊號明細!C:C,"TOP")</f>
        <v>0</v>
      </c>
      <c r="AC506" s="7" t="n">
        <f aca="false">COUNTIFS(05_訊號明細!A:A,A506,05_訊號明細!C:C,"BOTTOM")</f>
        <v>0</v>
      </c>
    </row>
    <row r="507" customFormat="false" ht="15" hidden="false" customHeight="false" outlineLevel="0" collapsed="false">
      <c r="A507" s="7" t="s">
        <v>548</v>
      </c>
      <c r="B507" s="7" t="n">
        <v>16411.26</v>
      </c>
      <c r="C507" s="7" t="n">
        <v>16464.62</v>
      </c>
      <c r="D507" s="7" t="n">
        <v>16317.26</v>
      </c>
      <c r="E507" s="7" t="n">
        <v>16320.08</v>
      </c>
      <c r="F507" s="7" t="n">
        <v>3393</v>
      </c>
      <c r="G507" s="7" t="n">
        <f aca="false">AVERAGE(E503:E507)</f>
        <v>16459.27</v>
      </c>
      <c r="H507" s="7" t="n">
        <f aca="false">AVERAGE(E498:E507)</f>
        <v>16220.008</v>
      </c>
      <c r="I507" s="7" t="n">
        <f aca="false">AVERAGE(E488:E507)</f>
        <v>16155.5405</v>
      </c>
      <c r="J507" s="7" t="n">
        <f aca="false">AVERAGE(E458:E507)</f>
        <v>16102.1192</v>
      </c>
      <c r="K507" s="7" t="n">
        <f aca="false">AVERAGE(E408:E507)</f>
        <v>15638.1653</v>
      </c>
      <c r="L507" s="7" t="n">
        <f aca="false">AVERAGE(E308:E507)</f>
        <v>14835.2165</v>
      </c>
      <c r="M507" s="7" t="n">
        <f aca="false">I507</f>
        <v>16155.5405</v>
      </c>
      <c r="N507" s="7" t="n">
        <f aca="false">I507+2*STDEV(E488:E507)</f>
        <v>16722.6231896902</v>
      </c>
      <c r="O507" s="7" t="n">
        <f aca="false">I507-2*STDEV(E488:E507)</f>
        <v>15588.4578103098</v>
      </c>
      <c r="P507" s="7" t="n">
        <f aca="false">MAX(E507-E506,0)</f>
        <v>0</v>
      </c>
      <c r="Q507" s="7" t="n">
        <f aca="false">MAX(E506-E507,0)</f>
        <v>109.019999999999</v>
      </c>
      <c r="R507" s="7" t="n">
        <f aca="false">(R506*13+P507)/14</f>
        <v>91.4768732442985</v>
      </c>
      <c r="S507" s="7" t="n">
        <f aca="false">(S506*13+Q507)/14</f>
        <v>80.1564871697976</v>
      </c>
      <c r="T507" s="7" t="n">
        <f aca="false">IF(S507=0,100,100-100/(1+R507/S507))</f>
        <v>53.2978396645001</v>
      </c>
      <c r="U507" s="7" t="n">
        <f aca="false">E507*2/13+U506*11/13</f>
        <v>16277.1275402696</v>
      </c>
      <c r="V507" s="7" t="n">
        <f aca="false">E507*2/27+V506*25/27</f>
        <v>16179.2691657617</v>
      </c>
      <c r="W507" s="7" t="n">
        <f aca="false">U507-V507</f>
        <v>97.8583745078886</v>
      </c>
      <c r="X507" s="7" t="n">
        <f aca="false">W507*2/10+X506*8/10</f>
        <v>65.0164430974406</v>
      </c>
      <c r="Y507" s="7" t="n">
        <f aca="false">W507-X507</f>
        <v>32.841931410448</v>
      </c>
      <c r="Z507" s="8" t="s">
        <v>42</v>
      </c>
      <c r="AA507" s="7" t="str">
        <f aca="false">IFERROR(INDEX(02_轉折點45!B:B,MATCH(A507,02_轉折點45!A:A,0)),"")</f>
        <v/>
      </c>
      <c r="AB507" s="7" t="n">
        <f aca="false">COUNTIFS(05_訊號明細!A:A,A507,05_訊號明細!C:C,"TOP")</f>
        <v>0</v>
      </c>
      <c r="AC507" s="7" t="n">
        <f aca="false">COUNTIFS(05_訊號明細!A:A,A507,05_訊號明細!C:C,"BOTTOM")</f>
        <v>1</v>
      </c>
    </row>
    <row r="508" customFormat="false" ht="15" hidden="false" customHeight="false" outlineLevel="0" collapsed="false">
      <c r="A508" s="7" t="s">
        <v>549</v>
      </c>
      <c r="B508" s="7" t="n">
        <v>16395.51</v>
      </c>
      <c r="C508" s="7" t="n">
        <v>16504.14</v>
      </c>
      <c r="D508" s="7" t="n">
        <v>16306.64</v>
      </c>
      <c r="E508" s="7" t="n">
        <v>16501.77</v>
      </c>
      <c r="F508" s="7" t="n">
        <v>4430</v>
      </c>
      <c r="G508" s="7" t="n">
        <f aca="false">AVERAGE(E504:E508)</f>
        <v>16446.124</v>
      </c>
      <c r="H508" s="7" t="n">
        <f aca="false">AVERAGE(E499:E508)</f>
        <v>16290.039</v>
      </c>
      <c r="I508" s="7" t="n">
        <f aca="false">AVERAGE(E489:E508)</f>
        <v>16195.027</v>
      </c>
      <c r="J508" s="7" t="n">
        <f aca="false">AVERAGE(E459:E508)</f>
        <v>16122.3628</v>
      </c>
      <c r="K508" s="7" t="n">
        <f aca="false">AVERAGE(E409:E508)</f>
        <v>15652.9054</v>
      </c>
      <c r="L508" s="7" t="n">
        <f aca="false">AVERAGE(E309:E508)</f>
        <v>14853.3904</v>
      </c>
      <c r="M508" s="7" t="n">
        <f aca="false">I508</f>
        <v>16195.027</v>
      </c>
      <c r="N508" s="7" t="n">
        <f aca="false">I508+2*STDEV(E489:E508)</f>
        <v>16741.6947409099</v>
      </c>
      <c r="O508" s="7" t="n">
        <f aca="false">I508-2*STDEV(E489:E508)</f>
        <v>15648.3592590901</v>
      </c>
      <c r="P508" s="7" t="n">
        <f aca="false">MAX(E508-E507,0)</f>
        <v>181.690000000001</v>
      </c>
      <c r="Q508" s="7" t="n">
        <f aca="false">MAX(E507-E508,0)</f>
        <v>0</v>
      </c>
      <c r="R508" s="7" t="n">
        <f aca="false">(R507*13+P508)/14</f>
        <v>97.9206680125629</v>
      </c>
      <c r="S508" s="7" t="n">
        <f aca="false">(S507*13+Q508)/14</f>
        <v>74.4310238005263</v>
      </c>
      <c r="T508" s="7" t="n">
        <f aca="false">IF(S508=0,100,100-100/(1+R508/S508))</f>
        <v>56.8144513015603</v>
      </c>
      <c r="U508" s="7" t="n">
        <f aca="false">E508*2/13+U507*11/13</f>
        <v>16311.6879186896</v>
      </c>
      <c r="V508" s="7" t="n">
        <f aca="false">E508*2/27+V507*25/27</f>
        <v>16203.158116446</v>
      </c>
      <c r="W508" s="7" t="n">
        <f aca="false">U508-V508</f>
        <v>108.529802243636</v>
      </c>
      <c r="X508" s="7" t="n">
        <f aca="false">W508*2/10+X507*8/10</f>
        <v>73.7191149266798</v>
      </c>
      <c r="Y508" s="7" t="n">
        <f aca="false">W508-X508</f>
        <v>34.8106873169566</v>
      </c>
      <c r="Z508" s="8" t="s">
        <v>42</v>
      </c>
      <c r="AA508" s="7" t="str">
        <f aca="false">IFERROR(INDEX(02_轉折點45!B:B,MATCH(A508,02_轉折點45!A:A,0)),"")</f>
        <v/>
      </c>
      <c r="AB508" s="7" t="n">
        <f aca="false">COUNTIFS(05_訊號明細!A:A,A508,05_訊號明細!C:C,"TOP")</f>
        <v>0</v>
      </c>
      <c r="AC508" s="7" t="n">
        <f aca="false">COUNTIFS(05_訊號明細!A:A,A508,05_訊號明細!C:C,"BOTTOM")</f>
        <v>0</v>
      </c>
    </row>
    <row r="509" customFormat="false" ht="15" hidden="false" customHeight="false" outlineLevel="0" collapsed="false">
      <c r="A509" s="7" t="s">
        <v>550</v>
      </c>
      <c r="B509" s="7" t="n">
        <v>16513.87</v>
      </c>
      <c r="C509" s="7" t="n">
        <v>16513.87</v>
      </c>
      <c r="D509" s="7" t="n">
        <v>16151.9</v>
      </c>
      <c r="E509" s="7" t="n">
        <v>16279.73</v>
      </c>
      <c r="F509" s="7" t="n">
        <v>5131</v>
      </c>
      <c r="G509" s="7" t="n">
        <f aca="false">AVERAGE(E505:E509)</f>
        <v>16404.338</v>
      </c>
      <c r="H509" s="7" t="n">
        <f aca="false">AVERAGE(E500:E509)</f>
        <v>16355.248</v>
      </c>
      <c r="I509" s="7" t="n">
        <f aca="false">AVERAGE(E490:E509)</f>
        <v>16216.7055</v>
      </c>
      <c r="J509" s="7" t="n">
        <f aca="false">AVERAGE(E460:E509)</f>
        <v>16140.856</v>
      </c>
      <c r="K509" s="7" t="n">
        <f aca="false">AVERAGE(E410:E509)</f>
        <v>15664.8129</v>
      </c>
      <c r="L509" s="7" t="n">
        <f aca="false">AVERAGE(E310:E509)</f>
        <v>14869.3565</v>
      </c>
      <c r="M509" s="7" t="n">
        <f aca="false">I509</f>
        <v>16216.7055</v>
      </c>
      <c r="N509" s="7" t="n">
        <f aca="false">I509+2*STDEV(E490:E509)</f>
        <v>16738.9645519323</v>
      </c>
      <c r="O509" s="7" t="n">
        <f aca="false">I509-2*STDEV(E490:E509)</f>
        <v>15694.4464480677</v>
      </c>
      <c r="P509" s="7" t="n">
        <f aca="false">MAX(E509-E508,0)</f>
        <v>0</v>
      </c>
      <c r="Q509" s="7" t="n">
        <f aca="false">MAX(E508-E509,0)</f>
        <v>222.040000000001</v>
      </c>
      <c r="R509" s="7" t="n">
        <f aca="false">(R508*13+P509)/14</f>
        <v>90.9263345830941</v>
      </c>
      <c r="S509" s="7" t="n">
        <f aca="false">(S508*13+Q509)/14</f>
        <v>84.9745221004888</v>
      </c>
      <c r="T509" s="7" t="n">
        <f aca="false">IF(S509=0,100,100-100/(1+R509/S509))</f>
        <v>51.6918088390302</v>
      </c>
      <c r="U509" s="7" t="n">
        <f aca="false">E509*2/13+U508*11/13</f>
        <v>16306.7713158143</v>
      </c>
      <c r="V509" s="7" t="n">
        <f aca="false">E509*2/27+V508*25/27</f>
        <v>16208.8301078204</v>
      </c>
      <c r="W509" s="7" t="n">
        <f aca="false">U509-V509</f>
        <v>97.9412079939357</v>
      </c>
      <c r="X509" s="7" t="n">
        <f aca="false">W509*2/10+X508*8/10</f>
        <v>78.563533540131</v>
      </c>
      <c r="Y509" s="7" t="n">
        <f aca="false">W509-X509</f>
        <v>19.3776744538047</v>
      </c>
      <c r="Z509" s="8" t="s">
        <v>42</v>
      </c>
      <c r="AA509" s="7" t="str">
        <f aca="false">IFERROR(INDEX(02_轉折點45!B:B,MATCH(A509,02_轉折點45!A:A,0)),"")</f>
        <v/>
      </c>
      <c r="AB509" s="7" t="n">
        <f aca="false">COUNTIFS(05_訊號明細!A:A,A509,05_訊號明細!C:C,"TOP")</f>
        <v>0</v>
      </c>
      <c r="AC509" s="7" t="n">
        <f aca="false">COUNTIFS(05_訊號明細!A:A,A509,05_訊號明細!C:C,"BOTTOM")</f>
        <v>0</v>
      </c>
    </row>
    <row r="510" customFormat="false" ht="15" hidden="false" customHeight="false" outlineLevel="0" collapsed="false">
      <c r="A510" s="7" t="s">
        <v>551</v>
      </c>
      <c r="B510" s="7" t="n">
        <v>16190.55</v>
      </c>
      <c r="C510" s="7" t="n">
        <v>16249.23</v>
      </c>
      <c r="D510" s="7" t="n">
        <v>15763.84</v>
      </c>
      <c r="E510" s="7" t="n">
        <v>15771.78</v>
      </c>
      <c r="F510" s="7" t="n">
        <v>5032</v>
      </c>
      <c r="G510" s="7" t="n">
        <f aca="false">AVERAGE(E506:E510)</f>
        <v>16260.492</v>
      </c>
      <c r="H510" s="7" t="n">
        <f aca="false">AVERAGE(E501:E510)</f>
        <v>16333.798</v>
      </c>
      <c r="I510" s="7" t="n">
        <f aca="false">AVERAGE(E491:E510)</f>
        <v>16189.0115</v>
      </c>
      <c r="J510" s="7" t="n">
        <f aca="false">AVERAGE(E461:E510)</f>
        <v>16146.0078</v>
      </c>
      <c r="K510" s="7" t="n">
        <f aca="false">AVERAGE(E411:E510)</f>
        <v>15671.1639</v>
      </c>
      <c r="L510" s="7" t="n">
        <f aca="false">AVERAGE(E311:E510)</f>
        <v>14883.12645</v>
      </c>
      <c r="M510" s="7" t="n">
        <f aca="false">I510</f>
        <v>16189.0115</v>
      </c>
      <c r="N510" s="7" t="n">
        <f aca="false">I510+2*STDEV(E491:E510)</f>
        <v>16744.6206814737</v>
      </c>
      <c r="O510" s="7" t="n">
        <f aca="false">I510-2*STDEV(E491:E510)</f>
        <v>15633.4023185263</v>
      </c>
      <c r="P510" s="7" t="n">
        <f aca="false">MAX(E510-E509,0)</f>
        <v>0</v>
      </c>
      <c r="Q510" s="7" t="n">
        <f aca="false">MAX(E509-E510,0)</f>
        <v>507.949999999999</v>
      </c>
      <c r="R510" s="7" t="n">
        <f aca="false">(R509*13+P510)/14</f>
        <v>84.4315963985874</v>
      </c>
      <c r="S510" s="7" t="n">
        <f aca="false">(S509*13+Q510)/14</f>
        <v>115.187056236168</v>
      </c>
      <c r="T510" s="7" t="n">
        <f aca="false">IF(S510=0,100,100-100/(1+R510/S510))</f>
        <v>42.2964463912462</v>
      </c>
      <c r="U510" s="7" t="n">
        <f aca="false">E510*2/13+U509*11/13</f>
        <v>16224.4649595352</v>
      </c>
      <c r="V510" s="7" t="n">
        <f aca="false">E510*2/27+V509*25/27</f>
        <v>16176.4560257596</v>
      </c>
      <c r="W510" s="7" t="n">
        <f aca="false">U510-V510</f>
        <v>48.0089337755799</v>
      </c>
      <c r="X510" s="7" t="n">
        <f aca="false">W510*2/10+X509*8/10</f>
        <v>72.4526135872207</v>
      </c>
      <c r="Y510" s="7" t="n">
        <f aca="false">W510-X510</f>
        <v>-24.4436798116409</v>
      </c>
      <c r="Z510" s="8" t="s">
        <v>42</v>
      </c>
      <c r="AA510" s="7" t="str">
        <f aca="false">IFERROR(INDEX(02_轉折點45!B:B,MATCH(A510,02_轉折點45!A:A,0)),"")</f>
        <v/>
      </c>
      <c r="AB510" s="7" t="n">
        <f aca="false">COUNTIFS(05_訊號明細!A:A,A510,05_訊號明細!C:C,"TOP")</f>
        <v>1</v>
      </c>
      <c r="AC510" s="7" t="n">
        <f aca="false">COUNTIFS(05_訊號明細!A:A,A510,05_訊號明細!C:C,"BOTTOM")</f>
        <v>0</v>
      </c>
    </row>
    <row r="511" customFormat="false" ht="15" hidden="false" customHeight="false" outlineLevel="0" collapsed="false">
      <c r="A511" s="7" t="s">
        <v>552</v>
      </c>
      <c r="B511" s="7" t="n">
        <v>15675.22</v>
      </c>
      <c r="C511" s="7" t="n">
        <v>15900.6</v>
      </c>
      <c r="D511" s="7" t="n">
        <v>15608.57</v>
      </c>
      <c r="E511" s="7" t="n">
        <v>15765.36</v>
      </c>
      <c r="F511" s="7" t="n">
        <v>4791</v>
      </c>
      <c r="G511" s="7" t="n">
        <f aca="false">AVERAGE(E507:E511)</f>
        <v>16127.744</v>
      </c>
      <c r="H511" s="7" t="n">
        <f aca="false">AVERAGE(E502:E511)</f>
        <v>16292.32</v>
      </c>
      <c r="I511" s="7" t="n">
        <f aca="false">AVERAGE(E492:E511)</f>
        <v>16157.5625</v>
      </c>
      <c r="J511" s="7" t="n">
        <f aca="false">AVERAGE(E462:E511)</f>
        <v>16150.1252</v>
      </c>
      <c r="K511" s="7" t="n">
        <f aca="false">AVERAGE(E412:E511)</f>
        <v>15677.4098</v>
      </c>
      <c r="L511" s="7" t="n">
        <f aca="false">AVERAGE(E312:E511)</f>
        <v>14897.95885</v>
      </c>
      <c r="M511" s="7" t="n">
        <f aca="false">I511</f>
        <v>16157.5625</v>
      </c>
      <c r="N511" s="7" t="n">
        <f aca="false">I511+2*STDEV(E492:E511)</f>
        <v>16735.011049647</v>
      </c>
      <c r="O511" s="7" t="n">
        <f aca="false">I511-2*STDEV(E492:E511)</f>
        <v>15580.113950353</v>
      </c>
      <c r="P511" s="7" t="n">
        <f aca="false">MAX(E511-E510,0)</f>
        <v>0</v>
      </c>
      <c r="Q511" s="7" t="n">
        <f aca="false">MAX(E510-E511,0)</f>
        <v>6.42000000000007</v>
      </c>
      <c r="R511" s="7" t="n">
        <f aca="false">(R510*13+P511)/14</f>
        <v>78.4007680844026</v>
      </c>
      <c r="S511" s="7" t="n">
        <f aca="false">(S510*13+Q511)/14</f>
        <v>107.417980790728</v>
      </c>
      <c r="T511" s="7" t="n">
        <f aca="false">IF(S511=0,100,100-100/(1+R511/S511))</f>
        <v>42.192065418053</v>
      </c>
      <c r="U511" s="7" t="n">
        <f aca="false">E511*2/13+U510*11/13</f>
        <v>16153.833427299</v>
      </c>
      <c r="V511" s="7" t="n">
        <f aca="false">E511*2/27+V510*25/27</f>
        <v>16146.0044682959</v>
      </c>
      <c r="W511" s="7" t="n">
        <f aca="false">U511-V511</f>
        <v>7.82895900307267</v>
      </c>
      <c r="X511" s="7" t="n">
        <f aca="false">W511*2/10+X510*8/10</f>
        <v>59.5278826703911</v>
      </c>
      <c r="Y511" s="7" t="n">
        <f aca="false">W511-X511</f>
        <v>-51.6989236673185</v>
      </c>
      <c r="Z511" s="8" t="s">
        <v>42</v>
      </c>
      <c r="AA511" s="7" t="str">
        <f aca="false">IFERROR(INDEX(02_轉折點45!B:B,MATCH(A511,02_轉折點45!A:A,0)),"")</f>
        <v/>
      </c>
      <c r="AB511" s="7" t="n">
        <f aca="false">COUNTIFS(05_訊號明細!A:A,A511,05_訊號明細!C:C,"TOP")</f>
        <v>0</v>
      </c>
      <c r="AC511" s="7" t="n">
        <f aca="false">COUNTIFS(05_訊號明細!A:A,A511,05_訊號明細!C:C,"BOTTOM")</f>
        <v>0</v>
      </c>
    </row>
    <row r="512" customFormat="false" ht="15" hidden="false" customHeight="false" outlineLevel="0" collapsed="false">
      <c r="A512" s="7" t="s">
        <v>553</v>
      </c>
      <c r="B512" s="7" t="n">
        <v>15774.13</v>
      </c>
      <c r="C512" s="7" t="n">
        <v>15835</v>
      </c>
      <c r="D512" s="7" t="n">
        <v>15526.8</v>
      </c>
      <c r="E512" s="7" t="n">
        <v>15592.19</v>
      </c>
      <c r="F512" s="7" t="n">
        <v>4238</v>
      </c>
      <c r="G512" s="7" t="n">
        <f aca="false">AVERAGE(E508:E512)</f>
        <v>15982.166</v>
      </c>
      <c r="H512" s="7" t="n">
        <f aca="false">AVERAGE(E503:E512)</f>
        <v>16220.718</v>
      </c>
      <c r="I512" s="7" t="n">
        <f aca="false">AVERAGE(E493:E512)</f>
        <v>16129.6935</v>
      </c>
      <c r="J512" s="7" t="n">
        <f aca="false">AVERAGE(E463:E512)</f>
        <v>16150.0012</v>
      </c>
      <c r="K512" s="7" t="n">
        <f aca="false">AVERAGE(E413:E512)</f>
        <v>15683.3034</v>
      </c>
      <c r="L512" s="7" t="n">
        <f aca="false">AVERAGE(E313:E512)</f>
        <v>14912.01725</v>
      </c>
      <c r="M512" s="7" t="n">
        <f aca="false">I512</f>
        <v>16129.6935</v>
      </c>
      <c r="N512" s="7" t="n">
        <f aca="false">I512+2*STDEV(E493:E512)</f>
        <v>16760.1354487537</v>
      </c>
      <c r="O512" s="7" t="n">
        <f aca="false">I512-2*STDEV(E493:E512)</f>
        <v>15499.2515512463</v>
      </c>
      <c r="P512" s="7" t="n">
        <f aca="false">MAX(E512-E511,0)</f>
        <v>0</v>
      </c>
      <c r="Q512" s="7" t="n">
        <f aca="false">MAX(E511-E512,0)</f>
        <v>173.17</v>
      </c>
      <c r="R512" s="7" t="n">
        <f aca="false">(R511*13+P512)/14</f>
        <v>72.800713221231</v>
      </c>
      <c r="S512" s="7" t="n">
        <f aca="false">(S511*13+Q512)/14</f>
        <v>112.11455359139</v>
      </c>
      <c r="T512" s="7" t="n">
        <f aca="false">IF(S512=0,100,100-100/(1+R512/S512))</f>
        <v>39.3697689088061</v>
      </c>
      <c r="U512" s="7" t="n">
        <f aca="false">E512*2/13+U511*11/13</f>
        <v>16067.4267461761</v>
      </c>
      <c r="V512" s="7" t="n">
        <f aca="false">E512*2/27+V511*25/27</f>
        <v>16104.9811743481</v>
      </c>
      <c r="W512" s="7" t="n">
        <f aca="false">U512-V512</f>
        <v>-37.5544281720067</v>
      </c>
      <c r="X512" s="7" t="n">
        <f aca="false">W512*2/10+X511*8/10</f>
        <v>40.1114205019115</v>
      </c>
      <c r="Y512" s="7" t="n">
        <f aca="false">W512-X512</f>
        <v>-77.6658486739183</v>
      </c>
      <c r="Z512" s="8" t="s">
        <v>42</v>
      </c>
      <c r="AA512" s="7" t="str">
        <f aca="false">IFERROR(INDEX(02_轉折點45!B:B,MATCH(A512,02_轉折點45!A:A,0)),"")</f>
        <v/>
      </c>
      <c r="AB512" s="7" t="n">
        <f aca="false">COUNTIFS(05_訊號明細!A:A,A512,05_訊號明細!C:C,"TOP")</f>
        <v>0</v>
      </c>
      <c r="AC512" s="7" t="n">
        <f aca="false">COUNTIFS(05_訊號明細!A:A,A512,05_訊號明細!C:C,"BOTTOM")</f>
        <v>0</v>
      </c>
    </row>
    <row r="513" customFormat="false" ht="15" hidden="false" customHeight="false" outlineLevel="0" collapsed="false">
      <c r="A513" s="7" t="s">
        <v>554</v>
      </c>
      <c r="B513" s="7" t="n">
        <v>15383.18</v>
      </c>
      <c r="C513" s="7" t="n">
        <v>15627.92</v>
      </c>
      <c r="D513" s="7" t="n">
        <v>15165.53</v>
      </c>
      <c r="E513" s="7" t="n">
        <v>15614.43</v>
      </c>
      <c r="F513" s="7" t="n">
        <v>5317</v>
      </c>
      <c r="G513" s="7" t="n">
        <f aca="false">AVERAGE(E509:E513)</f>
        <v>15804.698</v>
      </c>
      <c r="H513" s="7" t="n">
        <f aca="false">AVERAGE(E504:E513)</f>
        <v>16125.411</v>
      </c>
      <c r="I513" s="7" t="n">
        <f aca="false">AVERAGE(E494:E513)</f>
        <v>16093.816</v>
      </c>
      <c r="J513" s="7" t="n">
        <f aca="false">AVERAGE(E464:E513)</f>
        <v>16146.7266</v>
      </c>
      <c r="K513" s="7" t="n">
        <f aca="false">AVERAGE(E414:E513)</f>
        <v>15690.8685</v>
      </c>
      <c r="L513" s="7" t="n">
        <f aca="false">AVERAGE(E314:E513)</f>
        <v>14925.1938</v>
      </c>
      <c r="M513" s="7" t="n">
        <f aca="false">I513</f>
        <v>16093.816</v>
      </c>
      <c r="N513" s="7" t="n">
        <f aca="false">I513+2*STDEV(E494:E513)</f>
        <v>16756.6256078585</v>
      </c>
      <c r="O513" s="7" t="n">
        <f aca="false">I513-2*STDEV(E494:E513)</f>
        <v>15431.0063921416</v>
      </c>
      <c r="P513" s="7" t="n">
        <f aca="false">MAX(E513-E512,0)</f>
        <v>22.2399999999998</v>
      </c>
      <c r="Q513" s="7" t="n">
        <f aca="false">MAX(E512-E513,0)</f>
        <v>0</v>
      </c>
      <c r="R513" s="7" t="n">
        <f aca="false">(R512*13+P513)/14</f>
        <v>69.1892337054287</v>
      </c>
      <c r="S513" s="7" t="n">
        <f aca="false">(S512*13+Q513)/14</f>
        <v>104.106371192005</v>
      </c>
      <c r="T513" s="7" t="n">
        <f aca="false">IF(S513=0,100,100-100/(1+R513/S513))</f>
        <v>39.9255559576245</v>
      </c>
      <c r="U513" s="7" t="n">
        <f aca="false">E513*2/13+U512*11/13</f>
        <v>15997.7349390721</v>
      </c>
      <c r="V513" s="7" t="n">
        <f aca="false">E513*2/27+V512*25/27</f>
        <v>16068.6440503223</v>
      </c>
      <c r="W513" s="7" t="n">
        <f aca="false">U513-V513</f>
        <v>-70.9091112502356</v>
      </c>
      <c r="X513" s="7" t="n">
        <f aca="false">W513*2/10+X512*8/10</f>
        <v>17.9073141514821</v>
      </c>
      <c r="Y513" s="7" t="n">
        <f aca="false">W513-X513</f>
        <v>-88.8164254017177</v>
      </c>
      <c r="Z513" s="8" t="s">
        <v>42</v>
      </c>
      <c r="AA513" s="7" t="str">
        <f aca="false">IFERROR(INDEX(02_轉折點45!B:B,MATCH(A513,02_轉折點45!A:A,0)),"")</f>
        <v/>
      </c>
      <c r="AB513" s="7" t="n">
        <f aca="false">COUNTIFS(05_訊號明細!A:A,A513,05_訊號明細!C:C,"TOP")</f>
        <v>0</v>
      </c>
      <c r="AC513" s="7" t="n">
        <f aca="false">COUNTIFS(05_訊號明細!A:A,A513,05_訊號明細!C:C,"BOTTOM")</f>
        <v>0</v>
      </c>
    </row>
    <row r="514" customFormat="false" ht="15" hidden="false" customHeight="false" outlineLevel="0" collapsed="false">
      <c r="A514" s="7" t="s">
        <v>555</v>
      </c>
      <c r="B514" s="7" t="n">
        <v>15582.72</v>
      </c>
      <c r="C514" s="7" t="n">
        <v>15848.56</v>
      </c>
      <c r="D514" s="7" t="n">
        <v>15496.91</v>
      </c>
      <c r="E514" s="7" t="n">
        <v>15844.12</v>
      </c>
      <c r="F514" s="7" t="n">
        <v>4391</v>
      </c>
      <c r="G514" s="7" t="n">
        <f aca="false">AVERAGE(E510:E514)</f>
        <v>15717.576</v>
      </c>
      <c r="H514" s="7" t="n">
        <f aca="false">AVERAGE(E505:E514)</f>
        <v>16060.957</v>
      </c>
      <c r="I514" s="7" t="n">
        <f aca="false">AVERAGE(E495:E514)</f>
        <v>16081.8945</v>
      </c>
      <c r="J514" s="7" t="n">
        <f aca="false">AVERAGE(E465:E514)</f>
        <v>16146.5996</v>
      </c>
      <c r="K514" s="7" t="n">
        <f aca="false">AVERAGE(E415:E514)</f>
        <v>15699.9703</v>
      </c>
      <c r="L514" s="7" t="n">
        <f aca="false">AVERAGE(E315:E514)</f>
        <v>14939.5857</v>
      </c>
      <c r="M514" s="7" t="n">
        <f aca="false">I514</f>
        <v>16081.8945</v>
      </c>
      <c r="N514" s="7" t="n">
        <f aca="false">I514+2*STDEV(E495:E514)</f>
        <v>16754.0681091055</v>
      </c>
      <c r="O514" s="7" t="n">
        <f aca="false">I514-2*STDEV(E495:E514)</f>
        <v>15409.7208908945</v>
      </c>
      <c r="P514" s="7" t="n">
        <f aca="false">MAX(E514-E513,0)</f>
        <v>229.690000000001</v>
      </c>
      <c r="Q514" s="7" t="n">
        <f aca="false">MAX(E513-E514,0)</f>
        <v>0</v>
      </c>
      <c r="R514" s="7" t="n">
        <f aca="false">(R513*13+P514)/14</f>
        <v>80.653574155041</v>
      </c>
      <c r="S514" s="7" t="n">
        <f aca="false">(S513*13+Q514)/14</f>
        <v>96.6702018211473</v>
      </c>
      <c r="T514" s="7" t="n">
        <f aca="false">IF(S514=0,100,100-100/(1+R514/S514))</f>
        <v>45.4837901522419</v>
      </c>
      <c r="U514" s="7" t="n">
        <f aca="false">E514*2/13+U513*11/13</f>
        <v>15974.1018715225</v>
      </c>
      <c r="V514" s="7" t="n">
        <f aca="false">E514*2/27+V513*25/27</f>
        <v>16052.0126391873</v>
      </c>
      <c r="W514" s="7" t="n">
        <f aca="false">U514-V514</f>
        <v>-77.9107676647982</v>
      </c>
      <c r="X514" s="7" t="n">
        <f aca="false">W514*2/10+X513*8/10</f>
        <v>-1.25630221177394</v>
      </c>
      <c r="Y514" s="7" t="n">
        <f aca="false">W514-X514</f>
        <v>-76.6544654530242</v>
      </c>
      <c r="Z514" s="8" t="s">
        <v>42</v>
      </c>
      <c r="AA514" s="7" t="str">
        <f aca="false">IFERROR(INDEX(02_轉折點45!B:B,MATCH(A514,02_轉折點45!A:A,0)),"")</f>
        <v/>
      </c>
      <c r="AB514" s="7" t="n">
        <f aca="false">COUNTIFS(05_訊號明細!A:A,A514,05_訊號明細!C:C,"TOP")</f>
        <v>1</v>
      </c>
      <c r="AC514" s="7" t="n">
        <f aca="false">COUNTIFS(05_訊號明細!A:A,A514,05_訊號明細!C:C,"BOTTOM")</f>
        <v>1</v>
      </c>
    </row>
    <row r="515" customFormat="false" ht="15" hidden="false" customHeight="false" outlineLevel="0" collapsed="false">
      <c r="A515" s="7" t="s">
        <v>556</v>
      </c>
      <c r="B515" s="7" t="n">
        <v>15955.48</v>
      </c>
      <c r="C515" s="7" t="n">
        <v>16017.39</v>
      </c>
      <c r="D515" s="7" t="n">
        <v>15815.95</v>
      </c>
      <c r="E515" s="7" t="n">
        <v>15905.1</v>
      </c>
      <c r="F515" s="7" t="n">
        <v>4339</v>
      </c>
      <c r="G515" s="7" t="n">
        <f aca="false">AVERAGE(E511:E515)</f>
        <v>15744.24</v>
      </c>
      <c r="H515" s="7" t="n">
        <f aca="false">AVERAGE(E506:E515)</f>
        <v>16002.366</v>
      </c>
      <c r="I515" s="7" t="n">
        <f aca="false">AVERAGE(E496:E515)</f>
        <v>16081.4045</v>
      </c>
      <c r="J515" s="7" t="n">
        <f aca="false">AVERAGE(E466:E515)</f>
        <v>16146.596</v>
      </c>
      <c r="K515" s="7" t="n">
        <f aca="false">AVERAGE(E416:E515)</f>
        <v>15708.0956</v>
      </c>
      <c r="L515" s="7" t="n">
        <f aca="false">AVERAGE(E316:E515)</f>
        <v>14954.62855</v>
      </c>
      <c r="M515" s="7" t="n">
        <f aca="false">I515</f>
        <v>16081.4045</v>
      </c>
      <c r="N515" s="7" t="n">
        <f aca="false">I515+2*STDEV(E496:E515)</f>
        <v>16754.1047607551</v>
      </c>
      <c r="O515" s="7" t="n">
        <f aca="false">I515-2*STDEV(E496:E515)</f>
        <v>15408.7042392449</v>
      </c>
      <c r="P515" s="7" t="n">
        <f aca="false">MAX(E515-E514,0)</f>
        <v>60.9799999999996</v>
      </c>
      <c r="Q515" s="7" t="n">
        <f aca="false">MAX(E514-E515,0)</f>
        <v>0</v>
      </c>
      <c r="R515" s="7" t="n">
        <f aca="false">(R514*13+P515)/14</f>
        <v>79.2483188582523</v>
      </c>
      <c r="S515" s="7" t="n">
        <f aca="false">(S514*13+Q515)/14</f>
        <v>89.7651874053511</v>
      </c>
      <c r="T515" s="7" t="n">
        <f aca="false">IF(S515=0,100,100-100/(1+R515/S515))</f>
        <v>46.8887490770424</v>
      </c>
      <c r="U515" s="7" t="n">
        <f aca="false">E515*2/13+U514*11/13</f>
        <v>15963.4861989806</v>
      </c>
      <c r="V515" s="7" t="n">
        <f aca="false">E515*2/27+V514*25/27</f>
        <v>16041.1302214697</v>
      </c>
      <c r="W515" s="7" t="n">
        <f aca="false">U515-V515</f>
        <v>-77.6440224891449</v>
      </c>
      <c r="X515" s="7" t="n">
        <f aca="false">W515*2/10+X514*8/10</f>
        <v>-16.5338462672481</v>
      </c>
      <c r="Y515" s="7" t="n">
        <f aca="false">W515-X515</f>
        <v>-61.1101762218967</v>
      </c>
      <c r="Z515" s="8" t="s">
        <v>42</v>
      </c>
      <c r="AA515" s="7" t="str">
        <f aca="false">IFERROR(INDEX(02_轉折點45!B:B,MATCH(A515,02_轉折點45!A:A,0)),"")</f>
        <v/>
      </c>
      <c r="AB515" s="7" t="n">
        <f aca="false">COUNTIFS(05_訊號明細!A:A,A515,05_訊號明細!C:C,"TOP")</f>
        <v>0</v>
      </c>
      <c r="AC515" s="7" t="n">
        <f aca="false">COUNTIFS(05_訊號明細!A:A,A515,05_訊號明細!C:C,"BOTTOM")</f>
        <v>0</v>
      </c>
    </row>
    <row r="516" customFormat="false" ht="15" hidden="false" customHeight="false" outlineLevel="0" collapsed="false">
      <c r="A516" s="7" t="s">
        <v>557</v>
      </c>
      <c r="B516" s="7" t="n">
        <v>15970.09</v>
      </c>
      <c r="C516" s="7" t="n">
        <v>15990.38</v>
      </c>
      <c r="D516" s="7" t="n">
        <v>15468.09</v>
      </c>
      <c r="E516" s="7" t="n">
        <v>15495.62</v>
      </c>
      <c r="F516" s="7" t="n">
        <v>4302</v>
      </c>
      <c r="G516" s="7" t="n">
        <f aca="false">AVERAGE(E512:E516)</f>
        <v>15690.292</v>
      </c>
      <c r="H516" s="7" t="n">
        <f aca="false">AVERAGE(E507:E516)</f>
        <v>15909.018</v>
      </c>
      <c r="I516" s="7" t="n">
        <f aca="false">AVERAGE(E497:E516)</f>
        <v>16041.706</v>
      </c>
      <c r="J516" s="7" t="n">
        <f aca="false">AVERAGE(E467:E516)</f>
        <v>16137.0586</v>
      </c>
      <c r="K516" s="7" t="n">
        <f aca="false">AVERAGE(E417:E516)</f>
        <v>15709.9236</v>
      </c>
      <c r="L516" s="7" t="n">
        <f aca="false">AVERAGE(E317:E516)</f>
        <v>14966.64945</v>
      </c>
      <c r="M516" s="7" t="n">
        <f aca="false">I516</f>
        <v>16041.706</v>
      </c>
      <c r="N516" s="7" t="n">
        <f aca="false">I516+2*STDEV(E497:E516)</f>
        <v>16755.1527344673</v>
      </c>
      <c r="O516" s="7" t="n">
        <f aca="false">I516-2*STDEV(E497:E516)</f>
        <v>15328.2592655327</v>
      </c>
      <c r="P516" s="7" t="n">
        <f aca="false">MAX(E516-E515,0)</f>
        <v>0</v>
      </c>
      <c r="Q516" s="7" t="n">
        <f aca="false">MAX(E515-E516,0)</f>
        <v>409.48</v>
      </c>
      <c r="R516" s="7" t="n">
        <f aca="false">(R515*13+P516)/14</f>
        <v>73.5877246540915</v>
      </c>
      <c r="S516" s="7" t="n">
        <f aca="false">(S515*13+Q516)/14</f>
        <v>112.60195973354</v>
      </c>
      <c r="T516" s="7" t="n">
        <f aca="false">IF(S516=0,100,100-100/(1+R516/S516))</f>
        <v>39.5229869453389</v>
      </c>
      <c r="U516" s="7" t="n">
        <f aca="false">E516*2/13+U515*11/13</f>
        <v>15891.5067837528</v>
      </c>
      <c r="V516" s="7" t="n">
        <f aca="false">E516*2/27+V515*25/27</f>
        <v>16000.7220569164</v>
      </c>
      <c r="W516" s="7" t="n">
        <f aca="false">U516-V516</f>
        <v>-109.215273163614</v>
      </c>
      <c r="X516" s="7" t="n">
        <f aca="false">W516*2/10+X515*8/10</f>
        <v>-35.0701316465214</v>
      </c>
      <c r="Y516" s="7" t="n">
        <f aca="false">W516-X516</f>
        <v>-74.1451415170929</v>
      </c>
      <c r="Z516" s="7" t="s">
        <v>78</v>
      </c>
      <c r="AA516" s="7" t="str">
        <f aca="false">IFERROR(INDEX(02_轉折點45!B:B,MATCH(A516,02_轉折點45!A:A,0)),"")</f>
        <v/>
      </c>
      <c r="AB516" s="7" t="n">
        <f aca="false">COUNTIFS(05_訊號明細!A:A,A516,05_訊號明細!C:C,"TOP")</f>
        <v>2</v>
      </c>
      <c r="AC516" s="7" t="n">
        <f aca="false">COUNTIFS(05_訊號明細!A:A,A516,05_訊號明細!C:C,"BOTTOM")</f>
        <v>0</v>
      </c>
    </row>
    <row r="517" customFormat="false" ht="15" hidden="false" customHeight="false" outlineLevel="0" collapsed="false">
      <c r="A517" s="7" t="s">
        <v>558</v>
      </c>
      <c r="B517" s="7" t="n">
        <v>15396.47</v>
      </c>
      <c r="C517" s="7" t="n">
        <v>15617.18</v>
      </c>
      <c r="D517" s="7" t="n">
        <v>15396.47</v>
      </c>
      <c r="E517" s="7" t="n">
        <v>15611.59</v>
      </c>
      <c r="F517" s="7" t="n">
        <v>4374</v>
      </c>
      <c r="G517" s="7" t="n">
        <f aca="false">AVERAGE(E513:E517)</f>
        <v>15694.172</v>
      </c>
      <c r="H517" s="7" t="n">
        <f aca="false">AVERAGE(E508:E517)</f>
        <v>15838.169</v>
      </c>
      <c r="I517" s="7" t="n">
        <f aca="false">AVERAGE(E498:E517)</f>
        <v>16029.0885</v>
      </c>
      <c r="J517" s="7" t="n">
        <f aca="false">AVERAGE(E468:E517)</f>
        <v>16126.4004</v>
      </c>
      <c r="K517" s="7" t="n">
        <f aca="false">AVERAGE(E418:E517)</f>
        <v>15712.4627</v>
      </c>
      <c r="L517" s="7" t="n">
        <f aca="false">AVERAGE(E318:E517)</f>
        <v>14978.0598</v>
      </c>
      <c r="M517" s="7" t="n">
        <f aca="false">I517</f>
        <v>16029.0885</v>
      </c>
      <c r="N517" s="7" t="n">
        <f aca="false">I517+2*STDEV(E498:E517)</f>
        <v>16764.3642664491</v>
      </c>
      <c r="O517" s="7" t="n">
        <f aca="false">I517-2*STDEV(E498:E517)</f>
        <v>15293.8127335509</v>
      </c>
      <c r="P517" s="7" t="n">
        <f aca="false">MAX(E517-E516,0)</f>
        <v>115.969999999999</v>
      </c>
      <c r="Q517" s="7" t="n">
        <f aca="false">MAX(E516-E517,0)</f>
        <v>0</v>
      </c>
      <c r="R517" s="7" t="n">
        <f aca="false">(R516*13+P517)/14</f>
        <v>76.615030035942</v>
      </c>
      <c r="S517" s="7" t="n">
        <f aca="false">(S516*13+Q517)/14</f>
        <v>104.558962609716</v>
      </c>
      <c r="T517" s="7" t="n">
        <f aca="false">IF(S517=0,100,100-100/(1+R517/S517))</f>
        <v>42.2880949506845</v>
      </c>
      <c r="U517" s="7" t="n">
        <f aca="false">E517*2/13+U516*11/13</f>
        <v>15848.4426631755</v>
      </c>
      <c r="V517" s="7" t="n">
        <f aca="false">E517*2/27+V516*25/27</f>
        <v>15971.8974601078</v>
      </c>
      <c r="W517" s="7" t="n">
        <f aca="false">U517-V517</f>
        <v>-123.454796932345</v>
      </c>
      <c r="X517" s="7" t="n">
        <f aca="false">W517*2/10+X516*8/10</f>
        <v>-52.7470647036861</v>
      </c>
      <c r="Y517" s="7" t="n">
        <f aca="false">W517-X517</f>
        <v>-70.7077322286588</v>
      </c>
      <c r="Z517" s="8" t="s">
        <v>42</v>
      </c>
      <c r="AA517" s="7" t="str">
        <f aca="false">IFERROR(INDEX(02_轉折點45!B:B,MATCH(A517,02_轉折點45!A:A,0)),"")</f>
        <v/>
      </c>
      <c r="AB517" s="7" t="n">
        <f aca="false">COUNTIFS(05_訊號明細!A:A,A517,05_訊號明細!C:C,"TOP")</f>
        <v>0</v>
      </c>
      <c r="AC517" s="7" t="n">
        <f aca="false">COUNTIFS(05_訊號明細!A:A,A517,05_訊號明細!C:C,"BOTTOM")</f>
        <v>0</v>
      </c>
    </row>
    <row r="518" customFormat="false" ht="15" hidden="false" customHeight="false" outlineLevel="0" collapsed="false">
      <c r="A518" s="7" t="s">
        <v>559</v>
      </c>
      <c r="B518" s="7" t="n">
        <v>15378.06</v>
      </c>
      <c r="C518" s="7" t="n">
        <v>15446.3</v>
      </c>
      <c r="D518" s="7" t="n">
        <v>15182.96</v>
      </c>
      <c r="E518" s="7" t="n">
        <v>15210.76</v>
      </c>
      <c r="F518" s="7" t="n">
        <v>5061</v>
      </c>
      <c r="G518" s="7" t="n">
        <f aca="false">AVERAGE(E514:E518)</f>
        <v>15613.438</v>
      </c>
      <c r="H518" s="7" t="n">
        <f aca="false">AVERAGE(E509:E518)</f>
        <v>15709.068</v>
      </c>
      <c r="I518" s="7" t="n">
        <f aca="false">AVERAGE(E499:E518)</f>
        <v>15999.5535</v>
      </c>
      <c r="J518" s="7" t="n">
        <f aca="false">AVERAGE(E469:E518)</f>
        <v>16103.6908</v>
      </c>
      <c r="K518" s="7" t="n">
        <f aca="false">AVERAGE(E419:E518)</f>
        <v>15710.8811</v>
      </c>
      <c r="L518" s="7" t="n">
        <f aca="false">AVERAGE(E319:E518)</f>
        <v>14986.1228</v>
      </c>
      <c r="M518" s="7" t="n">
        <f aca="false">I518</f>
        <v>15999.5535</v>
      </c>
      <c r="N518" s="7" t="n">
        <f aca="false">I518+2*STDEV(E499:E518)</f>
        <v>16816.2728843736</v>
      </c>
      <c r="O518" s="7" t="n">
        <f aca="false">I518-2*STDEV(E499:E518)</f>
        <v>15182.8341156264</v>
      </c>
      <c r="P518" s="7" t="n">
        <f aca="false">MAX(E518-E517,0)</f>
        <v>0</v>
      </c>
      <c r="Q518" s="7" t="n">
        <f aca="false">MAX(E517-E518,0)</f>
        <v>400.83</v>
      </c>
      <c r="R518" s="7" t="n">
        <f aca="false">(R517*13+P518)/14</f>
        <v>71.1425278905176</v>
      </c>
      <c r="S518" s="7" t="n">
        <f aca="false">(S517*13+Q518)/14</f>
        <v>125.721179566165</v>
      </c>
      <c r="T518" s="7" t="n">
        <f aca="false">IF(S518=0,100,100-100/(1+R518/S518))</f>
        <v>36.1379600179336</v>
      </c>
      <c r="U518" s="7" t="n">
        <f aca="false">E518*2/13+U517*11/13</f>
        <v>15750.3376380715</v>
      </c>
      <c r="V518" s="7" t="n">
        <f aca="false">E518*2/27+V517*25/27</f>
        <v>15915.5169075072</v>
      </c>
      <c r="W518" s="7" t="n">
        <f aca="false">U518-V518</f>
        <v>-165.179269435681</v>
      </c>
      <c r="X518" s="7" t="n">
        <f aca="false">W518*2/10+X517*8/10</f>
        <v>-75.233505650085</v>
      </c>
      <c r="Y518" s="7" t="n">
        <f aca="false">W518-X518</f>
        <v>-89.9457637855959</v>
      </c>
      <c r="Z518" s="7" t="s">
        <v>78</v>
      </c>
      <c r="AA518" s="7" t="str">
        <f aca="false">IFERROR(INDEX(02_轉折點45!B:B,MATCH(A518,02_轉折點45!A:A,0)),"")</f>
        <v/>
      </c>
      <c r="AB518" s="7" t="n">
        <f aca="false">COUNTIFS(05_訊號明細!A:A,A518,05_訊號明細!C:C,"TOP")</f>
        <v>2</v>
      </c>
      <c r="AC518" s="7" t="n">
        <f aca="false">COUNTIFS(05_訊號明細!A:A,A518,05_訊號明細!C:C,"BOTTOM")</f>
        <v>0</v>
      </c>
    </row>
    <row r="519" customFormat="false" ht="15" hidden="false" customHeight="false" outlineLevel="0" collapsed="false">
      <c r="A519" s="7" t="s">
        <v>560</v>
      </c>
      <c r="B519" s="7" t="n">
        <v>15287.25</v>
      </c>
      <c r="C519" s="7" t="n">
        <v>15382</v>
      </c>
      <c r="D519" s="7" t="n">
        <v>15038.44</v>
      </c>
      <c r="E519" s="7" t="n">
        <v>15047.84</v>
      </c>
      <c r="F519" s="7" t="n">
        <v>4665</v>
      </c>
      <c r="G519" s="7" t="n">
        <f aca="false">AVERAGE(E515:E519)</f>
        <v>15454.182</v>
      </c>
      <c r="H519" s="7" t="n">
        <f aca="false">AVERAGE(E510:E519)</f>
        <v>15585.879</v>
      </c>
      <c r="I519" s="7" t="n">
        <f aca="false">AVERAGE(E500:E519)</f>
        <v>15970.5635</v>
      </c>
      <c r="J519" s="7" t="n">
        <f aca="false">AVERAGE(E470:E519)</f>
        <v>16077.46</v>
      </c>
      <c r="K519" s="7" t="n">
        <f aca="false">AVERAGE(E420:E519)</f>
        <v>15708.5743</v>
      </c>
      <c r="L519" s="7" t="n">
        <f aca="false">AVERAGE(E320:E519)</f>
        <v>14993.4697</v>
      </c>
      <c r="M519" s="7" t="n">
        <f aca="false">I519</f>
        <v>15970.5635</v>
      </c>
      <c r="N519" s="7" t="n">
        <f aca="false">I519+2*STDEV(E500:E519)</f>
        <v>16878.8905519802</v>
      </c>
      <c r="O519" s="7" t="n">
        <f aca="false">I519-2*STDEV(E500:E519)</f>
        <v>15062.2364480199</v>
      </c>
      <c r="P519" s="7" t="n">
        <f aca="false">MAX(E519-E518,0)</f>
        <v>0</v>
      </c>
      <c r="Q519" s="7" t="n">
        <f aca="false">MAX(E518-E519,0)</f>
        <v>162.92</v>
      </c>
      <c r="R519" s="7" t="n">
        <f aca="false">(R518*13+P519)/14</f>
        <v>66.0609187554806</v>
      </c>
      <c r="S519" s="7" t="n">
        <f aca="false">(S518*13+Q519)/14</f>
        <v>128.378238168582</v>
      </c>
      <c r="T519" s="7" t="n">
        <f aca="false">IF(S519=0,100,100-100/(1+R519/S519))</f>
        <v>33.9751106724252</v>
      </c>
      <c r="U519" s="7" t="n">
        <f aca="false">E519*2/13+U518*11/13</f>
        <v>15642.2610783682</v>
      </c>
      <c r="V519" s="7" t="n">
        <f aca="false">E519*2/27+V518*25/27</f>
        <v>15851.2445439882</v>
      </c>
      <c r="W519" s="7" t="n">
        <f aca="false">U519-V519</f>
        <v>-208.983465619944</v>
      </c>
      <c r="X519" s="7" t="n">
        <f aca="false">W519*2/10+X518*8/10</f>
        <v>-101.983497644057</v>
      </c>
      <c r="Y519" s="7" t="n">
        <f aca="false">W519-X519</f>
        <v>-106.999967975887</v>
      </c>
      <c r="Z519" s="7" t="s">
        <v>78</v>
      </c>
      <c r="AA519" s="7" t="str">
        <f aca="false">IFERROR(INDEX(02_轉折點45!B:B,MATCH(A519,02_轉折點45!A:A,0)),"")</f>
        <v/>
      </c>
      <c r="AB519" s="7" t="n">
        <f aca="false">COUNTIFS(05_訊號明細!A:A,A519,05_訊號明細!C:C,"TOP")</f>
        <v>0</v>
      </c>
      <c r="AC519" s="7" t="n">
        <f aca="false">COUNTIFS(05_訊號明細!A:A,A519,05_訊號明細!C:C,"BOTTOM")</f>
        <v>0</v>
      </c>
    </row>
    <row r="520" customFormat="false" ht="15" hidden="false" customHeight="false" outlineLevel="0" collapsed="false">
      <c r="A520" s="7" t="s">
        <v>561</v>
      </c>
      <c r="B520" s="7" t="n">
        <v>15176.38</v>
      </c>
      <c r="C520" s="7" t="n">
        <v>15347.62</v>
      </c>
      <c r="D520" s="7" t="n">
        <v>14832.69</v>
      </c>
      <c r="E520" s="7" t="n">
        <v>14846.46</v>
      </c>
      <c r="F520" s="7" t="n">
        <v>5102</v>
      </c>
      <c r="G520" s="7" t="n">
        <f aca="false">AVERAGE(E516:E520)</f>
        <v>15242.454</v>
      </c>
      <c r="H520" s="7" t="n">
        <f aca="false">AVERAGE(E511:E520)</f>
        <v>15493.347</v>
      </c>
      <c r="I520" s="7" t="n">
        <f aca="false">AVERAGE(E501:E520)</f>
        <v>15913.5725</v>
      </c>
      <c r="J520" s="7" t="n">
        <f aca="false">AVERAGE(E471:E520)</f>
        <v>16047.6686</v>
      </c>
      <c r="K520" s="7" t="n">
        <f aca="false">AVERAGE(E421:E520)</f>
        <v>15702.7094</v>
      </c>
      <c r="L520" s="7" t="n">
        <f aca="false">AVERAGE(E321:E520)</f>
        <v>14999.6185</v>
      </c>
      <c r="M520" s="7" t="n">
        <f aca="false">I520</f>
        <v>15913.5725</v>
      </c>
      <c r="N520" s="7" t="n">
        <f aca="false">I520+2*STDEV(E501:E520)</f>
        <v>16951.5287760465</v>
      </c>
      <c r="O520" s="7" t="n">
        <f aca="false">I520-2*STDEV(E501:E520)</f>
        <v>14875.6162239536</v>
      </c>
      <c r="P520" s="7" t="n">
        <f aca="false">MAX(E520-E519,0)</f>
        <v>0</v>
      </c>
      <c r="Q520" s="7" t="n">
        <f aca="false">MAX(E519-E520,0)</f>
        <v>201.380000000001</v>
      </c>
      <c r="R520" s="7" t="n">
        <f aca="false">(R519*13+P520)/14</f>
        <v>61.3422817015177</v>
      </c>
      <c r="S520" s="7" t="n">
        <f aca="false">(S519*13+Q520)/14</f>
        <v>133.592649727969</v>
      </c>
      <c r="T520" s="7" t="n">
        <f aca="false">IF(S520=0,100,100-100/(1+R520/S520))</f>
        <v>31.4680807855656</v>
      </c>
      <c r="U520" s="7" t="n">
        <f aca="false">E520*2/13+U519*11/13</f>
        <v>15519.8301432347</v>
      </c>
      <c r="V520" s="7" t="n">
        <f aca="false">E520*2/27+V519*25/27</f>
        <v>15776.8160592483</v>
      </c>
      <c r="W520" s="7" t="n">
        <f aca="false">U520-V520</f>
        <v>-256.985916013651</v>
      </c>
      <c r="X520" s="7" t="n">
        <f aca="false">W520*2/10+X519*8/10</f>
        <v>-132.983981317976</v>
      </c>
      <c r="Y520" s="7" t="n">
        <f aca="false">W520-X520</f>
        <v>-124.001934695676</v>
      </c>
      <c r="Z520" s="7" t="s">
        <v>78</v>
      </c>
      <c r="AA520" s="7" t="str">
        <f aca="false">IFERROR(INDEX(02_轉折點45!B:B,MATCH(A520,02_轉折點45!A:A,0)),"")</f>
        <v/>
      </c>
      <c r="AB520" s="7" t="n">
        <f aca="false">COUNTIFS(05_訊號明細!A:A,A520,05_訊號明細!C:C,"TOP")</f>
        <v>2</v>
      </c>
      <c r="AC520" s="7" t="n">
        <f aca="false">COUNTIFS(05_訊號明細!A:A,A520,05_訊號明細!C:C,"BOTTOM")</f>
        <v>0</v>
      </c>
    </row>
    <row r="521" customFormat="false" ht="15" hidden="false" customHeight="false" outlineLevel="0" collapsed="false">
      <c r="A521" s="7" t="s">
        <v>562</v>
      </c>
      <c r="B521" s="7" t="n">
        <v>14728.66</v>
      </c>
      <c r="C521" s="7" t="n">
        <v>14868.45</v>
      </c>
      <c r="D521" s="7" t="n">
        <v>14432.64</v>
      </c>
      <c r="E521" s="7" t="n">
        <v>14438.4</v>
      </c>
      <c r="F521" s="7" t="n">
        <v>5871</v>
      </c>
      <c r="G521" s="7" t="n">
        <f aca="false">AVERAGE(E517:E521)</f>
        <v>15031.01</v>
      </c>
      <c r="H521" s="7" t="n">
        <f aca="false">AVERAGE(E512:E521)</f>
        <v>15360.651</v>
      </c>
      <c r="I521" s="7" t="n">
        <f aca="false">AVERAGE(E502:E521)</f>
        <v>15826.4855</v>
      </c>
      <c r="J521" s="7" t="n">
        <f aca="false">AVERAGE(E472:E521)</f>
        <v>16012.0378</v>
      </c>
      <c r="K521" s="7" t="n">
        <f aca="false">AVERAGE(E422:E521)</f>
        <v>15691.0425</v>
      </c>
      <c r="L521" s="7" t="n">
        <f aca="false">AVERAGE(E322:E521)</f>
        <v>15003.01795</v>
      </c>
      <c r="M521" s="7" t="n">
        <f aca="false">I521</f>
        <v>15826.4855</v>
      </c>
      <c r="N521" s="7" t="n">
        <f aca="false">I521+2*STDEV(E502:E521)</f>
        <v>17046.5649286909</v>
      </c>
      <c r="O521" s="7" t="n">
        <f aca="false">I521-2*STDEV(E502:E521)</f>
        <v>14606.4060713091</v>
      </c>
      <c r="P521" s="7" t="n">
        <f aca="false">MAX(E521-E520,0)</f>
        <v>0</v>
      </c>
      <c r="Q521" s="7" t="n">
        <f aca="false">MAX(E520-E521,0)</f>
        <v>408.06</v>
      </c>
      <c r="R521" s="7" t="n">
        <f aca="false">(R520*13+P521)/14</f>
        <v>56.9606901514093</v>
      </c>
      <c r="S521" s="7" t="n">
        <f aca="false">(S520*13+Q521)/14</f>
        <v>153.197460461685</v>
      </c>
      <c r="T521" s="7" t="n">
        <f aca="false">IF(S521=0,100,100-100/(1+R521/S521))</f>
        <v>27.1037264009213</v>
      </c>
      <c r="U521" s="7" t="n">
        <f aca="false">E521*2/13+U520*11/13</f>
        <v>15353.4562750447</v>
      </c>
      <c r="V521" s="7" t="n">
        <f aca="false">E521*2/27+V520*25/27</f>
        <v>15677.6741289336</v>
      </c>
      <c r="W521" s="7" t="n">
        <f aca="false">U521-V521</f>
        <v>-324.217853888908</v>
      </c>
      <c r="X521" s="7" t="n">
        <f aca="false">W521*2/10+X520*8/10</f>
        <v>-171.230755832162</v>
      </c>
      <c r="Y521" s="7" t="n">
        <f aca="false">W521-X521</f>
        <v>-152.987098056745</v>
      </c>
      <c r="Z521" s="9" t="s">
        <v>89</v>
      </c>
      <c r="AA521" s="7" t="str">
        <f aca="false">IFERROR(INDEX(02_轉折點45!B:B,MATCH(A521,02_轉折點45!A:A,0)),"")</f>
        <v/>
      </c>
      <c r="AB521" s="7" t="n">
        <f aca="false">COUNTIFS(05_訊號明細!A:A,A521,05_訊號明細!C:C,"TOP")</f>
        <v>0</v>
      </c>
      <c r="AC521" s="7" t="n">
        <f aca="false">COUNTIFS(05_訊號明細!A:A,A521,05_訊號明細!C:C,"BOTTOM")</f>
        <v>0</v>
      </c>
    </row>
    <row r="522" customFormat="false" ht="15" hidden="false" customHeight="false" outlineLevel="0" collapsed="false">
      <c r="A522" s="7" t="s">
        <v>563</v>
      </c>
      <c r="B522" s="7" t="n">
        <v>14160.91</v>
      </c>
      <c r="C522" s="7" t="n">
        <v>14532.57</v>
      </c>
      <c r="D522" s="7" t="n">
        <v>13724.85</v>
      </c>
      <c r="E522" s="7" t="n">
        <v>14509.58</v>
      </c>
      <c r="F522" s="7" t="n">
        <v>6999</v>
      </c>
      <c r="G522" s="7" t="n">
        <f aca="false">AVERAGE(E518:E522)</f>
        <v>14810.608</v>
      </c>
      <c r="H522" s="7" t="n">
        <f aca="false">AVERAGE(E513:E522)</f>
        <v>15252.39</v>
      </c>
      <c r="I522" s="7" t="n">
        <f aca="false">AVERAGE(E503:E522)</f>
        <v>15736.554</v>
      </c>
      <c r="J522" s="7" t="n">
        <f aca="false">AVERAGE(E473:E522)</f>
        <v>15982.518</v>
      </c>
      <c r="K522" s="7" t="n">
        <f aca="false">AVERAGE(E423:E522)</f>
        <v>15680.3132</v>
      </c>
      <c r="L522" s="7" t="n">
        <f aca="false">AVERAGE(E323:E522)</f>
        <v>15006.34055</v>
      </c>
      <c r="M522" s="7" t="n">
        <f aca="false">I522</f>
        <v>15736.554</v>
      </c>
      <c r="N522" s="7" t="n">
        <f aca="false">I522+2*STDEV(E503:E522)</f>
        <v>17067.2640373528</v>
      </c>
      <c r="O522" s="7" t="n">
        <f aca="false">I522-2*STDEV(E503:E522)</f>
        <v>14405.8439626472</v>
      </c>
      <c r="P522" s="7" t="n">
        <f aca="false">MAX(E522-E521,0)</f>
        <v>71.1800000000003</v>
      </c>
      <c r="Q522" s="7" t="n">
        <f aca="false">MAX(E521-E522,0)</f>
        <v>0</v>
      </c>
      <c r="R522" s="7" t="n">
        <f aca="false">(R521*13+P522)/14</f>
        <v>57.9763551405944</v>
      </c>
      <c r="S522" s="7" t="n">
        <f aca="false">(S521*13+Q522)/14</f>
        <v>142.254784714422</v>
      </c>
      <c r="T522" s="7" t="n">
        <f aca="false">IF(S522=0,100,100-100/(1+R522/S522))</f>
        <v>28.9547146275919</v>
      </c>
      <c r="U522" s="7" t="n">
        <f aca="false">E522*2/13+U521*11/13</f>
        <v>15223.6291558071</v>
      </c>
      <c r="V522" s="7" t="n">
        <f aca="false">E522*2/27+V521*25/27</f>
        <v>15591.1486379015</v>
      </c>
      <c r="W522" s="7" t="n">
        <f aca="false">U522-V522</f>
        <v>-367.519482094436</v>
      </c>
      <c r="X522" s="7" t="n">
        <f aca="false">W522*2/10+X521*8/10</f>
        <v>-210.488501084617</v>
      </c>
      <c r="Y522" s="7" t="n">
        <f aca="false">W522-X522</f>
        <v>-157.030981009819</v>
      </c>
      <c r="Z522" s="9" t="s">
        <v>89</v>
      </c>
      <c r="AA522" s="7" t="str">
        <f aca="false">IFERROR(INDEX(02_轉折點45!B:B,MATCH(A522,02_轉折點45!A:A,0)),"")</f>
        <v/>
      </c>
      <c r="AB522" s="7" t="n">
        <f aca="false">COUNTIFS(05_訊號明細!A:A,A522,05_訊號明細!C:C,"TOP")</f>
        <v>0</v>
      </c>
      <c r="AC522" s="7" t="n">
        <f aca="false">COUNTIFS(05_訊號明細!A:A,A522,05_訊號明細!C:C,"BOTTOM")</f>
        <v>0</v>
      </c>
    </row>
    <row r="523" customFormat="false" ht="15" hidden="false" customHeight="false" outlineLevel="0" collapsed="false">
      <c r="A523" s="7" t="s">
        <v>564</v>
      </c>
      <c r="B523" s="7" t="n">
        <v>14237.6</v>
      </c>
      <c r="C523" s="7" t="n">
        <v>14410.43</v>
      </c>
      <c r="D523" s="7" t="n">
        <v>14033.81</v>
      </c>
      <c r="E523" s="7" t="n">
        <v>14149.12</v>
      </c>
      <c r="F523" s="7" t="n">
        <v>5019</v>
      </c>
      <c r="G523" s="7" t="n">
        <f aca="false">AVERAGE(E519:E523)</f>
        <v>14598.28</v>
      </c>
      <c r="H523" s="7" t="n">
        <f aca="false">AVERAGE(E514:E523)</f>
        <v>15105.859</v>
      </c>
      <c r="I523" s="7" t="n">
        <f aca="false">AVERAGE(E504:E523)</f>
        <v>15615.635</v>
      </c>
      <c r="J523" s="7" t="n">
        <f aca="false">AVERAGE(E474:E523)</f>
        <v>15944.851</v>
      </c>
      <c r="K523" s="7" t="n">
        <f aca="false">AVERAGE(E424:E523)</f>
        <v>15665.6887</v>
      </c>
      <c r="L523" s="7" t="n">
        <f aca="false">AVERAGE(E324:E523)</f>
        <v>15007.9894</v>
      </c>
      <c r="M523" s="7" t="n">
        <f aca="false">I523</f>
        <v>15615.635</v>
      </c>
      <c r="N523" s="7" t="n">
        <f aca="false">I523+2*STDEV(E504:E523)</f>
        <v>17062.8316421436</v>
      </c>
      <c r="O523" s="7" t="n">
        <f aca="false">I523-2*STDEV(E504:E523)</f>
        <v>14168.4383578564</v>
      </c>
      <c r="P523" s="7" t="n">
        <f aca="false">MAX(E523-E522,0)</f>
        <v>0</v>
      </c>
      <c r="Q523" s="7" t="n">
        <f aca="false">MAX(E522-E523,0)</f>
        <v>360.459999999999</v>
      </c>
      <c r="R523" s="7" t="n">
        <f aca="false">(R522*13+P523)/14</f>
        <v>53.8351869162662</v>
      </c>
      <c r="S523" s="7" t="n">
        <f aca="false">(S522*13+Q523)/14</f>
        <v>157.840871520535</v>
      </c>
      <c r="T523" s="7" t="n">
        <f aca="false">IF(S523=0,100,100-100/(1+R523/S523))</f>
        <v>25.4328181060398</v>
      </c>
      <c r="U523" s="7" t="n">
        <f aca="false">E523*2/13+U522*11/13</f>
        <v>15058.3200549137</v>
      </c>
      <c r="V523" s="7" t="n">
        <f aca="false">E523*2/27+V522*25/27</f>
        <v>15484.3317017606</v>
      </c>
      <c r="W523" s="7" t="n">
        <f aca="false">U523-V523</f>
        <v>-426.011646846979</v>
      </c>
      <c r="X523" s="7" t="n">
        <f aca="false">W523*2/10+X522*8/10</f>
        <v>-253.593130237089</v>
      </c>
      <c r="Y523" s="7" t="n">
        <f aca="false">W523-X523</f>
        <v>-172.418516609889</v>
      </c>
      <c r="Z523" s="9" t="s">
        <v>89</v>
      </c>
      <c r="AA523" s="7" t="str">
        <f aca="false">IFERROR(INDEX(02_轉折點45!B:B,MATCH(A523,02_轉折點45!A:A,0)),"")</f>
        <v/>
      </c>
      <c r="AB523" s="7" t="n">
        <f aca="false">COUNTIFS(05_訊號明細!A:A,A523,05_訊號明細!C:C,"TOP")</f>
        <v>0</v>
      </c>
      <c r="AC523" s="7" t="n">
        <f aca="false">COUNTIFS(05_訊號明細!A:A,A523,05_訊號明細!C:C,"BOTTOM")</f>
        <v>0</v>
      </c>
    </row>
    <row r="524" customFormat="false" ht="15" hidden="false" customHeight="false" outlineLevel="0" collapsed="false">
      <c r="A524" s="7" t="s">
        <v>565</v>
      </c>
      <c r="B524" s="7" t="n">
        <v>14492.52</v>
      </c>
      <c r="C524" s="7" t="n">
        <v>14646.54</v>
      </c>
      <c r="D524" s="7" t="n">
        <v>14006.4</v>
      </c>
      <c r="E524" s="7" t="n">
        <v>14172.76</v>
      </c>
      <c r="F524" s="7" t="n">
        <v>5771</v>
      </c>
      <c r="G524" s="7" t="n">
        <f aca="false">AVERAGE(E520:E524)</f>
        <v>14423.264</v>
      </c>
      <c r="H524" s="7" t="n">
        <f aca="false">AVERAGE(E515:E524)</f>
        <v>14938.723</v>
      </c>
      <c r="I524" s="7" t="n">
        <f aca="false">AVERAGE(E505:E524)</f>
        <v>15499.84</v>
      </c>
      <c r="J524" s="7" t="n">
        <f aca="false">AVERAGE(E475:E524)</f>
        <v>15904.3084</v>
      </c>
      <c r="K524" s="7" t="n">
        <f aca="false">AVERAGE(E425:E524)</f>
        <v>15651.3738</v>
      </c>
      <c r="L524" s="7" t="n">
        <f aca="false">AVERAGE(E325:E524)</f>
        <v>15008.92075</v>
      </c>
      <c r="M524" s="7" t="n">
        <f aca="false">I524</f>
        <v>15499.84</v>
      </c>
      <c r="N524" s="7" t="n">
        <f aca="false">I524+2*STDEV(E505:E524)</f>
        <v>17021.6008947947</v>
      </c>
      <c r="O524" s="7" t="n">
        <f aca="false">I524-2*STDEV(E505:E524)</f>
        <v>13978.0791052053</v>
      </c>
      <c r="P524" s="7" t="n">
        <f aca="false">MAX(E524-E523,0)</f>
        <v>23.6399999999994</v>
      </c>
      <c r="Q524" s="7" t="n">
        <f aca="false">MAX(E523-E524,0)</f>
        <v>0</v>
      </c>
      <c r="R524" s="7" t="n">
        <f aca="false">(R523*13+P524)/14</f>
        <v>51.6783878508186</v>
      </c>
      <c r="S524" s="7" t="n">
        <f aca="false">(S523*13+Q524)/14</f>
        <v>146.566523554782</v>
      </c>
      <c r="T524" s="7" t="n">
        <f aca="false">IF(S524=0,100,100-100/(1+R524/S524))</f>
        <v>26.0679517493827</v>
      </c>
      <c r="U524" s="7" t="n">
        <f aca="false">E524*2/13+U523*11/13</f>
        <v>14922.0800464654</v>
      </c>
      <c r="V524" s="7" t="n">
        <f aca="false">E524*2/27+V523*25/27</f>
        <v>15387.178242371</v>
      </c>
      <c r="W524" s="7" t="n">
        <f aca="false">U524-V524</f>
        <v>-465.098195905557</v>
      </c>
      <c r="X524" s="7" t="n">
        <f aca="false">W524*2/10+X523*8/10</f>
        <v>-295.894143370783</v>
      </c>
      <c r="Y524" s="7" t="n">
        <f aca="false">W524-X524</f>
        <v>-169.204052534774</v>
      </c>
      <c r="Z524" s="9" t="s">
        <v>89</v>
      </c>
      <c r="AA524" s="7" t="str">
        <f aca="false">IFERROR(INDEX(02_轉折點45!B:B,MATCH(A524,02_轉折點45!A:A,0)),"")</f>
        <v/>
      </c>
      <c r="AB524" s="7" t="n">
        <f aca="false">COUNTIFS(05_訊號明細!A:A,A524,05_訊號明細!C:C,"TOP")</f>
        <v>0</v>
      </c>
      <c r="AC524" s="7" t="n">
        <f aca="false">COUNTIFS(05_訊號明細!A:A,A524,05_訊號明細!C:C,"BOTTOM")</f>
        <v>0</v>
      </c>
    </row>
    <row r="525" customFormat="false" ht="15" hidden="false" customHeight="false" outlineLevel="0" collapsed="false">
      <c r="A525" s="7" t="s">
        <v>566</v>
      </c>
      <c r="B525" s="7" t="n">
        <v>14346.46</v>
      </c>
      <c r="C525" s="7" t="n">
        <v>14419.45</v>
      </c>
      <c r="D525" s="7" t="n">
        <v>13972.88</v>
      </c>
      <c r="E525" s="7" t="n">
        <v>14003.11</v>
      </c>
      <c r="F525" s="7" t="n">
        <v>5177</v>
      </c>
      <c r="G525" s="7" t="n">
        <f aca="false">AVERAGE(E521:E525)</f>
        <v>14254.594</v>
      </c>
      <c r="H525" s="7" t="n">
        <f aca="false">AVERAGE(E516:E525)</f>
        <v>14748.524</v>
      </c>
      <c r="I525" s="7" t="n">
        <f aca="false">AVERAGE(E506:E525)</f>
        <v>15375.445</v>
      </c>
      <c r="J525" s="7" t="n">
        <f aca="false">AVERAGE(E476:E525)</f>
        <v>15860.5882</v>
      </c>
      <c r="K525" s="7" t="n">
        <f aca="false">AVERAGE(E426:E525)</f>
        <v>15634.8763</v>
      </c>
      <c r="L525" s="7" t="n">
        <f aca="false">AVERAGE(E326:E525)</f>
        <v>15009.91675</v>
      </c>
      <c r="M525" s="7" t="n">
        <f aca="false">I525</f>
        <v>15375.445</v>
      </c>
      <c r="N525" s="7" t="n">
        <f aca="false">I525+2*STDEV(E506:E525)</f>
        <v>16961.4457601312</v>
      </c>
      <c r="O525" s="7" t="n">
        <f aca="false">I525-2*STDEV(E506:E525)</f>
        <v>13789.4442398688</v>
      </c>
      <c r="P525" s="7" t="n">
        <f aca="false">MAX(E525-E524,0)</f>
        <v>0</v>
      </c>
      <c r="Q525" s="7" t="n">
        <f aca="false">MAX(E524-E525,0)</f>
        <v>169.65</v>
      </c>
      <c r="R525" s="7" t="n">
        <f aca="false">(R524*13+P525)/14</f>
        <v>47.987074432903</v>
      </c>
      <c r="S525" s="7" t="n">
        <f aca="false">(S524*13+Q525)/14</f>
        <v>148.215343300869</v>
      </c>
      <c r="T525" s="7" t="n">
        <f aca="false">IF(S525=0,100,100-100/(1+R525/S525))</f>
        <v>24.4579424592091</v>
      </c>
      <c r="U525" s="7" t="n">
        <f aca="false">E525*2/13+U524*11/13</f>
        <v>14780.7000393169</v>
      </c>
      <c r="V525" s="7" t="n">
        <f aca="false">E525*2/27+V524*25/27</f>
        <v>15284.654668862</v>
      </c>
      <c r="W525" s="7" t="n">
        <f aca="false">U525-V525</f>
        <v>-503.95462954512</v>
      </c>
      <c r="X525" s="7" t="n">
        <f aca="false">W525*2/10+X524*8/10</f>
        <v>-337.50624060565</v>
      </c>
      <c r="Y525" s="7" t="n">
        <f aca="false">W525-X525</f>
        <v>-166.44838893947</v>
      </c>
      <c r="Z525" s="9" t="s">
        <v>89</v>
      </c>
      <c r="AA525" s="7" t="str">
        <f aca="false">IFERROR(INDEX(02_轉折點45!B:B,MATCH(A525,02_轉折點45!A:A,0)),"")</f>
        <v/>
      </c>
      <c r="AB525" s="7" t="n">
        <f aca="false">COUNTIFS(05_訊號明細!A:A,A525,05_訊號明細!C:C,"TOP")</f>
        <v>0</v>
      </c>
      <c r="AC525" s="7" t="n">
        <f aca="false">COUNTIFS(05_訊號明細!A:A,A525,05_訊號明細!C:C,"BOTTOM")</f>
        <v>0</v>
      </c>
    </row>
    <row r="526" customFormat="false" ht="15" hidden="false" customHeight="false" outlineLevel="0" collapsed="false">
      <c r="A526" s="7" t="s">
        <v>567</v>
      </c>
      <c r="B526" s="7" t="n">
        <v>14091.31</v>
      </c>
      <c r="C526" s="7" t="n">
        <v>14457.78</v>
      </c>
      <c r="D526" s="7" t="n">
        <v>13880.48</v>
      </c>
      <c r="E526" s="7" t="n">
        <v>14454.61</v>
      </c>
      <c r="F526" s="7" t="n">
        <v>4972</v>
      </c>
      <c r="G526" s="7" t="n">
        <f aca="false">AVERAGE(E522:E526)</f>
        <v>14257.836</v>
      </c>
      <c r="H526" s="7" t="n">
        <f aca="false">AVERAGE(E517:E526)</f>
        <v>14644.423</v>
      </c>
      <c r="I526" s="7" t="n">
        <f aca="false">AVERAGE(E507:E526)</f>
        <v>15276.7205</v>
      </c>
      <c r="J526" s="7" t="n">
        <f aca="false">AVERAGE(E477:E526)</f>
        <v>15823.485</v>
      </c>
      <c r="K526" s="7" t="n">
        <f aca="false">AVERAGE(E427:E526)</f>
        <v>15622.6648</v>
      </c>
      <c r="L526" s="7" t="n">
        <f aca="false">AVERAGE(E327:E526)</f>
        <v>15012.05885</v>
      </c>
      <c r="M526" s="7" t="n">
        <f aca="false">I526</f>
        <v>15276.7205</v>
      </c>
      <c r="N526" s="7" t="n">
        <f aca="false">I526+2*STDEV(E507:E526)</f>
        <v>16832.0820354363</v>
      </c>
      <c r="O526" s="7" t="n">
        <f aca="false">I526-2*STDEV(E507:E526)</f>
        <v>13721.3589645637</v>
      </c>
      <c r="P526" s="7" t="n">
        <f aca="false">MAX(E526-E525,0)</f>
        <v>451.5</v>
      </c>
      <c r="Q526" s="7" t="n">
        <f aca="false">MAX(E525-E526,0)</f>
        <v>0</v>
      </c>
      <c r="R526" s="7" t="n">
        <f aca="false">(R525*13+P526)/14</f>
        <v>76.8094262591242</v>
      </c>
      <c r="S526" s="7" t="n">
        <f aca="false">(S525*13+Q526)/14</f>
        <v>137.628533065093</v>
      </c>
      <c r="T526" s="7" t="n">
        <f aca="false">IF(S526=0,100,100-100/(1+R526/S526))</f>
        <v>35.8189503860149</v>
      </c>
      <c r="U526" s="7" t="n">
        <f aca="false">E526*2/13+U525*11/13</f>
        <v>14730.5323409604</v>
      </c>
      <c r="V526" s="7" t="n">
        <f aca="false">E526*2/27+V525*25/27</f>
        <v>15223.1698785759</v>
      </c>
      <c r="W526" s="7" t="n">
        <f aca="false">U526-V526</f>
        <v>-492.63753761549</v>
      </c>
      <c r="X526" s="7" t="n">
        <f aca="false">W526*2/10+X525*8/10</f>
        <v>-368.532500007618</v>
      </c>
      <c r="Y526" s="7" t="n">
        <f aca="false">W526-X526</f>
        <v>-124.105037607872</v>
      </c>
      <c r="Z526" s="9" t="s">
        <v>89</v>
      </c>
      <c r="AA526" s="7" t="str">
        <f aca="false">IFERROR(INDEX(02_轉折點45!B:B,MATCH(A526,02_轉折點45!A:A,0)),"")</f>
        <v/>
      </c>
      <c r="AB526" s="7" t="n">
        <f aca="false">COUNTIFS(05_訊號明細!A:A,A526,05_訊號明細!C:C,"TOP")</f>
        <v>0</v>
      </c>
      <c r="AC526" s="7" t="n">
        <f aca="false">COUNTIFS(05_訊號明細!A:A,A526,05_訊號明細!C:C,"BOTTOM")</f>
        <v>0</v>
      </c>
    </row>
    <row r="527" customFormat="false" ht="15" hidden="false" customHeight="false" outlineLevel="0" collapsed="false">
      <c r="A527" s="7" t="s">
        <v>568</v>
      </c>
      <c r="B527" s="7" t="n">
        <v>14505.07</v>
      </c>
      <c r="C527" s="7" t="n">
        <v>14934.52</v>
      </c>
      <c r="D527" s="7" t="n">
        <v>14442.88</v>
      </c>
      <c r="E527" s="7" t="n">
        <v>14930.05</v>
      </c>
      <c r="F527" s="7" t="n">
        <v>5125</v>
      </c>
      <c r="G527" s="7" t="n">
        <f aca="false">AVERAGE(E523:E527)</f>
        <v>14341.93</v>
      </c>
      <c r="H527" s="7" t="n">
        <f aca="false">AVERAGE(E518:E527)</f>
        <v>14576.269</v>
      </c>
      <c r="I527" s="7" t="n">
        <f aca="false">AVERAGE(E508:E527)</f>
        <v>15207.219</v>
      </c>
      <c r="J527" s="7" t="n">
        <f aca="false">AVERAGE(E478:E527)</f>
        <v>15795.9246</v>
      </c>
      <c r="K527" s="7" t="n">
        <f aca="false">AVERAGE(E428:E527)</f>
        <v>15615.7568</v>
      </c>
      <c r="L527" s="7" t="n">
        <f aca="false">AVERAGE(E328:E527)</f>
        <v>15016.49955</v>
      </c>
      <c r="M527" s="7" t="n">
        <f aca="false">I527</f>
        <v>15207.219</v>
      </c>
      <c r="N527" s="7" t="n">
        <f aca="false">I527+2*STDEV(E508:E527)</f>
        <v>16688.7496716458</v>
      </c>
      <c r="O527" s="7" t="n">
        <f aca="false">I527-2*STDEV(E508:E527)</f>
        <v>13725.6883283542</v>
      </c>
      <c r="P527" s="7" t="n">
        <f aca="false">MAX(E527-E526,0)</f>
        <v>475.439999999999</v>
      </c>
      <c r="Q527" s="7" t="n">
        <f aca="false">MAX(E526-E527,0)</f>
        <v>0</v>
      </c>
      <c r="R527" s="7" t="n">
        <f aca="false">(R526*13+P527)/14</f>
        <v>105.283038669187</v>
      </c>
      <c r="S527" s="7" t="n">
        <f aca="false">(S526*13+Q527)/14</f>
        <v>127.797923560443</v>
      </c>
      <c r="T527" s="7" t="n">
        <f aca="false">IF(S527=0,100,100-100/(1+R527/S527))</f>
        <v>45.1701578979507</v>
      </c>
      <c r="U527" s="7" t="n">
        <f aca="false">E527*2/13+U526*11/13</f>
        <v>14761.2273654281</v>
      </c>
      <c r="V527" s="7" t="n">
        <f aca="false">E527*2/27+V526*25/27</f>
        <v>15201.4572949777</v>
      </c>
      <c r="W527" s="7" t="n">
        <f aca="false">U527-V527</f>
        <v>-440.229929549647</v>
      </c>
      <c r="X527" s="7" t="n">
        <f aca="false">W527*2/10+X526*8/10</f>
        <v>-382.871985916024</v>
      </c>
      <c r="Y527" s="7" t="n">
        <f aca="false">W527-X527</f>
        <v>-57.3579436336229</v>
      </c>
      <c r="Z527" s="7" t="s">
        <v>78</v>
      </c>
      <c r="AA527" s="7" t="str">
        <f aca="false">IFERROR(INDEX(02_轉折點45!B:B,MATCH(A527,02_轉折點45!A:A,0)),"")</f>
        <v/>
      </c>
      <c r="AB527" s="7" t="n">
        <f aca="false">COUNTIFS(05_訊號明細!A:A,A527,05_訊號明細!C:C,"TOP")</f>
        <v>1</v>
      </c>
      <c r="AC527" s="7" t="n">
        <f aca="false">COUNTIFS(05_訊號明細!A:A,A527,05_訊號明細!C:C,"BOTTOM")</f>
        <v>2</v>
      </c>
    </row>
    <row r="528" customFormat="false" ht="15" hidden="false" customHeight="false" outlineLevel="0" collapsed="false">
      <c r="A528" s="7" t="s">
        <v>569</v>
      </c>
      <c r="B528" s="7" t="n">
        <v>14966.6</v>
      </c>
      <c r="C528" s="7" t="n">
        <v>15034.42</v>
      </c>
      <c r="D528" s="7" t="n">
        <v>14749.49</v>
      </c>
      <c r="E528" s="7" t="n">
        <v>15019.68</v>
      </c>
      <c r="F528" s="7" t="n">
        <v>4672</v>
      </c>
      <c r="G528" s="7" t="n">
        <f aca="false">AVERAGE(E524:E528)</f>
        <v>14516.042</v>
      </c>
      <c r="H528" s="7" t="n">
        <f aca="false">AVERAGE(E519:E528)</f>
        <v>14557.161</v>
      </c>
      <c r="I528" s="7" t="n">
        <f aca="false">AVERAGE(E509:E528)</f>
        <v>15133.1145</v>
      </c>
      <c r="J528" s="7" t="n">
        <f aca="false">AVERAGE(E479:E528)</f>
        <v>15766.6588</v>
      </c>
      <c r="K528" s="7" t="n">
        <f aca="false">AVERAGE(E429:E528)</f>
        <v>15610.3431</v>
      </c>
      <c r="L528" s="7" t="n">
        <f aca="false">AVERAGE(E329:E528)</f>
        <v>15022.0596</v>
      </c>
      <c r="M528" s="7" t="n">
        <f aca="false">I528</f>
        <v>15133.1145</v>
      </c>
      <c r="N528" s="7" t="n">
        <f aca="false">I528+2*STDEV(E509:E528)</f>
        <v>16484.5590619329</v>
      </c>
      <c r="O528" s="7" t="n">
        <f aca="false">I528-2*STDEV(E509:E528)</f>
        <v>13781.6699380671</v>
      </c>
      <c r="P528" s="7" t="n">
        <f aca="false">MAX(E528-E527,0)</f>
        <v>89.630000000001</v>
      </c>
      <c r="Q528" s="7" t="n">
        <f aca="false">MAX(E527-E528,0)</f>
        <v>0</v>
      </c>
      <c r="R528" s="7" t="n">
        <f aca="false">(R527*13+P528)/14</f>
        <v>104.164964478531</v>
      </c>
      <c r="S528" s="7" t="n">
        <f aca="false">(S527*13+Q528)/14</f>
        <v>118.669500448983</v>
      </c>
      <c r="T528" s="7" t="n">
        <f aca="false">IF(S528=0,100,100-100/(1+R528/S528))</f>
        <v>46.7454460028949</v>
      </c>
      <c r="U528" s="7" t="n">
        <f aca="false">E528*2/13+U527*11/13</f>
        <v>14800.9893092084</v>
      </c>
      <c r="V528" s="7" t="n">
        <f aca="false">E528*2/27+V527*25/27</f>
        <v>15187.9923101645</v>
      </c>
      <c r="W528" s="7" t="n">
        <f aca="false">U528-V528</f>
        <v>-387.003000956187</v>
      </c>
      <c r="X528" s="7" t="n">
        <f aca="false">W528*2/10+X527*8/10</f>
        <v>-383.698188924057</v>
      </c>
      <c r="Y528" s="7" t="n">
        <f aca="false">W528-X528</f>
        <v>-3.30481203213043</v>
      </c>
      <c r="Z528" s="7" t="s">
        <v>78</v>
      </c>
      <c r="AA528" s="7" t="str">
        <f aca="false">IFERROR(INDEX(02_轉折點45!B:B,MATCH(A528,02_轉折點45!A:A,0)),"")</f>
        <v/>
      </c>
      <c r="AB528" s="7" t="n">
        <f aca="false">COUNTIFS(05_訊號明細!A:A,A528,05_訊號明細!C:C,"TOP")</f>
        <v>0</v>
      </c>
      <c r="AC528" s="7" t="n">
        <f aca="false">COUNTIFS(05_訊號明細!A:A,A528,05_訊號明細!C:C,"BOTTOM")</f>
        <v>0</v>
      </c>
    </row>
    <row r="529" customFormat="false" ht="15" hidden="false" customHeight="false" outlineLevel="0" collapsed="false">
      <c r="A529" s="7" t="s">
        <v>570</v>
      </c>
      <c r="B529" s="7" t="n">
        <v>15173.03</v>
      </c>
      <c r="C529" s="7" t="n">
        <v>15196.4</v>
      </c>
      <c r="D529" s="7" t="n">
        <v>14960.85</v>
      </c>
      <c r="E529" s="7" t="n">
        <v>15139.74</v>
      </c>
      <c r="F529" s="7" t="n">
        <v>4673</v>
      </c>
      <c r="G529" s="7" t="n">
        <f aca="false">AVERAGE(E525:E529)</f>
        <v>14709.438</v>
      </c>
      <c r="H529" s="7" t="n">
        <f aca="false">AVERAGE(E520:E529)</f>
        <v>14566.351</v>
      </c>
      <c r="I529" s="7" t="n">
        <f aca="false">AVERAGE(E510:E529)</f>
        <v>15076.115</v>
      </c>
      <c r="J529" s="7" t="n">
        <f aca="false">AVERAGE(E480:E529)</f>
        <v>15737.9868</v>
      </c>
      <c r="K529" s="7" t="n">
        <f aca="false">AVERAGE(E430:E529)</f>
        <v>15607.333</v>
      </c>
      <c r="L529" s="7" t="n">
        <f aca="false">AVERAGE(E330:E529)</f>
        <v>15028.7118</v>
      </c>
      <c r="M529" s="7" t="n">
        <f aca="false">I529</f>
        <v>15076.115</v>
      </c>
      <c r="N529" s="7" t="n">
        <f aca="false">I529+2*STDEV(E510:E529)</f>
        <v>16315.4483820456</v>
      </c>
      <c r="O529" s="7" t="n">
        <f aca="false">I529-2*STDEV(E510:E529)</f>
        <v>13836.7816179544</v>
      </c>
      <c r="P529" s="7" t="n">
        <f aca="false">MAX(E529-E528,0)</f>
        <v>120.059999999999</v>
      </c>
      <c r="Q529" s="7" t="n">
        <f aca="false">MAX(E528-E529,0)</f>
        <v>0</v>
      </c>
      <c r="R529" s="7" t="n">
        <f aca="false">(R528*13+P529)/14</f>
        <v>105.300324158635</v>
      </c>
      <c r="S529" s="7" t="n">
        <f aca="false">(S528*13+Q529)/14</f>
        <v>110.19310755977</v>
      </c>
      <c r="T529" s="7" t="n">
        <f aca="false">IF(S529=0,100,100-100/(1+R529/S529))</f>
        <v>48.8647488319904</v>
      </c>
      <c r="U529" s="7" t="n">
        <f aca="false">E529*2/13+U528*11/13</f>
        <v>14853.1048000994</v>
      </c>
      <c r="V529" s="7" t="n">
        <f aca="false">E529*2/27+V528*25/27</f>
        <v>15184.4180649672</v>
      </c>
      <c r="W529" s="7" t="n">
        <f aca="false">U529-V529</f>
        <v>-331.313264867793</v>
      </c>
      <c r="X529" s="7" t="n">
        <f aca="false">W529*2/10+X528*8/10</f>
        <v>-373.221204112804</v>
      </c>
      <c r="Y529" s="7" t="n">
        <f aca="false">W529-X529</f>
        <v>41.9079392450109</v>
      </c>
      <c r="Z529" s="7" t="s">
        <v>78</v>
      </c>
      <c r="AA529" s="7" t="str">
        <f aca="false">IFERROR(INDEX(02_轉折點45!B:B,MATCH(A529,02_轉折點45!A:A,0)),"")</f>
        <v/>
      </c>
      <c r="AB529" s="7" t="n">
        <f aca="false">COUNTIFS(05_訊號明細!A:A,A529,05_訊號明細!C:C,"TOP")</f>
        <v>0</v>
      </c>
      <c r="AC529" s="7" t="n">
        <f aca="false">COUNTIFS(05_訊號明細!A:A,A529,05_訊號明細!C:C,"BOTTOM")</f>
        <v>1</v>
      </c>
    </row>
    <row r="530" customFormat="false" ht="15" hidden="false" customHeight="false" outlineLevel="0" collapsed="false">
      <c r="A530" s="7" t="s">
        <v>571</v>
      </c>
      <c r="B530" s="7" t="n">
        <v>14693.85</v>
      </c>
      <c r="C530" s="7" t="n">
        <v>14856.51</v>
      </c>
      <c r="D530" s="7" t="n">
        <v>14471.2</v>
      </c>
      <c r="E530" s="7" t="n">
        <v>14501.11</v>
      </c>
      <c r="F530" s="7" t="n">
        <v>4326</v>
      </c>
      <c r="G530" s="7" t="n">
        <f aca="false">AVERAGE(E526:E530)</f>
        <v>14809.038</v>
      </c>
      <c r="H530" s="7" t="n">
        <f aca="false">AVERAGE(E521:E530)</f>
        <v>14531.816</v>
      </c>
      <c r="I530" s="7" t="n">
        <f aca="false">AVERAGE(E511:E530)</f>
        <v>15012.5815</v>
      </c>
      <c r="J530" s="7" t="n">
        <f aca="false">AVERAGE(E481:E530)</f>
        <v>15700.3894</v>
      </c>
      <c r="K530" s="7" t="n">
        <f aca="false">AVERAGE(E431:E530)</f>
        <v>15597.9991</v>
      </c>
      <c r="L530" s="7" t="n">
        <f aca="false">AVERAGE(E331:E530)</f>
        <v>15031.5416</v>
      </c>
      <c r="M530" s="7" t="n">
        <f aca="false">I530</f>
        <v>15012.5815</v>
      </c>
      <c r="N530" s="7" t="n">
        <f aca="false">I530+2*STDEV(E511:E530)</f>
        <v>16231.8738052376</v>
      </c>
      <c r="O530" s="7" t="n">
        <f aca="false">I530-2*STDEV(E511:E530)</f>
        <v>13793.2891947624</v>
      </c>
      <c r="P530" s="7" t="n">
        <f aca="false">MAX(E530-E529,0)</f>
        <v>0</v>
      </c>
      <c r="Q530" s="7" t="n">
        <f aca="false">MAX(E529-E530,0)</f>
        <v>638.629999999999</v>
      </c>
      <c r="R530" s="7" t="n">
        <f aca="false">(R529*13+P530)/14</f>
        <v>97.7788724330186</v>
      </c>
      <c r="S530" s="7" t="n">
        <f aca="false">(S529*13+Q530)/14</f>
        <v>147.938599876929</v>
      </c>
      <c r="T530" s="7" t="n">
        <f aca="false">IF(S530=0,100,100-100/(1+R530/S530))</f>
        <v>39.7932110866257</v>
      </c>
      <c r="U530" s="7" t="n">
        <f aca="false">E530*2/13+U529*11/13</f>
        <v>14798.9517539302</v>
      </c>
      <c r="V530" s="7" t="n">
        <f aca="false">E530*2/27+V529*25/27</f>
        <v>15133.8026527474</v>
      </c>
      <c r="W530" s="7" t="n">
        <f aca="false">U530-V530</f>
        <v>-334.850898817138</v>
      </c>
      <c r="X530" s="7" t="n">
        <f aca="false">W530*2/10+X529*8/10</f>
        <v>-365.547143053671</v>
      </c>
      <c r="Y530" s="7" t="n">
        <f aca="false">W530-X530</f>
        <v>30.6962442365327</v>
      </c>
      <c r="Z530" s="9" t="s">
        <v>89</v>
      </c>
      <c r="AA530" s="7" t="str">
        <f aca="false">IFERROR(INDEX(02_轉折點45!B:B,MATCH(A530,02_轉折點45!A:A,0)),"")</f>
        <v/>
      </c>
      <c r="AB530" s="7" t="n">
        <f aca="false">COUNTIFS(05_訊號明細!A:A,A530,05_訊號明細!C:C,"TOP")</f>
        <v>1</v>
      </c>
      <c r="AC530" s="7" t="n">
        <f aca="false">COUNTIFS(05_訊號明細!A:A,A530,05_訊號明細!C:C,"BOTTOM")</f>
        <v>0</v>
      </c>
    </row>
    <row r="531" customFormat="false" ht="15" hidden="false" customHeight="false" outlineLevel="0" collapsed="false">
      <c r="A531" s="7" t="s">
        <v>572</v>
      </c>
      <c r="B531" s="7" t="n">
        <v>14566.28</v>
      </c>
      <c r="C531" s="7" t="n">
        <v>14832.05</v>
      </c>
      <c r="D531" s="7" t="n">
        <v>14452.28</v>
      </c>
      <c r="E531" s="7" t="n">
        <v>14694.35</v>
      </c>
      <c r="F531" s="7" t="n">
        <v>4121</v>
      </c>
      <c r="G531" s="7" t="n">
        <f aca="false">AVERAGE(E527:E531)</f>
        <v>14856.986</v>
      </c>
      <c r="H531" s="7" t="n">
        <f aca="false">AVERAGE(E522:E531)</f>
        <v>14557.411</v>
      </c>
      <c r="I531" s="7" t="n">
        <f aca="false">AVERAGE(E512:E531)</f>
        <v>14959.031</v>
      </c>
      <c r="J531" s="7" t="n">
        <f aca="false">AVERAGE(E482:E531)</f>
        <v>15668.142</v>
      </c>
      <c r="K531" s="7" t="n">
        <f aca="false">AVERAGE(E432:E531)</f>
        <v>15591.1136</v>
      </c>
      <c r="L531" s="7" t="n">
        <f aca="false">AVERAGE(E332:E531)</f>
        <v>15036.20155</v>
      </c>
      <c r="M531" s="7" t="n">
        <f aca="false">I531</f>
        <v>14959.031</v>
      </c>
      <c r="N531" s="7" t="n">
        <f aca="false">I531+2*STDEV(E512:E531)</f>
        <v>16132.3253179181</v>
      </c>
      <c r="O531" s="7" t="n">
        <f aca="false">I531-2*STDEV(E512:E531)</f>
        <v>13785.7366820819</v>
      </c>
      <c r="P531" s="7" t="n">
        <f aca="false">MAX(E531-E530,0)</f>
        <v>193.24</v>
      </c>
      <c r="Q531" s="7" t="n">
        <f aca="false">MAX(E530-E531,0)</f>
        <v>0</v>
      </c>
      <c r="R531" s="7" t="n">
        <f aca="false">(R530*13+P531)/14</f>
        <v>104.597524402089</v>
      </c>
      <c r="S531" s="7" t="n">
        <f aca="false">(S530*13+Q531)/14</f>
        <v>137.371557028577</v>
      </c>
      <c r="T531" s="7" t="n">
        <f aca="false">IF(S531=0,100,100-100/(1+R531/S531))</f>
        <v>43.2276404008502</v>
      </c>
      <c r="U531" s="7" t="n">
        <f aca="false">E531*2/13+U530*11/13</f>
        <v>14782.8591764025</v>
      </c>
      <c r="V531" s="7" t="n">
        <f aca="false">E531*2/27+V530*25/27</f>
        <v>15101.2506043957</v>
      </c>
      <c r="W531" s="7" t="n">
        <f aca="false">U531-V531</f>
        <v>-318.391427993209</v>
      </c>
      <c r="X531" s="7" t="n">
        <f aca="false">W531*2/10+X530*8/10</f>
        <v>-356.116000041578</v>
      </c>
      <c r="Y531" s="7" t="n">
        <f aca="false">W531-X531</f>
        <v>37.7245720483696</v>
      </c>
      <c r="Z531" s="7" t="s">
        <v>78</v>
      </c>
      <c r="AA531" s="7" t="str">
        <f aca="false">IFERROR(INDEX(02_轉折點45!B:B,MATCH(A531,02_轉折點45!A:A,0)),"")</f>
        <v/>
      </c>
      <c r="AB531" s="7" t="n">
        <f aca="false">COUNTIFS(05_訊號明細!A:A,A531,05_訊號明細!C:C,"TOP")</f>
        <v>0</v>
      </c>
      <c r="AC531" s="7" t="n">
        <f aca="false">COUNTIFS(05_訊號明細!A:A,A531,05_訊號明細!C:C,"BOTTOM")</f>
        <v>1</v>
      </c>
    </row>
    <row r="532" customFormat="false" ht="15" hidden="false" customHeight="false" outlineLevel="0" collapsed="false">
      <c r="A532" s="7" t="s">
        <v>573</v>
      </c>
      <c r="B532" s="7" t="n">
        <v>14716.43</v>
      </c>
      <c r="C532" s="7" t="n">
        <v>14813.86</v>
      </c>
      <c r="D532" s="7" t="n">
        <v>14524.63</v>
      </c>
      <c r="E532" s="7" t="n">
        <v>14571.25</v>
      </c>
      <c r="F532" s="7" t="n">
        <v>4269</v>
      </c>
      <c r="G532" s="7" t="n">
        <f aca="false">AVERAGE(E528:E532)</f>
        <v>14785.226</v>
      </c>
      <c r="H532" s="7" t="n">
        <f aca="false">AVERAGE(E523:E532)</f>
        <v>14563.578</v>
      </c>
      <c r="I532" s="7" t="n">
        <f aca="false">AVERAGE(E513:E532)</f>
        <v>14907.984</v>
      </c>
      <c r="J532" s="7" t="n">
        <f aca="false">AVERAGE(E483:E532)</f>
        <v>15632.2108</v>
      </c>
      <c r="K532" s="7" t="n">
        <f aca="false">AVERAGE(E433:E532)</f>
        <v>15581.7908</v>
      </c>
      <c r="L532" s="7" t="n">
        <f aca="false">AVERAGE(E333:E532)</f>
        <v>15039.3506</v>
      </c>
      <c r="M532" s="7" t="n">
        <f aca="false">I532</f>
        <v>14907.984</v>
      </c>
      <c r="N532" s="7" t="n">
        <f aca="false">I532+2*STDEV(E513:E532)</f>
        <v>16053.8057693387</v>
      </c>
      <c r="O532" s="7" t="n">
        <f aca="false">I532-2*STDEV(E513:E532)</f>
        <v>13762.1622306613</v>
      </c>
      <c r="P532" s="7" t="n">
        <f aca="false">MAX(E532-E531,0)</f>
        <v>0</v>
      </c>
      <c r="Q532" s="7" t="n">
        <f aca="false">MAX(E531-E532,0)</f>
        <v>123.1</v>
      </c>
      <c r="R532" s="7" t="n">
        <f aca="false">(R531*13+P532)/14</f>
        <v>97.1262726590824</v>
      </c>
      <c r="S532" s="7" t="n">
        <f aca="false">(S531*13+Q532)/14</f>
        <v>136.352160097965</v>
      </c>
      <c r="T532" s="7" t="n">
        <f aca="false">IF(S532=0,100,100-100/(1+R532/S532))</f>
        <v>41.5996764721091</v>
      </c>
      <c r="U532" s="7" t="n">
        <f aca="false">E532*2/13+U531*11/13</f>
        <v>14750.3039184944</v>
      </c>
      <c r="V532" s="7" t="n">
        <f aca="false">E532*2/27+V531*25/27</f>
        <v>15061.9913003664</v>
      </c>
      <c r="W532" s="7" t="n">
        <f aca="false">U532-V532</f>
        <v>-311.687381871972</v>
      </c>
      <c r="X532" s="7" t="n">
        <f aca="false">W532*2/10+X531*8/10</f>
        <v>-347.230276407657</v>
      </c>
      <c r="Y532" s="7" t="n">
        <f aca="false">W532-X532</f>
        <v>35.5428945356848</v>
      </c>
      <c r="Z532" s="7" t="s">
        <v>78</v>
      </c>
      <c r="AA532" s="7" t="str">
        <f aca="false">IFERROR(INDEX(02_轉折點45!B:B,MATCH(A532,02_轉折點45!A:A,0)),"")</f>
        <v/>
      </c>
      <c r="AB532" s="7" t="n">
        <f aca="false">COUNTIFS(05_訊號明細!A:A,A532,05_訊號明細!C:C,"TOP")</f>
        <v>1</v>
      </c>
      <c r="AC532" s="7" t="n">
        <f aca="false">COUNTIFS(05_訊號明細!A:A,A532,05_訊號明細!C:C,"BOTTOM")</f>
        <v>0</v>
      </c>
    </row>
    <row r="533" customFormat="false" ht="15" hidden="false" customHeight="false" outlineLevel="0" collapsed="false">
      <c r="A533" s="7" t="s">
        <v>574</v>
      </c>
      <c r="B533" s="7" t="n">
        <v>14533.25</v>
      </c>
      <c r="C533" s="7" t="n">
        <v>14785.22</v>
      </c>
      <c r="D533" s="7" t="n">
        <v>14485.78</v>
      </c>
      <c r="E533" s="7" t="n">
        <v>14747.03</v>
      </c>
      <c r="F533" s="7" t="n">
        <v>4294</v>
      </c>
      <c r="G533" s="7" t="n">
        <f aca="false">AVERAGE(E529:E533)</f>
        <v>14730.696</v>
      </c>
      <c r="H533" s="7" t="n">
        <f aca="false">AVERAGE(E524:E533)</f>
        <v>14623.369</v>
      </c>
      <c r="I533" s="7" t="n">
        <f aca="false">AVERAGE(E514:E533)</f>
        <v>14864.614</v>
      </c>
      <c r="J533" s="7" t="n">
        <f aca="false">AVERAGE(E484:E533)</f>
        <v>15606.6398</v>
      </c>
      <c r="K533" s="7" t="n">
        <f aca="false">AVERAGE(E434:E533)</f>
        <v>15574.102</v>
      </c>
      <c r="L533" s="7" t="n">
        <f aca="false">AVERAGE(E334:E533)</f>
        <v>15042.95495</v>
      </c>
      <c r="M533" s="7" t="n">
        <f aca="false">I533</f>
        <v>14864.614</v>
      </c>
      <c r="N533" s="7" t="n">
        <f aca="false">I533+2*STDEV(E514:E533)</f>
        <v>15962.5097725318</v>
      </c>
      <c r="O533" s="7" t="n">
        <f aca="false">I533-2*STDEV(E514:E533)</f>
        <v>13766.7182274682</v>
      </c>
      <c r="P533" s="7" t="n">
        <f aca="false">MAX(E533-E532,0)</f>
        <v>175.780000000001</v>
      </c>
      <c r="Q533" s="7" t="n">
        <f aca="false">MAX(E532-E533,0)</f>
        <v>0</v>
      </c>
      <c r="R533" s="7" t="n">
        <f aca="false">(R532*13+P533)/14</f>
        <v>102.744396040577</v>
      </c>
      <c r="S533" s="7" t="n">
        <f aca="false">(S532*13+Q533)/14</f>
        <v>126.612720090967</v>
      </c>
      <c r="T533" s="7" t="n">
        <f aca="false">IF(S533=0,100,100-100/(1+R533/S533))</f>
        <v>44.7966898841061</v>
      </c>
      <c r="U533" s="7" t="n">
        <f aca="false">E533*2/13+U532*11/13</f>
        <v>14749.8002387261</v>
      </c>
      <c r="V533" s="7" t="n">
        <f aca="false">E533*2/27+V532*25/27</f>
        <v>15038.6608336726</v>
      </c>
      <c r="W533" s="7" t="n">
        <f aca="false">U533-V533</f>
        <v>-288.860594946538</v>
      </c>
      <c r="X533" s="7" t="n">
        <f aca="false">W533*2/10+X532*8/10</f>
        <v>-335.556340115433</v>
      </c>
      <c r="Y533" s="7" t="n">
        <f aca="false">W533-X533</f>
        <v>46.6957451688951</v>
      </c>
      <c r="Z533" s="7" t="s">
        <v>78</v>
      </c>
      <c r="AA533" s="7" t="str">
        <f aca="false">IFERROR(INDEX(02_轉折點45!B:B,MATCH(A533,02_轉折點45!A:A,0)),"")</f>
        <v/>
      </c>
      <c r="AB533" s="7" t="n">
        <f aca="false">COUNTIFS(05_訊號明細!A:A,A533,05_訊號明細!C:C,"TOP")</f>
        <v>0</v>
      </c>
      <c r="AC533" s="7" t="n">
        <f aca="false">COUNTIFS(05_訊號明細!A:A,A533,05_訊號明細!C:C,"BOTTOM")</f>
        <v>0</v>
      </c>
    </row>
    <row r="534" customFormat="false" ht="15" hidden="false" customHeight="false" outlineLevel="0" collapsed="false">
      <c r="A534" s="7" t="s">
        <v>575</v>
      </c>
      <c r="B534" s="7" t="n">
        <v>14930.99</v>
      </c>
      <c r="C534" s="7" t="n">
        <v>15057.9</v>
      </c>
      <c r="D534" s="7" t="n">
        <v>14870.36</v>
      </c>
      <c r="E534" s="7" t="n">
        <v>15056.96</v>
      </c>
      <c r="F534" s="7" t="n">
        <v>4730</v>
      </c>
      <c r="G534" s="7" t="n">
        <f aca="false">AVERAGE(E530:E534)</f>
        <v>14714.14</v>
      </c>
      <c r="H534" s="7" t="n">
        <f aca="false">AVERAGE(E525:E534)</f>
        <v>14711.789</v>
      </c>
      <c r="I534" s="7" t="n">
        <f aca="false">AVERAGE(E515:E534)</f>
        <v>14825.256</v>
      </c>
      <c r="J534" s="7" t="n">
        <f aca="false">AVERAGE(E485:E534)</f>
        <v>15579.7942</v>
      </c>
      <c r="K534" s="7" t="n">
        <f aca="false">AVERAGE(E435:E534)</f>
        <v>15571.3369</v>
      </c>
      <c r="L534" s="7" t="n">
        <f aca="false">AVERAGE(E335:E534)</f>
        <v>15048.43835</v>
      </c>
      <c r="M534" s="7" t="n">
        <f aca="false">I534</f>
        <v>14825.256</v>
      </c>
      <c r="N534" s="7" t="n">
        <f aca="false">I534+2*STDEV(E515:E534)</f>
        <v>15827.5812745785</v>
      </c>
      <c r="O534" s="7" t="n">
        <f aca="false">I534-2*STDEV(E515:E534)</f>
        <v>13822.9307254215</v>
      </c>
      <c r="P534" s="7" t="n">
        <f aca="false">MAX(E534-E533,0)</f>
        <v>309.929999999999</v>
      </c>
      <c r="Q534" s="7" t="n">
        <f aca="false">MAX(E533-E534,0)</f>
        <v>0</v>
      </c>
      <c r="R534" s="7" t="n">
        <f aca="false">(R533*13+P534)/14</f>
        <v>117.543367751964</v>
      </c>
      <c r="S534" s="7" t="n">
        <f aca="false">(S533*13+Q534)/14</f>
        <v>117.568954370184</v>
      </c>
      <c r="T534" s="7" t="n">
        <f aca="false">IF(S534=0,100,100-100/(1+R534/S534))</f>
        <v>49.9945586394646</v>
      </c>
      <c r="U534" s="7" t="n">
        <f aca="false">E534*2/13+U533*11/13</f>
        <v>14797.0555866144</v>
      </c>
      <c r="V534" s="7" t="n">
        <f aca="false">E534*2/27+V533*25/27</f>
        <v>15040.0163274746</v>
      </c>
      <c r="W534" s="7" t="n">
        <f aca="false">U534-V534</f>
        <v>-242.960740860268</v>
      </c>
      <c r="X534" s="7" t="n">
        <f aca="false">W534*2/10+X533*8/10</f>
        <v>-317.0372202644</v>
      </c>
      <c r="Y534" s="7" t="n">
        <f aca="false">W534-X534</f>
        <v>74.0764794041323</v>
      </c>
      <c r="Z534" s="8" t="s">
        <v>42</v>
      </c>
      <c r="AA534" s="7" t="str">
        <f aca="false">IFERROR(INDEX(02_轉折點45!B:B,MATCH(A534,02_轉折點45!A:A,0)),"")</f>
        <v/>
      </c>
      <c r="AB534" s="7" t="n">
        <f aca="false">COUNTIFS(05_訊號明細!A:A,A534,05_訊號明細!C:C,"TOP")</f>
        <v>0</v>
      </c>
      <c r="AC534" s="7" t="n">
        <f aca="false">COUNTIFS(05_訊號明細!A:A,A534,05_訊號明細!C:C,"BOTTOM")</f>
        <v>1</v>
      </c>
    </row>
    <row r="535" customFormat="false" ht="15" hidden="false" customHeight="false" outlineLevel="0" collapsed="false">
      <c r="A535" s="7" t="s">
        <v>576</v>
      </c>
      <c r="B535" s="7" t="n">
        <v>14770.68</v>
      </c>
      <c r="C535" s="7" t="n">
        <v>15037.26</v>
      </c>
      <c r="D535" s="7" t="n">
        <v>14636.62</v>
      </c>
      <c r="E535" s="7" t="n">
        <v>14705.64</v>
      </c>
      <c r="F535" s="7" t="n">
        <v>5213</v>
      </c>
      <c r="G535" s="7" t="n">
        <f aca="false">AVERAGE(E531:E535)</f>
        <v>14755.046</v>
      </c>
      <c r="H535" s="7" t="n">
        <f aca="false">AVERAGE(E526:E535)</f>
        <v>14782.042</v>
      </c>
      <c r="I535" s="7" t="n">
        <f aca="false">AVERAGE(E516:E535)</f>
        <v>14765.283</v>
      </c>
      <c r="J535" s="7" t="n">
        <f aca="false">AVERAGE(E486:E535)</f>
        <v>15551.1886</v>
      </c>
      <c r="K535" s="7" t="n">
        <f aca="false">AVERAGE(E436:E535)</f>
        <v>15568.2714</v>
      </c>
      <c r="L535" s="7" t="n">
        <f aca="false">AVERAGE(E336:E535)</f>
        <v>15052.45845</v>
      </c>
      <c r="M535" s="7" t="n">
        <f aca="false">I535</f>
        <v>14765.283</v>
      </c>
      <c r="N535" s="7" t="n">
        <f aca="false">I535+2*STDEV(E516:E535)</f>
        <v>15629.5959915317</v>
      </c>
      <c r="O535" s="7" t="n">
        <f aca="false">I535-2*STDEV(E516:E535)</f>
        <v>13900.9700084683</v>
      </c>
      <c r="P535" s="7" t="n">
        <f aca="false">MAX(E535-E534,0)</f>
        <v>0</v>
      </c>
      <c r="Q535" s="7" t="n">
        <f aca="false">MAX(E534-E535,0)</f>
        <v>351.32</v>
      </c>
      <c r="R535" s="7" t="n">
        <f aca="false">(R534*13+P535)/14</f>
        <v>109.147412912538</v>
      </c>
      <c r="S535" s="7" t="n">
        <f aca="false">(S534*13+Q535)/14</f>
        <v>134.265457629456</v>
      </c>
      <c r="T535" s="7" t="n">
        <f aca="false">IF(S535=0,100,100-100/(1+R535/S535))</f>
        <v>44.8404444142602</v>
      </c>
      <c r="U535" s="7" t="n">
        <f aca="false">E535*2/13+U534*11/13</f>
        <v>14782.9916502122</v>
      </c>
      <c r="V535" s="7" t="n">
        <f aca="false">E535*2/27+V534*25/27</f>
        <v>15015.2477106247</v>
      </c>
      <c r="W535" s="7" t="n">
        <f aca="false">U535-V535</f>
        <v>-232.256060412508</v>
      </c>
      <c r="X535" s="7" t="n">
        <f aca="false">W535*2/10+X534*8/10</f>
        <v>-300.080988294022</v>
      </c>
      <c r="Y535" s="7" t="n">
        <f aca="false">W535-X535</f>
        <v>67.8249278815135</v>
      </c>
      <c r="Z535" s="7" t="s">
        <v>78</v>
      </c>
      <c r="AA535" s="7" t="str">
        <f aca="false">IFERROR(INDEX(02_轉折點45!B:B,MATCH(A535,02_轉折點45!A:A,0)),"")</f>
        <v/>
      </c>
      <c r="AB535" s="7" t="n">
        <f aca="false">COUNTIFS(05_訊號明細!A:A,A535,05_訊號明細!C:C,"TOP")</f>
        <v>3</v>
      </c>
      <c r="AC535" s="7" t="n">
        <f aca="false">COUNTIFS(05_訊號明細!A:A,A535,05_訊號明細!C:C,"BOTTOM")</f>
        <v>0</v>
      </c>
    </row>
    <row r="536" customFormat="false" ht="15" hidden="false" customHeight="false" outlineLevel="0" collapsed="false">
      <c r="A536" s="7" t="s">
        <v>577</v>
      </c>
      <c r="B536" s="7" t="n">
        <v>14739.46</v>
      </c>
      <c r="C536" s="7" t="n">
        <v>14769.64</v>
      </c>
      <c r="D536" s="7" t="n">
        <v>14194.54</v>
      </c>
      <c r="E536" s="7" t="n">
        <v>14253.84</v>
      </c>
      <c r="F536" s="7" t="n">
        <v>5237</v>
      </c>
      <c r="G536" s="7" t="n">
        <f aca="false">AVERAGE(E532:E536)</f>
        <v>14666.944</v>
      </c>
      <c r="H536" s="7" t="n">
        <f aca="false">AVERAGE(E527:E536)</f>
        <v>14761.965</v>
      </c>
      <c r="I536" s="7" t="n">
        <f aca="false">AVERAGE(E517:E536)</f>
        <v>14703.194</v>
      </c>
      <c r="J536" s="7" t="n">
        <f aca="false">AVERAGE(E487:E536)</f>
        <v>15518.711</v>
      </c>
      <c r="K536" s="7" t="n">
        <f aca="false">AVERAGE(E437:E536)</f>
        <v>15560.5321</v>
      </c>
      <c r="L536" s="7" t="n">
        <f aca="false">AVERAGE(E337:E536)</f>
        <v>15053.87665</v>
      </c>
      <c r="M536" s="7" t="n">
        <f aca="false">I536</f>
        <v>14703.194</v>
      </c>
      <c r="N536" s="7" t="n">
        <f aca="false">I536+2*STDEV(E517:E536)</f>
        <v>15523.9133802205</v>
      </c>
      <c r="O536" s="7" t="n">
        <f aca="false">I536-2*STDEV(E517:E536)</f>
        <v>13882.4746197795</v>
      </c>
      <c r="P536" s="7" t="n">
        <f aca="false">MAX(E536-E535,0)</f>
        <v>0</v>
      </c>
      <c r="Q536" s="7" t="n">
        <f aca="false">MAX(E535-E536,0)</f>
        <v>451.799999999999</v>
      </c>
      <c r="R536" s="7" t="n">
        <f aca="false">(R535*13+P536)/14</f>
        <v>101.351169133071</v>
      </c>
      <c r="S536" s="7" t="n">
        <f aca="false">(S535*13+Q536)/14</f>
        <v>156.946496370209</v>
      </c>
      <c r="T536" s="7" t="n">
        <f aca="false">IF(S536=0,100,100-100/(1+R536/S536))</f>
        <v>39.2381282020467</v>
      </c>
      <c r="U536" s="7" t="n">
        <f aca="false">E536*2/13+U535*11/13</f>
        <v>14701.5837040257</v>
      </c>
      <c r="V536" s="7" t="n">
        <f aca="false">E536*2/27+V535*25/27</f>
        <v>14958.8471394673</v>
      </c>
      <c r="W536" s="7" t="n">
        <f aca="false">U536-V536</f>
        <v>-257.263435441611</v>
      </c>
      <c r="X536" s="7" t="n">
        <f aca="false">W536*2/10+X535*8/10</f>
        <v>-291.51747772354</v>
      </c>
      <c r="Y536" s="7" t="n">
        <f aca="false">W536-X536</f>
        <v>34.2540422819283</v>
      </c>
      <c r="Z536" s="9" t="s">
        <v>89</v>
      </c>
      <c r="AA536" s="7" t="str">
        <f aca="false">IFERROR(INDEX(02_轉折點45!B:B,MATCH(A536,02_轉折點45!A:A,0)),"")</f>
        <v/>
      </c>
      <c r="AB536" s="7" t="n">
        <f aca="false">COUNTIFS(05_訊號明細!A:A,A536,05_訊號明細!C:C,"TOP")</f>
        <v>0</v>
      </c>
      <c r="AC536" s="7" t="n">
        <f aca="false">COUNTIFS(05_訊號明細!A:A,A536,05_訊號明細!C:C,"BOTTOM")</f>
        <v>0</v>
      </c>
    </row>
    <row r="537" customFormat="false" ht="15" hidden="false" customHeight="false" outlineLevel="0" collapsed="false">
      <c r="A537" s="7" t="s">
        <v>578</v>
      </c>
      <c r="B537" s="7" t="n">
        <v>14233.4</v>
      </c>
      <c r="C537" s="7" t="n">
        <v>14400.78</v>
      </c>
      <c r="D537" s="7" t="n">
        <v>14119.73</v>
      </c>
      <c r="E537" s="7" t="n">
        <v>14268.59</v>
      </c>
      <c r="F537" s="7" t="n">
        <v>4347</v>
      </c>
      <c r="G537" s="7" t="n">
        <f aca="false">AVERAGE(E533:E537)</f>
        <v>14606.412</v>
      </c>
      <c r="H537" s="7" t="n">
        <f aca="false">AVERAGE(E528:E537)</f>
        <v>14695.819</v>
      </c>
      <c r="I537" s="7" t="n">
        <f aca="false">AVERAGE(E518:E537)</f>
        <v>14636.044</v>
      </c>
      <c r="J537" s="7" t="n">
        <f aca="false">AVERAGE(E488:E537)</f>
        <v>15484.2676</v>
      </c>
      <c r="K537" s="7" t="n">
        <f aca="false">AVERAGE(E438:E537)</f>
        <v>15551.4529</v>
      </c>
      <c r="L537" s="7" t="n">
        <f aca="false">AVERAGE(E338:E537)</f>
        <v>15055.9158</v>
      </c>
      <c r="M537" s="7" t="n">
        <f aca="false">I537</f>
        <v>14636.044</v>
      </c>
      <c r="N537" s="7" t="n">
        <f aca="false">I537+2*STDEV(E518:E537)</f>
        <v>15357.5951542693</v>
      </c>
      <c r="O537" s="7" t="n">
        <f aca="false">I537-2*STDEV(E518:E537)</f>
        <v>13914.4928457307</v>
      </c>
      <c r="P537" s="7" t="n">
        <f aca="false">MAX(E537-E536,0)</f>
        <v>14.75</v>
      </c>
      <c r="Q537" s="7" t="n">
        <f aca="false">MAX(E536-E537,0)</f>
        <v>0</v>
      </c>
      <c r="R537" s="7" t="n">
        <f aca="false">(R536*13+P537)/14</f>
        <v>95.1653713378515</v>
      </c>
      <c r="S537" s="7" t="n">
        <f aca="false">(S536*13+Q537)/14</f>
        <v>145.736032343766</v>
      </c>
      <c r="T537" s="7" t="n">
        <f aca="false">IF(S537=0,100,100-100/(1+R537/S537))</f>
        <v>39.5038675090599</v>
      </c>
      <c r="U537" s="7" t="n">
        <f aca="false">E537*2/13+U536*11/13</f>
        <v>14634.9692880217</v>
      </c>
      <c r="V537" s="7" t="n">
        <f aca="false">E537*2/27+V536*25/27</f>
        <v>14907.7169809882</v>
      </c>
      <c r="W537" s="7" t="n">
        <f aca="false">U537-V537</f>
        <v>-272.747692966503</v>
      </c>
      <c r="X537" s="7" t="n">
        <f aca="false">W537*2/10+X536*8/10</f>
        <v>-287.763520772132</v>
      </c>
      <c r="Y537" s="7" t="n">
        <f aca="false">W537-X537</f>
        <v>15.0158278056296</v>
      </c>
      <c r="Z537" s="9" t="s">
        <v>89</v>
      </c>
      <c r="AA537" s="7" t="str">
        <f aca="false">IFERROR(INDEX(02_轉折點45!B:B,MATCH(A537,02_轉折點45!A:A,0)),"")</f>
        <v/>
      </c>
      <c r="AB537" s="7" t="n">
        <f aca="false">COUNTIFS(05_訊號明細!A:A,A537,05_訊號明細!C:C,"TOP")</f>
        <v>0</v>
      </c>
      <c r="AC537" s="7" t="n">
        <f aca="false">COUNTIFS(05_訊號明細!A:A,A537,05_訊號明細!C:C,"BOTTOM")</f>
        <v>0</v>
      </c>
    </row>
    <row r="538" customFormat="false" ht="15" hidden="false" customHeight="false" outlineLevel="0" collapsed="false">
      <c r="A538" s="7" t="s">
        <v>579</v>
      </c>
      <c r="B538" s="7" t="n">
        <v>14482.11</v>
      </c>
      <c r="C538" s="7" t="n">
        <v>14624.53</v>
      </c>
      <c r="D538" s="7" t="n">
        <v>14444.46</v>
      </c>
      <c r="E538" s="7" t="n">
        <v>14620.82</v>
      </c>
      <c r="F538" s="7" t="n">
        <v>4417</v>
      </c>
      <c r="G538" s="7" t="n">
        <f aca="false">AVERAGE(E534:E538)</f>
        <v>14581.17</v>
      </c>
      <c r="H538" s="7" t="n">
        <f aca="false">AVERAGE(E529:E538)</f>
        <v>14655.933</v>
      </c>
      <c r="I538" s="7" t="n">
        <f aca="false">AVERAGE(E519:E538)</f>
        <v>14606.547</v>
      </c>
      <c r="J538" s="7" t="n">
        <f aca="false">AVERAGE(E489:E538)</f>
        <v>15462.4432</v>
      </c>
      <c r="K538" s="7" t="n">
        <f aca="false">AVERAGE(E439:E538)</f>
        <v>15544.4953</v>
      </c>
      <c r="L538" s="7" t="n">
        <f aca="false">AVERAGE(E339:E538)</f>
        <v>15060.0213</v>
      </c>
      <c r="M538" s="7" t="n">
        <f aca="false">I538</f>
        <v>14606.547</v>
      </c>
      <c r="N538" s="7" t="n">
        <f aca="false">I538+2*STDEV(E519:E538)</f>
        <v>15275.4901025164</v>
      </c>
      <c r="O538" s="7" t="n">
        <f aca="false">I538-2*STDEV(E519:E538)</f>
        <v>13937.6038974836</v>
      </c>
      <c r="P538" s="7" t="n">
        <f aca="false">MAX(E538-E537,0)</f>
        <v>352.23</v>
      </c>
      <c r="Q538" s="7" t="n">
        <f aca="false">MAX(E537-E538,0)</f>
        <v>0</v>
      </c>
      <c r="R538" s="7" t="n">
        <f aca="false">(R537*13+P538)/14</f>
        <v>113.527130528005</v>
      </c>
      <c r="S538" s="7" t="n">
        <f aca="false">(S537*13+Q538)/14</f>
        <v>135.326315747783</v>
      </c>
      <c r="T538" s="7" t="n">
        <f aca="false">IF(S538=0,100,100-100/(1+R538/S538))</f>
        <v>45.6200756818897</v>
      </c>
      <c r="U538" s="7" t="n">
        <f aca="false">E538*2/13+U537*11/13</f>
        <v>14632.7924744799</v>
      </c>
      <c r="V538" s="7" t="n">
        <f aca="false">E538*2/27+V537*25/27</f>
        <v>14886.4653527669</v>
      </c>
      <c r="W538" s="7" t="n">
        <f aca="false">U538-V538</f>
        <v>-253.672878286958</v>
      </c>
      <c r="X538" s="7" t="n">
        <f aca="false">W538*2/10+X537*8/10</f>
        <v>-280.945392275097</v>
      </c>
      <c r="Y538" s="7" t="n">
        <f aca="false">W538-X538</f>
        <v>27.2725139881396</v>
      </c>
      <c r="Z538" s="9" t="s">
        <v>89</v>
      </c>
      <c r="AA538" s="7" t="str">
        <f aca="false">IFERROR(INDEX(02_轉折點45!B:B,MATCH(A538,02_轉折點45!A:A,0)),"")</f>
        <v/>
      </c>
      <c r="AB538" s="7" t="n">
        <f aca="false">COUNTIFS(05_訊號明細!A:A,A538,05_訊號明細!C:C,"TOP")</f>
        <v>0</v>
      </c>
      <c r="AC538" s="7" t="n">
        <f aca="false">COUNTIFS(05_訊號明細!A:A,A538,05_訊號明細!C:C,"BOTTOM")</f>
        <v>1</v>
      </c>
    </row>
    <row r="539" customFormat="false" ht="15" hidden="false" customHeight="false" outlineLevel="0" collapsed="false">
      <c r="A539" s="7" t="s">
        <v>580</v>
      </c>
      <c r="B539" s="7" t="n">
        <v>14514.84</v>
      </c>
      <c r="C539" s="7" t="n">
        <v>14647.79</v>
      </c>
      <c r="D539" s="7" t="n">
        <v>14399.29</v>
      </c>
      <c r="E539" s="7" t="n">
        <v>14603.64</v>
      </c>
      <c r="F539" s="7" t="n">
        <v>4239</v>
      </c>
      <c r="G539" s="7" t="n">
        <f aca="false">AVERAGE(E535:E539)</f>
        <v>14490.506</v>
      </c>
      <c r="H539" s="7" t="n">
        <f aca="false">AVERAGE(E530:E539)</f>
        <v>14602.323</v>
      </c>
      <c r="I539" s="7" t="n">
        <f aca="false">AVERAGE(E520:E539)</f>
        <v>14584.337</v>
      </c>
      <c r="J539" s="7" t="n">
        <f aca="false">AVERAGE(E490:E539)</f>
        <v>15437.5928</v>
      </c>
      <c r="K539" s="7" t="n">
        <f aca="false">AVERAGE(E440:E539)</f>
        <v>15537.2349</v>
      </c>
      <c r="L539" s="7" t="n">
        <f aca="false">AVERAGE(E340:E539)</f>
        <v>15065.31615</v>
      </c>
      <c r="M539" s="7" t="n">
        <f aca="false">I539</f>
        <v>14584.337</v>
      </c>
      <c r="N539" s="7" t="n">
        <f aca="false">I539+2*STDEV(E520:E539)</f>
        <v>15220.2708612118</v>
      </c>
      <c r="O539" s="7" t="n">
        <f aca="false">I539-2*STDEV(E520:E539)</f>
        <v>13948.4031387882</v>
      </c>
      <c r="P539" s="7" t="n">
        <f aca="false">MAX(E539-E538,0)</f>
        <v>0</v>
      </c>
      <c r="Q539" s="7" t="n">
        <f aca="false">MAX(E538-E539,0)</f>
        <v>17.1800000000003</v>
      </c>
      <c r="R539" s="7" t="n">
        <f aca="false">(R538*13+P539)/14</f>
        <v>105.418049776005</v>
      </c>
      <c r="S539" s="7" t="n">
        <f aca="false">(S538*13+Q539)/14</f>
        <v>126.887293194369</v>
      </c>
      <c r="T539" s="7" t="n">
        <f aca="false">IF(S539=0,100,100-100/(1+R539/S539))</f>
        <v>45.3790896188938</v>
      </c>
      <c r="U539" s="7" t="n">
        <f aca="false">E539*2/13+U538*11/13</f>
        <v>14628.3074784061</v>
      </c>
      <c r="V539" s="7" t="n">
        <f aca="false">E539*2/27+V538*25/27</f>
        <v>14865.515326636</v>
      </c>
      <c r="W539" s="7" t="n">
        <f aca="false">U539-V539</f>
        <v>-237.207848229911</v>
      </c>
      <c r="X539" s="7" t="n">
        <f aca="false">W539*2/10+X538*8/10</f>
        <v>-272.19788346606</v>
      </c>
      <c r="Y539" s="7" t="n">
        <f aca="false">W539-X539</f>
        <v>34.9900352361489</v>
      </c>
      <c r="Z539" s="9" t="s">
        <v>89</v>
      </c>
      <c r="AA539" s="7" t="str">
        <f aca="false">IFERROR(INDEX(02_轉折點45!B:B,MATCH(A539,02_轉折點45!A:A,0)),"")</f>
        <v/>
      </c>
      <c r="AB539" s="7" t="n">
        <f aca="false">COUNTIFS(05_訊號明細!A:A,A539,05_訊號明細!C:C,"TOP")</f>
        <v>0</v>
      </c>
      <c r="AC539" s="7" t="n">
        <f aca="false">COUNTIFS(05_訊號明細!A:A,A539,05_訊號明細!C:C,"BOTTOM")</f>
        <v>0</v>
      </c>
    </row>
    <row r="540" customFormat="false" ht="15" hidden="false" customHeight="false" outlineLevel="0" collapsed="false">
      <c r="A540" s="7" t="s">
        <v>581</v>
      </c>
      <c r="B540" s="7" t="n">
        <v>14485.08</v>
      </c>
      <c r="C540" s="7" t="n">
        <v>14497.46</v>
      </c>
      <c r="D540" s="7" t="n">
        <v>14155.43</v>
      </c>
      <c r="E540" s="7" t="n">
        <v>14171.74</v>
      </c>
      <c r="F540" s="7" t="n">
        <v>4278</v>
      </c>
      <c r="G540" s="7" t="n">
        <f aca="false">AVERAGE(E536:E540)</f>
        <v>14383.726</v>
      </c>
      <c r="H540" s="7" t="n">
        <f aca="false">AVERAGE(E531:E540)</f>
        <v>14569.386</v>
      </c>
      <c r="I540" s="7" t="n">
        <f aca="false">AVERAGE(E521:E540)</f>
        <v>14550.601</v>
      </c>
      <c r="J540" s="7" t="n">
        <f aca="false">AVERAGE(E491:E540)</f>
        <v>15394.5144</v>
      </c>
      <c r="K540" s="7" t="n">
        <f aca="false">AVERAGE(E441:E540)</f>
        <v>15526.9041</v>
      </c>
      <c r="L540" s="7" t="n">
        <f aca="false">AVERAGE(E341:E540)</f>
        <v>15068.658</v>
      </c>
      <c r="M540" s="7" t="n">
        <f aca="false">I540</f>
        <v>14550.601</v>
      </c>
      <c r="N540" s="7" t="n">
        <f aca="false">I540+2*STDEV(E521:E540)</f>
        <v>15199.4415648913</v>
      </c>
      <c r="O540" s="7" t="n">
        <f aca="false">I540-2*STDEV(E521:E540)</f>
        <v>13901.7604351087</v>
      </c>
      <c r="P540" s="7" t="n">
        <f aca="false">MAX(E540-E539,0)</f>
        <v>0</v>
      </c>
      <c r="Q540" s="7" t="n">
        <f aca="false">MAX(E539-E540,0)</f>
        <v>431.9</v>
      </c>
      <c r="R540" s="7" t="n">
        <f aca="false">(R539*13+P540)/14</f>
        <v>97.8881890777186</v>
      </c>
      <c r="S540" s="7" t="n">
        <f aca="false">(S539*13+Q540)/14</f>
        <v>148.673915109057</v>
      </c>
      <c r="T540" s="7" t="n">
        <f aca="false">IF(S540=0,100,100-100/(1+R540/S540))</f>
        <v>39.7012304062615</v>
      </c>
      <c r="U540" s="7" t="n">
        <f aca="false">E540*2/13+U539*11/13</f>
        <v>14558.0663278821</v>
      </c>
      <c r="V540" s="7" t="n">
        <f aca="false">E540*2/27+V539*25/27</f>
        <v>14814.1245617</v>
      </c>
      <c r="W540" s="7" t="n">
        <f aca="false">U540-V540</f>
        <v>-256.058233817923</v>
      </c>
      <c r="X540" s="7" t="n">
        <f aca="false">W540*2/10+X539*8/10</f>
        <v>-268.969953536433</v>
      </c>
      <c r="Y540" s="7" t="n">
        <f aca="false">W540-X540</f>
        <v>12.9117197185097</v>
      </c>
      <c r="Z540" s="9" t="s">
        <v>89</v>
      </c>
      <c r="AA540" s="7" t="str">
        <f aca="false">IFERROR(INDEX(02_轉折點45!B:B,MATCH(A540,02_轉折點45!A:A,0)),"")</f>
        <v/>
      </c>
      <c r="AB540" s="7" t="n">
        <f aca="false">COUNTIFS(05_訊號明細!A:A,A540,05_訊號明細!C:C,"TOP")</f>
        <v>0</v>
      </c>
      <c r="AC540" s="7" t="n">
        <f aca="false">COUNTIFS(05_訊號明細!A:A,A540,05_訊號明細!C:C,"BOTTOM")</f>
        <v>0</v>
      </c>
    </row>
    <row r="541" customFormat="false" ht="15" hidden="false" customHeight="false" outlineLevel="0" collapsed="false">
      <c r="A541" s="7" t="s">
        <v>582</v>
      </c>
      <c r="B541" s="7" t="n">
        <v>14207.55</v>
      </c>
      <c r="C541" s="7" t="n">
        <v>14225.72</v>
      </c>
      <c r="D541" s="7" t="n">
        <v>13918.76</v>
      </c>
      <c r="E541" s="7" t="n">
        <v>14009.54</v>
      </c>
      <c r="F541" s="7" t="n">
        <v>4502</v>
      </c>
      <c r="G541" s="7" t="n">
        <f aca="false">AVERAGE(E537:E541)</f>
        <v>14334.866</v>
      </c>
      <c r="H541" s="7" t="n">
        <f aca="false">AVERAGE(E532:E541)</f>
        <v>14500.905</v>
      </c>
      <c r="I541" s="7" t="n">
        <f aca="false">AVERAGE(E522:E541)</f>
        <v>14529.158</v>
      </c>
      <c r="J541" s="7" t="n">
        <f aca="false">AVERAGE(E492:E541)</f>
        <v>15346.8184</v>
      </c>
      <c r="K541" s="7" t="n">
        <f aca="false">AVERAGE(E442:E541)</f>
        <v>15519.2965</v>
      </c>
      <c r="L541" s="7" t="n">
        <f aca="false">AVERAGE(E342:E541)</f>
        <v>15070.63705</v>
      </c>
      <c r="M541" s="7" t="n">
        <f aca="false">I541</f>
        <v>14529.158</v>
      </c>
      <c r="N541" s="7" t="n">
        <f aca="false">I541+2*STDEV(E522:E541)</f>
        <v>15220.5614194334</v>
      </c>
      <c r="O541" s="7" t="n">
        <f aca="false">I541-2*STDEV(E522:E541)</f>
        <v>13837.7545805666</v>
      </c>
      <c r="P541" s="7" t="n">
        <f aca="false">MAX(E541-E540,0)</f>
        <v>0</v>
      </c>
      <c r="Q541" s="7" t="n">
        <f aca="false">MAX(E540-E541,0)</f>
        <v>162.199999999999</v>
      </c>
      <c r="R541" s="7" t="n">
        <f aca="false">(R540*13+P541)/14</f>
        <v>90.8961755721673</v>
      </c>
      <c r="S541" s="7" t="n">
        <f aca="false">(S540*13+Q541)/14</f>
        <v>149.640064029839</v>
      </c>
      <c r="T541" s="7" t="n">
        <f aca="false">IF(S541=0,100,100-100/(1+R541/S541))</f>
        <v>37.7889733881951</v>
      </c>
      <c r="U541" s="7" t="n">
        <f aca="false">E541*2/13+U540*11/13</f>
        <v>14473.6776620541</v>
      </c>
      <c r="V541" s="7" t="n">
        <f aca="false">E541*2/27+V540*25/27</f>
        <v>14754.5257052778</v>
      </c>
      <c r="W541" s="7" t="n">
        <f aca="false">U541-V541</f>
        <v>-280.848043223712</v>
      </c>
      <c r="X541" s="7" t="n">
        <f aca="false">W541*2/10+X540*8/10</f>
        <v>-271.345571473889</v>
      </c>
      <c r="Y541" s="7" t="n">
        <f aca="false">W541-X541</f>
        <v>-9.50247174982349</v>
      </c>
      <c r="Z541" s="9" t="s">
        <v>89</v>
      </c>
      <c r="AA541" s="7" t="str">
        <f aca="false">IFERROR(INDEX(02_轉折點45!B:B,MATCH(A541,02_轉折點45!A:A,0)),"")</f>
        <v/>
      </c>
      <c r="AB541" s="7" t="n">
        <f aca="false">COUNTIFS(05_訊號明細!A:A,A541,05_訊號明細!C:C,"TOP")</f>
        <v>0</v>
      </c>
      <c r="AC541" s="7" t="n">
        <f aca="false">COUNTIFS(05_訊號明細!A:A,A541,05_訊號明細!C:C,"BOTTOM")</f>
        <v>0</v>
      </c>
    </row>
    <row r="542" customFormat="false" ht="15" hidden="false" customHeight="false" outlineLevel="0" collapsed="false">
      <c r="A542" s="7" t="s">
        <v>583</v>
      </c>
      <c r="B542" s="7" t="n">
        <v>13892.81</v>
      </c>
      <c r="C542" s="7" t="n">
        <v>14109.26</v>
      </c>
      <c r="D542" s="7" t="n">
        <v>13720.92</v>
      </c>
      <c r="E542" s="7" t="n">
        <v>13870.53</v>
      </c>
      <c r="F542" s="7" t="n">
        <v>4849</v>
      </c>
      <c r="G542" s="7" t="n">
        <f aca="false">AVERAGE(E538:E542)</f>
        <v>14255.254</v>
      </c>
      <c r="H542" s="7" t="n">
        <f aca="false">AVERAGE(E533:E542)</f>
        <v>14430.833</v>
      </c>
      <c r="I542" s="7" t="n">
        <f aca="false">AVERAGE(E523:E542)</f>
        <v>14497.2055</v>
      </c>
      <c r="J542" s="7" t="n">
        <f aca="false">AVERAGE(E493:E542)</f>
        <v>15301.2376</v>
      </c>
      <c r="K542" s="7" t="n">
        <f aca="false">AVERAGE(E443:E542)</f>
        <v>15510.4729</v>
      </c>
      <c r="L542" s="7" t="n">
        <f aca="false">AVERAGE(E343:E542)</f>
        <v>15071.39155</v>
      </c>
      <c r="M542" s="7" t="n">
        <f aca="false">I542</f>
        <v>14497.2055</v>
      </c>
      <c r="N542" s="7" t="n">
        <f aca="false">I542+2*STDEV(E523:E542)</f>
        <v>15248.8594053938</v>
      </c>
      <c r="O542" s="7" t="n">
        <f aca="false">I542-2*STDEV(E523:E542)</f>
        <v>13745.5515946062</v>
      </c>
      <c r="P542" s="7" t="n">
        <f aca="false">MAX(E542-E541,0)</f>
        <v>0</v>
      </c>
      <c r="Q542" s="7" t="n">
        <f aca="false">MAX(E541-E542,0)</f>
        <v>139.01</v>
      </c>
      <c r="R542" s="7" t="n">
        <f aca="false">(R541*13+P542)/14</f>
        <v>84.4035916027267</v>
      </c>
      <c r="S542" s="7" t="n">
        <f aca="false">(S541*13+Q542)/14</f>
        <v>148.880773741993</v>
      </c>
      <c r="T542" s="7" t="n">
        <f aca="false">IF(S542=0,100,100-100/(1+R542/S542))</f>
        <v>36.1805607838335</v>
      </c>
      <c r="U542" s="7" t="n">
        <f aca="false">E542*2/13+U541*11/13</f>
        <v>14380.8857140457</v>
      </c>
      <c r="V542" s="7" t="n">
        <f aca="false">E542*2/27+V541*25/27</f>
        <v>14689.0445419239</v>
      </c>
      <c r="W542" s="7" t="n">
        <f aca="false">U542-V542</f>
        <v>-308.15882787812</v>
      </c>
      <c r="X542" s="7" t="n">
        <f aca="false">W542*2/10+X541*8/10</f>
        <v>-278.708222754735</v>
      </c>
      <c r="Y542" s="7" t="n">
        <f aca="false">W542-X542</f>
        <v>-29.4506051233852</v>
      </c>
      <c r="Z542" s="9" t="s">
        <v>89</v>
      </c>
      <c r="AA542" s="7" t="str">
        <f aca="false">IFERROR(INDEX(02_轉折點45!B:B,MATCH(A542,02_轉折點45!A:A,0)),"")</f>
        <v/>
      </c>
      <c r="AB542" s="7" t="n">
        <f aca="false">COUNTIFS(05_訊號明細!A:A,A542,05_訊號明細!C:C,"TOP")</f>
        <v>0</v>
      </c>
      <c r="AC542" s="7" t="n">
        <f aca="false">COUNTIFS(05_訊號明細!A:A,A542,05_訊號明細!C:C,"BOTTOM")</f>
        <v>1</v>
      </c>
    </row>
    <row r="543" customFormat="false" ht="15" hidden="false" customHeight="false" outlineLevel="0" collapsed="false">
      <c r="A543" s="7" t="s">
        <v>584</v>
      </c>
      <c r="B543" s="7" t="n">
        <v>14016.94</v>
      </c>
      <c r="C543" s="7" t="n">
        <v>14035.93</v>
      </c>
      <c r="D543" s="7" t="n">
        <v>13502.58</v>
      </c>
      <c r="E543" s="7" t="n">
        <v>13509.43</v>
      </c>
      <c r="F543" s="7" t="n">
        <v>4639</v>
      </c>
      <c r="G543" s="7" t="n">
        <f aca="false">AVERAGE(E539:E543)</f>
        <v>14032.976</v>
      </c>
      <c r="H543" s="7" t="n">
        <f aca="false">AVERAGE(E534:E543)</f>
        <v>14307.073</v>
      </c>
      <c r="I543" s="7" t="n">
        <f aca="false">AVERAGE(E524:E543)</f>
        <v>14465.221</v>
      </c>
      <c r="J543" s="7" t="n">
        <f aca="false">AVERAGE(E494:E543)</f>
        <v>15244.7866</v>
      </c>
      <c r="K543" s="7" t="n">
        <f aca="false">AVERAGE(E444:E543)</f>
        <v>15498.671</v>
      </c>
      <c r="L543" s="7" t="n">
        <f aca="false">AVERAGE(E344:E543)</f>
        <v>15072.1433</v>
      </c>
      <c r="M543" s="7" t="n">
        <f aca="false">I543</f>
        <v>14465.221</v>
      </c>
      <c r="N543" s="7" t="n">
        <f aca="false">I543+2*STDEV(E524:E543)</f>
        <v>15325.7898238026</v>
      </c>
      <c r="O543" s="7" t="n">
        <f aca="false">I543-2*STDEV(E524:E543)</f>
        <v>13604.6521761974</v>
      </c>
      <c r="P543" s="7" t="n">
        <f aca="false">MAX(E543-E542,0)</f>
        <v>0</v>
      </c>
      <c r="Q543" s="7" t="n">
        <f aca="false">MAX(E542-E543,0)</f>
        <v>361.1</v>
      </c>
      <c r="R543" s="7" t="n">
        <f aca="false">(R542*13+P543)/14</f>
        <v>78.3747636311034</v>
      </c>
      <c r="S543" s="7" t="n">
        <f aca="false">(S542*13+Q543)/14</f>
        <v>164.03928990328</v>
      </c>
      <c r="T543" s="7" t="n">
        <f aca="false">IF(S543=0,100,100-100/(1+R543/S543))</f>
        <v>32.3309488407969</v>
      </c>
      <c r="U543" s="7" t="n">
        <f aca="false">E543*2/13+U542*11/13</f>
        <v>14246.8156041926</v>
      </c>
      <c r="V543" s="7" t="n">
        <f aca="false">E543*2/27+V542*25/27</f>
        <v>14601.6656869665</v>
      </c>
      <c r="W543" s="7" t="n">
        <f aca="false">U543-V543</f>
        <v>-354.850082773988</v>
      </c>
      <c r="X543" s="7" t="n">
        <f aca="false">W543*2/10+X542*8/10</f>
        <v>-293.936594758586</v>
      </c>
      <c r="Y543" s="7" t="n">
        <f aca="false">W543-X543</f>
        <v>-60.9134880154026</v>
      </c>
      <c r="Z543" s="9" t="s">
        <v>89</v>
      </c>
      <c r="AA543" s="7" t="str">
        <f aca="false">IFERROR(INDEX(02_轉折點45!B:B,MATCH(A543,02_轉折點45!A:A,0)),"")</f>
        <v/>
      </c>
      <c r="AB543" s="7" t="n">
        <f aca="false">COUNTIFS(05_訊號明細!A:A,A543,05_訊號明細!C:C,"TOP")</f>
        <v>0</v>
      </c>
      <c r="AC543" s="7" t="n">
        <f aca="false">COUNTIFS(05_訊號明細!A:A,A543,05_訊號明細!C:C,"BOTTOM")</f>
        <v>1</v>
      </c>
    </row>
    <row r="544" customFormat="false" ht="15" hidden="false" customHeight="false" outlineLevel="0" collapsed="false">
      <c r="A544" s="7" t="s">
        <v>585</v>
      </c>
      <c r="B544" s="7" t="n">
        <v>13065.44</v>
      </c>
      <c r="C544" s="7" t="n">
        <v>13989.1</v>
      </c>
      <c r="D544" s="7" t="n">
        <v>13065.44</v>
      </c>
      <c r="E544" s="7" t="n">
        <v>13974.67</v>
      </c>
      <c r="F544" s="7" t="n">
        <v>6180</v>
      </c>
      <c r="G544" s="7" t="n">
        <f aca="false">AVERAGE(E540:E544)</f>
        <v>13907.182</v>
      </c>
      <c r="H544" s="7" t="n">
        <f aca="false">AVERAGE(E535:E544)</f>
        <v>14198.844</v>
      </c>
      <c r="I544" s="7" t="n">
        <f aca="false">AVERAGE(E525:E544)</f>
        <v>14455.3165</v>
      </c>
      <c r="J544" s="7" t="n">
        <f aca="false">AVERAGE(E495:E544)</f>
        <v>15202.629</v>
      </c>
      <c r="K544" s="7" t="n">
        <f aca="false">AVERAGE(E445:E544)</f>
        <v>15490.499</v>
      </c>
      <c r="L544" s="7" t="n">
        <f aca="false">AVERAGE(E345:E544)</f>
        <v>15075.2603</v>
      </c>
      <c r="M544" s="7" t="n">
        <f aca="false">I544</f>
        <v>14455.3165</v>
      </c>
      <c r="N544" s="7" t="n">
        <f aca="false">I544+2*STDEV(E525:E544)</f>
        <v>15334.4181577411</v>
      </c>
      <c r="O544" s="7" t="n">
        <f aca="false">I544-2*STDEV(E525:E544)</f>
        <v>13576.2148422589</v>
      </c>
      <c r="P544" s="7" t="n">
        <f aca="false">MAX(E544-E543,0)</f>
        <v>465.24</v>
      </c>
      <c r="Q544" s="7" t="n">
        <f aca="false">MAX(E543-E544,0)</f>
        <v>0</v>
      </c>
      <c r="R544" s="7" t="n">
        <f aca="false">(R543*13+P544)/14</f>
        <v>106.00799480031</v>
      </c>
      <c r="S544" s="7" t="n">
        <f aca="false">(S543*13+Q544)/14</f>
        <v>152.322197767331</v>
      </c>
      <c r="T544" s="7" t="n">
        <f aca="false">IF(S544=0,100,100-100/(1+R544/S544))</f>
        <v>41.0358517317147</v>
      </c>
      <c r="U544" s="7" t="n">
        <f aca="false">E544*2/13+U543*11/13</f>
        <v>14204.9470497014</v>
      </c>
      <c r="V544" s="7" t="n">
        <f aca="false">E544*2/27+V543*25/27</f>
        <v>14555.2215620061</v>
      </c>
      <c r="W544" s="7" t="n">
        <f aca="false">U544-V544</f>
        <v>-350.274512304666</v>
      </c>
      <c r="X544" s="7" t="n">
        <f aca="false">W544*2/10+X543*8/10</f>
        <v>-305.204178267802</v>
      </c>
      <c r="Y544" s="7" t="n">
        <f aca="false">W544-X544</f>
        <v>-45.0703340368646</v>
      </c>
      <c r="Z544" s="9" t="s">
        <v>89</v>
      </c>
      <c r="AA544" s="7" t="str">
        <f aca="false">IFERROR(INDEX(02_轉折點45!B:B,MATCH(A544,02_轉折點45!A:A,0)),"")</f>
        <v/>
      </c>
      <c r="AB544" s="7" t="n">
        <f aca="false">COUNTIFS(05_訊號明細!A:A,A544,05_訊號明細!C:C,"TOP")</f>
        <v>0</v>
      </c>
      <c r="AC544" s="7" t="n">
        <f aca="false">COUNTIFS(05_訊號明細!A:A,A544,05_訊號明細!C:C,"BOTTOM")</f>
        <v>1</v>
      </c>
    </row>
    <row r="545" customFormat="false" ht="15" hidden="false" customHeight="false" outlineLevel="0" collapsed="false">
      <c r="A545" s="7" t="s">
        <v>586</v>
      </c>
      <c r="B545" s="7" t="n">
        <v>13973.9</v>
      </c>
      <c r="C545" s="7" t="n">
        <v>14193</v>
      </c>
      <c r="D545" s="7" t="n">
        <v>13850.29</v>
      </c>
      <c r="E545" s="7" t="n">
        <v>14189.16</v>
      </c>
      <c r="F545" s="7" t="n">
        <v>4629</v>
      </c>
      <c r="G545" s="7" t="n">
        <f aca="false">AVERAGE(E541:E545)</f>
        <v>13910.666</v>
      </c>
      <c r="H545" s="7" t="n">
        <f aca="false">AVERAGE(E536:E545)</f>
        <v>14147.196</v>
      </c>
      <c r="I545" s="7" t="n">
        <f aca="false">AVERAGE(E526:E545)</f>
        <v>14464.619</v>
      </c>
      <c r="J545" s="7" t="n">
        <f aca="false">AVERAGE(E496:E545)</f>
        <v>15168.1142</v>
      </c>
      <c r="K545" s="7" t="n">
        <f aca="false">AVERAGE(E446:E545)</f>
        <v>15487.6694</v>
      </c>
      <c r="L545" s="7" t="n">
        <f aca="false">AVERAGE(E346:E545)</f>
        <v>15081.19795</v>
      </c>
      <c r="M545" s="7" t="n">
        <f aca="false">I545</f>
        <v>14464.619</v>
      </c>
      <c r="N545" s="7" t="n">
        <f aca="false">I545+2*STDEV(E526:E545)</f>
        <v>15327.3577877879</v>
      </c>
      <c r="O545" s="7" t="n">
        <f aca="false">I545-2*STDEV(E526:E545)</f>
        <v>13601.8802122121</v>
      </c>
      <c r="P545" s="7" t="n">
        <f aca="false">MAX(E545-E544,0)</f>
        <v>214.49</v>
      </c>
      <c r="Q545" s="7" t="n">
        <f aca="false">MAX(E544-E545,0)</f>
        <v>0</v>
      </c>
      <c r="R545" s="7" t="n">
        <f aca="false">(R544*13+P545)/14</f>
        <v>113.756709457431</v>
      </c>
      <c r="S545" s="7" t="n">
        <f aca="false">(S544*13+Q545)/14</f>
        <v>141.44204078395</v>
      </c>
      <c r="T545" s="7" t="n">
        <f aca="false">IF(S545=0,100,100-100/(1+R545/S545))</f>
        <v>44.575731405359</v>
      </c>
      <c r="U545" s="7" t="n">
        <f aca="false">E545*2/13+U544*11/13</f>
        <v>14202.5182728243</v>
      </c>
      <c r="V545" s="7" t="n">
        <f aca="false">E545*2/27+V544*25/27</f>
        <v>14528.1058907463</v>
      </c>
      <c r="W545" s="7" t="n">
        <f aca="false">U545-V545</f>
        <v>-325.587617922094</v>
      </c>
      <c r="X545" s="7" t="n">
        <f aca="false">W545*2/10+X544*8/10</f>
        <v>-309.28086619866</v>
      </c>
      <c r="Y545" s="7" t="n">
        <f aca="false">W545-X545</f>
        <v>-16.306751723434</v>
      </c>
      <c r="Z545" s="9" t="s">
        <v>89</v>
      </c>
      <c r="AA545" s="7" t="str">
        <f aca="false">IFERROR(INDEX(02_轉折點45!B:B,MATCH(A545,02_轉折點45!A:A,0)),"")</f>
        <v/>
      </c>
      <c r="AB545" s="7" t="n">
        <f aca="false">COUNTIFS(05_訊號明細!A:A,A545,05_訊號明細!C:C,"TOP")</f>
        <v>1</v>
      </c>
      <c r="AC545" s="7" t="n">
        <f aca="false">COUNTIFS(05_訊號明細!A:A,A545,05_訊號明細!C:C,"BOTTOM")</f>
        <v>0</v>
      </c>
    </row>
    <row r="546" customFormat="false" ht="15" hidden="false" customHeight="false" outlineLevel="0" collapsed="false">
      <c r="A546" s="7" t="s">
        <v>587</v>
      </c>
      <c r="B546" s="7" t="n">
        <v>14058.61</v>
      </c>
      <c r="C546" s="7" t="n">
        <v>14296.6</v>
      </c>
      <c r="D546" s="7" t="n">
        <v>14009.36</v>
      </c>
      <c r="E546" s="7" t="n">
        <v>14237.81</v>
      </c>
      <c r="F546" s="7" t="n">
        <v>5928</v>
      </c>
      <c r="G546" s="7" t="n">
        <f aca="false">AVERAGE(E542:E546)</f>
        <v>13956.32</v>
      </c>
      <c r="H546" s="7" t="n">
        <f aca="false">AVERAGE(E537:E546)</f>
        <v>14145.593</v>
      </c>
      <c r="I546" s="7" t="n">
        <f aca="false">AVERAGE(E527:E546)</f>
        <v>14453.779</v>
      </c>
      <c r="J546" s="7" t="n">
        <f aca="false">AVERAGE(E497:E546)</f>
        <v>15127.0786</v>
      </c>
      <c r="K546" s="7" t="n">
        <f aca="false">AVERAGE(E447:E546)</f>
        <v>15483.306</v>
      </c>
      <c r="L546" s="7" t="n">
        <f aca="false">AVERAGE(E347:E546)</f>
        <v>15086.84125</v>
      </c>
      <c r="M546" s="7" t="n">
        <f aca="false">I546</f>
        <v>14453.779</v>
      </c>
      <c r="N546" s="7" t="n">
        <f aca="false">I546+2*STDEV(E527:E546)</f>
        <v>15322.474762403</v>
      </c>
      <c r="O546" s="7" t="n">
        <f aca="false">I546-2*STDEV(E527:E546)</f>
        <v>13585.0832375971</v>
      </c>
      <c r="P546" s="7" t="n">
        <f aca="false">MAX(E546-E545,0)</f>
        <v>48.6499999999996</v>
      </c>
      <c r="Q546" s="7" t="n">
        <f aca="false">MAX(E545-E546,0)</f>
        <v>0</v>
      </c>
      <c r="R546" s="7" t="n">
        <f aca="false">(R545*13+P546)/14</f>
        <v>109.106230210472</v>
      </c>
      <c r="S546" s="7" t="n">
        <f aca="false">(S545*13+Q546)/14</f>
        <v>131.339037870811</v>
      </c>
      <c r="T546" s="7" t="n">
        <f aca="false">IF(S546=0,100,100-100/(1+R546/S546))</f>
        <v>45.3767425248678</v>
      </c>
      <c r="U546" s="7" t="n">
        <f aca="false">E546*2/13+U545*11/13</f>
        <v>14207.9477693128</v>
      </c>
      <c r="V546" s="7" t="n">
        <f aca="false">E546*2/27+V545*25/27</f>
        <v>14506.6024914318</v>
      </c>
      <c r="W546" s="7" t="n">
        <f aca="false">U546-V546</f>
        <v>-298.654722118974</v>
      </c>
      <c r="X546" s="7" t="n">
        <f aca="false">W546*2/10+X545*8/10</f>
        <v>-307.155637382723</v>
      </c>
      <c r="Y546" s="7" t="n">
        <f aca="false">W546-X546</f>
        <v>8.50091526374888</v>
      </c>
      <c r="Z546" s="9" t="s">
        <v>89</v>
      </c>
      <c r="AA546" s="7" t="str">
        <f aca="false">IFERROR(INDEX(02_轉折點45!B:B,MATCH(A546,02_轉折點45!A:A,0)),"")</f>
        <v/>
      </c>
      <c r="AB546" s="7" t="n">
        <f aca="false">COUNTIFS(05_訊號明細!A:A,A546,05_訊號明細!C:C,"TOP")</f>
        <v>0</v>
      </c>
      <c r="AC546" s="7" t="n">
        <f aca="false">COUNTIFS(05_訊號明細!A:A,A546,05_訊號明細!C:C,"BOTTOM")</f>
        <v>0</v>
      </c>
    </row>
    <row r="547" customFormat="false" ht="15" hidden="false" customHeight="false" outlineLevel="0" collapsed="false">
      <c r="A547" s="7" t="s">
        <v>588</v>
      </c>
      <c r="B547" s="7" t="n">
        <v>14197.66</v>
      </c>
      <c r="C547" s="7" t="n">
        <v>14271.58</v>
      </c>
      <c r="D547" s="7" t="n">
        <v>13906.92</v>
      </c>
      <c r="E547" s="7" t="n">
        <v>14005.99</v>
      </c>
      <c r="F547" s="7" t="n">
        <v>6131</v>
      </c>
      <c r="G547" s="7" t="n">
        <f aca="false">AVERAGE(E543:E547)</f>
        <v>13983.412</v>
      </c>
      <c r="H547" s="7" t="n">
        <f aca="false">AVERAGE(E538:E547)</f>
        <v>14119.333</v>
      </c>
      <c r="I547" s="7" t="n">
        <f aca="false">AVERAGE(E528:E547)</f>
        <v>14407.576</v>
      </c>
      <c r="J547" s="7" t="n">
        <f aca="false">AVERAGE(E498:E547)</f>
        <v>15089.9196</v>
      </c>
      <c r="K547" s="7" t="n">
        <f aca="false">AVERAGE(E448:E547)</f>
        <v>15475.6984</v>
      </c>
      <c r="L547" s="7" t="n">
        <f aca="false">AVERAGE(E348:E547)</f>
        <v>15089.9056</v>
      </c>
      <c r="M547" s="7" t="n">
        <f aca="false">I547</f>
        <v>14407.576</v>
      </c>
      <c r="N547" s="7" t="n">
        <f aca="false">I547+2*STDEV(E528:E547)</f>
        <v>15267.8685004512</v>
      </c>
      <c r="O547" s="7" t="n">
        <f aca="false">I547-2*STDEV(E528:E547)</f>
        <v>13547.2834995488</v>
      </c>
      <c r="P547" s="7" t="n">
        <f aca="false">MAX(E547-E546,0)</f>
        <v>0</v>
      </c>
      <c r="Q547" s="7" t="n">
        <f aca="false">MAX(E546-E547,0)</f>
        <v>231.82</v>
      </c>
      <c r="R547" s="7" t="n">
        <f aca="false">(R546*13+P547)/14</f>
        <v>101.312928052581</v>
      </c>
      <c r="S547" s="7" t="n">
        <f aca="false">(S546*13+Q547)/14</f>
        <v>138.516249451467</v>
      </c>
      <c r="T547" s="7" t="n">
        <f aca="false">IF(S547=0,100,100-100/(1+R547/S547))</f>
        <v>42.2437874769723</v>
      </c>
      <c r="U547" s="7" t="n">
        <f aca="false">E547*2/13+U546*11/13</f>
        <v>14176.8773432647</v>
      </c>
      <c r="V547" s="7" t="n">
        <f aca="false">E547*2/27+V546*25/27</f>
        <v>14469.5200846591</v>
      </c>
      <c r="W547" s="7" t="n">
        <f aca="false">U547-V547</f>
        <v>-292.642741394377</v>
      </c>
      <c r="X547" s="7" t="n">
        <f aca="false">W547*2/10+X546*8/10</f>
        <v>-304.253058185054</v>
      </c>
      <c r="Y547" s="7" t="n">
        <f aca="false">W547-X547</f>
        <v>11.610316790677</v>
      </c>
      <c r="Z547" s="9" t="s">
        <v>89</v>
      </c>
      <c r="AA547" s="7" t="str">
        <f aca="false">IFERROR(INDEX(02_轉折點45!B:B,MATCH(A547,02_轉折點45!A:A,0)),"")</f>
        <v/>
      </c>
      <c r="AB547" s="7" t="n">
        <f aca="false">COUNTIFS(05_訊號明細!A:A,A547,05_訊號明細!C:C,"TOP")</f>
        <v>1</v>
      </c>
      <c r="AC547" s="7" t="n">
        <f aca="false">COUNTIFS(05_訊號明細!A:A,A547,05_訊號明細!C:C,"BOTTOM")</f>
        <v>0</v>
      </c>
    </row>
    <row r="548" customFormat="false" ht="15" hidden="false" customHeight="false" outlineLevel="0" collapsed="false">
      <c r="A548" s="7" t="s">
        <v>589</v>
      </c>
      <c r="B548" s="7" t="n">
        <v>14075.11</v>
      </c>
      <c r="C548" s="7" t="n">
        <v>14292.72</v>
      </c>
      <c r="D548" s="7" t="n">
        <v>13962.69</v>
      </c>
      <c r="E548" s="7" t="n">
        <v>14243.69</v>
      </c>
      <c r="F548" s="7" t="n">
        <v>5246</v>
      </c>
      <c r="G548" s="7" t="n">
        <f aca="false">AVERAGE(E544:E548)</f>
        <v>14130.264</v>
      </c>
      <c r="H548" s="7" t="n">
        <f aca="false">AVERAGE(E539:E548)</f>
        <v>14081.62</v>
      </c>
      <c r="I548" s="7" t="n">
        <f aca="false">AVERAGE(E529:E548)</f>
        <v>14368.7765</v>
      </c>
      <c r="J548" s="7" t="n">
        <f aca="false">AVERAGE(E499:E548)</f>
        <v>15058.7642</v>
      </c>
      <c r="K548" s="7" t="n">
        <f aca="false">AVERAGE(E449:E548)</f>
        <v>15469.164</v>
      </c>
      <c r="L548" s="7" t="n">
        <f aca="false">AVERAGE(E349:E548)</f>
        <v>15094.5595</v>
      </c>
      <c r="M548" s="7" t="n">
        <f aca="false">I548</f>
        <v>14368.7765</v>
      </c>
      <c r="N548" s="7" t="n">
        <f aca="false">I548+2*STDEV(E529:E548)</f>
        <v>15181.5131926826</v>
      </c>
      <c r="O548" s="7" t="n">
        <f aca="false">I548-2*STDEV(E529:E548)</f>
        <v>13556.0398073174</v>
      </c>
      <c r="P548" s="7" t="n">
        <f aca="false">MAX(E548-E547,0)</f>
        <v>237.700000000001</v>
      </c>
      <c r="Q548" s="7" t="n">
        <f aca="false">MAX(E547-E548,0)</f>
        <v>0</v>
      </c>
      <c r="R548" s="7" t="n">
        <f aca="false">(R547*13+P548)/14</f>
        <v>111.054861763111</v>
      </c>
      <c r="S548" s="7" t="n">
        <f aca="false">(S547*13+Q548)/14</f>
        <v>128.622231633505</v>
      </c>
      <c r="T548" s="7" t="n">
        <f aca="false">IF(S548=0,100,100-100/(1+R548/S548))</f>
        <v>46.3352004938319</v>
      </c>
      <c r="U548" s="7" t="n">
        <f aca="false">E548*2/13+U547*11/13</f>
        <v>14187.1562135317</v>
      </c>
      <c r="V548" s="7" t="n">
        <f aca="false">E548*2/27+V547*25/27</f>
        <v>14452.7919302399</v>
      </c>
      <c r="W548" s="7" t="n">
        <f aca="false">U548-V548</f>
        <v>-265.635716708219</v>
      </c>
      <c r="X548" s="7" t="n">
        <f aca="false">W548*2/10+X547*8/10</f>
        <v>-296.529589889687</v>
      </c>
      <c r="Y548" s="7" t="n">
        <f aca="false">W548-X548</f>
        <v>30.8938731814679</v>
      </c>
      <c r="Z548" s="9" t="s">
        <v>89</v>
      </c>
      <c r="AA548" s="7" t="str">
        <f aca="false">IFERROR(INDEX(02_轉折點45!B:B,MATCH(A548,02_轉折點45!A:A,0)),"")</f>
        <v/>
      </c>
      <c r="AB548" s="7" t="n">
        <f aca="false">COUNTIFS(05_訊號明細!A:A,A548,05_訊號明細!C:C,"TOP")</f>
        <v>0</v>
      </c>
      <c r="AC548" s="7" t="n">
        <f aca="false">COUNTIFS(05_訊號明細!A:A,A548,05_訊號明細!C:C,"BOTTOM")</f>
        <v>0</v>
      </c>
    </row>
    <row r="549" customFormat="false" ht="15" hidden="false" customHeight="false" outlineLevel="0" collapsed="false">
      <c r="A549" s="7" t="s">
        <v>590</v>
      </c>
      <c r="B549" s="7" t="n">
        <v>14339.7</v>
      </c>
      <c r="C549" s="7" t="n">
        <v>14342.56</v>
      </c>
      <c r="D549" s="7" t="n">
        <v>13965.11</v>
      </c>
      <c r="E549" s="7" t="n">
        <v>14035.21</v>
      </c>
      <c r="F549" s="7" t="n">
        <v>5093</v>
      </c>
      <c r="G549" s="7" t="n">
        <f aca="false">AVERAGE(E545:E549)</f>
        <v>14142.372</v>
      </c>
      <c r="H549" s="7" t="n">
        <f aca="false">AVERAGE(E540:E549)</f>
        <v>14024.777</v>
      </c>
      <c r="I549" s="7" t="n">
        <f aca="false">AVERAGE(E530:E549)</f>
        <v>14313.55</v>
      </c>
      <c r="J549" s="7" t="n">
        <f aca="false">AVERAGE(E500:E549)</f>
        <v>15026.9156</v>
      </c>
      <c r="K549" s="7" t="n">
        <f aca="false">AVERAGE(E450:E549)</f>
        <v>15461.3086</v>
      </c>
      <c r="L549" s="7" t="n">
        <f aca="false">AVERAGE(E350:E549)</f>
        <v>15098.64715</v>
      </c>
      <c r="M549" s="7" t="n">
        <f aca="false">I549</f>
        <v>14313.55</v>
      </c>
      <c r="N549" s="7" t="n">
        <f aca="false">I549+2*STDEV(E530:E549)</f>
        <v>15052.4612888568</v>
      </c>
      <c r="O549" s="7" t="n">
        <f aca="false">I549-2*STDEV(E530:E549)</f>
        <v>13574.6387111432</v>
      </c>
      <c r="P549" s="7" t="n">
        <f aca="false">MAX(E549-E548,0)</f>
        <v>0</v>
      </c>
      <c r="Q549" s="7" t="n">
        <f aca="false">MAX(E548-E549,0)</f>
        <v>208.480000000001</v>
      </c>
      <c r="R549" s="7" t="n">
        <f aca="false">(R548*13+P549)/14</f>
        <v>103.122371637174</v>
      </c>
      <c r="S549" s="7" t="n">
        <f aca="false">(S548*13+Q549)/14</f>
        <v>134.326357945398</v>
      </c>
      <c r="T549" s="7" t="n">
        <f aca="false">IF(S549=0,100,100-100/(1+R549/S549))</f>
        <v>43.4293212764121</v>
      </c>
      <c r="U549" s="7" t="n">
        <f aca="false">E549*2/13+U548*11/13</f>
        <v>14163.7798729883</v>
      </c>
      <c r="V549" s="7" t="n">
        <f aca="false">E549*2/27+V548*25/27</f>
        <v>14421.8599354073</v>
      </c>
      <c r="W549" s="7" t="n">
        <f aca="false">U549-V549</f>
        <v>-258.080062418969</v>
      </c>
      <c r="X549" s="7" t="n">
        <f aca="false">W549*2/10+X548*8/10</f>
        <v>-288.839684395543</v>
      </c>
      <c r="Y549" s="7" t="n">
        <f aca="false">W549-X549</f>
        <v>30.7596219765743</v>
      </c>
      <c r="Z549" s="9" t="s">
        <v>89</v>
      </c>
      <c r="AA549" s="7" t="str">
        <f aca="false">IFERROR(INDEX(02_轉折點45!B:B,MATCH(A549,02_轉折點45!A:A,0)),"")</f>
        <v/>
      </c>
      <c r="AB549" s="7" t="n">
        <f aca="false">COUNTIFS(05_訊號明細!A:A,A549,05_訊號明細!C:C,"TOP")</f>
        <v>0</v>
      </c>
      <c r="AC549" s="7" t="n">
        <f aca="false">COUNTIFS(05_訊號明細!A:A,A549,05_訊號明細!C:C,"BOTTOM")</f>
        <v>0</v>
      </c>
    </row>
    <row r="550" customFormat="false" ht="15" hidden="false" customHeight="false" outlineLevel="0" collapsed="false">
      <c r="A550" s="7" t="s">
        <v>591</v>
      </c>
      <c r="B550" s="7" t="n">
        <v>13957.6</v>
      </c>
      <c r="C550" s="7" t="n">
        <v>13992.97</v>
      </c>
      <c r="D550" s="7" t="n">
        <v>13738.61</v>
      </c>
      <c r="E550" s="7" t="n">
        <v>13837.83</v>
      </c>
      <c r="F550" s="7" t="n">
        <v>5344</v>
      </c>
      <c r="G550" s="7" t="n">
        <f aca="false">AVERAGE(E546:E550)</f>
        <v>14072.106</v>
      </c>
      <c r="H550" s="7" t="n">
        <f aca="false">AVERAGE(E541:E550)</f>
        <v>13991.386</v>
      </c>
      <c r="I550" s="7" t="n">
        <f aca="false">AVERAGE(E531:E550)</f>
        <v>14280.386</v>
      </c>
      <c r="J550" s="7" t="n">
        <f aca="false">AVERAGE(E501:E550)</f>
        <v>14983.9466</v>
      </c>
      <c r="K550" s="7" t="n">
        <f aca="false">AVERAGE(E451:E550)</f>
        <v>15452.5496</v>
      </c>
      <c r="L550" s="7" t="n">
        <f aca="false">AVERAGE(E351:E550)</f>
        <v>15101.64675</v>
      </c>
      <c r="M550" s="7" t="n">
        <f aca="false">I550</f>
        <v>14280.386</v>
      </c>
      <c r="N550" s="7" t="n">
        <f aca="false">I550+2*STDEV(E531:E550)</f>
        <v>15043.0110700091</v>
      </c>
      <c r="O550" s="7" t="n">
        <f aca="false">I550-2*STDEV(E531:E550)</f>
        <v>13517.7609299909</v>
      </c>
      <c r="P550" s="7" t="n">
        <f aca="false">MAX(E550-E549,0)</f>
        <v>0</v>
      </c>
      <c r="Q550" s="7" t="n">
        <f aca="false">MAX(E549-E550,0)</f>
        <v>197.379999999999</v>
      </c>
      <c r="R550" s="7" t="n">
        <f aca="false">(R549*13+P550)/14</f>
        <v>95.7564879488047</v>
      </c>
      <c r="S550" s="7" t="n">
        <f aca="false">(S549*13+Q550)/14</f>
        <v>138.830189520727</v>
      </c>
      <c r="T550" s="7" t="n">
        <f aca="false">IF(S550=0,100,100-100/(1+R550/S550))</f>
        <v>40.8192353383929</v>
      </c>
      <c r="U550" s="7" t="n">
        <f aca="false">E550*2/13+U549*11/13</f>
        <v>14113.6337386824</v>
      </c>
      <c r="V550" s="7" t="n">
        <f aca="false">E550*2/27+V549*25/27</f>
        <v>14378.5984587105</v>
      </c>
      <c r="W550" s="7" t="n">
        <f aca="false">U550-V550</f>
        <v>-264.964720028031</v>
      </c>
      <c r="X550" s="7" t="n">
        <f aca="false">W550*2/10+X549*8/10</f>
        <v>-284.064691522041</v>
      </c>
      <c r="Y550" s="7" t="n">
        <f aca="false">W550-X550</f>
        <v>19.0999714940099</v>
      </c>
      <c r="Z550" s="9" t="s">
        <v>89</v>
      </c>
      <c r="AA550" s="7" t="str">
        <f aca="false">IFERROR(INDEX(02_轉折點45!B:B,MATCH(A550,02_轉折點45!A:A,0)),"")</f>
        <v/>
      </c>
      <c r="AB550" s="7" t="n">
        <f aca="false">COUNTIFS(05_訊號明細!A:A,A550,05_訊號明細!C:C,"TOP")</f>
        <v>0</v>
      </c>
      <c r="AC550" s="7" t="n">
        <f aca="false">COUNTIFS(05_訊號明細!A:A,A550,05_訊號明細!C:C,"BOTTOM")</f>
        <v>0</v>
      </c>
    </row>
    <row r="551" customFormat="false" ht="15" hidden="false" customHeight="false" outlineLevel="0" collapsed="false">
      <c r="A551" s="7" t="s">
        <v>592</v>
      </c>
      <c r="B551" s="7" t="n">
        <v>13853.53</v>
      </c>
      <c r="C551" s="7" t="n">
        <v>13879.1</v>
      </c>
      <c r="D551" s="7" t="n">
        <v>13314.44</v>
      </c>
      <c r="E551" s="7" t="n">
        <v>13319.38</v>
      </c>
      <c r="F551" s="7" t="n">
        <v>6195</v>
      </c>
      <c r="G551" s="7" t="n">
        <f aca="false">AVERAGE(E547:E551)</f>
        <v>13888.42</v>
      </c>
      <c r="H551" s="7" t="n">
        <f aca="false">AVERAGE(E542:E551)</f>
        <v>13922.37</v>
      </c>
      <c r="I551" s="7" t="n">
        <f aca="false">AVERAGE(E532:E551)</f>
        <v>14211.6375</v>
      </c>
      <c r="J551" s="7" t="n">
        <f aca="false">AVERAGE(E502:E551)</f>
        <v>14926.7314</v>
      </c>
      <c r="K551" s="7" t="n">
        <f aca="false">AVERAGE(E452:E551)</f>
        <v>15439.1223</v>
      </c>
      <c r="L551" s="7" t="n">
        <f aca="false">AVERAGE(E352:E551)</f>
        <v>15100.7732</v>
      </c>
      <c r="M551" s="7" t="n">
        <f aca="false">I551</f>
        <v>14211.6375</v>
      </c>
      <c r="N551" s="7" t="n">
        <f aca="false">I551+2*STDEV(E532:E551)</f>
        <v>15060.1935430427</v>
      </c>
      <c r="O551" s="7" t="n">
        <f aca="false">I551-2*STDEV(E532:E551)</f>
        <v>13363.0814569573</v>
      </c>
      <c r="P551" s="7" t="n">
        <f aca="false">MAX(E551-E550,0)</f>
        <v>0</v>
      </c>
      <c r="Q551" s="7" t="n">
        <f aca="false">MAX(E550-E551,0)</f>
        <v>518.450000000001</v>
      </c>
      <c r="R551" s="7" t="n">
        <f aca="false">(R550*13+P551)/14</f>
        <v>88.9167388096043</v>
      </c>
      <c r="S551" s="7" t="n">
        <f aca="false">(S550*13+Q551)/14</f>
        <v>165.945890269246</v>
      </c>
      <c r="T551" s="7" t="n">
        <f aca="false">IF(S551=0,100,100-100/(1+R551/S551))</f>
        <v>34.8881038899174</v>
      </c>
      <c r="U551" s="7" t="n">
        <f aca="false">E551*2/13+U550*11/13</f>
        <v>13991.4408558082</v>
      </c>
      <c r="V551" s="7" t="n">
        <f aca="false">E551*2/27+V550*25/27</f>
        <v>14300.1378321393</v>
      </c>
      <c r="W551" s="7" t="n">
        <f aca="false">U551-V551</f>
        <v>-308.696976331104</v>
      </c>
      <c r="X551" s="7" t="n">
        <f aca="false">W551*2/10+X550*8/10</f>
        <v>-288.991148483853</v>
      </c>
      <c r="Y551" s="7" t="n">
        <f aca="false">W551-X551</f>
        <v>-19.7058278472512</v>
      </c>
      <c r="Z551" s="9" t="s">
        <v>89</v>
      </c>
      <c r="AA551" s="7" t="str">
        <f aca="false">IFERROR(INDEX(02_轉折點45!B:B,MATCH(A551,02_轉折點45!A:A,0)),"")</f>
        <v/>
      </c>
      <c r="AB551" s="7" t="n">
        <f aca="false">COUNTIFS(05_訊號明細!A:A,A551,05_訊號明細!C:C,"TOP")</f>
        <v>0</v>
      </c>
      <c r="AC551" s="7" t="n">
        <f aca="false">COUNTIFS(05_訊號明細!A:A,A551,05_訊號明細!C:C,"BOTTOM")</f>
        <v>1</v>
      </c>
    </row>
    <row r="552" customFormat="false" ht="15" hidden="false" customHeight="false" outlineLevel="0" collapsed="false">
      <c r="A552" s="7" t="s">
        <v>593</v>
      </c>
      <c r="B552" s="7" t="n">
        <v>13275.23</v>
      </c>
      <c r="C552" s="7" t="n">
        <v>13663.27</v>
      </c>
      <c r="D552" s="7" t="n">
        <v>13129.4</v>
      </c>
      <c r="E552" s="7" t="n">
        <v>13267.61</v>
      </c>
      <c r="F552" s="7" t="n">
        <v>6684</v>
      </c>
      <c r="G552" s="7" t="n">
        <f aca="false">AVERAGE(E548:E552)</f>
        <v>13740.744</v>
      </c>
      <c r="H552" s="7" t="n">
        <f aca="false">AVERAGE(E543:E552)</f>
        <v>13862.078</v>
      </c>
      <c r="I552" s="7" t="n">
        <f aca="false">AVERAGE(E533:E552)</f>
        <v>14146.4555</v>
      </c>
      <c r="J552" s="7" t="n">
        <f aca="false">AVERAGE(E503:E552)</f>
        <v>14865.9194</v>
      </c>
      <c r="K552" s="7" t="n">
        <f aca="false">AVERAGE(E453:E552)</f>
        <v>15424.0524</v>
      </c>
      <c r="L552" s="7" t="n">
        <f aca="false">AVERAGE(E353:E552)</f>
        <v>15100.05255</v>
      </c>
      <c r="M552" s="7" t="n">
        <f aca="false">I552</f>
        <v>14146.4555</v>
      </c>
      <c r="N552" s="7" t="n">
        <f aca="false">I552+2*STDEV(E533:E552)</f>
        <v>15075.1918072017</v>
      </c>
      <c r="O552" s="7" t="n">
        <f aca="false">I552-2*STDEV(E533:E552)</f>
        <v>13217.7191927983</v>
      </c>
      <c r="P552" s="7" t="n">
        <f aca="false">MAX(E552-E551,0)</f>
        <v>0</v>
      </c>
      <c r="Q552" s="7" t="n">
        <f aca="false">MAX(E551-E552,0)</f>
        <v>51.7699999999986</v>
      </c>
      <c r="R552" s="7" t="n">
        <f aca="false">(R551*13+P552)/14</f>
        <v>82.5655431803469</v>
      </c>
      <c r="S552" s="7" t="n">
        <f aca="false">(S551*13+Q552)/14</f>
        <v>157.790469535728</v>
      </c>
      <c r="T552" s="7" t="n">
        <f aca="false">IF(S552=0,100,100-100/(1+R552/S552))</f>
        <v>34.3513533309769</v>
      </c>
      <c r="U552" s="7" t="n">
        <f aca="false">E552*2/13+U551*11/13</f>
        <v>13880.082262607</v>
      </c>
      <c r="V552" s="7" t="n">
        <f aca="false">E552*2/27+V551*25/27</f>
        <v>14223.6542890179</v>
      </c>
      <c r="W552" s="7" t="n">
        <f aca="false">U552-V552</f>
        <v>-343.572026410937</v>
      </c>
      <c r="X552" s="7" t="n">
        <f aca="false">W552*2/10+X551*8/10</f>
        <v>-299.90732406927</v>
      </c>
      <c r="Y552" s="7" t="n">
        <f aca="false">W552-X552</f>
        <v>-43.6647023416668</v>
      </c>
      <c r="Z552" s="9" t="s">
        <v>89</v>
      </c>
      <c r="AA552" s="7" t="str">
        <f aca="false">IFERROR(INDEX(02_轉折點45!B:B,MATCH(A552,02_轉折點45!A:A,0)),"")</f>
        <v/>
      </c>
      <c r="AB552" s="7" t="n">
        <f aca="false">COUNTIFS(05_訊號明細!A:A,A552,05_訊號明細!C:C,"TOP")</f>
        <v>0</v>
      </c>
      <c r="AC552" s="7" t="n">
        <f aca="false">COUNTIFS(05_訊號明細!A:A,A552,05_訊號明細!C:C,"BOTTOM")</f>
        <v>0</v>
      </c>
    </row>
    <row r="553" customFormat="false" ht="15" hidden="false" customHeight="false" outlineLevel="0" collapsed="false">
      <c r="A553" s="7" t="s">
        <v>594</v>
      </c>
      <c r="B553" s="7" t="n">
        <v>13610.48</v>
      </c>
      <c r="C553" s="7" t="n">
        <v>13793.11</v>
      </c>
      <c r="D553" s="7" t="n">
        <v>13504.48</v>
      </c>
      <c r="E553" s="7" t="n">
        <v>13742.2</v>
      </c>
      <c r="F553" s="7" t="n">
        <v>5397</v>
      </c>
      <c r="G553" s="7" t="n">
        <f aca="false">AVERAGE(E549:E553)</f>
        <v>13640.446</v>
      </c>
      <c r="H553" s="7" t="n">
        <f aca="false">AVERAGE(E544:E553)</f>
        <v>13885.355</v>
      </c>
      <c r="I553" s="7" t="n">
        <f aca="false">AVERAGE(E534:E553)</f>
        <v>14096.214</v>
      </c>
      <c r="J553" s="7" t="n">
        <f aca="false">AVERAGE(E504:E553)</f>
        <v>14809.4134</v>
      </c>
      <c r="K553" s="7" t="n">
        <f aca="false">AVERAGE(E454:E553)</f>
        <v>15410.9502</v>
      </c>
      <c r="L553" s="7" t="n">
        <f aca="false">AVERAGE(E354:E553)</f>
        <v>15100.5548</v>
      </c>
      <c r="M553" s="7" t="n">
        <f aca="false">I553</f>
        <v>14096.214</v>
      </c>
      <c r="N553" s="7" t="n">
        <f aca="false">I553+2*STDEV(E534:E553)</f>
        <v>14996.4322743827</v>
      </c>
      <c r="O553" s="7" t="n">
        <f aca="false">I553-2*STDEV(E534:E553)</f>
        <v>13195.9957256173</v>
      </c>
      <c r="P553" s="7" t="n">
        <f aca="false">MAX(E553-E552,0)</f>
        <v>474.59</v>
      </c>
      <c r="Q553" s="7" t="n">
        <f aca="false">MAX(E552-E553,0)</f>
        <v>0</v>
      </c>
      <c r="R553" s="7" t="n">
        <f aca="false">(R552*13+P553)/14</f>
        <v>110.567290096036</v>
      </c>
      <c r="S553" s="7" t="n">
        <f aca="false">(S552*13+Q553)/14</f>
        <v>146.519721711748</v>
      </c>
      <c r="T553" s="7" t="n">
        <f aca="false">IF(S553=0,100,100-100/(1+R553/S553))</f>
        <v>43.0077308528927</v>
      </c>
      <c r="U553" s="7" t="n">
        <f aca="false">E553*2/13+U552*11/13</f>
        <v>13858.8696068213</v>
      </c>
      <c r="V553" s="7" t="n">
        <f aca="false">E553*2/27+V552*25/27</f>
        <v>14187.9910083499</v>
      </c>
      <c r="W553" s="7" t="n">
        <f aca="false">U553-V553</f>
        <v>-329.121401528631</v>
      </c>
      <c r="X553" s="7" t="n">
        <f aca="false">W553*2/10+X552*8/10</f>
        <v>-305.750139561142</v>
      </c>
      <c r="Y553" s="7" t="n">
        <f aca="false">W553-X553</f>
        <v>-23.3712619674891</v>
      </c>
      <c r="Z553" s="9" t="s">
        <v>89</v>
      </c>
      <c r="AA553" s="7" t="str">
        <f aca="false">IFERROR(INDEX(02_轉折點45!B:B,MATCH(A553,02_轉折點45!A:A,0)),"")</f>
        <v/>
      </c>
      <c r="AB553" s="7" t="n">
        <f aca="false">COUNTIFS(05_訊號明細!A:A,A553,05_訊號明細!C:C,"TOP")</f>
        <v>0</v>
      </c>
      <c r="AC553" s="7" t="n">
        <f aca="false">COUNTIFS(05_訊號明細!A:A,A553,05_訊號明細!C:C,"BOTTOM")</f>
        <v>0</v>
      </c>
    </row>
    <row r="554" customFormat="false" ht="15" hidden="false" customHeight="false" outlineLevel="0" collapsed="false">
      <c r="A554" s="7" t="s">
        <v>595</v>
      </c>
      <c r="B554" s="7" t="n">
        <v>13577.84</v>
      </c>
      <c r="C554" s="7" t="n">
        <v>13633.69</v>
      </c>
      <c r="D554" s="7" t="n">
        <v>13399.46</v>
      </c>
      <c r="E554" s="7" t="n">
        <v>13591</v>
      </c>
      <c r="F554" s="7" t="n">
        <v>5071</v>
      </c>
      <c r="G554" s="7" t="n">
        <f aca="false">AVERAGE(E550:E554)</f>
        <v>13551.604</v>
      </c>
      <c r="H554" s="7" t="n">
        <f aca="false">AVERAGE(E545:E554)</f>
        <v>13846.988</v>
      </c>
      <c r="I554" s="7" t="n">
        <f aca="false">AVERAGE(E535:E554)</f>
        <v>14022.916</v>
      </c>
      <c r="J554" s="7" t="n">
        <f aca="false">AVERAGE(E505:E554)</f>
        <v>14751.4602</v>
      </c>
      <c r="K554" s="7" t="n">
        <f aca="false">AVERAGE(E455:E554)</f>
        <v>15395.391</v>
      </c>
      <c r="L554" s="7" t="n">
        <f aca="false">AVERAGE(E355:E554)</f>
        <v>15100.22115</v>
      </c>
      <c r="M554" s="7" t="n">
        <f aca="false">I554</f>
        <v>14022.916</v>
      </c>
      <c r="N554" s="7" t="n">
        <f aca="false">I554+2*STDEV(E535:E554)</f>
        <v>14827.393319098</v>
      </c>
      <c r="O554" s="7" t="n">
        <f aca="false">I554-2*STDEV(E535:E554)</f>
        <v>13218.438680902</v>
      </c>
      <c r="P554" s="7" t="n">
        <f aca="false">MAX(E554-E553,0)</f>
        <v>0</v>
      </c>
      <c r="Q554" s="7" t="n">
        <f aca="false">MAX(E553-E554,0)</f>
        <v>151.200000000001</v>
      </c>
      <c r="R554" s="7" t="n">
        <f aca="false">(R553*13+P554)/14</f>
        <v>102.669626517748</v>
      </c>
      <c r="S554" s="7" t="n">
        <f aca="false">(S553*13+Q554)/14</f>
        <v>146.854027303766</v>
      </c>
      <c r="T554" s="7" t="n">
        <f aca="false">IF(S554=0,100,100-100/(1+R554/S554))</f>
        <v>41.1462500429672</v>
      </c>
      <c r="U554" s="7" t="n">
        <f aca="false">E554*2/13+U553*11/13</f>
        <v>13817.6588980795</v>
      </c>
      <c r="V554" s="7" t="n">
        <f aca="false">E554*2/27+V553*25/27</f>
        <v>14143.7694521758</v>
      </c>
      <c r="W554" s="7" t="n">
        <f aca="false">U554-V554</f>
        <v>-326.110554096296</v>
      </c>
      <c r="X554" s="7" t="n">
        <f aca="false">W554*2/10+X553*8/10</f>
        <v>-309.822222468173</v>
      </c>
      <c r="Y554" s="7" t="n">
        <f aca="false">W554-X554</f>
        <v>-16.2883316281232</v>
      </c>
      <c r="Z554" s="9" t="s">
        <v>89</v>
      </c>
      <c r="AA554" s="7" t="str">
        <f aca="false">IFERROR(INDEX(02_轉折點45!B:B,MATCH(A554,02_轉折點45!A:A,0)),"")</f>
        <v/>
      </c>
      <c r="AB554" s="7" t="n">
        <f aca="false">COUNTIFS(05_訊號明細!A:A,A554,05_訊號明細!C:C,"TOP")</f>
        <v>0</v>
      </c>
      <c r="AC554" s="7" t="n">
        <f aca="false">COUNTIFS(05_訊號明細!A:A,A554,05_訊號明細!C:C,"BOTTOM")</f>
        <v>2</v>
      </c>
    </row>
    <row r="555" customFormat="false" ht="15" hidden="false" customHeight="false" outlineLevel="0" collapsed="false">
      <c r="A555" s="7" t="s">
        <v>596</v>
      </c>
      <c r="B555" s="7" t="n">
        <v>13701.8</v>
      </c>
      <c r="C555" s="7" t="n">
        <v>13714.44</v>
      </c>
      <c r="D555" s="7" t="n">
        <v>13285.19</v>
      </c>
      <c r="E555" s="7" t="n">
        <v>13301.83</v>
      </c>
      <c r="F555" s="7" t="n">
        <v>5288</v>
      </c>
      <c r="G555" s="7" t="n">
        <f aca="false">AVERAGE(E551:E555)</f>
        <v>13444.404</v>
      </c>
      <c r="H555" s="7" t="n">
        <f aca="false">AVERAGE(E546:E555)</f>
        <v>13758.255</v>
      </c>
      <c r="I555" s="7" t="n">
        <f aca="false">AVERAGE(E536:E555)</f>
        <v>13952.7255</v>
      </c>
      <c r="J555" s="7" t="n">
        <f aca="false">AVERAGE(E506:E555)</f>
        <v>14687.6766</v>
      </c>
      <c r="K555" s="7" t="n">
        <f aca="false">AVERAGE(E456:E555)</f>
        <v>15375.4004</v>
      </c>
      <c r="L555" s="7" t="n">
        <f aca="false">AVERAGE(E356:E555)</f>
        <v>15098.2166</v>
      </c>
      <c r="M555" s="7" t="n">
        <f aca="false">I555</f>
        <v>13952.7255</v>
      </c>
      <c r="N555" s="7" t="n">
        <f aca="false">I555+2*STDEV(E536:E555)</f>
        <v>14751.3350388592</v>
      </c>
      <c r="O555" s="7" t="n">
        <f aca="false">I555-2*STDEV(E536:E555)</f>
        <v>13154.1159611408</v>
      </c>
      <c r="P555" s="7" t="n">
        <f aca="false">MAX(E555-E554,0)</f>
        <v>0</v>
      </c>
      <c r="Q555" s="7" t="n">
        <f aca="false">MAX(E554-E555,0)</f>
        <v>289.17</v>
      </c>
      <c r="R555" s="7" t="n">
        <f aca="false">(R554*13+P555)/14</f>
        <v>95.3360817664803</v>
      </c>
      <c r="S555" s="7" t="n">
        <f aca="false">(S554*13+Q555)/14</f>
        <v>157.019453924925</v>
      </c>
      <c r="T555" s="7" t="n">
        <f aca="false">IF(S555=0,100,100-100/(1+R555/S555))</f>
        <v>37.7784784888026</v>
      </c>
      <c r="U555" s="7" t="n">
        <f aca="false">E555*2/13+U554*11/13</f>
        <v>13738.3006060673</v>
      </c>
      <c r="V555" s="7" t="n">
        <f aca="false">E555*2/27+V554*25/27</f>
        <v>14081.4035668295</v>
      </c>
      <c r="W555" s="7" t="n">
        <f aca="false">U555-V555</f>
        <v>-343.102960762177</v>
      </c>
      <c r="X555" s="7" t="n">
        <f aca="false">W555*2/10+X554*8/10</f>
        <v>-316.478370126974</v>
      </c>
      <c r="Y555" s="7" t="n">
        <f aca="false">W555-X555</f>
        <v>-26.6245906352029</v>
      </c>
      <c r="Z555" s="9" t="s">
        <v>89</v>
      </c>
      <c r="AA555" s="7" t="str">
        <f aca="false">IFERROR(INDEX(02_轉折點45!B:B,MATCH(A555,02_轉折點45!A:A,0)),"")</f>
        <v/>
      </c>
      <c r="AB555" s="7" t="n">
        <f aca="false">COUNTIFS(05_訊號明細!A:A,A555,05_訊號明細!C:C,"TOP")</f>
        <v>0</v>
      </c>
      <c r="AC555" s="7" t="n">
        <f aca="false">COUNTIFS(05_訊號明細!A:A,A555,05_訊號明細!C:C,"BOTTOM")</f>
        <v>0</v>
      </c>
    </row>
    <row r="556" customFormat="false" ht="15" hidden="false" customHeight="false" outlineLevel="0" collapsed="false">
      <c r="A556" s="7" t="s">
        <v>597</v>
      </c>
      <c r="B556" s="7" t="n">
        <v>13248.09</v>
      </c>
      <c r="C556" s="7" t="n">
        <v>13386.67</v>
      </c>
      <c r="D556" s="7" t="n">
        <v>13020.4</v>
      </c>
      <c r="E556" s="7" t="n">
        <v>13046.64</v>
      </c>
      <c r="F556" s="7" t="n">
        <v>5877</v>
      </c>
      <c r="G556" s="7" t="n">
        <f aca="false">AVERAGE(E552:E556)</f>
        <v>13389.856</v>
      </c>
      <c r="H556" s="7" t="n">
        <f aca="false">AVERAGE(E547:E556)</f>
        <v>13639.138</v>
      </c>
      <c r="I556" s="7" t="n">
        <f aca="false">AVERAGE(E537:E556)</f>
        <v>13892.3655</v>
      </c>
      <c r="J556" s="7" t="n">
        <f aca="false">AVERAGE(E507:E556)</f>
        <v>14620.0274</v>
      </c>
      <c r="K556" s="7" t="n">
        <f aca="false">AVERAGE(E457:E556)</f>
        <v>15351.7596</v>
      </c>
      <c r="L556" s="7" t="n">
        <f aca="false">AVERAGE(E357:E556)</f>
        <v>15095.16055</v>
      </c>
      <c r="M556" s="7" t="n">
        <f aca="false">I556</f>
        <v>13892.3655</v>
      </c>
      <c r="N556" s="7" t="n">
        <f aca="false">I556+2*STDEV(E537:E556)</f>
        <v>14773.3811911315</v>
      </c>
      <c r="O556" s="7" t="n">
        <f aca="false">I556-2*STDEV(E537:E556)</f>
        <v>13011.3498088685</v>
      </c>
      <c r="P556" s="7" t="n">
        <f aca="false">MAX(E556-E555,0)</f>
        <v>0</v>
      </c>
      <c r="Q556" s="7" t="n">
        <f aca="false">MAX(E555-E556,0)</f>
        <v>255.190000000001</v>
      </c>
      <c r="R556" s="7" t="n">
        <f aca="false">(R555*13+P556)/14</f>
        <v>88.5263616403032</v>
      </c>
      <c r="S556" s="7" t="n">
        <f aca="false">(S555*13+Q556)/14</f>
        <v>164.031635787431</v>
      </c>
      <c r="T556" s="7" t="n">
        <f aca="false">IF(S556=0,100,100-100/(1+R556/S556))</f>
        <v>35.051894036986</v>
      </c>
      <c r="U556" s="7" t="n">
        <f aca="false">E556*2/13+U555*11/13</f>
        <v>13631.8912820569</v>
      </c>
      <c r="V556" s="7" t="n">
        <f aca="false">E556*2/27+V555*25/27</f>
        <v>14004.754413731</v>
      </c>
      <c r="W556" s="7" t="n">
        <f aca="false">U556-V556</f>
        <v>-372.863131674054</v>
      </c>
      <c r="X556" s="7" t="n">
        <f aca="false">W556*2/10+X555*8/10</f>
        <v>-327.75532243639</v>
      </c>
      <c r="Y556" s="7" t="n">
        <f aca="false">W556-X556</f>
        <v>-45.1078092376641</v>
      </c>
      <c r="Z556" s="9" t="s">
        <v>89</v>
      </c>
      <c r="AA556" s="7" t="str">
        <f aca="false">IFERROR(INDEX(02_轉折點45!B:B,MATCH(A556,02_轉折點45!A:A,0)),"")</f>
        <v>BOTTOM</v>
      </c>
      <c r="AB556" s="7" t="n">
        <f aca="false">COUNTIFS(05_訊號明細!A:A,A556,05_訊號明細!C:C,"TOP")</f>
        <v>0</v>
      </c>
      <c r="AC556" s="7" t="n">
        <f aca="false">COUNTIFS(05_訊號明細!A:A,A556,05_訊號明細!C:C,"BOTTOM")</f>
        <v>1</v>
      </c>
    </row>
    <row r="557" customFormat="false" ht="15" hidden="false" customHeight="false" outlineLevel="0" collapsed="false">
      <c r="A557" s="7" t="s">
        <v>598</v>
      </c>
      <c r="B557" s="7" t="n">
        <v>13174.97</v>
      </c>
      <c r="C557" s="7" t="n">
        <v>13488.18</v>
      </c>
      <c r="D557" s="7" t="n">
        <v>13092.45</v>
      </c>
      <c r="E557" s="7" t="n">
        <v>13458.56</v>
      </c>
      <c r="F557" s="7" t="n">
        <v>5440</v>
      </c>
      <c r="G557" s="7" t="n">
        <f aca="false">AVERAGE(E553:E557)</f>
        <v>13428.046</v>
      </c>
      <c r="H557" s="7" t="n">
        <f aca="false">AVERAGE(E548:E557)</f>
        <v>13584.395</v>
      </c>
      <c r="I557" s="7" t="n">
        <f aca="false">AVERAGE(E538:E557)</f>
        <v>13851.864</v>
      </c>
      <c r="J557" s="7" t="n">
        <f aca="false">AVERAGE(E508:E557)</f>
        <v>14562.797</v>
      </c>
      <c r="K557" s="7" t="n">
        <f aca="false">AVERAGE(E458:E557)</f>
        <v>15332.4581</v>
      </c>
      <c r="L557" s="7" t="n">
        <f aca="false">AVERAGE(E358:E557)</f>
        <v>15094.0208</v>
      </c>
      <c r="M557" s="7" t="n">
        <f aca="false">I557</f>
        <v>13851.864</v>
      </c>
      <c r="N557" s="7" t="n">
        <f aca="false">I557+2*STDEV(E538:E557)</f>
        <v>14734.5311287077</v>
      </c>
      <c r="O557" s="7" t="n">
        <f aca="false">I557-2*STDEV(E538:E557)</f>
        <v>12969.1968712923</v>
      </c>
      <c r="P557" s="7" t="n">
        <f aca="false">MAX(E557-E556,0)</f>
        <v>411.92</v>
      </c>
      <c r="Q557" s="7" t="n">
        <f aca="false">MAX(E556-E557,0)</f>
        <v>0</v>
      </c>
      <c r="R557" s="7" t="n">
        <f aca="false">(R556*13+P557)/14</f>
        <v>111.625907237424</v>
      </c>
      <c r="S557" s="7" t="n">
        <f aca="false">(S556*13+Q557)/14</f>
        <v>152.315090374043</v>
      </c>
      <c r="T557" s="7" t="n">
        <f aca="false">IF(S557=0,100,100-100/(1+R557/S557))</f>
        <v>42.2919926224355</v>
      </c>
      <c r="U557" s="7" t="n">
        <f aca="false">E557*2/13+U556*11/13</f>
        <v>13605.2249309713</v>
      </c>
      <c r="V557" s="7" t="n">
        <f aca="false">E557*2/27+V556*25/27</f>
        <v>13964.2955682694</v>
      </c>
      <c r="W557" s="7" t="n">
        <f aca="false">U557-V557</f>
        <v>-359.070637298184</v>
      </c>
      <c r="X557" s="7" t="n">
        <f aca="false">W557*2/10+X556*8/10</f>
        <v>-334.018385408749</v>
      </c>
      <c r="Y557" s="7" t="n">
        <f aca="false">W557-X557</f>
        <v>-25.0522518894354</v>
      </c>
      <c r="Z557" s="9" t="s">
        <v>89</v>
      </c>
      <c r="AA557" s="7" t="str">
        <f aca="false">IFERROR(INDEX(02_轉折點45!B:B,MATCH(A557,02_轉折點45!A:A,0)),"")</f>
        <v/>
      </c>
      <c r="AB557" s="7" t="n">
        <f aca="false">COUNTIFS(05_訊號明細!A:A,A557,05_訊號明細!C:C,"TOP")</f>
        <v>0</v>
      </c>
      <c r="AC557" s="7" t="n">
        <f aca="false">COUNTIFS(05_訊號明細!A:A,A557,05_訊號明細!C:C,"BOTTOM")</f>
        <v>1</v>
      </c>
    </row>
    <row r="558" customFormat="false" ht="15" hidden="false" customHeight="false" outlineLevel="0" collapsed="false">
      <c r="A558" s="7" t="s">
        <v>599</v>
      </c>
      <c r="B558" s="7" t="n">
        <v>13633.12</v>
      </c>
      <c r="C558" s="7" t="n">
        <v>13960.25</v>
      </c>
      <c r="D558" s="7" t="n">
        <v>13475.09</v>
      </c>
      <c r="E558" s="7" t="n">
        <v>13956.79</v>
      </c>
      <c r="F558" s="7" t="n">
        <v>6552</v>
      </c>
      <c r="G558" s="7" t="n">
        <f aca="false">AVERAGE(E554:E558)</f>
        <v>13470.964</v>
      </c>
      <c r="H558" s="7" t="n">
        <f aca="false">AVERAGE(E549:E558)</f>
        <v>13555.705</v>
      </c>
      <c r="I558" s="7" t="n">
        <f aca="false">AVERAGE(E539:E558)</f>
        <v>13818.6625</v>
      </c>
      <c r="J558" s="7" t="n">
        <f aca="false">AVERAGE(E509:E558)</f>
        <v>14511.8974</v>
      </c>
      <c r="K558" s="7" t="n">
        <f aca="false">AVERAGE(E459:E558)</f>
        <v>15317.1301</v>
      </c>
      <c r="L558" s="7" t="n">
        <f aca="false">AVERAGE(E359:E558)</f>
        <v>15095.5318</v>
      </c>
      <c r="M558" s="7" t="n">
        <f aca="false">I558</f>
        <v>13818.6625</v>
      </c>
      <c r="N558" s="7" t="n">
        <f aca="false">I558+2*STDEV(E539:E558)</f>
        <v>14626.3101992476</v>
      </c>
      <c r="O558" s="7" t="n">
        <f aca="false">I558-2*STDEV(E539:E558)</f>
        <v>13011.0148007524</v>
      </c>
      <c r="P558" s="7" t="n">
        <f aca="false">MAX(E558-E557,0)</f>
        <v>498.230000000001</v>
      </c>
      <c r="Q558" s="7" t="n">
        <f aca="false">MAX(E557-E558,0)</f>
        <v>0</v>
      </c>
      <c r="R558" s="7" t="n">
        <f aca="false">(R557*13+P558)/14</f>
        <v>139.240485291894</v>
      </c>
      <c r="S558" s="7" t="n">
        <f aca="false">(S557*13+Q558)/14</f>
        <v>141.435441061611</v>
      </c>
      <c r="T558" s="7" t="n">
        <f aca="false">IF(S558=0,100,100-100/(1+R558/S558))</f>
        <v>49.6089875255364</v>
      </c>
      <c r="U558" s="7" t="n">
        <f aca="false">E558*2/13+U557*11/13</f>
        <v>13659.311864668</v>
      </c>
      <c r="V558" s="7" t="n">
        <f aca="false">E558*2/27+V557*25/27</f>
        <v>13963.7396002495</v>
      </c>
      <c r="W558" s="7" t="n">
        <f aca="false">U558-V558</f>
        <v>-304.427735581496</v>
      </c>
      <c r="X558" s="7" t="n">
        <f aca="false">W558*2/10+X557*8/10</f>
        <v>-328.100255443298</v>
      </c>
      <c r="Y558" s="7" t="n">
        <f aca="false">W558-X558</f>
        <v>23.6725198618024</v>
      </c>
      <c r="Z558" s="9" t="s">
        <v>89</v>
      </c>
      <c r="AA558" s="7" t="str">
        <f aca="false">IFERROR(INDEX(02_轉折點45!B:B,MATCH(A558,02_轉折點45!A:A,0)),"")</f>
        <v/>
      </c>
      <c r="AB558" s="7" t="n">
        <f aca="false">COUNTIFS(05_訊號明細!A:A,A558,05_訊號明細!C:C,"TOP")</f>
        <v>0</v>
      </c>
      <c r="AC558" s="7" t="n">
        <f aca="false">COUNTIFS(05_訊號明細!A:A,A558,05_訊號明細!C:C,"BOTTOM")</f>
        <v>1</v>
      </c>
    </row>
    <row r="559" customFormat="false" ht="15" hidden="false" customHeight="false" outlineLevel="0" collapsed="false">
      <c r="A559" s="7" t="s">
        <v>600</v>
      </c>
      <c r="B559" s="7" t="n">
        <v>13878.99</v>
      </c>
      <c r="C559" s="7" t="n">
        <v>14125.67</v>
      </c>
      <c r="D559" s="7" t="n">
        <v>13827.34</v>
      </c>
      <c r="E559" s="7" t="n">
        <v>14118.6</v>
      </c>
      <c r="F559" s="7" t="n">
        <v>5612</v>
      </c>
      <c r="G559" s="7" t="n">
        <f aca="false">AVERAGE(E555:E559)</f>
        <v>13576.484</v>
      </c>
      <c r="H559" s="7" t="n">
        <f aca="false">AVERAGE(E550:E559)</f>
        <v>13564.044</v>
      </c>
      <c r="I559" s="7" t="n">
        <f aca="false">AVERAGE(E540:E559)</f>
        <v>13794.4105</v>
      </c>
      <c r="J559" s="7" t="n">
        <f aca="false">AVERAGE(E510:E559)</f>
        <v>14468.6748</v>
      </c>
      <c r="K559" s="7" t="n">
        <f aca="false">AVERAGE(E460:E559)</f>
        <v>15304.7654</v>
      </c>
      <c r="L559" s="7" t="n">
        <f aca="false">AVERAGE(E360:E559)</f>
        <v>15097.74585</v>
      </c>
      <c r="M559" s="7" t="n">
        <f aca="false">I559</f>
        <v>13794.4105</v>
      </c>
      <c r="N559" s="7" t="n">
        <f aca="false">I559+2*STDEV(E540:E559)</f>
        <v>14528.599629125</v>
      </c>
      <c r="O559" s="7" t="n">
        <f aca="false">I559-2*STDEV(E540:E559)</f>
        <v>13060.221370875</v>
      </c>
      <c r="P559" s="7" t="n">
        <f aca="false">MAX(E559-E558,0)</f>
        <v>161.81</v>
      </c>
      <c r="Q559" s="7" t="n">
        <f aca="false">MAX(E558-E559,0)</f>
        <v>0</v>
      </c>
      <c r="R559" s="7" t="n">
        <f aca="false">(R558*13+P559)/14</f>
        <v>140.85259348533</v>
      </c>
      <c r="S559" s="7" t="n">
        <f aca="false">(S558*13+Q559)/14</f>
        <v>131.33290955721</v>
      </c>
      <c r="T559" s="7" t="n">
        <f aca="false">IF(S559=0,100,100-100/(1+R559/S559))</f>
        <v>51.7487492577134</v>
      </c>
      <c r="U559" s="7" t="n">
        <f aca="false">E559*2/13+U558*11/13</f>
        <v>13729.971577796</v>
      </c>
      <c r="V559" s="7" t="n">
        <f aca="false">E559*2/27+V558*25/27</f>
        <v>13975.2107409717</v>
      </c>
      <c r="W559" s="7" t="n">
        <f aca="false">U559-V559</f>
        <v>-245.239163175756</v>
      </c>
      <c r="X559" s="7" t="n">
        <f aca="false">W559*2/10+X558*8/10</f>
        <v>-311.52803698979</v>
      </c>
      <c r="Y559" s="7" t="n">
        <f aca="false">W559-X559</f>
        <v>66.2888738140333</v>
      </c>
      <c r="Z559" s="9" t="s">
        <v>89</v>
      </c>
      <c r="AA559" s="7" t="str">
        <f aca="false">IFERROR(INDEX(02_轉折點45!B:B,MATCH(A559,02_轉折點45!A:A,0)),"")</f>
        <v/>
      </c>
      <c r="AB559" s="7" t="n">
        <f aca="false">COUNTIFS(05_訊號明細!A:A,A559,05_訊號明細!C:C,"TOP")</f>
        <v>0</v>
      </c>
      <c r="AC559" s="7" t="n">
        <f aca="false">COUNTIFS(05_訊號明細!A:A,A559,05_訊號明細!C:C,"BOTTOM")</f>
        <v>1</v>
      </c>
    </row>
    <row r="560" customFormat="false" ht="15" hidden="false" customHeight="false" outlineLevel="0" collapsed="false">
      <c r="A560" s="7" t="s">
        <v>601</v>
      </c>
      <c r="B560" s="7" t="n">
        <v>14061.29</v>
      </c>
      <c r="C560" s="7" t="n">
        <v>14427.47</v>
      </c>
      <c r="D560" s="7" t="n">
        <v>14014.43</v>
      </c>
      <c r="E560" s="7" t="n">
        <v>14420.08</v>
      </c>
      <c r="F560" s="7" t="n">
        <v>8149</v>
      </c>
      <c r="G560" s="7" t="n">
        <f aca="false">AVERAGE(E556:E560)</f>
        <v>13800.134</v>
      </c>
      <c r="H560" s="7" t="n">
        <f aca="false">AVERAGE(E551:E560)</f>
        <v>13622.269</v>
      </c>
      <c r="I560" s="7" t="n">
        <f aca="false">AVERAGE(E541:E560)</f>
        <v>13806.8275</v>
      </c>
      <c r="J560" s="7" t="n">
        <f aca="false">AVERAGE(E511:E560)</f>
        <v>14441.6408</v>
      </c>
      <c r="K560" s="7" t="n">
        <f aca="false">AVERAGE(E461:E560)</f>
        <v>15293.8243</v>
      </c>
      <c r="L560" s="7" t="n">
        <f aca="false">AVERAGE(E361:E560)</f>
        <v>15102.19785</v>
      </c>
      <c r="M560" s="7" t="n">
        <f aca="false">I560</f>
        <v>13806.8275</v>
      </c>
      <c r="N560" s="7" t="n">
        <f aca="false">I560+2*STDEV(E541:E560)</f>
        <v>14575.4778689722</v>
      </c>
      <c r="O560" s="7" t="n">
        <f aca="false">I560-2*STDEV(E541:E560)</f>
        <v>13038.1771310278</v>
      </c>
      <c r="P560" s="7" t="n">
        <f aca="false">MAX(E560-E559,0)</f>
        <v>301.48</v>
      </c>
      <c r="Q560" s="7" t="n">
        <f aca="false">MAX(E559-E560,0)</f>
        <v>0</v>
      </c>
      <c r="R560" s="7" t="n">
        <f aca="false">(R559*13+P560)/14</f>
        <v>152.325979664949</v>
      </c>
      <c r="S560" s="7" t="n">
        <f aca="false">(S559*13+Q560)/14</f>
        <v>121.951987445981</v>
      </c>
      <c r="T560" s="7" t="n">
        <f aca="false">IF(S560=0,100,100-100/(1+R560/S560))</f>
        <v>55.5370820592898</v>
      </c>
      <c r="U560" s="7" t="n">
        <f aca="false">E560*2/13+U559*11/13</f>
        <v>13836.1421042889</v>
      </c>
      <c r="V560" s="7" t="n">
        <f aca="false">E560*2/27+V559*25/27</f>
        <v>14008.1640194183</v>
      </c>
      <c r="W560" s="7" t="n">
        <f aca="false">U560-V560</f>
        <v>-172.021915129371</v>
      </c>
      <c r="X560" s="7" t="n">
        <f aca="false">W560*2/10+X559*8/10</f>
        <v>-283.626812617706</v>
      </c>
      <c r="Y560" s="7" t="n">
        <f aca="false">W560-X560</f>
        <v>111.604897488335</v>
      </c>
      <c r="Z560" s="7" t="s">
        <v>78</v>
      </c>
      <c r="AA560" s="7" t="str">
        <f aca="false">IFERROR(INDEX(02_轉折點45!B:B,MATCH(A560,02_轉折點45!A:A,0)),"")</f>
        <v/>
      </c>
      <c r="AB560" s="7" t="n">
        <f aca="false">COUNTIFS(05_訊號明細!A:A,A560,05_訊號明細!C:C,"TOP")</f>
        <v>0</v>
      </c>
      <c r="AC560" s="7" t="n">
        <f aca="false">COUNTIFS(05_訊號明細!A:A,A560,05_訊號明細!C:C,"BOTTOM")</f>
        <v>0</v>
      </c>
    </row>
    <row r="561" customFormat="false" ht="15" hidden="false" customHeight="false" outlineLevel="0" collapsed="false">
      <c r="A561" s="7" t="s">
        <v>602</v>
      </c>
      <c r="B561" s="7" t="n">
        <v>14377.15</v>
      </c>
      <c r="C561" s="7" t="n">
        <v>14470.68</v>
      </c>
      <c r="D561" s="7" t="n">
        <v>14190.53</v>
      </c>
      <c r="E561" s="7" t="n">
        <v>14376.09</v>
      </c>
      <c r="F561" s="7" t="n">
        <v>5674</v>
      </c>
      <c r="G561" s="7" t="n">
        <f aca="false">AVERAGE(E557:E561)</f>
        <v>14066.024</v>
      </c>
      <c r="H561" s="7" t="n">
        <f aca="false">AVERAGE(E552:E561)</f>
        <v>13727.94</v>
      </c>
      <c r="I561" s="7" t="n">
        <f aca="false">AVERAGE(E542:E561)</f>
        <v>13825.155</v>
      </c>
      <c r="J561" s="7" t="n">
        <f aca="false">AVERAGE(E512:E561)</f>
        <v>14413.8554</v>
      </c>
      <c r="K561" s="7" t="n">
        <f aca="false">AVERAGE(E462:E561)</f>
        <v>15281.9903</v>
      </c>
      <c r="L561" s="7" t="n">
        <f aca="false">AVERAGE(E362:E561)</f>
        <v>15105.22445</v>
      </c>
      <c r="M561" s="7" t="n">
        <f aca="false">I561</f>
        <v>13825.155</v>
      </c>
      <c r="N561" s="7" t="n">
        <f aca="false">I561+2*STDEV(E542:E561)</f>
        <v>14630.7486800437</v>
      </c>
      <c r="O561" s="7" t="n">
        <f aca="false">I561-2*STDEV(E542:E561)</f>
        <v>13019.5613199563</v>
      </c>
      <c r="P561" s="7" t="n">
        <f aca="false">MAX(E561-E560,0)</f>
        <v>0</v>
      </c>
      <c r="Q561" s="7" t="n">
        <f aca="false">MAX(E560-E561,0)</f>
        <v>43.9899999999998</v>
      </c>
      <c r="R561" s="7" t="n">
        <f aca="false">(R560*13+P561)/14</f>
        <v>141.445552546025</v>
      </c>
      <c r="S561" s="7" t="n">
        <f aca="false">(S560*13+Q561)/14</f>
        <v>116.383274056983</v>
      </c>
      <c r="T561" s="7" t="n">
        <f aca="false">IF(S561=0,100,100-100/(1+R561/S561))</f>
        <v>54.8602553134277</v>
      </c>
      <c r="U561" s="7" t="n">
        <f aca="false">E561*2/13+U560*11/13</f>
        <v>13919.2110113214</v>
      </c>
      <c r="V561" s="7" t="n">
        <f aca="false">E561*2/27+V560*25/27</f>
        <v>14035.4177957577</v>
      </c>
      <c r="W561" s="7" t="n">
        <f aca="false">U561-V561</f>
        <v>-116.206784436283</v>
      </c>
      <c r="X561" s="7" t="n">
        <f aca="false">W561*2/10+X560*8/10</f>
        <v>-250.142806981421</v>
      </c>
      <c r="Y561" s="7" t="n">
        <f aca="false">W561-X561</f>
        <v>133.936022545139</v>
      </c>
      <c r="Z561" s="7" t="s">
        <v>78</v>
      </c>
      <c r="AA561" s="7" t="str">
        <f aca="false">IFERROR(INDEX(02_轉折點45!B:B,MATCH(A561,02_轉折點45!A:A,0)),"")</f>
        <v/>
      </c>
      <c r="AB561" s="7" t="n">
        <f aca="false">COUNTIFS(05_訊號明細!A:A,A561,05_訊號明細!C:C,"TOP")</f>
        <v>0</v>
      </c>
      <c r="AC561" s="7" t="n">
        <f aca="false">COUNTIFS(05_訊號明細!A:A,A561,05_訊號明細!C:C,"BOTTOM")</f>
        <v>0</v>
      </c>
    </row>
    <row r="562" customFormat="false" ht="15" hidden="false" customHeight="false" outlineLevel="0" collapsed="false">
      <c r="A562" s="7" t="s">
        <v>603</v>
      </c>
      <c r="B562" s="7" t="n">
        <v>14396.03</v>
      </c>
      <c r="C562" s="7" t="n">
        <v>14688.97</v>
      </c>
      <c r="D562" s="7" t="n">
        <v>14385.55</v>
      </c>
      <c r="E562" s="7" t="n">
        <v>14654.33</v>
      </c>
      <c r="F562" s="7" t="n">
        <v>5445</v>
      </c>
      <c r="G562" s="7" t="n">
        <f aca="false">AVERAGE(E558:E562)</f>
        <v>14305.178</v>
      </c>
      <c r="H562" s="7" t="n">
        <f aca="false">AVERAGE(E553:E562)</f>
        <v>13866.612</v>
      </c>
      <c r="I562" s="7" t="n">
        <f aca="false">AVERAGE(E543:E562)</f>
        <v>13864.345</v>
      </c>
      <c r="J562" s="7" t="n">
        <f aca="false">AVERAGE(E513:E562)</f>
        <v>14395.0982</v>
      </c>
      <c r="K562" s="7" t="n">
        <f aca="false">AVERAGE(E463:E562)</f>
        <v>15272.5497</v>
      </c>
      <c r="L562" s="7" t="n">
        <f aca="false">AVERAGE(E363:E562)</f>
        <v>15109.48165</v>
      </c>
      <c r="M562" s="7" t="n">
        <f aca="false">I562</f>
        <v>13864.345</v>
      </c>
      <c r="N562" s="7" t="n">
        <f aca="false">I562+2*STDEV(E543:E562)</f>
        <v>14751.3762117335</v>
      </c>
      <c r="O562" s="7" t="n">
        <f aca="false">I562-2*STDEV(E543:E562)</f>
        <v>12977.3137882665</v>
      </c>
      <c r="P562" s="7" t="n">
        <f aca="false">MAX(E562-E561,0)</f>
        <v>278.24</v>
      </c>
      <c r="Q562" s="7" t="n">
        <f aca="false">MAX(E561-E562,0)</f>
        <v>0</v>
      </c>
      <c r="R562" s="7" t="n">
        <f aca="false">(R561*13+P562)/14</f>
        <v>151.216584507023</v>
      </c>
      <c r="S562" s="7" t="n">
        <f aca="false">(S561*13+Q562)/14</f>
        <v>108.070183052912</v>
      </c>
      <c r="T562" s="7" t="n">
        <f aca="false">IF(S562=0,100,100-100/(1+R562/S562))</f>
        <v>58.3202089061751</v>
      </c>
      <c r="U562" s="7" t="n">
        <f aca="false">E562*2/13+U561*11/13</f>
        <v>14032.3062403489</v>
      </c>
      <c r="V562" s="7" t="n">
        <f aca="false">E562*2/27+V561*25/27</f>
        <v>14081.2631442201</v>
      </c>
      <c r="W562" s="7" t="n">
        <f aca="false">U562-V562</f>
        <v>-48.9569038711961</v>
      </c>
      <c r="X562" s="7" t="n">
        <f aca="false">W562*2/10+X561*8/10</f>
        <v>-209.905626359376</v>
      </c>
      <c r="Y562" s="7" t="n">
        <f aca="false">W562-X562</f>
        <v>160.94872248818</v>
      </c>
      <c r="Z562" s="7" t="s">
        <v>78</v>
      </c>
      <c r="AA562" s="7" t="str">
        <f aca="false">IFERROR(INDEX(02_轉折點45!B:B,MATCH(A562,02_轉折點45!A:A,0)),"")</f>
        <v/>
      </c>
      <c r="AB562" s="7" t="n">
        <f aca="false">COUNTIFS(05_訊號明細!A:A,A562,05_訊號明細!C:C,"TOP")</f>
        <v>0</v>
      </c>
      <c r="AC562" s="7" t="n">
        <f aca="false">COUNTIFS(05_訊號明細!A:A,A562,05_訊號明細!C:C,"BOTTOM")</f>
        <v>0</v>
      </c>
    </row>
    <row r="563" customFormat="false" ht="15" hidden="false" customHeight="false" outlineLevel="0" collapsed="false">
      <c r="A563" s="7" t="s">
        <v>604</v>
      </c>
      <c r="B563" s="7" t="n">
        <v>14525.22</v>
      </c>
      <c r="C563" s="7" t="n">
        <v>14681.33</v>
      </c>
      <c r="D563" s="7" t="n">
        <v>14446.04</v>
      </c>
      <c r="E563" s="7" t="n">
        <v>14447.55</v>
      </c>
      <c r="F563" s="7" t="n">
        <v>5024</v>
      </c>
      <c r="G563" s="7" t="n">
        <f aca="false">AVERAGE(E559:E563)</f>
        <v>14403.33</v>
      </c>
      <c r="H563" s="7" t="n">
        <f aca="false">AVERAGE(E554:E563)</f>
        <v>13937.147</v>
      </c>
      <c r="I563" s="7" t="n">
        <f aca="false">AVERAGE(E544:E563)</f>
        <v>13911.251</v>
      </c>
      <c r="J563" s="7" t="n">
        <f aca="false">AVERAGE(E514:E563)</f>
        <v>14371.7606</v>
      </c>
      <c r="K563" s="7" t="n">
        <f aca="false">AVERAGE(E464:E563)</f>
        <v>15259.2436</v>
      </c>
      <c r="L563" s="7" t="n">
        <f aca="false">AVERAGE(E364:E563)</f>
        <v>15112.6651</v>
      </c>
      <c r="M563" s="7" t="n">
        <f aca="false">I563</f>
        <v>13911.251</v>
      </c>
      <c r="N563" s="7" t="n">
        <f aca="false">I563+2*STDEV(E544:E563)</f>
        <v>14818.2501839351</v>
      </c>
      <c r="O563" s="7" t="n">
        <f aca="false">I563-2*STDEV(E544:E563)</f>
        <v>13004.2518160649</v>
      </c>
      <c r="P563" s="7" t="n">
        <f aca="false">MAX(E563-E562,0)</f>
        <v>0</v>
      </c>
      <c r="Q563" s="7" t="n">
        <f aca="false">MAX(E562-E563,0)</f>
        <v>206.780000000001</v>
      </c>
      <c r="R563" s="7" t="n">
        <f aca="false">(R562*13+P563)/14</f>
        <v>140.415399899378</v>
      </c>
      <c r="S563" s="7" t="n">
        <f aca="false">(S562*13+Q563)/14</f>
        <v>115.120884263419</v>
      </c>
      <c r="T563" s="7" t="n">
        <f aca="false">IF(S563=0,100,100-100/(1+R563/S563))</f>
        <v>54.9493001979799</v>
      </c>
      <c r="U563" s="7" t="n">
        <f aca="false">E563*2/13+U562*11/13</f>
        <v>14096.1898956798</v>
      </c>
      <c r="V563" s="7" t="n">
        <f aca="false">E563*2/27+V562*25/27</f>
        <v>14108.3955039075</v>
      </c>
      <c r="W563" s="7" t="n">
        <f aca="false">U563-V563</f>
        <v>-12.205608227654</v>
      </c>
      <c r="X563" s="7" t="n">
        <f aca="false">W563*2/10+X562*8/10</f>
        <v>-170.365622733032</v>
      </c>
      <c r="Y563" s="7" t="n">
        <f aca="false">W563-X563</f>
        <v>158.160014505378</v>
      </c>
      <c r="Z563" s="7" t="s">
        <v>78</v>
      </c>
      <c r="AA563" s="7" t="str">
        <f aca="false">IFERROR(INDEX(02_轉折點45!B:B,MATCH(A563,02_轉折點45!A:A,0)),"")</f>
        <v/>
      </c>
      <c r="AB563" s="7" t="n">
        <f aca="false">COUNTIFS(05_訊號明細!A:A,A563,05_訊號明細!C:C,"TOP")</f>
        <v>0</v>
      </c>
      <c r="AC563" s="7" t="n">
        <f aca="false">COUNTIFS(05_訊號明細!A:A,A563,05_訊號明細!C:C,"BOTTOM")</f>
        <v>0</v>
      </c>
    </row>
    <row r="564" customFormat="false" ht="15" hidden="false" customHeight="false" outlineLevel="0" collapsed="false">
      <c r="A564" s="7" t="s">
        <v>605</v>
      </c>
      <c r="B564" s="7" t="n">
        <v>14529.72</v>
      </c>
      <c r="C564" s="7" t="n">
        <v>14767.73</v>
      </c>
      <c r="D564" s="7" t="n">
        <v>14440.67</v>
      </c>
      <c r="E564" s="7" t="n">
        <v>14765.69</v>
      </c>
      <c r="F564" s="7" t="n">
        <v>5150</v>
      </c>
      <c r="G564" s="7" t="n">
        <f aca="false">AVERAGE(E560:E564)</f>
        <v>14532.748</v>
      </c>
      <c r="H564" s="7" t="n">
        <f aca="false">AVERAGE(E555:E564)</f>
        <v>14054.616</v>
      </c>
      <c r="I564" s="7" t="n">
        <f aca="false">AVERAGE(E545:E564)</f>
        <v>13950.802</v>
      </c>
      <c r="J564" s="7" t="n">
        <f aca="false">AVERAGE(E515:E564)</f>
        <v>14350.192</v>
      </c>
      <c r="K564" s="7" t="n">
        <f aca="false">AVERAGE(E465:E564)</f>
        <v>15248.3958</v>
      </c>
      <c r="L564" s="7" t="n">
        <f aca="false">AVERAGE(E365:E564)</f>
        <v>15117.41885</v>
      </c>
      <c r="M564" s="7" t="n">
        <f aca="false">I564</f>
        <v>13950.802</v>
      </c>
      <c r="N564" s="7" t="n">
        <f aca="false">I564+2*STDEV(E545:E564)</f>
        <v>14935.1355037658</v>
      </c>
      <c r="O564" s="7" t="n">
        <f aca="false">I564-2*STDEV(E545:E564)</f>
        <v>12966.4684962342</v>
      </c>
      <c r="P564" s="7" t="n">
        <f aca="false">MAX(E564-E563,0)</f>
        <v>318.140000000001</v>
      </c>
      <c r="Q564" s="7" t="n">
        <f aca="false">MAX(E563-E564,0)</f>
        <v>0</v>
      </c>
      <c r="R564" s="7" t="n">
        <f aca="false">(R563*13+P564)/14</f>
        <v>153.11001419228</v>
      </c>
      <c r="S564" s="7" t="n">
        <f aca="false">(S563*13+Q564)/14</f>
        <v>106.897963958889</v>
      </c>
      <c r="T564" s="7" t="n">
        <f aca="false">IF(S564=0,100,100-100/(1+R564/S564))</f>
        <v>58.8866600482781</v>
      </c>
      <c r="U564" s="7" t="n">
        <f aca="false">E564*2/13+U563*11/13</f>
        <v>14199.1899117291</v>
      </c>
      <c r="V564" s="7" t="n">
        <f aca="false">E564*2/27+V563*25/27</f>
        <v>14157.0839850995</v>
      </c>
      <c r="W564" s="7" t="n">
        <f aca="false">U564-V564</f>
        <v>42.105926629567</v>
      </c>
      <c r="X564" s="7" t="n">
        <f aca="false">W564*2/10+X563*8/10</f>
        <v>-127.871312860512</v>
      </c>
      <c r="Y564" s="7" t="n">
        <f aca="false">W564-X564</f>
        <v>169.977239490079</v>
      </c>
      <c r="Z564" s="7" t="s">
        <v>78</v>
      </c>
      <c r="AA564" s="7" t="str">
        <f aca="false">IFERROR(INDEX(02_轉折點45!B:B,MATCH(A564,02_轉折點45!A:A,0)),"")</f>
        <v/>
      </c>
      <c r="AB564" s="7" t="n">
        <f aca="false">COUNTIFS(05_訊號明細!A:A,A564,05_訊號明細!C:C,"TOP")</f>
        <v>0</v>
      </c>
      <c r="AC564" s="7" t="n">
        <f aca="false">COUNTIFS(05_訊號明細!A:A,A564,05_訊號明細!C:C,"BOTTOM")</f>
        <v>0</v>
      </c>
    </row>
    <row r="565" customFormat="false" ht="15" hidden="false" customHeight="false" outlineLevel="0" collapsed="false">
      <c r="A565" s="7" t="s">
        <v>606</v>
      </c>
      <c r="B565" s="7" t="n">
        <v>14766.9</v>
      </c>
      <c r="C565" s="7" t="n">
        <v>14805.88</v>
      </c>
      <c r="D565" s="7" t="n">
        <v>14577.59</v>
      </c>
      <c r="E565" s="7" t="n">
        <v>14754.31</v>
      </c>
      <c r="F565" s="7" t="n">
        <v>5585</v>
      </c>
      <c r="G565" s="7" t="n">
        <f aca="false">AVERAGE(E561:E565)</f>
        <v>14599.594</v>
      </c>
      <c r="H565" s="7" t="n">
        <f aca="false">AVERAGE(E556:E565)</f>
        <v>14199.864</v>
      </c>
      <c r="I565" s="7" t="n">
        <f aca="false">AVERAGE(E546:E565)</f>
        <v>13979.0595</v>
      </c>
      <c r="J565" s="7" t="n">
        <f aca="false">AVERAGE(E516:E565)</f>
        <v>14327.1762</v>
      </c>
      <c r="K565" s="7" t="n">
        <f aca="false">AVERAGE(E466:E565)</f>
        <v>15236.8861</v>
      </c>
      <c r="L565" s="7" t="n">
        <f aca="false">AVERAGE(E366:E565)</f>
        <v>15121.38865</v>
      </c>
      <c r="M565" s="7" t="n">
        <f aca="false">I565</f>
        <v>13979.0595</v>
      </c>
      <c r="N565" s="7" t="n">
        <f aca="false">I565+2*STDEV(E546:E565)</f>
        <v>15022.8557056884</v>
      </c>
      <c r="O565" s="7" t="n">
        <f aca="false">I565-2*STDEV(E546:E565)</f>
        <v>12935.2632943116</v>
      </c>
      <c r="P565" s="7" t="n">
        <f aca="false">MAX(E565-E564,0)</f>
        <v>0</v>
      </c>
      <c r="Q565" s="7" t="n">
        <f aca="false">MAX(E564-E565,0)</f>
        <v>11.380000000001</v>
      </c>
      <c r="R565" s="7" t="n">
        <f aca="false">(R564*13+P565)/14</f>
        <v>142.173584607117</v>
      </c>
      <c r="S565" s="7" t="n">
        <f aca="false">(S564*13+Q565)/14</f>
        <v>100.07525224754</v>
      </c>
      <c r="T565" s="7" t="n">
        <f aca="false">IF(S565=0,100,100-100/(1+R565/S565))</f>
        <v>58.6890680067198</v>
      </c>
      <c r="U565" s="7" t="n">
        <f aca="false">E565*2/13+U564*11/13</f>
        <v>14284.5930022323</v>
      </c>
      <c r="V565" s="7" t="n">
        <f aca="false">E565*2/27+V564*25/27</f>
        <v>14201.3229491662</v>
      </c>
      <c r="W565" s="7" t="n">
        <f aca="false">U565-V565</f>
        <v>83.2700530660841</v>
      </c>
      <c r="X565" s="7" t="n">
        <f aca="false">W565*2/10+X564*8/10</f>
        <v>-85.6430396751929</v>
      </c>
      <c r="Y565" s="7" t="n">
        <f aca="false">W565-X565</f>
        <v>168.913092741277</v>
      </c>
      <c r="Z565" s="7" t="s">
        <v>78</v>
      </c>
      <c r="AA565" s="7" t="str">
        <f aca="false">IFERROR(INDEX(02_轉折點45!B:B,MATCH(A565,02_轉折點45!A:A,0)),"")</f>
        <v/>
      </c>
      <c r="AB565" s="7" t="n">
        <f aca="false">COUNTIFS(05_訊號明細!A:A,A565,05_訊號明細!C:C,"TOP")</f>
        <v>0</v>
      </c>
      <c r="AC565" s="7" t="n">
        <f aca="false">COUNTIFS(05_訊號明細!A:A,A565,05_訊號明細!C:C,"BOTTOM")</f>
        <v>0</v>
      </c>
    </row>
    <row r="566" customFormat="false" ht="15" hidden="false" customHeight="false" outlineLevel="0" collapsed="false">
      <c r="A566" s="7" t="s">
        <v>607</v>
      </c>
      <c r="B566" s="7" t="n">
        <v>14763.16</v>
      </c>
      <c r="C566" s="7" t="n">
        <v>14989.08</v>
      </c>
      <c r="D566" s="7" t="n">
        <v>14705.92</v>
      </c>
      <c r="E566" s="7" t="n">
        <v>14987.4</v>
      </c>
      <c r="F566" s="7" t="n">
        <v>5130</v>
      </c>
      <c r="G566" s="7" t="n">
        <f aca="false">AVERAGE(E562:E566)</f>
        <v>14721.856</v>
      </c>
      <c r="H566" s="7" t="n">
        <f aca="false">AVERAGE(E557:E566)</f>
        <v>14393.94</v>
      </c>
      <c r="I566" s="7" t="n">
        <f aca="false">AVERAGE(E547:E566)</f>
        <v>14016.539</v>
      </c>
      <c r="J566" s="7" t="n">
        <f aca="false">AVERAGE(E517:E566)</f>
        <v>14317.0118</v>
      </c>
      <c r="K566" s="7" t="n">
        <f aca="false">AVERAGE(E467:E566)</f>
        <v>15227.0352</v>
      </c>
      <c r="L566" s="7" t="n">
        <f aca="false">AVERAGE(E367:E566)</f>
        <v>15126.33415</v>
      </c>
      <c r="M566" s="7" t="n">
        <f aca="false">I566</f>
        <v>14016.539</v>
      </c>
      <c r="N566" s="7" t="n">
        <f aca="false">I566+2*STDEV(E547:E566)</f>
        <v>15149.47923158</v>
      </c>
      <c r="O566" s="7" t="n">
        <f aca="false">I566-2*STDEV(E547:E566)</f>
        <v>12883.59876842</v>
      </c>
      <c r="P566" s="7" t="n">
        <f aca="false">MAX(E566-E565,0)</f>
        <v>233.09</v>
      </c>
      <c r="Q566" s="7" t="n">
        <f aca="false">MAX(E565-E566,0)</f>
        <v>0</v>
      </c>
      <c r="R566" s="7" t="n">
        <f aca="false">(R565*13+P566)/14</f>
        <v>148.667614278037</v>
      </c>
      <c r="S566" s="7" t="n">
        <f aca="false">(S565*13+Q566)/14</f>
        <v>92.9270199441439</v>
      </c>
      <c r="T566" s="7" t="n">
        <f aca="false">IF(S566=0,100,100-100/(1+R566/S566))</f>
        <v>61.5359752325111</v>
      </c>
      <c r="U566" s="7" t="n">
        <f aca="false">E566*2/13+U565*11/13</f>
        <v>14392.717155735</v>
      </c>
      <c r="V566" s="7" t="n">
        <f aca="false">E566*2/27+V565*25/27</f>
        <v>14259.5508788576</v>
      </c>
      <c r="W566" s="7" t="n">
        <f aca="false">U566-V566</f>
        <v>133.166276877417</v>
      </c>
      <c r="X566" s="7" t="n">
        <f aca="false">W566*2/10+X565*8/10</f>
        <v>-41.8811763646709</v>
      </c>
      <c r="Y566" s="7" t="n">
        <f aca="false">W566-X566</f>
        <v>175.047453242088</v>
      </c>
      <c r="Z566" s="7" t="s">
        <v>78</v>
      </c>
      <c r="AA566" s="7" t="str">
        <f aca="false">IFERROR(INDEX(02_轉折點45!B:B,MATCH(A566,02_轉折點45!A:A,0)),"")</f>
        <v/>
      </c>
      <c r="AB566" s="7" t="n">
        <f aca="false">COUNTIFS(05_訊號明細!A:A,A566,05_訊號明細!C:C,"TOP")</f>
        <v>0</v>
      </c>
      <c r="AC566" s="7" t="n">
        <f aca="false">COUNTIFS(05_訊號明細!A:A,A566,05_訊號明細!C:C,"BOTTOM")</f>
        <v>1</v>
      </c>
    </row>
    <row r="567" customFormat="false" ht="15" hidden="false" customHeight="false" outlineLevel="0" collapsed="false">
      <c r="A567" s="7" t="s">
        <v>608</v>
      </c>
      <c r="B567" s="7" t="n">
        <v>15142.93</v>
      </c>
      <c r="C567" s="7" t="n">
        <v>15265.42</v>
      </c>
      <c r="D567" s="7" t="n">
        <v>15039.61</v>
      </c>
      <c r="E567" s="7" t="n">
        <v>15239.32</v>
      </c>
      <c r="F567" s="7" t="n">
        <v>6061</v>
      </c>
      <c r="G567" s="7" t="n">
        <f aca="false">AVERAGE(E563:E567)</f>
        <v>14838.854</v>
      </c>
      <c r="H567" s="7" t="n">
        <f aca="false">AVERAGE(E558:E567)</f>
        <v>14572.016</v>
      </c>
      <c r="I567" s="7" t="n">
        <f aca="false">AVERAGE(E548:E567)</f>
        <v>14078.2055</v>
      </c>
      <c r="J567" s="7" t="n">
        <f aca="false">AVERAGE(E518:E567)</f>
        <v>14309.5664</v>
      </c>
      <c r="K567" s="7" t="n">
        <f aca="false">AVERAGE(E468:E567)</f>
        <v>15217.9834</v>
      </c>
      <c r="L567" s="7" t="n">
        <f aca="false">AVERAGE(E368:E567)</f>
        <v>15131.88975</v>
      </c>
      <c r="M567" s="7" t="n">
        <f aca="false">I567</f>
        <v>14078.2055</v>
      </c>
      <c r="N567" s="7" t="n">
        <f aca="false">I567+2*STDEV(E548:E567)</f>
        <v>15336.099010487</v>
      </c>
      <c r="O567" s="7" t="n">
        <f aca="false">I567-2*STDEV(E548:E567)</f>
        <v>12820.311989513</v>
      </c>
      <c r="P567" s="7" t="n">
        <f aca="false">MAX(E567-E566,0)</f>
        <v>251.92</v>
      </c>
      <c r="Q567" s="7" t="n">
        <f aca="false">MAX(E566-E567,0)</f>
        <v>0</v>
      </c>
      <c r="R567" s="7" t="n">
        <f aca="false">(R566*13+P567)/14</f>
        <v>156.042784686749</v>
      </c>
      <c r="S567" s="7" t="n">
        <f aca="false">(S566*13+Q567)/14</f>
        <v>86.2893756624193</v>
      </c>
      <c r="T567" s="7" t="n">
        <f aca="false">IF(S567=0,100,100-100/(1+R567/S567))</f>
        <v>64.3921072885713</v>
      </c>
      <c r="U567" s="7" t="n">
        <f aca="false">E567*2/13+U566*11/13</f>
        <v>14522.9637471604</v>
      </c>
      <c r="V567" s="7" t="n">
        <f aca="false">E567*2/27+V566*25/27</f>
        <v>14332.1263693126</v>
      </c>
      <c r="W567" s="7" t="n">
        <f aca="false">U567-V567</f>
        <v>190.837377847807</v>
      </c>
      <c r="X567" s="7" t="n">
        <f aca="false">W567*2/10+X566*8/10</f>
        <v>4.66253447782468</v>
      </c>
      <c r="Y567" s="7" t="n">
        <f aca="false">W567-X567</f>
        <v>186.174843369982</v>
      </c>
      <c r="Z567" s="8" t="s">
        <v>42</v>
      </c>
      <c r="AA567" s="7" t="str">
        <f aca="false">IFERROR(INDEX(02_轉折點45!B:B,MATCH(A567,02_轉折點45!A:A,0)),"")</f>
        <v>TOP</v>
      </c>
      <c r="AB567" s="7" t="n">
        <f aca="false">COUNTIFS(05_訊號明細!A:A,A567,05_訊號明細!C:C,"TOP")</f>
        <v>0</v>
      </c>
      <c r="AC567" s="7" t="n">
        <f aca="false">COUNTIFS(05_訊號明細!A:A,A567,05_訊號明細!C:C,"BOTTOM")</f>
        <v>1</v>
      </c>
    </row>
    <row r="568" customFormat="false" ht="15" hidden="false" customHeight="false" outlineLevel="0" collapsed="false">
      <c r="A568" s="7" t="s">
        <v>609</v>
      </c>
      <c r="B568" s="7" t="n">
        <v>15177.15</v>
      </c>
      <c r="C568" s="7" t="n">
        <v>15229.01</v>
      </c>
      <c r="D568" s="7" t="n">
        <v>15010.34</v>
      </c>
      <c r="E568" s="7" t="n">
        <v>15071.55</v>
      </c>
      <c r="F568" s="7" t="n">
        <v>5479</v>
      </c>
      <c r="G568" s="7" t="n">
        <f aca="false">AVERAGE(E564:E568)</f>
        <v>14963.654</v>
      </c>
      <c r="H568" s="7" t="n">
        <f aca="false">AVERAGE(E559:E568)</f>
        <v>14683.492</v>
      </c>
      <c r="I568" s="7" t="n">
        <f aca="false">AVERAGE(E549:E568)</f>
        <v>14119.5985</v>
      </c>
      <c r="J568" s="7" t="n">
        <f aca="false">AVERAGE(E519:E568)</f>
        <v>14306.7822</v>
      </c>
      <c r="K568" s="7" t="n">
        <f aca="false">AVERAGE(E469:E568)</f>
        <v>15205.2365</v>
      </c>
      <c r="L568" s="7" t="n">
        <f aca="false">AVERAGE(E369:E568)</f>
        <v>15137.09545</v>
      </c>
      <c r="M568" s="7" t="n">
        <f aca="false">I568</f>
        <v>14119.5985</v>
      </c>
      <c r="N568" s="7" t="n">
        <f aca="false">I568+2*STDEV(E549:E568)</f>
        <v>15452.6588464569</v>
      </c>
      <c r="O568" s="7" t="n">
        <f aca="false">I568-2*STDEV(E549:E568)</f>
        <v>12786.5381535431</v>
      </c>
      <c r="P568" s="7" t="n">
        <f aca="false">MAX(E568-E567,0)</f>
        <v>0</v>
      </c>
      <c r="Q568" s="7" t="n">
        <f aca="false">MAX(E567-E568,0)</f>
        <v>167.77</v>
      </c>
      <c r="R568" s="7" t="n">
        <f aca="false">(R567*13+P568)/14</f>
        <v>144.896871494838</v>
      </c>
      <c r="S568" s="7" t="n">
        <f aca="false">(S567*13+Q568)/14</f>
        <v>92.1094202579608</v>
      </c>
      <c r="T568" s="7" t="n">
        <f aca="false">IF(S568=0,100,100-100/(1+R568/S568))</f>
        <v>61.1362974473133</v>
      </c>
      <c r="U568" s="7" t="n">
        <f aca="false">E568*2/13+U567*11/13</f>
        <v>14607.3616322126</v>
      </c>
      <c r="V568" s="7" t="n">
        <f aca="false">E568*2/27+V567*25/27</f>
        <v>14386.8984901043</v>
      </c>
      <c r="W568" s="7" t="n">
        <f aca="false">U568-V568</f>
        <v>220.463142108396</v>
      </c>
      <c r="X568" s="7" t="n">
        <f aca="false">W568*2/10+X567*8/10</f>
        <v>47.8226560039389</v>
      </c>
      <c r="Y568" s="7" t="n">
        <f aca="false">W568-X568</f>
        <v>172.640486104457</v>
      </c>
      <c r="Z568" s="7" t="s">
        <v>78</v>
      </c>
      <c r="AA568" s="7" t="str">
        <f aca="false">IFERROR(INDEX(02_轉折點45!B:B,MATCH(A568,02_轉折點45!A:A,0)),"")</f>
        <v/>
      </c>
      <c r="AB568" s="7" t="n">
        <f aca="false">COUNTIFS(05_訊號明細!A:A,A568,05_訊號明細!C:C,"TOP")</f>
        <v>2</v>
      </c>
      <c r="AC568" s="7" t="n">
        <f aca="false">COUNTIFS(05_訊號明細!A:A,A568,05_訊號明細!C:C,"BOTTOM")</f>
        <v>0</v>
      </c>
    </row>
    <row r="569" customFormat="false" ht="15" hidden="false" customHeight="false" outlineLevel="0" collapsed="false">
      <c r="A569" s="7" t="s">
        <v>610</v>
      </c>
      <c r="B569" s="7" t="n">
        <v>15074.23</v>
      </c>
      <c r="C569" s="7" t="n">
        <v>15088.38</v>
      </c>
      <c r="D569" s="7" t="n">
        <v>14835.16</v>
      </c>
      <c r="E569" s="7" t="n">
        <v>14838.49</v>
      </c>
      <c r="F569" s="7" t="n">
        <v>5454</v>
      </c>
      <c r="G569" s="7" t="n">
        <f aca="false">AVERAGE(E565:E569)</f>
        <v>14978.214</v>
      </c>
      <c r="H569" s="7" t="n">
        <f aca="false">AVERAGE(E560:E569)</f>
        <v>14755.481</v>
      </c>
      <c r="I569" s="7" t="n">
        <f aca="false">AVERAGE(E550:E569)</f>
        <v>14159.7625</v>
      </c>
      <c r="J569" s="7" t="n">
        <f aca="false">AVERAGE(E520:E569)</f>
        <v>14302.5952</v>
      </c>
      <c r="K569" s="7" t="n">
        <f aca="false">AVERAGE(E470:E569)</f>
        <v>15190.0276</v>
      </c>
      <c r="L569" s="7" t="n">
        <f aca="false">AVERAGE(E370:E569)</f>
        <v>15141.37285</v>
      </c>
      <c r="M569" s="7" t="n">
        <f aca="false">I569</f>
        <v>14159.7625</v>
      </c>
      <c r="N569" s="7" t="n">
        <f aca="false">I569+2*STDEV(E550:E569)</f>
        <v>15530.0031701072</v>
      </c>
      <c r="O569" s="7" t="n">
        <f aca="false">I569-2*STDEV(E550:E569)</f>
        <v>12789.5218298928</v>
      </c>
      <c r="P569" s="7" t="n">
        <f aca="false">MAX(E569-E568,0)</f>
        <v>0</v>
      </c>
      <c r="Q569" s="7" t="n">
        <f aca="false">MAX(E568-E569,0)</f>
        <v>233.06</v>
      </c>
      <c r="R569" s="7" t="n">
        <f aca="false">(R568*13+P569)/14</f>
        <v>134.547094959493</v>
      </c>
      <c r="S569" s="7" t="n">
        <f aca="false">(S568*13+Q569)/14</f>
        <v>102.177318810964</v>
      </c>
      <c r="T569" s="7" t="n">
        <f aca="false">IF(S569=0,100,100-100/(1+R569/S569))</f>
        <v>56.8370168570609</v>
      </c>
      <c r="U569" s="7" t="n">
        <f aca="false">E569*2/13+U568*11/13</f>
        <v>14642.9198426415</v>
      </c>
      <c r="V569" s="7" t="n">
        <f aca="false">E569*2/27+V568*25/27</f>
        <v>14420.3497130595</v>
      </c>
      <c r="W569" s="7" t="n">
        <f aca="false">U569-V569</f>
        <v>222.570129581978</v>
      </c>
      <c r="X569" s="7" t="n">
        <f aca="false">W569*2/10+X568*8/10</f>
        <v>82.7721507195468</v>
      </c>
      <c r="Y569" s="7" t="n">
        <f aca="false">W569-X569</f>
        <v>139.797978862431</v>
      </c>
      <c r="Z569" s="7" t="s">
        <v>78</v>
      </c>
      <c r="AA569" s="7" t="str">
        <f aca="false">IFERROR(INDEX(02_轉折點45!B:B,MATCH(A569,02_轉折點45!A:A,0)),"")</f>
        <v/>
      </c>
      <c r="AB569" s="7" t="n">
        <f aca="false">COUNTIFS(05_訊號明細!A:A,A569,05_訊號明細!C:C,"TOP")</f>
        <v>1</v>
      </c>
      <c r="AC569" s="7" t="n">
        <f aca="false">COUNTIFS(05_訊號明細!A:A,A569,05_訊號明細!C:C,"BOTTOM")</f>
        <v>1</v>
      </c>
    </row>
    <row r="570" customFormat="false" ht="15" hidden="false" customHeight="false" outlineLevel="0" collapsed="false">
      <c r="A570" s="7" t="s">
        <v>611</v>
      </c>
      <c r="B570" s="7" t="n">
        <v>14886.91</v>
      </c>
      <c r="C570" s="7" t="n">
        <v>14925.93</v>
      </c>
      <c r="D570" s="7" t="n">
        <v>14723.83</v>
      </c>
      <c r="E570" s="7" t="n">
        <v>14861.21</v>
      </c>
      <c r="F570" s="7" t="n">
        <v>5003</v>
      </c>
      <c r="G570" s="7" t="n">
        <f aca="false">AVERAGE(E566:E570)</f>
        <v>14999.594</v>
      </c>
      <c r="H570" s="7" t="n">
        <f aca="false">AVERAGE(E561:E570)</f>
        <v>14799.594</v>
      </c>
      <c r="I570" s="7" t="n">
        <f aca="false">AVERAGE(E551:E570)</f>
        <v>14210.9315</v>
      </c>
      <c r="J570" s="7" t="n">
        <f aca="false">AVERAGE(E521:E570)</f>
        <v>14302.8902</v>
      </c>
      <c r="K570" s="7" t="n">
        <f aca="false">AVERAGE(E471:E570)</f>
        <v>15175.2794</v>
      </c>
      <c r="L570" s="7" t="n">
        <f aca="false">AVERAGE(E371:E570)</f>
        <v>15144.85985</v>
      </c>
      <c r="M570" s="7" t="n">
        <f aca="false">I570</f>
        <v>14210.9315</v>
      </c>
      <c r="N570" s="7" t="n">
        <f aca="false">I570+2*STDEV(E551:E570)</f>
        <v>15606.7470756671</v>
      </c>
      <c r="O570" s="7" t="n">
        <f aca="false">I570-2*STDEV(E551:E570)</f>
        <v>12815.115924333</v>
      </c>
      <c r="P570" s="7" t="n">
        <f aca="false">MAX(E570-E569,0)</f>
        <v>22.7199999999993</v>
      </c>
      <c r="Q570" s="7" t="n">
        <f aca="false">MAX(E569-E570,0)</f>
        <v>0</v>
      </c>
      <c r="R570" s="7" t="n">
        <f aca="false">(R569*13+P570)/14</f>
        <v>126.559445319529</v>
      </c>
      <c r="S570" s="7" t="n">
        <f aca="false">(S569*13+Q570)/14</f>
        <v>94.8789388958948</v>
      </c>
      <c r="T570" s="7" t="n">
        <f aca="false">IF(S570=0,100,100-100/(1+R570/S570))</f>
        <v>57.1533457344988</v>
      </c>
      <c r="U570" s="7" t="n">
        <f aca="false">E570*2/13+U569*11/13</f>
        <v>14676.5029437736</v>
      </c>
      <c r="V570" s="7" t="n">
        <f aca="false">E570*2/27+V569*25/27</f>
        <v>14453.0060306106</v>
      </c>
      <c r="W570" s="7" t="n">
        <f aca="false">U570-V570</f>
        <v>223.496913162913</v>
      </c>
      <c r="X570" s="7" t="n">
        <f aca="false">W570*2/10+X569*8/10</f>
        <v>110.91710320822</v>
      </c>
      <c r="Y570" s="7" t="n">
        <f aca="false">W570-X570</f>
        <v>112.579809954693</v>
      </c>
      <c r="Z570" s="7" t="s">
        <v>78</v>
      </c>
      <c r="AA570" s="7" t="str">
        <f aca="false">IFERROR(INDEX(02_轉折點45!B:B,MATCH(A570,02_轉折點45!A:A,0)),"")</f>
        <v/>
      </c>
      <c r="AB570" s="7" t="n">
        <f aca="false">COUNTIFS(05_訊號明細!A:A,A570,05_訊號明細!C:C,"TOP")</f>
        <v>0</v>
      </c>
      <c r="AC570" s="7" t="n">
        <f aca="false">COUNTIFS(05_訊號明細!A:A,A570,05_訊號明細!C:C,"BOTTOM")</f>
        <v>0</v>
      </c>
    </row>
    <row r="571" customFormat="false" ht="15" hidden="false" customHeight="false" outlineLevel="0" collapsed="false">
      <c r="A571" s="7" t="s">
        <v>612</v>
      </c>
      <c r="B571" s="7" t="n">
        <v>14903.38</v>
      </c>
      <c r="C571" s="7" t="n">
        <v>15161.89</v>
      </c>
      <c r="D571" s="7" t="n">
        <v>14884.57</v>
      </c>
      <c r="E571" s="7" t="n">
        <v>15159.58</v>
      </c>
      <c r="F571" s="7" t="n">
        <v>4630</v>
      </c>
      <c r="G571" s="7" t="n">
        <f aca="false">AVERAGE(E567:E571)</f>
        <v>15034.03</v>
      </c>
      <c r="H571" s="7" t="n">
        <f aca="false">AVERAGE(E562:E571)</f>
        <v>14877.943</v>
      </c>
      <c r="I571" s="7" t="n">
        <f aca="false">AVERAGE(E552:E571)</f>
        <v>14302.9415</v>
      </c>
      <c r="J571" s="7" t="n">
        <f aca="false">AVERAGE(E522:E571)</f>
        <v>14317.3138</v>
      </c>
      <c r="K571" s="7" t="n">
        <f aca="false">AVERAGE(E472:E571)</f>
        <v>15164.6758</v>
      </c>
      <c r="L571" s="7" t="n">
        <f aca="false">AVERAGE(E372:E571)</f>
        <v>15150.40985</v>
      </c>
      <c r="M571" s="7" t="n">
        <f aca="false">I571</f>
        <v>14302.9415</v>
      </c>
      <c r="N571" s="7" t="n">
        <f aca="false">I571+2*STDEV(E552:E571)</f>
        <v>15693.9035618728</v>
      </c>
      <c r="O571" s="7" t="n">
        <f aca="false">I571-2*STDEV(E552:E571)</f>
        <v>12911.9794381272</v>
      </c>
      <c r="P571" s="7" t="n">
        <f aca="false">MAX(E571-E570,0)</f>
        <v>298.370000000001</v>
      </c>
      <c r="Q571" s="7" t="n">
        <f aca="false">MAX(E570-E571,0)</f>
        <v>0</v>
      </c>
      <c r="R571" s="7" t="n">
        <f aca="false">(R570*13+P571)/14</f>
        <v>138.831627796705</v>
      </c>
      <c r="S571" s="7" t="n">
        <f aca="false">(S570*13+Q571)/14</f>
        <v>88.1018718319023</v>
      </c>
      <c r="T571" s="7" t="n">
        <f aca="false">IF(S571=0,100,100-100/(1+R571/S571))</f>
        <v>61.1772294632185</v>
      </c>
      <c r="U571" s="7" t="n">
        <f aca="false">E571*2/13+U570*11/13</f>
        <v>14750.8224908853</v>
      </c>
      <c r="V571" s="7" t="n">
        <f aca="false">E571*2/27+V570*25/27</f>
        <v>14505.344843158</v>
      </c>
      <c r="W571" s="7" t="n">
        <f aca="false">U571-V571</f>
        <v>245.477647727315</v>
      </c>
      <c r="X571" s="7" t="n">
        <f aca="false">W571*2/10+X570*8/10</f>
        <v>137.829212112039</v>
      </c>
      <c r="Y571" s="7" t="n">
        <f aca="false">W571-X571</f>
        <v>107.648435615276</v>
      </c>
      <c r="Z571" s="7" t="s">
        <v>78</v>
      </c>
      <c r="AA571" s="7" t="str">
        <f aca="false">IFERROR(INDEX(02_轉折點45!B:B,MATCH(A571,02_轉折點45!A:A,0)),"")</f>
        <v/>
      </c>
      <c r="AB571" s="7" t="n">
        <f aca="false">COUNTIFS(05_訊號明細!A:A,A571,05_訊號明細!C:C,"TOP")</f>
        <v>0</v>
      </c>
      <c r="AC571" s="7" t="n">
        <f aca="false">COUNTIFS(05_訊號明細!A:A,A571,05_訊號明細!C:C,"BOTTOM")</f>
        <v>1</v>
      </c>
    </row>
    <row r="572" customFormat="false" ht="15" hidden="false" customHeight="false" outlineLevel="0" collapsed="false">
      <c r="A572" s="7" t="s">
        <v>613</v>
      </c>
      <c r="B572" s="7" t="n">
        <v>15109.27</v>
      </c>
      <c r="C572" s="7" t="n">
        <v>15120.67</v>
      </c>
      <c r="D572" s="7" t="n">
        <v>14782.57</v>
      </c>
      <c r="E572" s="7" t="n">
        <v>14820.64</v>
      </c>
      <c r="F572" s="7" t="n">
        <v>4728</v>
      </c>
      <c r="G572" s="7" t="n">
        <f aca="false">AVERAGE(E568:E572)</f>
        <v>14950.294</v>
      </c>
      <c r="H572" s="7" t="n">
        <f aca="false">AVERAGE(E563:E572)</f>
        <v>14894.574</v>
      </c>
      <c r="I572" s="7" t="n">
        <f aca="false">AVERAGE(E553:E572)</f>
        <v>14380.593</v>
      </c>
      <c r="J572" s="7" t="n">
        <f aca="false">AVERAGE(E523:E572)</f>
        <v>14323.535</v>
      </c>
      <c r="K572" s="7" t="n">
        <f aca="false">AVERAGE(E473:E572)</f>
        <v>15153.0265</v>
      </c>
      <c r="L572" s="7" t="n">
        <f aca="false">AVERAGE(E373:E572)</f>
        <v>15153.8269</v>
      </c>
      <c r="M572" s="7" t="n">
        <f aca="false">I572</f>
        <v>14380.593</v>
      </c>
      <c r="N572" s="7" t="n">
        <f aca="false">I572+2*STDEV(E553:E572)</f>
        <v>15699.7385557068</v>
      </c>
      <c r="O572" s="7" t="n">
        <f aca="false">I572-2*STDEV(E553:E572)</f>
        <v>13061.4474442932</v>
      </c>
      <c r="P572" s="7" t="n">
        <f aca="false">MAX(E572-E571,0)</f>
        <v>0</v>
      </c>
      <c r="Q572" s="7" t="n">
        <f aca="false">MAX(E571-E572,0)</f>
        <v>338.940000000001</v>
      </c>
      <c r="R572" s="7" t="n">
        <f aca="false">(R571*13+P572)/14</f>
        <v>128.915082954084</v>
      </c>
      <c r="S572" s="7" t="n">
        <f aca="false">(S571*13+Q572)/14</f>
        <v>106.018880986766</v>
      </c>
      <c r="T572" s="7" t="n">
        <f aca="false">IF(S572=0,100,100-100/(1+R572/S572))</f>
        <v>54.8729016407951</v>
      </c>
      <c r="U572" s="7" t="n">
        <f aca="false">E572*2/13+U571*11/13</f>
        <v>14761.5636461337</v>
      </c>
      <c r="V572" s="7" t="n">
        <f aca="false">E572*2/27+V571*25/27</f>
        <v>14528.7000399611</v>
      </c>
      <c r="W572" s="7" t="n">
        <f aca="false">U572-V572</f>
        <v>232.863606172616</v>
      </c>
      <c r="X572" s="7" t="n">
        <f aca="false">W572*2/10+X571*8/10</f>
        <v>156.836090924154</v>
      </c>
      <c r="Y572" s="7" t="n">
        <f aca="false">W572-X572</f>
        <v>76.0275152484612</v>
      </c>
      <c r="Z572" s="9" t="s">
        <v>89</v>
      </c>
      <c r="AA572" s="7" t="str">
        <f aca="false">IFERROR(INDEX(02_轉折點45!B:B,MATCH(A572,02_轉折點45!A:A,0)),"")</f>
        <v/>
      </c>
      <c r="AB572" s="7" t="n">
        <f aca="false">COUNTIFS(05_訊號明細!A:A,A572,05_訊號明細!C:C,"TOP")</f>
        <v>1</v>
      </c>
      <c r="AC572" s="7" t="n">
        <f aca="false">COUNTIFS(05_訊號明細!A:A,A572,05_訊號明細!C:C,"BOTTOM")</f>
        <v>0</v>
      </c>
    </row>
    <row r="573" customFormat="false" ht="15" hidden="false" customHeight="false" outlineLevel="0" collapsed="false">
      <c r="A573" s="7" t="s">
        <v>614</v>
      </c>
      <c r="B573" s="7" t="n">
        <v>14600.3</v>
      </c>
      <c r="C573" s="7" t="n">
        <v>14639.35</v>
      </c>
      <c r="D573" s="7" t="n">
        <v>14395.4</v>
      </c>
      <c r="E573" s="7" t="n">
        <v>14498.89</v>
      </c>
      <c r="F573" s="7" t="n">
        <v>5360</v>
      </c>
      <c r="G573" s="7" t="n">
        <f aca="false">AVERAGE(E569:E573)</f>
        <v>14835.762</v>
      </c>
      <c r="H573" s="7" t="n">
        <f aca="false">AVERAGE(E564:E573)</f>
        <v>14899.708</v>
      </c>
      <c r="I573" s="7" t="n">
        <f aca="false">AVERAGE(E554:E573)</f>
        <v>14418.4275</v>
      </c>
      <c r="J573" s="7" t="n">
        <f aca="false">AVERAGE(E524:E573)</f>
        <v>14330.5304</v>
      </c>
      <c r="K573" s="7" t="n">
        <f aca="false">AVERAGE(E474:E573)</f>
        <v>15137.6907</v>
      </c>
      <c r="L573" s="7" t="n">
        <f aca="false">AVERAGE(E374:E573)</f>
        <v>15154.96925</v>
      </c>
      <c r="M573" s="7" t="n">
        <f aca="false">I573</f>
        <v>14418.4275</v>
      </c>
      <c r="N573" s="7" t="n">
        <f aca="false">I573+2*STDEV(E554:E573)</f>
        <v>15703.4430277682</v>
      </c>
      <c r="O573" s="7" t="n">
        <f aca="false">I573-2*STDEV(E554:E573)</f>
        <v>13133.4119722318</v>
      </c>
      <c r="P573" s="7" t="n">
        <f aca="false">MAX(E573-E572,0)</f>
        <v>0</v>
      </c>
      <c r="Q573" s="7" t="n">
        <f aca="false">MAX(E572-E573,0)</f>
        <v>321.75</v>
      </c>
      <c r="R573" s="7" t="n">
        <f aca="false">(R572*13+P573)/14</f>
        <v>119.706862743078</v>
      </c>
      <c r="S573" s="7" t="n">
        <f aca="false">(S572*13+Q573)/14</f>
        <v>121.428246630569</v>
      </c>
      <c r="T573" s="7" t="n">
        <f aca="false">IF(S573=0,100,100-100/(1+R573/S573))</f>
        <v>49.643066517364</v>
      </c>
      <c r="U573" s="7" t="n">
        <f aca="false">E573*2/13+U572*11/13</f>
        <v>14721.1523159593</v>
      </c>
      <c r="V573" s="7" t="n">
        <f aca="false">E573*2/27+V572*25/27</f>
        <v>14526.4918888529</v>
      </c>
      <c r="W573" s="7" t="n">
        <f aca="false">U573-V573</f>
        <v>194.660427106428</v>
      </c>
      <c r="X573" s="7" t="n">
        <f aca="false">W573*2/10+X572*8/10</f>
        <v>164.400958160609</v>
      </c>
      <c r="Y573" s="7" t="n">
        <f aca="false">W573-X573</f>
        <v>30.2594689458188</v>
      </c>
      <c r="Z573" s="9" t="s">
        <v>89</v>
      </c>
      <c r="AA573" s="7" t="str">
        <f aca="false">IFERROR(INDEX(02_轉折點45!B:B,MATCH(A573,02_轉折點45!A:A,0)),"")</f>
        <v/>
      </c>
      <c r="AB573" s="7" t="n">
        <f aca="false">COUNTIFS(05_訊號明細!A:A,A573,05_訊號明細!C:C,"TOP")</f>
        <v>0</v>
      </c>
      <c r="AC573" s="7" t="n">
        <f aca="false">COUNTIFS(05_訊號明細!A:A,A573,05_訊號明細!C:C,"BOTTOM")</f>
        <v>0</v>
      </c>
    </row>
    <row r="574" customFormat="false" ht="15" hidden="false" customHeight="false" outlineLevel="0" collapsed="false">
      <c r="A574" s="7" t="s">
        <v>615</v>
      </c>
      <c r="B574" s="7" t="n">
        <v>14469.5</v>
      </c>
      <c r="C574" s="7" t="n">
        <v>14624.24</v>
      </c>
      <c r="D574" s="7" t="n">
        <v>14315.69</v>
      </c>
      <c r="E574" s="7" t="n">
        <v>14531.81</v>
      </c>
      <c r="F574" s="7" t="n">
        <v>4856</v>
      </c>
      <c r="G574" s="7" t="n">
        <f aca="false">AVERAGE(E570:E574)</f>
        <v>14774.426</v>
      </c>
      <c r="H574" s="7" t="n">
        <f aca="false">AVERAGE(E565:E574)</f>
        <v>14876.32</v>
      </c>
      <c r="I574" s="7" t="n">
        <f aca="false">AVERAGE(E555:E574)</f>
        <v>14465.468</v>
      </c>
      <c r="J574" s="7" t="n">
        <f aca="false">AVERAGE(E525:E574)</f>
        <v>14337.7114</v>
      </c>
      <c r="K574" s="7" t="n">
        <f aca="false">AVERAGE(E475:E574)</f>
        <v>15121.0099</v>
      </c>
      <c r="L574" s="7" t="n">
        <f aca="false">AVERAGE(E375:E574)</f>
        <v>15156.2571</v>
      </c>
      <c r="M574" s="7" t="n">
        <f aca="false">I574</f>
        <v>14465.468</v>
      </c>
      <c r="N574" s="7" t="n">
        <f aca="false">I574+2*STDEV(E555:E574)</f>
        <v>15690.4252673208</v>
      </c>
      <c r="O574" s="7" t="n">
        <f aca="false">I574-2*STDEV(E555:E574)</f>
        <v>13240.5107326792</v>
      </c>
      <c r="P574" s="7" t="n">
        <f aca="false">MAX(E574-E573,0)</f>
        <v>32.9200000000001</v>
      </c>
      <c r="Q574" s="7" t="n">
        <f aca="false">MAX(E573-E574,0)</f>
        <v>0</v>
      </c>
      <c r="R574" s="7" t="n">
        <f aca="false">(R573*13+P574)/14</f>
        <v>113.507801118572</v>
      </c>
      <c r="S574" s="7" t="n">
        <f aca="false">(S573*13+Q574)/14</f>
        <v>112.754800442671</v>
      </c>
      <c r="T574" s="7" t="n">
        <f aca="false">IF(S574=0,100,100-100/(1+R574/S574))</f>
        <v>50.1663997210996</v>
      </c>
      <c r="U574" s="7" t="n">
        <f aca="false">E574*2/13+U573*11/13</f>
        <v>14692.0227288886</v>
      </c>
      <c r="V574" s="7" t="n">
        <f aca="false">E574*2/27+V573*25/27</f>
        <v>14526.8858230119</v>
      </c>
      <c r="W574" s="7" t="n">
        <f aca="false">U574-V574</f>
        <v>165.13690587672</v>
      </c>
      <c r="X574" s="7" t="n">
        <f aca="false">W574*2/10+X573*8/10</f>
        <v>164.548147703831</v>
      </c>
      <c r="Y574" s="7" t="n">
        <f aca="false">W574-X574</f>
        <v>0.588758172888333</v>
      </c>
      <c r="Z574" s="9" t="s">
        <v>89</v>
      </c>
      <c r="AA574" s="7" t="str">
        <f aca="false">IFERROR(INDEX(02_轉折點45!B:B,MATCH(A574,02_轉折點45!A:A,0)),"")</f>
        <v/>
      </c>
      <c r="AB574" s="7" t="n">
        <f aca="false">COUNTIFS(05_訊號明細!A:A,A574,05_訊號明細!C:C,"TOP")</f>
        <v>0</v>
      </c>
      <c r="AC574" s="7" t="n">
        <f aca="false">COUNTIFS(05_訊號明細!A:A,A574,05_訊號明細!C:C,"BOTTOM")</f>
        <v>0</v>
      </c>
    </row>
    <row r="575" customFormat="false" ht="15" hidden="false" customHeight="false" outlineLevel="0" collapsed="false">
      <c r="A575" s="7" t="s">
        <v>616</v>
      </c>
      <c r="B575" s="7" t="n">
        <v>14450.53</v>
      </c>
      <c r="C575" s="7" t="n">
        <v>14490.19</v>
      </c>
      <c r="D575" s="7" t="n">
        <v>14307.68</v>
      </c>
      <c r="E575" s="7" t="n">
        <v>14327.26</v>
      </c>
      <c r="F575" s="7" t="n">
        <v>4574</v>
      </c>
      <c r="G575" s="7" t="n">
        <f aca="false">AVERAGE(E571:E575)</f>
        <v>14667.636</v>
      </c>
      <c r="H575" s="7" t="n">
        <f aca="false">AVERAGE(E566:E575)</f>
        <v>14833.615</v>
      </c>
      <c r="I575" s="7" t="n">
        <f aca="false">AVERAGE(E556:E575)</f>
        <v>14516.7395</v>
      </c>
      <c r="J575" s="7" t="n">
        <f aca="false">AVERAGE(E526:E575)</f>
        <v>14344.1944</v>
      </c>
      <c r="K575" s="7" t="n">
        <f aca="false">AVERAGE(E476:E575)</f>
        <v>15102.3913</v>
      </c>
      <c r="L575" s="7" t="n">
        <f aca="false">AVERAGE(E376:E575)</f>
        <v>15156.0636</v>
      </c>
      <c r="M575" s="7" t="n">
        <f aca="false">I575</f>
        <v>14516.7395</v>
      </c>
      <c r="N575" s="7" t="n">
        <f aca="false">I575+2*STDEV(E556:E575)</f>
        <v>15616.0162171473</v>
      </c>
      <c r="O575" s="7" t="n">
        <f aca="false">I575-2*STDEV(E556:E575)</f>
        <v>13417.4627828527</v>
      </c>
      <c r="P575" s="7" t="n">
        <f aca="false">MAX(E575-E574,0)</f>
        <v>0</v>
      </c>
      <c r="Q575" s="7" t="n">
        <f aca="false">MAX(E574-E575,0)</f>
        <v>204.549999999999</v>
      </c>
      <c r="R575" s="7" t="n">
        <f aca="false">(R574*13+P575)/14</f>
        <v>105.400101038674</v>
      </c>
      <c r="S575" s="7" t="n">
        <f aca="false">(S574*13+Q575)/14</f>
        <v>119.311600411052</v>
      </c>
      <c r="T575" s="7" t="n">
        <f aca="false">IF(S575=0,100,100-100/(1+R575/S575))</f>
        <v>46.9045894622693</v>
      </c>
      <c r="U575" s="7" t="n">
        <f aca="false">E575*2/13+U574*11/13</f>
        <v>14635.9053859827</v>
      </c>
      <c r="V575" s="7" t="n">
        <f aca="false">E575*2/27+V574*25/27</f>
        <v>14512.098725011</v>
      </c>
      <c r="W575" s="7" t="n">
        <f aca="false">U575-V575</f>
        <v>123.806660971659</v>
      </c>
      <c r="X575" s="7" t="n">
        <f aca="false">W575*2/10+X574*8/10</f>
        <v>156.399850357397</v>
      </c>
      <c r="Y575" s="7" t="n">
        <f aca="false">W575-X575</f>
        <v>-32.5931893857379</v>
      </c>
      <c r="Z575" s="9" t="s">
        <v>89</v>
      </c>
      <c r="AA575" s="7" t="str">
        <f aca="false">IFERROR(INDEX(02_轉折點45!B:B,MATCH(A575,02_轉折點45!A:A,0)),"")</f>
        <v/>
      </c>
      <c r="AB575" s="7" t="n">
        <f aca="false">COUNTIFS(05_訊號明細!A:A,A575,05_訊號明細!C:C,"TOP")</f>
        <v>0</v>
      </c>
      <c r="AC575" s="7" t="n">
        <f aca="false">COUNTIFS(05_訊號明細!A:A,A575,05_訊號明細!C:C,"BOTTOM")</f>
        <v>0</v>
      </c>
    </row>
    <row r="576" customFormat="false" ht="15" hidden="false" customHeight="false" outlineLevel="0" collapsed="false">
      <c r="A576" s="7" t="s">
        <v>617</v>
      </c>
      <c r="B576" s="7" t="n">
        <v>14149.6</v>
      </c>
      <c r="C576" s="7" t="n">
        <v>14187.67</v>
      </c>
      <c r="D576" s="7" t="n">
        <v>13979.14</v>
      </c>
      <c r="E576" s="7" t="n">
        <v>13990.21</v>
      </c>
      <c r="F576" s="7" t="n">
        <v>4947</v>
      </c>
      <c r="G576" s="7" t="n">
        <f aca="false">AVERAGE(E572:E576)</f>
        <v>14433.762</v>
      </c>
      <c r="H576" s="7" t="n">
        <f aca="false">AVERAGE(E567:E576)</f>
        <v>14733.896</v>
      </c>
      <c r="I576" s="7" t="n">
        <f aca="false">AVERAGE(E557:E576)</f>
        <v>14563.918</v>
      </c>
      <c r="J576" s="7" t="n">
        <f aca="false">AVERAGE(E527:E576)</f>
        <v>14334.9064</v>
      </c>
      <c r="K576" s="7" t="n">
        <f aca="false">AVERAGE(E477:E576)</f>
        <v>15079.1957</v>
      </c>
      <c r="L576" s="7" t="n">
        <f aca="false">AVERAGE(E377:E576)</f>
        <v>15154.28875</v>
      </c>
      <c r="M576" s="7" t="n">
        <f aca="false">I576</f>
        <v>14563.918</v>
      </c>
      <c r="N576" s="7" t="n">
        <f aca="false">I576+2*STDEV(E557:E576)</f>
        <v>15459.6939043445</v>
      </c>
      <c r="O576" s="7" t="n">
        <f aca="false">I576-2*STDEV(E557:E576)</f>
        <v>13668.1420956555</v>
      </c>
      <c r="P576" s="7" t="n">
        <f aca="false">MAX(E576-E575,0)</f>
        <v>0</v>
      </c>
      <c r="Q576" s="7" t="n">
        <f aca="false">MAX(E575-E576,0)</f>
        <v>337.050000000001</v>
      </c>
      <c r="R576" s="7" t="n">
        <f aca="false">(R575*13+P576)/14</f>
        <v>97.8715223930546</v>
      </c>
      <c r="S576" s="7" t="n">
        <f aca="false">(S575*13+Q576)/14</f>
        <v>134.864343238834</v>
      </c>
      <c r="T576" s="7" t="n">
        <f aca="false">IF(S576=0,100,100-100/(1+R576/S576))</f>
        <v>42.0526170847493</v>
      </c>
      <c r="U576" s="7" t="n">
        <f aca="false">E576*2/13+U575*11/13</f>
        <v>14536.5676342931</v>
      </c>
      <c r="V576" s="7" t="n">
        <f aca="false">E576*2/27+V575*25/27</f>
        <v>14473.4403009362</v>
      </c>
      <c r="W576" s="7" t="n">
        <f aca="false">U576-V576</f>
        <v>63.1273333569061</v>
      </c>
      <c r="X576" s="7" t="n">
        <f aca="false">W576*2/10+X575*8/10</f>
        <v>137.745346957299</v>
      </c>
      <c r="Y576" s="7" t="n">
        <f aca="false">W576-X576</f>
        <v>-74.6180136003925</v>
      </c>
      <c r="Z576" s="9" t="s">
        <v>89</v>
      </c>
      <c r="AA576" s="7" t="str">
        <f aca="false">IFERROR(INDEX(02_轉折點45!B:B,MATCH(A576,02_轉折點45!A:A,0)),"")</f>
        <v/>
      </c>
      <c r="AB576" s="7" t="n">
        <f aca="false">COUNTIFS(05_訊號明細!A:A,A576,05_訊號明細!C:C,"TOP")</f>
        <v>0</v>
      </c>
      <c r="AC576" s="7" t="n">
        <f aca="false">COUNTIFS(05_訊號明細!A:A,A576,05_訊號明細!C:C,"BOTTOM")</f>
        <v>0</v>
      </c>
    </row>
    <row r="577" customFormat="false" ht="15" hidden="false" customHeight="false" outlineLevel="0" collapsed="false">
      <c r="A577" s="7" t="s">
        <v>618</v>
      </c>
      <c r="B577" s="7" t="n">
        <v>14175.66</v>
      </c>
      <c r="C577" s="7" t="n">
        <v>14264.74</v>
      </c>
      <c r="D577" s="7" t="n">
        <v>13882.75</v>
      </c>
      <c r="E577" s="7" t="n">
        <v>13940.24</v>
      </c>
      <c r="F577" s="7" t="n">
        <v>4992</v>
      </c>
      <c r="G577" s="7" t="n">
        <f aca="false">AVERAGE(E573:E577)</f>
        <v>14257.682</v>
      </c>
      <c r="H577" s="7" t="n">
        <f aca="false">AVERAGE(E568:E577)</f>
        <v>14603.988</v>
      </c>
      <c r="I577" s="7" t="n">
        <f aca="false">AVERAGE(E558:E577)</f>
        <v>14588.002</v>
      </c>
      <c r="J577" s="7" t="n">
        <f aca="false">AVERAGE(E528:E577)</f>
        <v>14315.1102</v>
      </c>
      <c r="K577" s="7" t="n">
        <f aca="false">AVERAGE(E478:E577)</f>
        <v>15055.5174</v>
      </c>
      <c r="L577" s="7" t="n">
        <f aca="false">AVERAGE(E378:E577)</f>
        <v>15151.36505</v>
      </c>
      <c r="M577" s="7" t="n">
        <f aca="false">I577</f>
        <v>14588.002</v>
      </c>
      <c r="N577" s="7" t="n">
        <f aca="false">I577+2*STDEV(E558:E577)</f>
        <v>15378.3418196139</v>
      </c>
      <c r="O577" s="7" t="n">
        <f aca="false">I577-2*STDEV(E558:E577)</f>
        <v>13797.6621803861</v>
      </c>
      <c r="P577" s="7" t="n">
        <f aca="false">MAX(E577-E576,0)</f>
        <v>0</v>
      </c>
      <c r="Q577" s="7" t="n">
        <f aca="false">MAX(E576-E577,0)</f>
        <v>49.9699999999993</v>
      </c>
      <c r="R577" s="7" t="n">
        <f aca="false">(R576*13+P577)/14</f>
        <v>90.8806993649792</v>
      </c>
      <c r="S577" s="7" t="n">
        <f aca="false">(S576*13+Q577)/14</f>
        <v>128.800461578917</v>
      </c>
      <c r="T577" s="7" t="n">
        <f aca="false">IF(S577=0,100,100-100/(1+R577/S577))</f>
        <v>41.3693641159285</v>
      </c>
      <c r="U577" s="7" t="n">
        <f aca="false">E577*2/13+U576*11/13</f>
        <v>14444.8249213249</v>
      </c>
      <c r="V577" s="7" t="n">
        <f aca="false">E577*2/27+V576*25/27</f>
        <v>14433.9439823483</v>
      </c>
      <c r="W577" s="7" t="n">
        <f aca="false">U577-V577</f>
        <v>10.8809389766066</v>
      </c>
      <c r="X577" s="7" t="n">
        <f aca="false">W577*2/10+X576*8/10</f>
        <v>112.37246536116</v>
      </c>
      <c r="Y577" s="7" t="n">
        <f aca="false">W577-X577</f>
        <v>-101.491526384554</v>
      </c>
      <c r="Z577" s="9" t="s">
        <v>89</v>
      </c>
      <c r="AA577" s="7" t="str">
        <f aca="false">IFERROR(INDEX(02_轉折點45!B:B,MATCH(A577,02_轉折點45!A:A,0)),"")</f>
        <v/>
      </c>
      <c r="AB577" s="7" t="n">
        <f aca="false">COUNTIFS(05_訊號明細!A:A,A577,05_訊號明細!C:C,"TOP")</f>
        <v>0</v>
      </c>
      <c r="AC577" s="7" t="n">
        <f aca="false">COUNTIFS(05_訊號明細!A:A,A577,05_訊號明細!C:C,"BOTTOM")</f>
        <v>0</v>
      </c>
    </row>
    <row r="578" customFormat="false" ht="15" hidden="false" customHeight="false" outlineLevel="0" collapsed="false">
      <c r="A578" s="7" t="s">
        <v>619</v>
      </c>
      <c r="B578" s="7" t="n">
        <v>13939.61</v>
      </c>
      <c r="C578" s="7" t="n">
        <v>14258.81</v>
      </c>
      <c r="D578" s="7" t="n">
        <v>13919.48</v>
      </c>
      <c r="E578" s="7" t="n">
        <v>14217.29</v>
      </c>
      <c r="F578" s="7" t="n">
        <v>4910</v>
      </c>
      <c r="G578" s="7" t="n">
        <f aca="false">AVERAGE(E574:E578)</f>
        <v>14201.362</v>
      </c>
      <c r="H578" s="7" t="n">
        <f aca="false">AVERAGE(E569:E578)</f>
        <v>14518.562</v>
      </c>
      <c r="I578" s="7" t="n">
        <f aca="false">AVERAGE(E559:E578)</f>
        <v>14601.027</v>
      </c>
      <c r="J578" s="7" t="n">
        <f aca="false">AVERAGE(E529:E578)</f>
        <v>14299.0624</v>
      </c>
      <c r="K578" s="7" t="n">
        <f aca="false">AVERAGE(E479:E578)</f>
        <v>15032.8606</v>
      </c>
      <c r="L578" s="7" t="n">
        <f aca="false">AVERAGE(E379:E578)</f>
        <v>15149.58775</v>
      </c>
      <c r="M578" s="7" t="n">
        <f aca="false">I578</f>
        <v>14601.027</v>
      </c>
      <c r="N578" s="7" t="n">
        <f aca="false">I578+2*STDEV(E559:E578)</f>
        <v>15355.331375284</v>
      </c>
      <c r="O578" s="7" t="n">
        <f aca="false">I578-2*STDEV(E559:E578)</f>
        <v>13846.722624716</v>
      </c>
      <c r="P578" s="7" t="n">
        <f aca="false">MAX(E578-E577,0)</f>
        <v>277.050000000001</v>
      </c>
      <c r="Q578" s="7" t="n">
        <f aca="false">MAX(E577-E578,0)</f>
        <v>0</v>
      </c>
      <c r="R578" s="7" t="n">
        <f aca="false">(R577*13+P578)/14</f>
        <v>104.178506553195</v>
      </c>
      <c r="S578" s="7" t="n">
        <f aca="false">(S577*13+Q578)/14</f>
        <v>119.600428608994</v>
      </c>
      <c r="T578" s="7" t="n">
        <f aca="false">IF(S578=0,100,100-100/(1+R578/S578))</f>
        <v>46.5542060416406</v>
      </c>
      <c r="U578" s="7" t="n">
        <f aca="false">E578*2/13+U577*11/13</f>
        <v>14409.8195488134</v>
      </c>
      <c r="V578" s="7" t="n">
        <f aca="false">E578*2/27+V577*25/27</f>
        <v>14417.8955392114</v>
      </c>
      <c r="W578" s="7" t="n">
        <f aca="false">U578-V578</f>
        <v>-8.07599039800516</v>
      </c>
      <c r="X578" s="7" t="n">
        <f aca="false">W578*2/10+X577*8/10</f>
        <v>88.2827742093271</v>
      </c>
      <c r="Y578" s="7" t="n">
        <f aca="false">W578-X578</f>
        <v>-96.3587646073323</v>
      </c>
      <c r="Z578" s="9" t="s">
        <v>89</v>
      </c>
      <c r="AA578" s="7" t="str">
        <f aca="false">IFERROR(INDEX(02_轉折點45!B:B,MATCH(A578,02_轉折點45!A:A,0)),"")</f>
        <v/>
      </c>
      <c r="AB578" s="7" t="n">
        <f aca="false">COUNTIFS(05_訊號明細!A:A,A578,05_訊號明細!C:C,"TOP")</f>
        <v>0</v>
      </c>
      <c r="AC578" s="7" t="n">
        <f aca="false">COUNTIFS(05_訊號明細!A:A,A578,05_訊號明細!C:C,"BOTTOM")</f>
        <v>0</v>
      </c>
    </row>
    <row r="579" customFormat="false" ht="15" hidden="false" customHeight="false" outlineLevel="0" collapsed="false">
      <c r="A579" s="7" t="s">
        <v>620</v>
      </c>
      <c r="B579" s="7" t="n">
        <v>14225.47</v>
      </c>
      <c r="C579" s="7" t="n">
        <v>14235.39</v>
      </c>
      <c r="D579" s="7" t="n">
        <v>13884.82</v>
      </c>
      <c r="E579" s="7" t="n">
        <v>13893.21</v>
      </c>
      <c r="F579" s="7" t="n">
        <v>4642</v>
      </c>
      <c r="G579" s="7" t="n">
        <f aca="false">AVERAGE(E575:E579)</f>
        <v>14073.642</v>
      </c>
      <c r="H579" s="7" t="n">
        <f aca="false">AVERAGE(E570:E579)</f>
        <v>14424.034</v>
      </c>
      <c r="I579" s="7" t="n">
        <f aca="false">AVERAGE(E560:E579)</f>
        <v>14589.7575</v>
      </c>
      <c r="J579" s="7" t="n">
        <f aca="false">AVERAGE(E530:E579)</f>
        <v>14274.1318</v>
      </c>
      <c r="K579" s="7" t="n">
        <f aca="false">AVERAGE(E480:E579)</f>
        <v>15006.0593</v>
      </c>
      <c r="L579" s="7" t="n">
        <f aca="false">AVERAGE(E380:E579)</f>
        <v>15146.2798</v>
      </c>
      <c r="M579" s="7" t="n">
        <f aca="false">I579</f>
        <v>14589.7575</v>
      </c>
      <c r="N579" s="7" t="n">
        <f aca="false">I579+2*STDEV(E560:E579)</f>
        <v>15380.2750843146</v>
      </c>
      <c r="O579" s="7" t="n">
        <f aca="false">I579-2*STDEV(E560:E579)</f>
        <v>13799.2399156854</v>
      </c>
      <c r="P579" s="7" t="n">
        <f aca="false">MAX(E579-E578,0)</f>
        <v>0</v>
      </c>
      <c r="Q579" s="7" t="n">
        <f aca="false">MAX(E578-E579,0)</f>
        <v>324.080000000002</v>
      </c>
      <c r="R579" s="7" t="n">
        <f aca="false">(R578*13+P579)/14</f>
        <v>96.7371846565383</v>
      </c>
      <c r="S579" s="7" t="n">
        <f aca="false">(S578*13+Q579)/14</f>
        <v>134.206112279781</v>
      </c>
      <c r="T579" s="7" t="n">
        <f aca="false">IF(S579=0,100,100-100/(1+R579/S579))</f>
        <v>41.8878512344149</v>
      </c>
      <c r="U579" s="7" t="n">
        <f aca="false">E579*2/13+U578*11/13</f>
        <v>14330.3411566882</v>
      </c>
      <c r="V579" s="7" t="n">
        <f aca="false">E579*2/27+V578*25/27</f>
        <v>14379.0299437142</v>
      </c>
      <c r="W579" s="7" t="n">
        <f aca="false">U579-V579</f>
        <v>-48.6887870260016</v>
      </c>
      <c r="X579" s="7" t="n">
        <f aca="false">W579*2/10+X578*8/10</f>
        <v>60.8884619622614</v>
      </c>
      <c r="Y579" s="7" t="n">
        <f aca="false">W579-X579</f>
        <v>-109.577248988263</v>
      </c>
      <c r="Z579" s="9" t="s">
        <v>89</v>
      </c>
      <c r="AA579" s="7" t="str">
        <f aca="false">IFERROR(INDEX(02_轉折點45!B:B,MATCH(A579,02_轉折點45!A:A,0)),"")</f>
        <v/>
      </c>
      <c r="AB579" s="7" t="n">
        <f aca="false">COUNTIFS(05_訊號明細!A:A,A579,05_訊號明細!C:C,"TOP")</f>
        <v>0</v>
      </c>
      <c r="AC579" s="7" t="n">
        <f aca="false">COUNTIFS(05_訊號明細!A:A,A579,05_訊號明細!C:C,"BOTTOM")</f>
        <v>0</v>
      </c>
    </row>
    <row r="580" customFormat="false" ht="15" hidden="false" customHeight="false" outlineLevel="0" collapsed="false">
      <c r="A580" s="7" t="s">
        <v>621</v>
      </c>
      <c r="B580" s="7" t="n">
        <v>13859.47</v>
      </c>
      <c r="C580" s="7" t="n">
        <v>13997.93</v>
      </c>
      <c r="D580" s="7" t="n">
        <v>13788.96</v>
      </c>
      <c r="E580" s="7" t="n">
        <v>13910.76</v>
      </c>
      <c r="F580" s="7" t="n">
        <v>4365</v>
      </c>
      <c r="G580" s="7" t="n">
        <f aca="false">AVERAGE(E576:E580)</f>
        <v>13990.342</v>
      </c>
      <c r="H580" s="7" t="n">
        <f aca="false">AVERAGE(E571:E580)</f>
        <v>14328.989</v>
      </c>
      <c r="I580" s="7" t="n">
        <f aca="false">AVERAGE(E561:E580)</f>
        <v>14564.2915</v>
      </c>
      <c r="J580" s="7" t="n">
        <f aca="false">AVERAGE(E531:E580)</f>
        <v>14262.3248</v>
      </c>
      <c r="K580" s="7" t="n">
        <f aca="false">AVERAGE(E481:E580)</f>
        <v>14981.3571</v>
      </c>
      <c r="L580" s="7" t="n">
        <f aca="false">AVERAGE(E381:E580)</f>
        <v>15143.03335</v>
      </c>
      <c r="M580" s="7" t="n">
        <f aca="false">I580</f>
        <v>14564.2915</v>
      </c>
      <c r="N580" s="7" t="n">
        <f aca="false">I580+2*STDEV(E561:E580)</f>
        <v>15408.7954092683</v>
      </c>
      <c r="O580" s="7" t="n">
        <f aca="false">I580-2*STDEV(E561:E580)</f>
        <v>13719.7875907317</v>
      </c>
      <c r="P580" s="7" t="n">
        <f aca="false">MAX(E580-E579,0)</f>
        <v>17.5500000000011</v>
      </c>
      <c r="Q580" s="7" t="n">
        <f aca="false">MAX(E579-E580,0)</f>
        <v>0</v>
      </c>
      <c r="R580" s="7" t="n">
        <f aca="false">(R579*13+P580)/14</f>
        <v>91.0809571810713</v>
      </c>
      <c r="S580" s="7" t="n">
        <f aca="false">(S579*13+Q580)/14</f>
        <v>124.619961402653</v>
      </c>
      <c r="T580" s="7" t="n">
        <f aca="false">IF(S580=0,100,100-100/(1+R580/S580))</f>
        <v>42.2255768677768</v>
      </c>
      <c r="U580" s="7" t="n">
        <f aca="false">E580*2/13+U579*11/13</f>
        <v>14265.7902095054</v>
      </c>
      <c r="V580" s="7" t="n">
        <f aca="false">E580*2/27+V579*25/27</f>
        <v>14344.3432812169</v>
      </c>
      <c r="W580" s="7" t="n">
        <f aca="false">U580-V580</f>
        <v>-78.5530717114561</v>
      </c>
      <c r="X580" s="7" t="n">
        <f aca="false">W580*2/10+X579*8/10</f>
        <v>33.0001552275179</v>
      </c>
      <c r="Y580" s="7" t="n">
        <f aca="false">W580-X580</f>
        <v>-111.553226938974</v>
      </c>
      <c r="Z580" s="9" t="s">
        <v>89</v>
      </c>
      <c r="AA580" s="7" t="str">
        <f aca="false">IFERROR(INDEX(02_轉折點45!B:B,MATCH(A580,02_轉折點45!A:A,0)),"")</f>
        <v/>
      </c>
      <c r="AB580" s="7" t="n">
        <f aca="false">COUNTIFS(05_訊號明細!A:A,A580,05_訊號明細!C:C,"TOP")</f>
        <v>0</v>
      </c>
      <c r="AC580" s="7" t="n">
        <f aca="false">COUNTIFS(05_訊號明細!A:A,A580,05_訊號明細!C:C,"BOTTOM")</f>
        <v>0</v>
      </c>
    </row>
    <row r="581" customFormat="false" ht="15" hidden="false" customHeight="false" outlineLevel="0" collapsed="false">
      <c r="A581" s="7" t="s">
        <v>622</v>
      </c>
      <c r="B581" s="7" t="n">
        <v>13882.75</v>
      </c>
      <c r="C581" s="7" t="n">
        <v>14236.51</v>
      </c>
      <c r="D581" s="7" t="n">
        <v>13844.74</v>
      </c>
      <c r="E581" s="7" t="n">
        <v>14210.26</v>
      </c>
      <c r="F581" s="7" t="n">
        <v>4563</v>
      </c>
      <c r="G581" s="7" t="n">
        <f aca="false">AVERAGE(E577:E581)</f>
        <v>14034.352</v>
      </c>
      <c r="H581" s="7" t="n">
        <f aca="false">AVERAGE(E572:E581)</f>
        <v>14234.057</v>
      </c>
      <c r="I581" s="7" t="n">
        <f aca="false">AVERAGE(E562:E581)</f>
        <v>14556</v>
      </c>
      <c r="J581" s="7" t="n">
        <f aca="false">AVERAGE(E532:E581)</f>
        <v>14252.643</v>
      </c>
      <c r="K581" s="7" t="n">
        <f aca="false">AVERAGE(E482:E581)</f>
        <v>14960.3925</v>
      </c>
      <c r="L581" s="7" t="n">
        <f aca="false">AVERAGE(E382:E581)</f>
        <v>15140.4465</v>
      </c>
      <c r="M581" s="7" t="n">
        <f aca="false">I581</f>
        <v>14556</v>
      </c>
      <c r="N581" s="7" t="n">
        <f aca="false">I581+2*STDEV(E562:E581)</f>
        <v>15411.4692242273</v>
      </c>
      <c r="O581" s="7" t="n">
        <f aca="false">I581-2*STDEV(E562:E581)</f>
        <v>13700.5307757727</v>
      </c>
      <c r="P581" s="7" t="n">
        <f aca="false">MAX(E581-E580,0)</f>
        <v>299.5</v>
      </c>
      <c r="Q581" s="7" t="n">
        <f aca="false">MAX(E580-E581,0)</f>
        <v>0</v>
      </c>
      <c r="R581" s="7" t="n">
        <f aca="false">(R580*13+P581)/14</f>
        <v>105.968031668138</v>
      </c>
      <c r="S581" s="7" t="n">
        <f aca="false">(S580*13+Q581)/14</f>
        <v>115.718535588178</v>
      </c>
      <c r="T581" s="7" t="n">
        <f aca="false">IF(S581=0,100,100-100/(1+R581/S581))</f>
        <v>47.8008356481142</v>
      </c>
      <c r="U581" s="7" t="n">
        <f aca="false">E581*2/13+U580*11/13</f>
        <v>14257.2471003508</v>
      </c>
      <c r="V581" s="7" t="n">
        <f aca="false">E581*2/27+V580*25/27</f>
        <v>14334.4111863119</v>
      </c>
      <c r="W581" s="7" t="n">
        <f aca="false">U581-V581</f>
        <v>-77.1640859611816</v>
      </c>
      <c r="X581" s="7" t="n">
        <f aca="false">W581*2/10+X580*8/10</f>
        <v>10.967306989778</v>
      </c>
      <c r="Y581" s="7" t="n">
        <f aca="false">W581-X581</f>
        <v>-88.1313929509596</v>
      </c>
      <c r="Z581" s="9" t="s">
        <v>89</v>
      </c>
      <c r="AA581" s="7" t="str">
        <f aca="false">IFERROR(INDEX(02_轉折點45!B:B,MATCH(A581,02_轉折點45!A:A,0)),"")</f>
        <v/>
      </c>
      <c r="AB581" s="7" t="n">
        <f aca="false">COUNTIFS(05_訊號明細!A:A,A581,05_訊號明細!C:C,"TOP")</f>
        <v>0</v>
      </c>
      <c r="AC581" s="7" t="n">
        <f aca="false">COUNTIFS(05_訊號明細!A:A,A581,05_訊號明細!C:C,"BOTTOM")</f>
        <v>0</v>
      </c>
    </row>
    <row r="582" customFormat="false" ht="15" hidden="false" customHeight="false" outlineLevel="0" collapsed="false">
      <c r="A582" s="7" t="s">
        <v>623</v>
      </c>
      <c r="B582" s="7" t="n">
        <v>14246.2</v>
      </c>
      <c r="C582" s="7" t="n">
        <v>14263.61</v>
      </c>
      <c r="D582" s="7" t="n">
        <v>13962.86</v>
      </c>
      <c r="E582" s="7" t="n">
        <v>13998.53</v>
      </c>
      <c r="F582" s="7" t="n">
        <v>4679</v>
      </c>
      <c r="G582" s="7" t="n">
        <f aca="false">AVERAGE(E578:E582)</f>
        <v>14046.01</v>
      </c>
      <c r="H582" s="7" t="n">
        <f aca="false">AVERAGE(E573:E582)</f>
        <v>14151.846</v>
      </c>
      <c r="I582" s="7" t="n">
        <f aca="false">AVERAGE(E563:E582)</f>
        <v>14523.21</v>
      </c>
      <c r="J582" s="7" t="n">
        <f aca="false">AVERAGE(E533:E582)</f>
        <v>14241.1886</v>
      </c>
      <c r="K582" s="7" t="n">
        <f aca="false">AVERAGE(E483:E582)</f>
        <v>14936.6997</v>
      </c>
      <c r="L582" s="7" t="n">
        <f aca="false">AVERAGE(E383:E582)</f>
        <v>15136.50735</v>
      </c>
      <c r="M582" s="7" t="n">
        <f aca="false">I582</f>
        <v>14523.21</v>
      </c>
      <c r="N582" s="7" t="n">
        <f aca="false">I582+2*STDEV(E563:E582)</f>
        <v>15412.4179739681</v>
      </c>
      <c r="O582" s="7" t="n">
        <f aca="false">I582-2*STDEV(E563:E582)</f>
        <v>13634.0020260319</v>
      </c>
      <c r="P582" s="7" t="n">
        <f aca="false">MAX(E582-E581,0)</f>
        <v>0</v>
      </c>
      <c r="Q582" s="7" t="n">
        <f aca="false">MAX(E581-E582,0)</f>
        <v>211.73</v>
      </c>
      <c r="R582" s="7" t="n">
        <f aca="false">(R581*13+P582)/14</f>
        <v>98.398886548985</v>
      </c>
      <c r="S582" s="7" t="n">
        <f aca="false">(S581*13+Q582)/14</f>
        <v>122.57649733188</v>
      </c>
      <c r="T582" s="7" t="n">
        <f aca="false">IF(S582=0,100,100-100/(1+R582/S582))</f>
        <v>44.5293429615831</v>
      </c>
      <c r="U582" s="7" t="n">
        <f aca="false">E582*2/13+U581*11/13</f>
        <v>14217.4444695276</v>
      </c>
      <c r="V582" s="7" t="n">
        <f aca="false">E582*2/27+V581*25/27</f>
        <v>14309.531098437</v>
      </c>
      <c r="W582" s="7" t="n">
        <f aca="false">U582-V582</f>
        <v>-92.0866289094138</v>
      </c>
      <c r="X582" s="7" t="n">
        <f aca="false">W582*2/10+X581*8/10</f>
        <v>-9.64348019006038</v>
      </c>
      <c r="Y582" s="7" t="n">
        <f aca="false">W582-X582</f>
        <v>-82.4431487193534</v>
      </c>
      <c r="Z582" s="9" t="s">
        <v>89</v>
      </c>
      <c r="AA582" s="7" t="str">
        <f aca="false">IFERROR(INDEX(02_轉折點45!B:B,MATCH(A582,02_轉折點45!A:A,0)),"")</f>
        <v/>
      </c>
      <c r="AB582" s="7" t="n">
        <f aca="false">COUNTIFS(05_訊號明細!A:A,A582,05_訊號明細!C:C,"TOP")</f>
        <v>0</v>
      </c>
      <c r="AC582" s="7" t="n">
        <f aca="false">COUNTIFS(05_訊號明細!A:A,A582,05_訊號明細!C:C,"BOTTOM")</f>
        <v>0</v>
      </c>
    </row>
    <row r="583" customFormat="false" ht="15" hidden="false" customHeight="false" outlineLevel="0" collapsed="false">
      <c r="A583" s="7" t="s">
        <v>624</v>
      </c>
      <c r="B583" s="7" t="n">
        <v>14174.92</v>
      </c>
      <c r="C583" s="7" t="n">
        <v>14277.21</v>
      </c>
      <c r="D583" s="7" t="n">
        <v>13682.68</v>
      </c>
      <c r="E583" s="7" t="n">
        <v>13720.45</v>
      </c>
      <c r="F583" s="7" t="n">
        <v>5233</v>
      </c>
      <c r="G583" s="7" t="n">
        <f aca="false">AVERAGE(E579:E583)</f>
        <v>13946.642</v>
      </c>
      <c r="H583" s="7" t="n">
        <f aca="false">AVERAGE(E574:E583)</f>
        <v>14074.002</v>
      </c>
      <c r="I583" s="7" t="n">
        <f aca="false">AVERAGE(E564:E583)</f>
        <v>14486.855</v>
      </c>
      <c r="J583" s="7" t="n">
        <f aca="false">AVERAGE(E534:E583)</f>
        <v>14220.657</v>
      </c>
      <c r="K583" s="7" t="n">
        <f aca="false">AVERAGE(E484:E583)</f>
        <v>14913.6484</v>
      </c>
      <c r="L583" s="7" t="n">
        <f aca="false">AVERAGE(E384:E583)</f>
        <v>15131.0569</v>
      </c>
      <c r="M583" s="7" t="n">
        <f aca="false">I583</f>
        <v>14486.855</v>
      </c>
      <c r="N583" s="7" t="n">
        <f aca="false">I583+2*STDEV(E564:E583)</f>
        <v>15445.8069345948</v>
      </c>
      <c r="O583" s="7" t="n">
        <f aca="false">I583-2*STDEV(E564:E583)</f>
        <v>13527.9030654052</v>
      </c>
      <c r="P583" s="7" t="n">
        <f aca="false">MAX(E583-E582,0)</f>
        <v>0</v>
      </c>
      <c r="Q583" s="7" t="n">
        <f aca="false">MAX(E582-E583,0)</f>
        <v>278.08</v>
      </c>
      <c r="R583" s="7" t="n">
        <f aca="false">(R582*13+P583)/14</f>
        <v>91.3703946526289</v>
      </c>
      <c r="S583" s="7" t="n">
        <f aca="false">(S582*13+Q583)/14</f>
        <v>133.683890379603</v>
      </c>
      <c r="T583" s="7" t="n">
        <f aca="false">IF(S583=0,100,100-100/(1+R583/S583))</f>
        <v>40.5992690339325</v>
      </c>
      <c r="U583" s="7" t="n">
        <f aca="false">E583*2/13+U582*11/13</f>
        <v>14140.9837819079</v>
      </c>
      <c r="V583" s="7" t="n">
        <f aca="false">E583*2/27+V582*25/27</f>
        <v>14265.8954615157</v>
      </c>
      <c r="W583" s="7" t="n">
        <f aca="false">U583-V583</f>
        <v>-124.911679607783</v>
      </c>
      <c r="X583" s="7" t="n">
        <f aca="false">W583*2/10+X582*8/10</f>
        <v>-32.697120073605</v>
      </c>
      <c r="Y583" s="7" t="n">
        <f aca="false">W583-X583</f>
        <v>-92.2145595341783</v>
      </c>
      <c r="Z583" s="9" t="s">
        <v>89</v>
      </c>
      <c r="AA583" s="7" t="str">
        <f aca="false">IFERROR(INDEX(02_轉折點45!B:B,MATCH(A583,02_轉折點45!A:A,0)),"")</f>
        <v/>
      </c>
      <c r="AB583" s="7" t="n">
        <f aca="false">COUNTIFS(05_訊號明細!A:A,A583,05_訊號明細!C:C,"TOP")</f>
        <v>0</v>
      </c>
      <c r="AC583" s="7" t="n">
        <f aca="false">COUNTIFS(05_訊號明細!A:A,A583,05_訊號明細!C:C,"BOTTOM")</f>
        <v>0</v>
      </c>
    </row>
    <row r="584" customFormat="false" ht="15" hidden="false" customHeight="false" outlineLevel="0" collapsed="false">
      <c r="A584" s="7" t="s">
        <v>625</v>
      </c>
      <c r="B584" s="7" t="n">
        <v>13714.63</v>
      </c>
      <c r="C584" s="7" t="n">
        <v>13769.4</v>
      </c>
      <c r="D584" s="7" t="n">
        <v>13342.79</v>
      </c>
      <c r="E584" s="7" t="n">
        <v>13356.87</v>
      </c>
      <c r="F584" s="7" t="n">
        <v>4475</v>
      </c>
      <c r="G584" s="7" t="n">
        <f aca="false">AVERAGE(E580:E584)</f>
        <v>13839.374</v>
      </c>
      <c r="H584" s="7" t="n">
        <f aca="false">AVERAGE(E575:E584)</f>
        <v>13956.508</v>
      </c>
      <c r="I584" s="7" t="n">
        <f aca="false">AVERAGE(E565:E584)</f>
        <v>14416.414</v>
      </c>
      <c r="J584" s="7" t="n">
        <f aca="false">AVERAGE(E535:E584)</f>
        <v>14186.6552</v>
      </c>
      <c r="K584" s="7" t="n">
        <f aca="false">AVERAGE(E485:E584)</f>
        <v>14883.2247</v>
      </c>
      <c r="L584" s="7" t="n">
        <f aca="false">AVERAGE(E385:E584)</f>
        <v>15124.23055</v>
      </c>
      <c r="M584" s="7" t="n">
        <f aca="false">I584</f>
        <v>14416.414</v>
      </c>
      <c r="N584" s="7" t="n">
        <f aca="false">I584+2*STDEV(E565:E584)</f>
        <v>15489.3269375068</v>
      </c>
      <c r="O584" s="7" t="n">
        <f aca="false">I584-2*STDEV(E565:E584)</f>
        <v>13343.5010624932</v>
      </c>
      <c r="P584" s="7" t="n">
        <f aca="false">MAX(E584-E583,0)</f>
        <v>0</v>
      </c>
      <c r="Q584" s="7" t="n">
        <f aca="false">MAX(E583-E584,0)</f>
        <v>363.58</v>
      </c>
      <c r="R584" s="7" t="n">
        <f aca="false">(R583*13+P584)/14</f>
        <v>84.8439378917268</v>
      </c>
      <c r="S584" s="7" t="n">
        <f aca="false">(S583*13+Q584)/14</f>
        <v>150.105041066774</v>
      </c>
      <c r="T584" s="7" t="n">
        <f aca="false">IF(S584=0,100,100-100/(1+R584/S584))</f>
        <v>36.1116435865478</v>
      </c>
      <c r="U584" s="7" t="n">
        <f aca="false">E584*2/13+U583*11/13</f>
        <v>14020.3508923836</v>
      </c>
      <c r="V584" s="7" t="n">
        <f aca="false">E584*2/27+V583*25/27</f>
        <v>14198.5602421442</v>
      </c>
      <c r="W584" s="7" t="n">
        <f aca="false">U584-V584</f>
        <v>-178.209349760547</v>
      </c>
      <c r="X584" s="7" t="n">
        <f aca="false">W584*2/10+X583*8/10</f>
        <v>-61.7995660109935</v>
      </c>
      <c r="Y584" s="7" t="n">
        <f aca="false">W584-X584</f>
        <v>-116.409783749554</v>
      </c>
      <c r="Z584" s="9" t="s">
        <v>89</v>
      </c>
      <c r="AA584" s="7" t="str">
        <f aca="false">IFERROR(INDEX(02_轉折點45!B:B,MATCH(A584,02_轉折點45!A:A,0)),"")</f>
        <v/>
      </c>
      <c r="AB584" s="7" t="n">
        <f aca="false">COUNTIFS(05_訊號明細!A:A,A584,05_訊號明細!C:C,"TOP")</f>
        <v>1</v>
      </c>
      <c r="AC584" s="7" t="n">
        <f aca="false">COUNTIFS(05_訊號明細!A:A,A584,05_訊號明細!C:C,"BOTTOM")</f>
        <v>0</v>
      </c>
    </row>
    <row r="585" customFormat="false" ht="15" hidden="false" customHeight="false" outlineLevel="0" collapsed="false">
      <c r="A585" s="7" t="s">
        <v>626</v>
      </c>
      <c r="B585" s="7" t="n">
        <v>13275.41</v>
      </c>
      <c r="C585" s="7" t="n">
        <v>13541.77</v>
      </c>
      <c r="D585" s="7" t="n">
        <v>13239.73</v>
      </c>
      <c r="E585" s="7" t="n">
        <v>13533.22</v>
      </c>
      <c r="F585" s="7" t="n">
        <v>4845</v>
      </c>
      <c r="G585" s="7" t="n">
        <f aca="false">AVERAGE(E581:E585)</f>
        <v>13763.866</v>
      </c>
      <c r="H585" s="7" t="n">
        <f aca="false">AVERAGE(E576:E585)</f>
        <v>13877.104</v>
      </c>
      <c r="I585" s="7" t="n">
        <f aca="false">AVERAGE(E566:E585)</f>
        <v>14355.3595</v>
      </c>
      <c r="J585" s="7" t="n">
        <f aca="false">AVERAGE(E536:E585)</f>
        <v>14163.2068</v>
      </c>
      <c r="K585" s="7" t="n">
        <f aca="false">AVERAGE(E486:E585)</f>
        <v>14857.1977</v>
      </c>
      <c r="L585" s="7" t="n">
        <f aca="false">AVERAGE(E386:E585)</f>
        <v>15117.7662</v>
      </c>
      <c r="M585" s="7" t="n">
        <f aca="false">I585</f>
        <v>14355.3595</v>
      </c>
      <c r="N585" s="7" t="n">
        <f aca="false">I585+2*STDEV(E566:E585)</f>
        <v>15484.7962678668</v>
      </c>
      <c r="O585" s="7" t="n">
        <f aca="false">I585-2*STDEV(E566:E585)</f>
        <v>13225.9227321332</v>
      </c>
      <c r="P585" s="7" t="n">
        <f aca="false">MAX(E585-E584,0)</f>
        <v>176.349999999999</v>
      </c>
      <c r="Q585" s="7" t="n">
        <f aca="false">MAX(E584-E585,0)</f>
        <v>0</v>
      </c>
      <c r="R585" s="7" t="n">
        <f aca="false">(R584*13+P585)/14</f>
        <v>91.3800851851748</v>
      </c>
      <c r="S585" s="7" t="n">
        <f aca="false">(S584*13+Q585)/14</f>
        <v>139.383252419147</v>
      </c>
      <c r="T585" s="7" t="n">
        <f aca="false">IF(S585=0,100,100-100/(1+R585/S585))</f>
        <v>39.5990481563668</v>
      </c>
      <c r="U585" s="7" t="n">
        <f aca="false">E585*2/13+U584*11/13</f>
        <v>13945.4076781708</v>
      </c>
      <c r="V585" s="7" t="n">
        <f aca="false">E585*2/27+V584*25/27</f>
        <v>14149.2757797631</v>
      </c>
      <c r="W585" s="7" t="n">
        <f aca="false">U585-V585</f>
        <v>-203.868101592365</v>
      </c>
      <c r="X585" s="7" t="n">
        <f aca="false">W585*2/10+X584*8/10</f>
        <v>-90.2132731272677</v>
      </c>
      <c r="Y585" s="7" t="n">
        <f aca="false">W585-X585</f>
        <v>-113.654828465097</v>
      </c>
      <c r="Z585" s="9" t="s">
        <v>89</v>
      </c>
      <c r="AA585" s="7" t="str">
        <f aca="false">IFERROR(INDEX(02_轉折點45!B:B,MATCH(A585,02_轉折點45!A:A,0)),"")</f>
        <v/>
      </c>
      <c r="AB585" s="7" t="n">
        <f aca="false">COUNTIFS(05_訊號明細!A:A,A585,05_訊號明細!C:C,"TOP")</f>
        <v>1</v>
      </c>
      <c r="AC585" s="7" t="n">
        <f aca="false">COUNTIFS(05_訊號明細!A:A,A585,05_訊號明細!C:C,"BOTTOM")</f>
        <v>0</v>
      </c>
    </row>
    <row r="586" customFormat="false" ht="15" hidden="false" customHeight="false" outlineLevel="0" collapsed="false">
      <c r="A586" s="7" t="s">
        <v>627</v>
      </c>
      <c r="B586" s="7" t="n">
        <v>13447.66</v>
      </c>
      <c r="C586" s="7" t="n">
        <v>13447.66</v>
      </c>
      <c r="D586" s="7" t="n">
        <v>13009.65</v>
      </c>
      <c r="E586" s="7" t="n">
        <v>13009.71</v>
      </c>
      <c r="F586" s="7" t="n">
        <v>5168</v>
      </c>
      <c r="G586" s="7" t="n">
        <f aca="false">AVERAGE(E582:E586)</f>
        <v>13523.756</v>
      </c>
      <c r="H586" s="7" t="n">
        <f aca="false">AVERAGE(E577:E586)</f>
        <v>13779.054</v>
      </c>
      <c r="I586" s="7" t="n">
        <f aca="false">AVERAGE(E567:E586)</f>
        <v>14256.475</v>
      </c>
      <c r="J586" s="7" t="n">
        <f aca="false">AVERAGE(E537:E586)</f>
        <v>14138.3242</v>
      </c>
      <c r="K586" s="7" t="n">
        <f aca="false">AVERAGE(E487:E586)</f>
        <v>14828.5176</v>
      </c>
      <c r="L586" s="7" t="n">
        <f aca="false">AVERAGE(E387:E586)</f>
        <v>15108.4253</v>
      </c>
      <c r="M586" s="7" t="n">
        <f aca="false">I586</f>
        <v>14256.475</v>
      </c>
      <c r="N586" s="7" t="n">
        <f aca="false">I586+2*STDEV(E567:E586)</f>
        <v>15494.0417727908</v>
      </c>
      <c r="O586" s="7" t="n">
        <f aca="false">I586-2*STDEV(E567:E586)</f>
        <v>13018.9082272092</v>
      </c>
      <c r="P586" s="7" t="n">
        <f aca="false">MAX(E586-E585,0)</f>
        <v>0</v>
      </c>
      <c r="Q586" s="7" t="n">
        <f aca="false">MAX(E585-E586,0)</f>
        <v>523.51</v>
      </c>
      <c r="R586" s="7" t="n">
        <f aca="false">(R585*13+P586)/14</f>
        <v>84.8529362433766</v>
      </c>
      <c r="S586" s="7" t="n">
        <f aca="false">(S585*13+Q586)/14</f>
        <v>166.820877246351</v>
      </c>
      <c r="T586" s="7" t="n">
        <f aca="false">IF(S586=0,100,100-100/(1+R586/S586))</f>
        <v>33.7154410571365</v>
      </c>
      <c r="U586" s="7" t="n">
        <f aca="false">E586*2/13+U585*11/13</f>
        <v>13801.4541892214</v>
      </c>
      <c r="V586" s="7" t="n">
        <f aca="false">E586*2/27+V585*25/27</f>
        <v>14064.8634997807</v>
      </c>
      <c r="W586" s="7" t="n">
        <f aca="false">U586-V586</f>
        <v>-263.409310559258</v>
      </c>
      <c r="X586" s="7" t="n">
        <f aca="false">W586*2/10+X585*8/10</f>
        <v>-124.852480613666</v>
      </c>
      <c r="Y586" s="7" t="n">
        <f aca="false">W586-X586</f>
        <v>-138.556829945592</v>
      </c>
      <c r="Z586" s="9" t="s">
        <v>89</v>
      </c>
      <c r="AA586" s="7" t="str">
        <f aca="false">IFERROR(INDEX(02_轉折點45!B:B,MATCH(A586,02_轉折點45!A:A,0)),"")</f>
        <v/>
      </c>
      <c r="AB586" s="7" t="n">
        <f aca="false">COUNTIFS(05_訊號明細!A:A,A586,05_訊號明細!C:C,"TOP")</f>
        <v>0</v>
      </c>
      <c r="AC586" s="7" t="n">
        <f aca="false">COUNTIFS(05_訊號明細!A:A,A586,05_訊號明細!C:C,"BOTTOM")</f>
        <v>0</v>
      </c>
    </row>
    <row r="587" customFormat="false" ht="15" hidden="false" customHeight="false" outlineLevel="0" collapsed="false">
      <c r="A587" s="7" t="s">
        <v>628</v>
      </c>
      <c r="B587" s="7" t="n">
        <v>13009.4</v>
      </c>
      <c r="C587" s="7" t="n">
        <v>13241.94</v>
      </c>
      <c r="D587" s="7" t="n">
        <v>12936.41</v>
      </c>
      <c r="E587" s="7" t="n">
        <v>13003.36</v>
      </c>
      <c r="F587" s="7" t="n">
        <v>4811</v>
      </c>
      <c r="G587" s="7" t="n">
        <f aca="false">AVERAGE(E583:E587)</f>
        <v>13324.722</v>
      </c>
      <c r="H587" s="7" t="n">
        <f aca="false">AVERAGE(E578:E587)</f>
        <v>13685.366</v>
      </c>
      <c r="I587" s="7" t="n">
        <f aca="false">AVERAGE(E568:E587)</f>
        <v>14144.677</v>
      </c>
      <c r="J587" s="7" t="n">
        <f aca="false">AVERAGE(E538:E587)</f>
        <v>14113.0196</v>
      </c>
      <c r="K587" s="7" t="n">
        <f aca="false">AVERAGE(E488:E587)</f>
        <v>14798.6436</v>
      </c>
      <c r="L587" s="7" t="n">
        <f aca="false">AVERAGE(E388:E587)</f>
        <v>15099.0694</v>
      </c>
      <c r="M587" s="7" t="n">
        <f aca="false">I587</f>
        <v>14144.677</v>
      </c>
      <c r="N587" s="7" t="n">
        <f aca="false">I587+2*STDEV(E568:E587)</f>
        <v>15412.0241471767</v>
      </c>
      <c r="O587" s="7" t="n">
        <f aca="false">I587-2*STDEV(E568:E587)</f>
        <v>12877.3298528233</v>
      </c>
      <c r="P587" s="7" t="n">
        <f aca="false">MAX(E587-E586,0)</f>
        <v>0</v>
      </c>
      <c r="Q587" s="7" t="n">
        <f aca="false">MAX(E586-E587,0)</f>
        <v>6.34999999999855</v>
      </c>
      <c r="R587" s="7" t="n">
        <f aca="false">(R586*13+P587)/14</f>
        <v>78.7920122259926</v>
      </c>
      <c r="S587" s="7" t="n">
        <f aca="false">(S586*13+Q587)/14</f>
        <v>155.358671728754</v>
      </c>
      <c r="T587" s="7" t="n">
        <f aca="false">IF(S587=0,100,100-100/(1+R587/S587))</f>
        <v>33.6501311442764</v>
      </c>
      <c r="U587" s="7" t="n">
        <f aca="false">E587*2/13+U586*11/13</f>
        <v>13678.6704678027</v>
      </c>
      <c r="V587" s="7" t="n">
        <f aca="false">E587*2/27+V586*25/27</f>
        <v>13986.233610908</v>
      </c>
      <c r="W587" s="7" t="n">
        <f aca="false">U587-V587</f>
        <v>-307.563143105295</v>
      </c>
      <c r="X587" s="7" t="n">
        <f aca="false">W587*2/10+X586*8/10</f>
        <v>-161.394613111992</v>
      </c>
      <c r="Y587" s="7" t="n">
        <f aca="false">W587-X587</f>
        <v>-146.168529993304</v>
      </c>
      <c r="Z587" s="9" t="s">
        <v>89</v>
      </c>
      <c r="AA587" s="7" t="str">
        <f aca="false">IFERROR(INDEX(02_轉折點45!B:B,MATCH(A587,02_轉折點45!A:A,0)),"")</f>
        <v/>
      </c>
      <c r="AB587" s="7" t="n">
        <f aca="false">COUNTIFS(05_訊號明細!A:A,A587,05_訊號明細!C:C,"TOP")</f>
        <v>0</v>
      </c>
      <c r="AC587" s="7" t="n">
        <f aca="false">COUNTIFS(05_訊號明細!A:A,A587,05_訊號明細!C:C,"BOTTOM")</f>
        <v>0</v>
      </c>
    </row>
    <row r="588" customFormat="false" ht="15" hidden="false" customHeight="false" outlineLevel="0" collapsed="false">
      <c r="A588" s="7" t="s">
        <v>629</v>
      </c>
      <c r="B588" s="7" t="n">
        <v>13254.96</v>
      </c>
      <c r="C588" s="7" t="n">
        <v>13542.56</v>
      </c>
      <c r="D588" s="7" t="n">
        <v>13038.17</v>
      </c>
      <c r="E588" s="7" t="n">
        <v>13456.06</v>
      </c>
      <c r="F588" s="7" t="n">
        <v>5067</v>
      </c>
      <c r="G588" s="7" t="n">
        <f aca="false">AVERAGE(E584:E588)</f>
        <v>13271.844</v>
      </c>
      <c r="H588" s="7" t="n">
        <f aca="false">AVERAGE(E579:E588)</f>
        <v>13609.243</v>
      </c>
      <c r="I588" s="7" t="n">
        <f aca="false">AVERAGE(E569:E588)</f>
        <v>14063.9025</v>
      </c>
      <c r="J588" s="7" t="n">
        <f aca="false">AVERAGE(E539:E588)</f>
        <v>14089.7244</v>
      </c>
      <c r="K588" s="7" t="n">
        <f aca="false">AVERAGE(E489:E588)</f>
        <v>14776.0838</v>
      </c>
      <c r="L588" s="7" t="n">
        <f aca="false">AVERAGE(E389:E588)</f>
        <v>15091.8475</v>
      </c>
      <c r="M588" s="7" t="n">
        <f aca="false">I588</f>
        <v>14063.9025</v>
      </c>
      <c r="N588" s="7" t="n">
        <f aca="false">I588+2*STDEV(E569:E588)</f>
        <v>15287.6939491212</v>
      </c>
      <c r="O588" s="7" t="n">
        <f aca="false">I588-2*STDEV(E569:E588)</f>
        <v>12840.1110508788</v>
      </c>
      <c r="P588" s="7" t="n">
        <f aca="false">MAX(E588-E587,0)</f>
        <v>452.699999999999</v>
      </c>
      <c r="Q588" s="7" t="n">
        <f aca="false">MAX(E587-E588,0)</f>
        <v>0</v>
      </c>
      <c r="R588" s="7" t="n">
        <f aca="false">(R587*13+P588)/14</f>
        <v>105.499725638422</v>
      </c>
      <c r="S588" s="7" t="n">
        <f aca="false">(S587*13+Q588)/14</f>
        <v>144.261623748129</v>
      </c>
      <c r="T588" s="7" t="n">
        <f aca="false">IF(S588=0,100,100-100/(1+R588/S588))</f>
        <v>42.2402128662197</v>
      </c>
      <c r="U588" s="7" t="n">
        <f aca="false">E588*2/13+U587*11/13</f>
        <v>13644.4227035254</v>
      </c>
      <c r="V588" s="7" t="n">
        <f aca="false">E588*2/27+V587*25/27</f>
        <v>13946.9614915815</v>
      </c>
      <c r="W588" s="7" t="n">
        <f aca="false">U588-V588</f>
        <v>-302.538788056121</v>
      </c>
      <c r="X588" s="7" t="n">
        <f aca="false">W588*2/10+X587*8/10</f>
        <v>-189.623448100818</v>
      </c>
      <c r="Y588" s="7" t="n">
        <f aca="false">W588-X588</f>
        <v>-112.915339955304</v>
      </c>
      <c r="Z588" s="9" t="s">
        <v>89</v>
      </c>
      <c r="AA588" s="7" t="str">
        <f aca="false">IFERROR(INDEX(02_轉折點45!B:B,MATCH(A588,02_轉折點45!A:A,0)),"")</f>
        <v/>
      </c>
      <c r="AB588" s="7" t="n">
        <f aca="false">COUNTIFS(05_訊號明細!A:A,A588,05_訊號明細!C:C,"TOP")</f>
        <v>0</v>
      </c>
      <c r="AC588" s="7" t="n">
        <f aca="false">COUNTIFS(05_訊號明細!A:A,A588,05_訊號明細!C:C,"BOTTOM")</f>
        <v>0</v>
      </c>
    </row>
    <row r="589" customFormat="false" ht="15" hidden="false" customHeight="false" outlineLevel="0" collapsed="false">
      <c r="A589" s="7" t="s">
        <v>630</v>
      </c>
      <c r="B589" s="7" t="n">
        <v>13274.94</v>
      </c>
      <c r="C589" s="7" t="n">
        <v>13428.53</v>
      </c>
      <c r="D589" s="7" t="n">
        <v>12835.48</v>
      </c>
      <c r="E589" s="7" t="n">
        <v>12854.8</v>
      </c>
      <c r="F589" s="7" t="n">
        <v>4733</v>
      </c>
      <c r="G589" s="7" t="n">
        <f aca="false">AVERAGE(E585:E589)</f>
        <v>13171.43</v>
      </c>
      <c r="H589" s="7" t="n">
        <f aca="false">AVERAGE(E580:E589)</f>
        <v>13505.402</v>
      </c>
      <c r="I589" s="7" t="n">
        <f aca="false">AVERAGE(E570:E589)</f>
        <v>13964.718</v>
      </c>
      <c r="J589" s="7" t="n">
        <f aca="false">AVERAGE(E540:E589)</f>
        <v>14054.7476</v>
      </c>
      <c r="K589" s="7" t="n">
        <f aca="false">AVERAGE(E490:E589)</f>
        <v>14746.1702</v>
      </c>
      <c r="L589" s="7" t="n">
        <f aca="false">AVERAGE(E390:E589)</f>
        <v>15082.14805</v>
      </c>
      <c r="M589" s="7" t="n">
        <f aca="false">I589</f>
        <v>13964.718</v>
      </c>
      <c r="N589" s="7" t="n">
        <f aca="false">I589+2*STDEV(E570:E589)</f>
        <v>15244.4468311875</v>
      </c>
      <c r="O589" s="7" t="n">
        <f aca="false">I589-2*STDEV(E570:E589)</f>
        <v>12684.9891688125</v>
      </c>
      <c r="P589" s="7" t="n">
        <f aca="false">MAX(E589-E588,0)</f>
        <v>0</v>
      </c>
      <c r="Q589" s="7" t="n">
        <f aca="false">MAX(E588-E589,0)</f>
        <v>601.26</v>
      </c>
      <c r="R589" s="7" t="n">
        <f aca="false">(R588*13+P589)/14</f>
        <v>97.9640309499629</v>
      </c>
      <c r="S589" s="7" t="n">
        <f aca="false">(S588*13+Q589)/14</f>
        <v>176.904364908977</v>
      </c>
      <c r="T589" s="7" t="n">
        <f aca="false">IF(S589=0,100,100-100/(1+R589/S589))</f>
        <v>35.6403400412164</v>
      </c>
      <c r="U589" s="7" t="n">
        <f aca="false">E589*2/13+U588*11/13</f>
        <v>13522.9422875984</v>
      </c>
      <c r="V589" s="7" t="n">
        <f aca="false">E589*2/27+V588*25/27</f>
        <v>13866.0606403533</v>
      </c>
      <c r="W589" s="7" t="n">
        <f aca="false">U589-V589</f>
        <v>-343.118352754846</v>
      </c>
      <c r="X589" s="7" t="n">
        <f aca="false">W589*2/10+X588*8/10</f>
        <v>-220.322429031623</v>
      </c>
      <c r="Y589" s="7" t="n">
        <f aca="false">W589-X589</f>
        <v>-122.795923723222</v>
      </c>
      <c r="Z589" s="9" t="s">
        <v>89</v>
      </c>
      <c r="AA589" s="7" t="str">
        <f aca="false">IFERROR(INDEX(02_轉折點45!B:B,MATCH(A589,02_轉折點45!A:A,0)),"")</f>
        <v/>
      </c>
      <c r="AB589" s="7" t="n">
        <f aca="false">COUNTIFS(05_訊號明細!A:A,A589,05_訊號明細!C:C,"TOP")</f>
        <v>0</v>
      </c>
      <c r="AC589" s="7" t="n">
        <f aca="false">COUNTIFS(05_訊號明細!A:A,A589,05_訊號明細!C:C,"BOTTOM")</f>
        <v>0</v>
      </c>
    </row>
    <row r="590" customFormat="false" ht="15" hidden="false" customHeight="false" outlineLevel="0" collapsed="false">
      <c r="A590" s="7" t="s">
        <v>631</v>
      </c>
      <c r="B590" s="7" t="n">
        <v>12864.83</v>
      </c>
      <c r="C590" s="7" t="n">
        <v>13083.57</v>
      </c>
      <c r="D590" s="7" t="n">
        <v>12716.63</v>
      </c>
      <c r="E590" s="7" t="n">
        <v>13075.85</v>
      </c>
      <c r="F590" s="7" t="n">
        <v>4918</v>
      </c>
      <c r="G590" s="7" t="n">
        <f aca="false">AVERAGE(E586:E590)</f>
        <v>13079.956</v>
      </c>
      <c r="H590" s="7" t="n">
        <f aca="false">AVERAGE(E581:E590)</f>
        <v>13421.911</v>
      </c>
      <c r="I590" s="7" t="n">
        <f aca="false">AVERAGE(E571:E590)</f>
        <v>13875.45</v>
      </c>
      <c r="J590" s="7" t="n">
        <f aca="false">AVERAGE(E541:E590)</f>
        <v>14032.8298</v>
      </c>
      <c r="K590" s="7" t="n">
        <f aca="false">AVERAGE(E491:E590)</f>
        <v>14713.6721</v>
      </c>
      <c r="L590" s="7" t="n">
        <f aca="false">AVERAGE(E391:E590)</f>
        <v>15074.1204</v>
      </c>
      <c r="M590" s="7" t="n">
        <f aca="false">I590</f>
        <v>13875.45</v>
      </c>
      <c r="N590" s="7" t="n">
        <f aca="false">I590+2*STDEV(E571:E590)</f>
        <v>15140.8699082892</v>
      </c>
      <c r="O590" s="7" t="n">
        <f aca="false">I590-2*STDEV(E571:E590)</f>
        <v>12610.0300917108</v>
      </c>
      <c r="P590" s="7" t="n">
        <f aca="false">MAX(E590-E589,0)</f>
        <v>221.050000000001</v>
      </c>
      <c r="Q590" s="7" t="n">
        <f aca="false">MAX(E589-E590,0)</f>
        <v>0</v>
      </c>
      <c r="R590" s="7" t="n">
        <f aca="false">(R589*13+P590)/14</f>
        <v>106.755885882109</v>
      </c>
      <c r="S590" s="7" t="n">
        <f aca="false">(S589*13+Q590)/14</f>
        <v>164.26833884405</v>
      </c>
      <c r="T590" s="7" t="n">
        <f aca="false">IF(S590=0,100,100-100/(1+R590/S590))</f>
        <v>39.3897947646466</v>
      </c>
      <c r="U590" s="7" t="n">
        <f aca="false">E590*2/13+U589*11/13</f>
        <v>13454.1588587371</v>
      </c>
      <c r="V590" s="7" t="n">
        <f aca="false">E590*2/27+V589*25/27</f>
        <v>13807.5265188456</v>
      </c>
      <c r="W590" s="7" t="n">
        <f aca="false">U590-V590</f>
        <v>-353.367660108494</v>
      </c>
      <c r="X590" s="7" t="n">
        <f aca="false">W590*2/10+X589*8/10</f>
        <v>-246.931475246997</v>
      </c>
      <c r="Y590" s="7" t="n">
        <f aca="false">W590-X590</f>
        <v>-106.436184861496</v>
      </c>
      <c r="Z590" s="9" t="s">
        <v>89</v>
      </c>
      <c r="AA590" s="7" t="str">
        <f aca="false">IFERROR(INDEX(02_轉折點45!B:B,MATCH(A590,02_轉折點45!A:A,0)),"")</f>
        <v/>
      </c>
      <c r="AB590" s="7" t="n">
        <f aca="false">COUNTIFS(05_訊號明細!A:A,A590,05_訊號明細!C:C,"TOP")</f>
        <v>0</v>
      </c>
      <c r="AC590" s="7" t="n">
        <f aca="false">COUNTIFS(05_訊號明細!A:A,A590,05_訊號明細!C:C,"BOTTOM")</f>
        <v>0</v>
      </c>
    </row>
    <row r="591" customFormat="false" ht="15" hidden="false" customHeight="false" outlineLevel="0" collapsed="false">
      <c r="A591" s="7" t="s">
        <v>632</v>
      </c>
      <c r="B591" s="7" t="n">
        <v>13045.35</v>
      </c>
      <c r="C591" s="7" t="n">
        <v>13178.74</v>
      </c>
      <c r="D591" s="7" t="n">
        <v>12982.7</v>
      </c>
      <c r="E591" s="7" t="n">
        <v>13089.9</v>
      </c>
      <c r="F591" s="7" t="n">
        <v>4547</v>
      </c>
      <c r="G591" s="7" t="n">
        <f aca="false">AVERAGE(E587:E591)</f>
        <v>13095.994</v>
      </c>
      <c r="H591" s="7" t="n">
        <f aca="false">AVERAGE(E582:E591)</f>
        <v>13309.875</v>
      </c>
      <c r="I591" s="7" t="n">
        <f aca="false">AVERAGE(E572:E591)</f>
        <v>13771.966</v>
      </c>
      <c r="J591" s="7" t="n">
        <f aca="false">AVERAGE(E542:E591)</f>
        <v>14014.437</v>
      </c>
      <c r="K591" s="7" t="n">
        <f aca="false">AVERAGE(E492:E591)</f>
        <v>14680.6277</v>
      </c>
      <c r="L591" s="7" t="n">
        <f aca="false">AVERAGE(E392:E591)</f>
        <v>15066.82445</v>
      </c>
      <c r="M591" s="7" t="n">
        <f aca="false">I591</f>
        <v>13771.966</v>
      </c>
      <c r="N591" s="7" t="n">
        <f aca="false">I591+2*STDEV(E572:E591)</f>
        <v>14929.0982096941</v>
      </c>
      <c r="O591" s="7" t="n">
        <f aca="false">I591-2*STDEV(E572:E591)</f>
        <v>12614.8337903059</v>
      </c>
      <c r="P591" s="7" t="n">
        <f aca="false">MAX(E591-E590,0)</f>
        <v>14.0499999999993</v>
      </c>
      <c r="Q591" s="7" t="n">
        <f aca="false">MAX(E590-E591,0)</f>
        <v>0</v>
      </c>
      <c r="R591" s="7" t="n">
        <f aca="false">(R590*13+P591)/14</f>
        <v>100.134036890529</v>
      </c>
      <c r="S591" s="7" t="n">
        <f aca="false">(S590*13+Q591)/14</f>
        <v>152.534886069475</v>
      </c>
      <c r="T591" s="7" t="n">
        <f aca="false">IF(S591=0,100,100-100/(1+R591/S591))</f>
        <v>39.6305314153652</v>
      </c>
      <c r="U591" s="7" t="n">
        <f aca="false">E591*2/13+U590*11/13</f>
        <v>13398.119034316</v>
      </c>
      <c r="V591" s="7" t="n">
        <f aca="false">E591*2/27+V590*25/27</f>
        <v>13754.3689989311</v>
      </c>
      <c r="W591" s="7" t="n">
        <f aca="false">U591-V591</f>
        <v>-356.249964615095</v>
      </c>
      <c r="X591" s="7" t="n">
        <f aca="false">W591*2/10+X590*8/10</f>
        <v>-268.795173120617</v>
      </c>
      <c r="Y591" s="7" t="n">
        <f aca="false">W591-X591</f>
        <v>-87.4547914944786</v>
      </c>
      <c r="Z591" s="9" t="s">
        <v>89</v>
      </c>
      <c r="AA591" s="7" t="str">
        <f aca="false">IFERROR(INDEX(02_轉折點45!B:B,MATCH(A591,02_轉折點45!A:A,0)),"")</f>
        <v/>
      </c>
      <c r="AB591" s="7" t="n">
        <f aca="false">COUNTIFS(05_訊號明細!A:A,A591,05_訊號明細!C:C,"TOP")</f>
        <v>0</v>
      </c>
      <c r="AC591" s="7" t="n">
        <f aca="false">COUNTIFS(05_訊號明細!A:A,A591,05_訊號明細!C:C,"BOTTOM")</f>
        <v>0</v>
      </c>
    </row>
    <row r="592" customFormat="false" ht="15" hidden="false" customHeight="false" outlineLevel="0" collapsed="false">
      <c r="A592" s="7" t="s">
        <v>633</v>
      </c>
      <c r="B592" s="7" t="n">
        <v>13110.3</v>
      </c>
      <c r="C592" s="7" t="n">
        <v>13556.67</v>
      </c>
      <c r="D592" s="7" t="n">
        <v>12887.53</v>
      </c>
      <c r="E592" s="7" t="n">
        <v>13535.71</v>
      </c>
      <c r="F592" s="7" t="n">
        <v>5498</v>
      </c>
      <c r="G592" s="7" t="n">
        <f aca="false">AVERAGE(E588:E592)</f>
        <v>13202.464</v>
      </c>
      <c r="H592" s="7" t="n">
        <f aca="false">AVERAGE(E583:E592)</f>
        <v>13263.593</v>
      </c>
      <c r="I592" s="7" t="n">
        <f aca="false">AVERAGE(E573:E592)</f>
        <v>13707.7195</v>
      </c>
      <c r="J592" s="7" t="n">
        <f aca="false">AVERAGE(E543:E592)</f>
        <v>14007.7406</v>
      </c>
      <c r="K592" s="7" t="n">
        <f aca="false">AVERAGE(E493:E592)</f>
        <v>14654.4891</v>
      </c>
      <c r="L592" s="7" t="n">
        <f aca="false">AVERAGE(E393:E592)</f>
        <v>15060.86195</v>
      </c>
      <c r="M592" s="7" t="n">
        <f aca="false">I592</f>
        <v>13707.7195</v>
      </c>
      <c r="N592" s="7" t="n">
        <f aca="false">I592+2*STDEV(E573:E592)</f>
        <v>14757.3894731866</v>
      </c>
      <c r="O592" s="7" t="n">
        <f aca="false">I592-2*STDEV(E573:E592)</f>
        <v>12658.0495268134</v>
      </c>
      <c r="P592" s="7" t="n">
        <f aca="false">MAX(E592-E591,0)</f>
        <v>445.81</v>
      </c>
      <c r="Q592" s="7" t="n">
        <f aca="false">MAX(E591-E592,0)</f>
        <v>0</v>
      </c>
      <c r="R592" s="7" t="n">
        <f aca="false">(R591*13+P592)/14</f>
        <v>124.825177112634</v>
      </c>
      <c r="S592" s="7" t="n">
        <f aca="false">(S591*13+Q592)/14</f>
        <v>141.639537064513</v>
      </c>
      <c r="T592" s="7" t="n">
        <f aca="false">IF(S592=0,100,100-100/(1+R592/S592))</f>
        <v>46.844918096604</v>
      </c>
      <c r="U592" s="7" t="n">
        <f aca="false">E592*2/13+U591*11/13</f>
        <v>13419.2868751905</v>
      </c>
      <c r="V592" s="7" t="n">
        <f aca="false">E592*2/27+V591*25/27</f>
        <v>13738.1720360473</v>
      </c>
      <c r="W592" s="7" t="n">
        <f aca="false">U592-V592</f>
        <v>-318.885160856853</v>
      </c>
      <c r="X592" s="7" t="n">
        <f aca="false">W592*2/10+X591*8/10</f>
        <v>-278.813170667864</v>
      </c>
      <c r="Y592" s="7" t="n">
        <f aca="false">W592-X592</f>
        <v>-40.0719901889889</v>
      </c>
      <c r="Z592" s="9" t="s">
        <v>89</v>
      </c>
      <c r="AA592" s="7" t="str">
        <f aca="false">IFERROR(INDEX(02_轉折點45!B:B,MATCH(A592,02_轉折點45!A:A,0)),"")</f>
        <v/>
      </c>
      <c r="AB592" s="7" t="n">
        <f aca="false">COUNTIFS(05_訊號明細!A:A,A592,05_訊號明細!C:C,"TOP")</f>
        <v>0</v>
      </c>
      <c r="AC592" s="7" t="n">
        <f aca="false">COUNTIFS(05_訊號明細!A:A,A592,05_訊號明細!C:C,"BOTTOM")</f>
        <v>1</v>
      </c>
    </row>
    <row r="593" customFormat="false" ht="15" hidden="false" customHeight="false" outlineLevel="0" collapsed="false">
      <c r="A593" s="7" t="s">
        <v>634</v>
      </c>
      <c r="B593" s="7" t="n">
        <v>13344.79</v>
      </c>
      <c r="C593" s="7" t="n">
        <v>13344.79</v>
      </c>
      <c r="D593" s="7" t="n">
        <v>12710.59</v>
      </c>
      <c r="E593" s="7" t="n">
        <v>12850.55</v>
      </c>
      <c r="F593" s="7" t="n">
        <v>5309</v>
      </c>
      <c r="G593" s="7" t="n">
        <f aca="false">AVERAGE(E589:E593)</f>
        <v>13081.362</v>
      </c>
      <c r="H593" s="7" t="n">
        <f aca="false">AVERAGE(E584:E593)</f>
        <v>13176.603</v>
      </c>
      <c r="I593" s="7" t="n">
        <f aca="false">AVERAGE(E574:E593)</f>
        <v>13625.3025</v>
      </c>
      <c r="J593" s="7" t="n">
        <f aca="false">AVERAGE(E544:E593)</f>
        <v>13994.563</v>
      </c>
      <c r="K593" s="7" t="n">
        <f aca="false">AVERAGE(E494:E593)</f>
        <v>14619.6748</v>
      </c>
      <c r="L593" s="7" t="n">
        <f aca="false">AVERAGE(E394:E593)</f>
        <v>15050.90155</v>
      </c>
      <c r="M593" s="7" t="n">
        <f aca="false">I593</f>
        <v>13625.3025</v>
      </c>
      <c r="N593" s="7" t="n">
        <f aca="false">I593+2*STDEV(E574:E593)</f>
        <v>14672.2550755886</v>
      </c>
      <c r="O593" s="7" t="n">
        <f aca="false">I593-2*STDEV(E574:E593)</f>
        <v>12578.3499244114</v>
      </c>
      <c r="P593" s="7" t="n">
        <f aca="false">MAX(E593-E592,0)</f>
        <v>0</v>
      </c>
      <c r="Q593" s="7" t="n">
        <f aca="false">MAX(E592-E593,0)</f>
        <v>685.16</v>
      </c>
      <c r="R593" s="7" t="n">
        <f aca="false">(R592*13+P593)/14</f>
        <v>115.90909303316</v>
      </c>
      <c r="S593" s="7" t="n">
        <f aca="false">(S592*13+Q593)/14</f>
        <v>180.46242727419</v>
      </c>
      <c r="T593" s="7" t="n">
        <f aca="false">IF(S593=0,100,100-100/(1+R593/S593))</f>
        <v>39.1093897662493</v>
      </c>
      <c r="U593" s="7" t="n">
        <f aca="false">E593*2/13+U592*11/13</f>
        <v>13331.7888943919</v>
      </c>
      <c r="V593" s="7" t="n">
        <f aca="false">E593*2/27+V592*25/27</f>
        <v>13672.4222555994</v>
      </c>
      <c r="W593" s="7" t="n">
        <f aca="false">U593-V593</f>
        <v>-340.633361207438</v>
      </c>
      <c r="X593" s="7" t="n">
        <f aca="false">W593*2/10+X592*8/10</f>
        <v>-291.177208775779</v>
      </c>
      <c r="Y593" s="7" t="n">
        <f aca="false">W593-X593</f>
        <v>-49.4561524316589</v>
      </c>
      <c r="Z593" s="9" t="s">
        <v>89</v>
      </c>
      <c r="AA593" s="7" t="str">
        <f aca="false">IFERROR(INDEX(02_轉折點45!B:B,MATCH(A593,02_轉折點45!A:A,0)),"")</f>
        <v/>
      </c>
      <c r="AB593" s="7" t="n">
        <f aca="false">COUNTIFS(05_訊號明細!A:A,A593,05_訊號明細!C:C,"TOP")</f>
        <v>0</v>
      </c>
      <c r="AC593" s="7" t="n">
        <f aca="false">COUNTIFS(05_訊號明細!A:A,A593,05_訊號明細!C:C,"BOTTOM")</f>
        <v>1</v>
      </c>
    </row>
    <row r="594" customFormat="false" ht="15" hidden="false" customHeight="false" outlineLevel="0" collapsed="false">
      <c r="A594" s="7" t="s">
        <v>635</v>
      </c>
      <c r="B594" s="7" t="n">
        <v>12776.86</v>
      </c>
      <c r="C594" s="7" t="n">
        <v>12926.58</v>
      </c>
      <c r="D594" s="7" t="n">
        <v>12522.77</v>
      </c>
      <c r="E594" s="7" t="n">
        <v>12693.53</v>
      </c>
      <c r="F594" s="7" t="n">
        <v>5324</v>
      </c>
      <c r="G594" s="7" t="n">
        <f aca="false">AVERAGE(E590:E594)</f>
        <v>13049.108</v>
      </c>
      <c r="H594" s="7" t="n">
        <f aca="false">AVERAGE(E585:E594)</f>
        <v>13110.269</v>
      </c>
      <c r="I594" s="7" t="n">
        <f aca="false">AVERAGE(E575:E594)</f>
        <v>13533.3885</v>
      </c>
      <c r="J594" s="7" t="n">
        <f aca="false">AVERAGE(E545:E594)</f>
        <v>13968.9402</v>
      </c>
      <c r="K594" s="7" t="n">
        <f aca="false">AVERAGE(E495:E594)</f>
        <v>14585.7846</v>
      </c>
      <c r="L594" s="7" t="n">
        <f aca="false">AVERAGE(E395:E594)</f>
        <v>15039.66835</v>
      </c>
      <c r="M594" s="7" t="n">
        <f aca="false">I594</f>
        <v>13533.3885</v>
      </c>
      <c r="N594" s="7" t="n">
        <f aca="false">I594+2*STDEV(E575:E594)</f>
        <v>14567.9493302998</v>
      </c>
      <c r="O594" s="7" t="n">
        <f aca="false">I594-2*STDEV(E575:E594)</f>
        <v>12498.8276697002</v>
      </c>
      <c r="P594" s="7" t="n">
        <f aca="false">MAX(E594-E593,0)</f>
        <v>0</v>
      </c>
      <c r="Q594" s="7" t="n">
        <f aca="false">MAX(E593-E594,0)</f>
        <v>157.019999999999</v>
      </c>
      <c r="R594" s="7" t="n">
        <f aca="false">(R593*13+P594)/14</f>
        <v>107.62987210222</v>
      </c>
      <c r="S594" s="7" t="n">
        <f aca="false">(S593*13+Q594)/14</f>
        <v>178.787968183177</v>
      </c>
      <c r="T594" s="7" t="n">
        <f aca="false">IF(S594=0,100,100-100/(1+R594/S594))</f>
        <v>37.5779218204334</v>
      </c>
      <c r="U594" s="7" t="n">
        <f aca="false">E594*2/13+U593*11/13</f>
        <v>13233.5952183316</v>
      </c>
      <c r="V594" s="7" t="n">
        <f aca="false">E594*2/27+V593*25/27</f>
        <v>13599.9117181476</v>
      </c>
      <c r="W594" s="7" t="n">
        <f aca="false">U594-V594</f>
        <v>-366.31649981593</v>
      </c>
      <c r="X594" s="7" t="n">
        <f aca="false">W594*2/10+X593*8/10</f>
        <v>-306.205066983809</v>
      </c>
      <c r="Y594" s="7" t="n">
        <f aca="false">W594-X594</f>
        <v>-60.111432832121</v>
      </c>
      <c r="Z594" s="9" t="s">
        <v>89</v>
      </c>
      <c r="AA594" s="7" t="str">
        <f aca="false">IFERROR(INDEX(02_轉折點45!B:B,MATCH(A594,02_轉折點45!A:A,0)),"")</f>
        <v/>
      </c>
      <c r="AB594" s="7" t="n">
        <f aca="false">COUNTIFS(05_訊號明細!A:A,A594,05_訊號明細!C:C,"TOP")</f>
        <v>0</v>
      </c>
      <c r="AC594" s="7" t="n">
        <f aca="false">COUNTIFS(05_訊號明細!A:A,A594,05_訊號明細!C:C,"BOTTOM")</f>
        <v>1</v>
      </c>
    </row>
    <row r="595" customFormat="false" ht="15" hidden="false" customHeight="false" outlineLevel="0" collapsed="false">
      <c r="A595" s="7" t="s">
        <v>636</v>
      </c>
      <c r="B595" s="7" t="n">
        <v>12465.91</v>
      </c>
      <c r="C595" s="7" t="n">
        <v>12542.32</v>
      </c>
      <c r="D595" s="7" t="n">
        <v>12136.19</v>
      </c>
      <c r="E595" s="7" t="n">
        <v>12187.72</v>
      </c>
      <c r="F595" s="7" t="n">
        <v>5939</v>
      </c>
      <c r="G595" s="7" t="n">
        <f aca="false">AVERAGE(E591:E595)</f>
        <v>12871.482</v>
      </c>
      <c r="H595" s="7" t="n">
        <f aca="false">AVERAGE(E586:E595)</f>
        <v>12975.719</v>
      </c>
      <c r="I595" s="7" t="n">
        <f aca="false">AVERAGE(E576:E595)</f>
        <v>13426.4115</v>
      </c>
      <c r="J595" s="7" t="n">
        <f aca="false">AVERAGE(E546:E595)</f>
        <v>13928.9114</v>
      </c>
      <c r="K595" s="7" t="n">
        <f aca="false">AVERAGE(E496:E595)</f>
        <v>14548.5128</v>
      </c>
      <c r="L595" s="7" t="n">
        <f aca="false">AVERAGE(E396:E595)</f>
        <v>15025.048</v>
      </c>
      <c r="M595" s="7" t="n">
        <f aca="false">I595</f>
        <v>13426.4115</v>
      </c>
      <c r="N595" s="7" t="n">
        <f aca="false">I595+2*STDEV(E576:E595)</f>
        <v>14553.654220125</v>
      </c>
      <c r="O595" s="7" t="n">
        <f aca="false">I595-2*STDEV(E576:E595)</f>
        <v>12299.168779875</v>
      </c>
      <c r="P595" s="7" t="n">
        <f aca="false">MAX(E595-E594,0)</f>
        <v>0</v>
      </c>
      <c r="Q595" s="7" t="n">
        <f aca="false">MAX(E594-E595,0)</f>
        <v>505.810000000001</v>
      </c>
      <c r="R595" s="7" t="n">
        <f aca="false">(R594*13+P595)/14</f>
        <v>99.9420240949189</v>
      </c>
      <c r="S595" s="7" t="n">
        <f aca="false">(S594*13+Q595)/14</f>
        <v>202.146684741521</v>
      </c>
      <c r="T595" s="7" t="n">
        <f aca="false">IF(S595=0,100,100-100/(1+R595/S595))</f>
        <v>33.0836675358928</v>
      </c>
      <c r="U595" s="7" t="n">
        <f aca="false">E595*2/13+U594*11/13</f>
        <v>13072.6913385883</v>
      </c>
      <c r="V595" s="7" t="n">
        <f aca="false">E595*2/27+V594*25/27</f>
        <v>13495.3049242107</v>
      </c>
      <c r="W595" s="7" t="n">
        <f aca="false">U595-V595</f>
        <v>-422.613585622403</v>
      </c>
      <c r="X595" s="7" t="n">
        <f aca="false">W595*2/10+X594*8/10</f>
        <v>-329.486770711528</v>
      </c>
      <c r="Y595" s="7" t="n">
        <f aca="false">W595-X595</f>
        <v>-93.1268149108749</v>
      </c>
      <c r="Z595" s="9" t="s">
        <v>89</v>
      </c>
      <c r="AA595" s="7" t="str">
        <f aca="false">IFERROR(INDEX(02_轉折點45!B:B,MATCH(A595,02_轉折點45!A:A,0)),"")</f>
        <v/>
      </c>
      <c r="AB595" s="7" t="n">
        <f aca="false">COUNTIFS(05_訊號明細!A:A,A595,05_訊號明細!C:C,"TOP")</f>
        <v>0</v>
      </c>
      <c r="AC595" s="7" t="n">
        <f aca="false">COUNTIFS(05_訊號明細!A:A,A595,05_訊號明細!C:C,"BOTTOM")</f>
        <v>0</v>
      </c>
    </row>
    <row r="596" customFormat="false" ht="15" hidden="false" customHeight="false" outlineLevel="0" collapsed="false">
      <c r="A596" s="7" t="s">
        <v>637</v>
      </c>
      <c r="B596" s="7" t="n">
        <v>12496.84</v>
      </c>
      <c r="C596" s="7" t="n">
        <v>12537.89</v>
      </c>
      <c r="D596" s="7" t="n">
        <v>12173.47</v>
      </c>
      <c r="E596" s="7" t="n">
        <v>12345.86</v>
      </c>
      <c r="F596" s="7" t="n">
        <v>6218</v>
      </c>
      <c r="G596" s="7" t="n">
        <f aca="false">AVERAGE(E592:E596)</f>
        <v>12722.674</v>
      </c>
      <c r="H596" s="7" t="n">
        <f aca="false">AVERAGE(E587:E596)</f>
        <v>12909.334</v>
      </c>
      <c r="I596" s="7" t="n">
        <f aca="false">AVERAGE(E577:E596)</f>
        <v>13344.194</v>
      </c>
      <c r="J596" s="7" t="n">
        <f aca="false">AVERAGE(E547:E596)</f>
        <v>13891.0724</v>
      </c>
      <c r="K596" s="7" t="n">
        <f aca="false">AVERAGE(E497:E596)</f>
        <v>14509.0755</v>
      </c>
      <c r="L596" s="7" t="n">
        <f aca="false">AVERAGE(E397:E596)</f>
        <v>15011.14755</v>
      </c>
      <c r="M596" s="7" t="n">
        <f aca="false">I596</f>
        <v>13344.194</v>
      </c>
      <c r="N596" s="7" t="n">
        <f aca="false">I596+2*STDEV(E577:E596)</f>
        <v>14536.2943280173</v>
      </c>
      <c r="O596" s="7" t="n">
        <f aca="false">I596-2*STDEV(E577:E596)</f>
        <v>12152.0936719827</v>
      </c>
      <c r="P596" s="7" t="n">
        <f aca="false">MAX(E596-E595,0)</f>
        <v>158.140000000001</v>
      </c>
      <c r="Q596" s="7" t="n">
        <f aca="false">MAX(E595-E596,0)</f>
        <v>0</v>
      </c>
      <c r="R596" s="7" t="n">
        <f aca="false">(R595*13+P596)/14</f>
        <v>104.099022373853</v>
      </c>
      <c r="S596" s="7" t="n">
        <f aca="false">(S595*13+Q596)/14</f>
        <v>187.707635831413</v>
      </c>
      <c r="T596" s="7" t="n">
        <f aca="false">IF(S596=0,100,100-100/(1+R596/S596))</f>
        <v>35.6739709142027</v>
      </c>
      <c r="U596" s="7" t="n">
        <f aca="false">E596*2/13+U595*11/13</f>
        <v>12960.8711326517</v>
      </c>
      <c r="V596" s="7" t="n">
        <f aca="false">E596*2/27+V595*25/27</f>
        <v>13410.1608557507</v>
      </c>
      <c r="W596" s="7" t="n">
        <f aca="false">U596-V596</f>
        <v>-449.289723099015</v>
      </c>
      <c r="X596" s="7" t="n">
        <f aca="false">W596*2/10+X595*8/10</f>
        <v>-353.447361189025</v>
      </c>
      <c r="Y596" s="7" t="n">
        <f aca="false">W596-X596</f>
        <v>-95.8423619099896</v>
      </c>
      <c r="Z596" s="9" t="s">
        <v>89</v>
      </c>
      <c r="AA596" s="7" t="str">
        <f aca="false">IFERROR(INDEX(02_轉折點45!B:B,MATCH(A596,02_轉折點45!A:A,0)),"")</f>
        <v/>
      </c>
      <c r="AB596" s="7" t="n">
        <f aca="false">COUNTIFS(05_訊號明細!A:A,A596,05_訊號明細!C:C,"TOP")</f>
        <v>0</v>
      </c>
      <c r="AC596" s="7" t="n">
        <f aca="false">COUNTIFS(05_訊號明細!A:A,A596,05_訊號明細!C:C,"BOTTOM")</f>
        <v>0</v>
      </c>
    </row>
    <row r="597" customFormat="false" ht="15" hidden="false" customHeight="false" outlineLevel="0" collapsed="false">
      <c r="A597" s="7" t="s">
        <v>638</v>
      </c>
      <c r="B597" s="7" t="n">
        <v>12240.21</v>
      </c>
      <c r="C597" s="7" t="n">
        <v>12470.89</v>
      </c>
      <c r="D597" s="7" t="n">
        <v>11939.09</v>
      </c>
      <c r="E597" s="7" t="n">
        <v>11967.56</v>
      </c>
      <c r="F597" s="7" t="n">
        <v>6152</v>
      </c>
      <c r="G597" s="7" t="n">
        <f aca="false">AVERAGE(E593:E597)</f>
        <v>12409.044</v>
      </c>
      <c r="H597" s="7" t="n">
        <f aca="false">AVERAGE(E588:E597)</f>
        <v>12805.754</v>
      </c>
      <c r="I597" s="7" t="n">
        <f aca="false">AVERAGE(E578:E597)</f>
        <v>13245.56</v>
      </c>
      <c r="J597" s="7" t="n">
        <f aca="false">AVERAGE(E548:E597)</f>
        <v>13850.3038</v>
      </c>
      <c r="K597" s="7" t="n">
        <f aca="false">AVERAGE(E498:E597)</f>
        <v>14470.1117</v>
      </c>
      <c r="L597" s="7" t="n">
        <f aca="false">AVERAGE(E398:E597)</f>
        <v>14996.2005</v>
      </c>
      <c r="M597" s="7" t="n">
        <f aca="false">I597</f>
        <v>13245.56</v>
      </c>
      <c r="N597" s="7" t="n">
        <f aca="false">I597+2*STDEV(E578:E597)</f>
        <v>14551.0558468357</v>
      </c>
      <c r="O597" s="7" t="n">
        <f aca="false">I597-2*STDEV(E578:E597)</f>
        <v>11940.0641531643</v>
      </c>
      <c r="P597" s="7" t="n">
        <f aca="false">MAX(E597-E596,0)</f>
        <v>0</v>
      </c>
      <c r="Q597" s="7" t="n">
        <f aca="false">MAX(E596-E597,0)</f>
        <v>378.300000000001</v>
      </c>
      <c r="R597" s="7" t="n">
        <f aca="false">(R596*13+P597)/14</f>
        <v>96.6633779185782</v>
      </c>
      <c r="S597" s="7" t="n">
        <f aca="false">(S596*13+Q597)/14</f>
        <v>201.321376129169</v>
      </c>
      <c r="T597" s="7" t="n">
        <f aca="false">IF(S597=0,100,100-100/(1+R597/S597))</f>
        <v>32.4390347511167</v>
      </c>
      <c r="U597" s="7" t="n">
        <f aca="false">E597*2/13+U596*11/13</f>
        <v>12808.0540353206</v>
      </c>
      <c r="V597" s="7" t="n">
        <f aca="false">E597*2/27+V596*25/27</f>
        <v>13303.3015331025</v>
      </c>
      <c r="W597" s="7" t="n">
        <f aca="false">U597-V597</f>
        <v>-495.247497781842</v>
      </c>
      <c r="X597" s="7" t="n">
        <f aca="false">W597*2/10+X596*8/10</f>
        <v>-381.807388507589</v>
      </c>
      <c r="Y597" s="7" t="n">
        <f aca="false">W597-X597</f>
        <v>-113.440109274253</v>
      </c>
      <c r="Z597" s="9" t="s">
        <v>89</v>
      </c>
      <c r="AA597" s="7" t="str">
        <f aca="false">IFERROR(INDEX(02_轉折點45!B:B,MATCH(A597,02_轉折點45!A:A,0)),"")</f>
        <v/>
      </c>
      <c r="AB597" s="7" t="n">
        <f aca="false">COUNTIFS(05_訊號明細!A:A,A597,05_訊號明細!C:C,"TOP")</f>
        <v>0</v>
      </c>
      <c r="AC597" s="7" t="n">
        <f aca="false">COUNTIFS(05_訊號明細!A:A,A597,05_訊號明細!C:C,"BOTTOM")</f>
        <v>0</v>
      </c>
    </row>
    <row r="598" customFormat="false" ht="15" hidden="false" customHeight="false" outlineLevel="0" collapsed="false">
      <c r="A598" s="7" t="s">
        <v>639</v>
      </c>
      <c r="B598" s="7" t="n">
        <v>11790.13</v>
      </c>
      <c r="C598" s="7" t="n">
        <v>12128.73</v>
      </c>
      <c r="D598" s="7" t="n">
        <v>11692.12</v>
      </c>
      <c r="E598" s="7" t="n">
        <v>11945.5</v>
      </c>
      <c r="F598" s="7" t="n">
        <v>6679</v>
      </c>
      <c r="G598" s="7" t="n">
        <f aca="false">AVERAGE(E594:E598)</f>
        <v>12228.034</v>
      </c>
      <c r="H598" s="7" t="n">
        <f aca="false">AVERAGE(E589:E598)</f>
        <v>12654.698</v>
      </c>
      <c r="I598" s="7" t="n">
        <f aca="false">AVERAGE(E579:E598)</f>
        <v>13131.9705</v>
      </c>
      <c r="J598" s="7" t="n">
        <f aca="false">AVERAGE(E549:E598)</f>
        <v>13804.34</v>
      </c>
      <c r="K598" s="7" t="n">
        <f aca="false">AVERAGE(E499:E598)</f>
        <v>14431.5521</v>
      </c>
      <c r="L598" s="7" t="n">
        <f aca="false">AVERAGE(E399:E598)</f>
        <v>14980.8375</v>
      </c>
      <c r="M598" s="7" t="n">
        <f aca="false">I598</f>
        <v>13131.9705</v>
      </c>
      <c r="N598" s="7" t="n">
        <f aca="false">I598+2*STDEV(E579:E598)</f>
        <v>14476.2263105153</v>
      </c>
      <c r="O598" s="7" t="n">
        <f aca="false">I598-2*STDEV(E579:E598)</f>
        <v>11787.7146894847</v>
      </c>
      <c r="P598" s="7" t="n">
        <f aca="false">MAX(E598-E597,0)</f>
        <v>0</v>
      </c>
      <c r="Q598" s="7" t="n">
        <f aca="false">MAX(E597-E598,0)</f>
        <v>22.0599999999995</v>
      </c>
      <c r="R598" s="7" t="n">
        <f aca="false">(R597*13+P598)/14</f>
        <v>89.758850924394</v>
      </c>
      <c r="S598" s="7" t="n">
        <f aca="false">(S597*13+Q598)/14</f>
        <v>188.516992119942</v>
      </c>
      <c r="T598" s="7" t="n">
        <f aca="false">IF(S598=0,100,100-100/(1+R598/S598))</f>
        <v>32.2553513601585</v>
      </c>
      <c r="U598" s="7" t="n">
        <f aca="false">E598*2/13+U597*11/13</f>
        <v>12675.3534145021</v>
      </c>
      <c r="V598" s="7" t="n">
        <f aca="false">E598*2/27+V597*25/27</f>
        <v>13202.7236417615</v>
      </c>
      <c r="W598" s="7" t="n">
        <f aca="false">U598-V598</f>
        <v>-527.370227259478</v>
      </c>
      <c r="X598" s="7" t="n">
        <f aca="false">W598*2/10+X597*8/10</f>
        <v>-410.919956257967</v>
      </c>
      <c r="Y598" s="7" t="n">
        <f aca="false">W598-X598</f>
        <v>-116.450271001512</v>
      </c>
      <c r="Z598" s="9" t="s">
        <v>89</v>
      </c>
      <c r="AA598" s="7" t="str">
        <f aca="false">IFERROR(INDEX(02_轉折點45!B:B,MATCH(A598,02_轉折點45!A:A,0)),"")</f>
        <v/>
      </c>
      <c r="AB598" s="7" t="n">
        <f aca="false">COUNTIFS(05_訊號明細!A:A,A598,05_訊號明細!C:C,"TOP")</f>
        <v>0</v>
      </c>
      <c r="AC598" s="7" t="n">
        <f aca="false">COUNTIFS(05_訊號明細!A:A,A598,05_訊號明細!C:C,"BOTTOM")</f>
        <v>0</v>
      </c>
    </row>
    <row r="599" customFormat="false" ht="15" hidden="false" customHeight="false" outlineLevel="0" collapsed="false">
      <c r="A599" s="7" t="s">
        <v>640</v>
      </c>
      <c r="B599" s="7" t="n">
        <v>12125.93</v>
      </c>
      <c r="C599" s="7" t="n">
        <v>12429.28</v>
      </c>
      <c r="D599" s="7" t="n">
        <v>12069.13</v>
      </c>
      <c r="E599" s="7" t="n">
        <v>12387.4</v>
      </c>
      <c r="F599" s="7" t="n">
        <v>5894</v>
      </c>
      <c r="G599" s="7" t="n">
        <f aca="false">AVERAGE(E595:E599)</f>
        <v>12166.808</v>
      </c>
      <c r="H599" s="7" t="n">
        <f aca="false">AVERAGE(E590:E599)</f>
        <v>12607.958</v>
      </c>
      <c r="I599" s="7" t="n">
        <f aca="false">AVERAGE(E580:E599)</f>
        <v>13056.68</v>
      </c>
      <c r="J599" s="7" t="n">
        <f aca="false">AVERAGE(E550:E599)</f>
        <v>13771.3838</v>
      </c>
      <c r="K599" s="7" t="n">
        <f aca="false">AVERAGE(E500:E599)</f>
        <v>14399.1497</v>
      </c>
      <c r="L599" s="7" t="n">
        <f aca="false">AVERAGE(E400:E599)</f>
        <v>14967.5327</v>
      </c>
      <c r="M599" s="7" t="n">
        <f aca="false">I599</f>
        <v>13056.68</v>
      </c>
      <c r="N599" s="7" t="n">
        <f aca="false">I599+2*STDEV(E580:E599)</f>
        <v>14390.0484265838</v>
      </c>
      <c r="O599" s="7" t="n">
        <f aca="false">I599-2*STDEV(E580:E599)</f>
        <v>11723.3115734162</v>
      </c>
      <c r="P599" s="7" t="n">
        <f aca="false">MAX(E599-E598,0)</f>
        <v>441.9</v>
      </c>
      <c r="Q599" s="7" t="n">
        <f aca="false">MAX(E598-E599,0)</f>
        <v>0</v>
      </c>
      <c r="R599" s="7" t="n">
        <f aca="false">(R598*13+P599)/14</f>
        <v>114.91179014408</v>
      </c>
      <c r="S599" s="7" t="n">
        <f aca="false">(S598*13+Q599)/14</f>
        <v>175.051492682804</v>
      </c>
      <c r="T599" s="7" t="n">
        <f aca="false">IF(S599=0,100,100-100/(1+R599/S599))</f>
        <v>39.6297727849514</v>
      </c>
      <c r="U599" s="7" t="n">
        <f aca="false">E599*2/13+U598*11/13</f>
        <v>12631.0528891941</v>
      </c>
      <c r="V599" s="7" t="n">
        <f aca="false">E599*2/27+V598*25/27</f>
        <v>13142.3292979274</v>
      </c>
      <c r="W599" s="7" t="n">
        <f aca="false">U599-V599</f>
        <v>-511.2764087333</v>
      </c>
      <c r="X599" s="7" t="n">
        <f aca="false">W599*2/10+X598*8/10</f>
        <v>-430.991246753033</v>
      </c>
      <c r="Y599" s="7" t="n">
        <f aca="false">W599-X599</f>
        <v>-80.2851619802666</v>
      </c>
      <c r="Z599" s="9" t="s">
        <v>89</v>
      </c>
      <c r="AA599" s="7" t="str">
        <f aca="false">IFERROR(INDEX(02_轉折點45!B:B,MATCH(A599,02_轉折點45!A:A,0)),"")</f>
        <v/>
      </c>
      <c r="AB599" s="7" t="n">
        <f aca="false">COUNTIFS(05_訊號明細!A:A,A599,05_訊號明細!C:C,"TOP")</f>
        <v>0</v>
      </c>
      <c r="AC599" s="7" t="n">
        <f aca="false">COUNTIFS(05_訊號明細!A:A,A599,05_訊號明細!C:C,"BOTTOM")</f>
        <v>1</v>
      </c>
    </row>
    <row r="600" customFormat="false" ht="15" hidden="false" customHeight="false" outlineLevel="0" collapsed="false">
      <c r="A600" s="7" t="s">
        <v>641</v>
      </c>
      <c r="B600" s="7" t="n">
        <v>12297.07</v>
      </c>
      <c r="C600" s="7" t="n">
        <v>12395.51</v>
      </c>
      <c r="D600" s="7" t="n">
        <v>12196.21</v>
      </c>
      <c r="E600" s="7" t="n">
        <v>12243.58</v>
      </c>
      <c r="F600" s="7" t="n">
        <v>4930</v>
      </c>
      <c r="G600" s="7" t="n">
        <f aca="false">AVERAGE(E596:E600)</f>
        <v>12177.98</v>
      </c>
      <c r="H600" s="7" t="n">
        <f aca="false">AVERAGE(E591:E600)</f>
        <v>12524.731</v>
      </c>
      <c r="I600" s="7" t="n">
        <f aca="false">AVERAGE(E581:E600)</f>
        <v>12973.321</v>
      </c>
      <c r="J600" s="7" t="n">
        <f aca="false">AVERAGE(E551:E600)</f>
        <v>13739.4988</v>
      </c>
      <c r="K600" s="7" t="n">
        <f aca="false">AVERAGE(E501:E600)</f>
        <v>14361.7227</v>
      </c>
      <c r="L600" s="7" t="n">
        <f aca="false">AVERAGE(E401:E600)</f>
        <v>14953.9511</v>
      </c>
      <c r="M600" s="7" t="n">
        <f aca="false">I600</f>
        <v>12973.321</v>
      </c>
      <c r="N600" s="7" t="n">
        <f aca="false">I600+2*STDEV(E581:E600)</f>
        <v>14290.222744389</v>
      </c>
      <c r="O600" s="7" t="n">
        <f aca="false">I600-2*STDEV(E581:E600)</f>
        <v>11656.419255611</v>
      </c>
      <c r="P600" s="7" t="n">
        <f aca="false">MAX(E600-E599,0)</f>
        <v>0</v>
      </c>
      <c r="Q600" s="7" t="n">
        <f aca="false">MAX(E599-E600,0)</f>
        <v>143.82</v>
      </c>
      <c r="R600" s="7" t="n">
        <f aca="false">(R599*13+P600)/14</f>
        <v>106.703805133789</v>
      </c>
      <c r="S600" s="7" t="n">
        <f aca="false">(S599*13+Q600)/14</f>
        <v>172.820671776889</v>
      </c>
      <c r="T600" s="7" t="n">
        <f aca="false">IF(S600=0,100,100-100/(1+R600/S600))</f>
        <v>38.1733314781896</v>
      </c>
      <c r="U600" s="7" t="n">
        <f aca="false">E600*2/13+U599*11/13</f>
        <v>12571.4416754719</v>
      </c>
      <c r="V600" s="7" t="n">
        <f aca="false">E600*2/27+V599*25/27</f>
        <v>13075.7552758587</v>
      </c>
      <c r="W600" s="7" t="n">
        <f aca="false">U600-V600</f>
        <v>-504.313600386769</v>
      </c>
      <c r="X600" s="7" t="n">
        <f aca="false">W600*2/10+X599*8/10</f>
        <v>-445.655717479781</v>
      </c>
      <c r="Y600" s="7" t="n">
        <f aca="false">W600-X600</f>
        <v>-58.6578829069889</v>
      </c>
      <c r="Z600" s="9" t="s">
        <v>89</v>
      </c>
      <c r="AA600" s="7" t="str">
        <f aca="false">IFERROR(INDEX(02_轉折點45!B:B,MATCH(A600,02_轉折點45!A:A,0)),"")</f>
        <v/>
      </c>
      <c r="AB600" s="7" t="n">
        <f aca="false">COUNTIFS(05_訊號明細!A:A,A600,05_訊號明細!C:C,"TOP")</f>
        <v>0</v>
      </c>
      <c r="AC600" s="7" t="n">
        <f aca="false">COUNTIFS(05_訊號明細!A:A,A600,05_訊號明細!C:C,"BOTTOM")</f>
        <v>0</v>
      </c>
    </row>
    <row r="601" customFormat="false" ht="15" hidden="false" customHeight="false" outlineLevel="0" collapsed="false">
      <c r="A601" s="7" t="s">
        <v>642</v>
      </c>
      <c r="B601" s="7" t="n">
        <v>12496.63</v>
      </c>
      <c r="C601" s="7" t="n">
        <v>12572.99</v>
      </c>
      <c r="D601" s="7" t="n">
        <v>12333.99</v>
      </c>
      <c r="E601" s="7" t="n">
        <v>12564.1</v>
      </c>
      <c r="F601" s="7" t="n">
        <v>5094</v>
      </c>
      <c r="G601" s="7" t="n">
        <f aca="false">AVERAGE(E597:E601)</f>
        <v>12221.628</v>
      </c>
      <c r="H601" s="7" t="n">
        <f aca="false">AVERAGE(E592:E601)</f>
        <v>12472.151</v>
      </c>
      <c r="I601" s="7" t="n">
        <f aca="false">AVERAGE(E582:E601)</f>
        <v>12891.013</v>
      </c>
      <c r="J601" s="7" t="n">
        <f aca="false">AVERAGE(E552:E601)</f>
        <v>13724.3932</v>
      </c>
      <c r="K601" s="7" t="n">
        <f aca="false">AVERAGE(E502:E601)</f>
        <v>14325.5623</v>
      </c>
      <c r="L601" s="7" t="n">
        <f aca="false">AVERAGE(E402:E601)</f>
        <v>14941.9535</v>
      </c>
      <c r="M601" s="7" t="n">
        <f aca="false">I601</f>
        <v>12891.013</v>
      </c>
      <c r="N601" s="7" t="n">
        <f aca="false">I601+2*STDEV(E582:E601)</f>
        <v>14082.1685707861</v>
      </c>
      <c r="O601" s="7" t="n">
        <f aca="false">I601-2*STDEV(E582:E601)</f>
        <v>11699.8574292139</v>
      </c>
      <c r="P601" s="7" t="n">
        <f aca="false">MAX(E601-E600,0)</f>
        <v>320.52</v>
      </c>
      <c r="Q601" s="7" t="n">
        <f aca="false">MAX(E600-E601,0)</f>
        <v>0</v>
      </c>
      <c r="R601" s="7" t="n">
        <f aca="false">(R600*13+P601)/14</f>
        <v>121.976390481375</v>
      </c>
      <c r="S601" s="7" t="n">
        <f aca="false">(S600*13+Q601)/14</f>
        <v>160.47633807854</v>
      </c>
      <c r="T601" s="7" t="n">
        <f aca="false">IF(S601=0,100,100-100/(1+R601/S601))</f>
        <v>43.1847095630025</v>
      </c>
      <c r="U601" s="7" t="n">
        <f aca="false">E601*2/13+U600*11/13</f>
        <v>12570.3121869378</v>
      </c>
      <c r="V601" s="7" t="n">
        <f aca="false">E601*2/27+V600*25/27</f>
        <v>13037.8548850543</v>
      </c>
      <c r="W601" s="7" t="n">
        <f aca="false">U601-V601</f>
        <v>-467.54269811656</v>
      </c>
      <c r="X601" s="7" t="n">
        <f aca="false">W601*2/10+X600*8/10</f>
        <v>-450.033113607136</v>
      </c>
      <c r="Y601" s="7" t="n">
        <f aca="false">W601-X601</f>
        <v>-17.5095845094237</v>
      </c>
      <c r="Z601" s="9" t="s">
        <v>89</v>
      </c>
      <c r="AA601" s="7" t="str">
        <f aca="false">IFERROR(INDEX(02_轉折點45!B:B,MATCH(A601,02_轉折點45!A:A,0)),"")</f>
        <v/>
      </c>
      <c r="AB601" s="7" t="n">
        <f aca="false">COUNTIFS(05_訊號明細!A:A,A601,05_訊號明細!C:C,"TOP")</f>
        <v>0</v>
      </c>
      <c r="AC601" s="7" t="n">
        <f aca="false">COUNTIFS(05_訊號明細!A:A,A601,05_訊號明細!C:C,"BOTTOM")</f>
        <v>0</v>
      </c>
    </row>
    <row r="602" customFormat="false" ht="15" hidden="false" customHeight="false" outlineLevel="0" collapsed="false">
      <c r="A602" s="7" t="s">
        <v>643</v>
      </c>
      <c r="B602" s="7" t="n">
        <v>12352.92</v>
      </c>
      <c r="C602" s="7" t="n">
        <v>12389.96</v>
      </c>
      <c r="D602" s="7" t="n">
        <v>11887</v>
      </c>
      <c r="E602" s="7" t="n">
        <v>11928.31</v>
      </c>
      <c r="F602" s="7" t="n">
        <v>5064</v>
      </c>
      <c r="G602" s="7" t="n">
        <f aca="false">AVERAGE(E598:E602)</f>
        <v>12213.778</v>
      </c>
      <c r="H602" s="7" t="n">
        <f aca="false">AVERAGE(E593:E602)</f>
        <v>12311.411</v>
      </c>
      <c r="I602" s="7" t="n">
        <f aca="false">AVERAGE(E583:E602)</f>
        <v>12787.502</v>
      </c>
      <c r="J602" s="7" t="n">
        <f aca="false">AVERAGE(E553:E602)</f>
        <v>13697.6072</v>
      </c>
      <c r="K602" s="7" t="n">
        <f aca="false">AVERAGE(E503:E602)</f>
        <v>14281.7633</v>
      </c>
      <c r="L602" s="7" t="n">
        <f aca="false">AVERAGE(E403:E602)</f>
        <v>14926.28795</v>
      </c>
      <c r="M602" s="7" t="n">
        <f aca="false">I602</f>
        <v>12787.502</v>
      </c>
      <c r="N602" s="7" t="n">
        <f aca="false">I602+2*STDEV(E583:E602)</f>
        <v>13932.3262971713</v>
      </c>
      <c r="O602" s="7" t="n">
        <f aca="false">I602-2*STDEV(E583:E602)</f>
        <v>11642.6777028287</v>
      </c>
      <c r="P602" s="7" t="n">
        <f aca="false">MAX(E602-E601,0)</f>
        <v>0</v>
      </c>
      <c r="Q602" s="7" t="n">
        <f aca="false">MAX(E601-E602,0)</f>
        <v>635.790000000001</v>
      </c>
      <c r="R602" s="7" t="n">
        <f aca="false">(R601*13+P602)/14</f>
        <v>113.263791161277</v>
      </c>
      <c r="S602" s="7" t="n">
        <f aca="false">(S601*13+Q602)/14</f>
        <v>194.427313930073</v>
      </c>
      <c r="T602" s="7" t="n">
        <f aca="false">IF(S602=0,100,100-100/(1+R602/S602))</f>
        <v>36.8108760009979</v>
      </c>
      <c r="U602" s="7" t="n">
        <f aca="false">E602*2/13+U601*11/13</f>
        <v>12471.5426197166</v>
      </c>
      <c r="V602" s="7" t="n">
        <f aca="false">E602*2/27+V601*25/27</f>
        <v>12955.6663750503</v>
      </c>
      <c r="W602" s="7" t="n">
        <f aca="false">U602-V602</f>
        <v>-484.123755333729</v>
      </c>
      <c r="X602" s="7" t="n">
        <f aca="false">W602*2/10+X601*8/10</f>
        <v>-456.851241952455</v>
      </c>
      <c r="Y602" s="7" t="n">
        <f aca="false">W602-X602</f>
        <v>-27.2725133812738</v>
      </c>
      <c r="Z602" s="9" t="s">
        <v>89</v>
      </c>
      <c r="AA602" s="7" t="str">
        <f aca="false">IFERROR(INDEX(02_轉折點45!B:B,MATCH(A602,02_轉折點45!A:A,0)),"")</f>
        <v/>
      </c>
      <c r="AB602" s="7" t="n">
        <f aca="false">COUNTIFS(05_訊號明細!A:A,A602,05_訊號明細!C:C,"TOP")</f>
        <v>0</v>
      </c>
      <c r="AC602" s="7" t="n">
        <f aca="false">COUNTIFS(05_訊號明細!A:A,A602,05_訊號明細!C:C,"BOTTOM")</f>
        <v>0</v>
      </c>
    </row>
    <row r="603" customFormat="false" ht="15" hidden="false" customHeight="false" outlineLevel="0" collapsed="false">
      <c r="A603" s="7" t="s">
        <v>644</v>
      </c>
      <c r="B603" s="7" t="n">
        <v>11872.56</v>
      </c>
      <c r="C603" s="7" t="n">
        <v>12066.85</v>
      </c>
      <c r="D603" s="7" t="n">
        <v>11795.79</v>
      </c>
      <c r="E603" s="7" t="n">
        <v>11875.63</v>
      </c>
      <c r="F603" s="7" t="n">
        <v>5154</v>
      </c>
      <c r="G603" s="7" t="n">
        <f aca="false">AVERAGE(E599:E603)</f>
        <v>12199.804</v>
      </c>
      <c r="H603" s="7" t="n">
        <f aca="false">AVERAGE(E594:E603)</f>
        <v>12213.919</v>
      </c>
      <c r="I603" s="7" t="n">
        <f aca="false">AVERAGE(E584:E603)</f>
        <v>12695.261</v>
      </c>
      <c r="J603" s="7" t="n">
        <f aca="false">AVERAGE(E554:E603)</f>
        <v>13660.2758</v>
      </c>
      <c r="K603" s="7" t="n">
        <f aca="false">AVERAGE(E504:E603)</f>
        <v>14234.8446</v>
      </c>
      <c r="L603" s="7" t="n">
        <f aca="false">AVERAGE(E404:E603)</f>
        <v>14910.24915</v>
      </c>
      <c r="M603" s="7" t="n">
        <f aca="false">I603</f>
        <v>12695.261</v>
      </c>
      <c r="N603" s="7" t="n">
        <f aca="false">I603+2*STDEV(E584:E603)</f>
        <v>13820.6996953942</v>
      </c>
      <c r="O603" s="7" t="n">
        <f aca="false">I603-2*STDEV(E584:E603)</f>
        <v>11569.8223046058</v>
      </c>
      <c r="P603" s="7" t="n">
        <f aca="false">MAX(E603-E602,0)</f>
        <v>0</v>
      </c>
      <c r="Q603" s="7" t="n">
        <f aca="false">MAX(E602-E603,0)</f>
        <v>52.6800000000003</v>
      </c>
      <c r="R603" s="7" t="n">
        <f aca="false">(R602*13+P603)/14</f>
        <v>105.173520364043</v>
      </c>
      <c r="S603" s="7" t="n">
        <f aca="false">(S602*13+Q603)/14</f>
        <v>184.302505792211</v>
      </c>
      <c r="T603" s="7" t="n">
        <f aca="false">IF(S603=0,100,100-100/(1+R603/S603))</f>
        <v>36.3323767292813</v>
      </c>
      <c r="U603" s="7" t="n">
        <f aca="false">E603*2/13+U602*11/13</f>
        <v>12379.8637551448</v>
      </c>
      <c r="V603" s="7" t="n">
        <f aca="false">E603*2/27+V602*25/27</f>
        <v>12875.6636806021</v>
      </c>
      <c r="W603" s="7" t="n">
        <f aca="false">U603-V603</f>
        <v>-495.799925457339</v>
      </c>
      <c r="X603" s="7" t="n">
        <f aca="false">W603*2/10+X602*8/10</f>
        <v>-464.640978653432</v>
      </c>
      <c r="Y603" s="7" t="n">
        <f aca="false">W603-X603</f>
        <v>-31.1589468039072</v>
      </c>
      <c r="Z603" s="9" t="s">
        <v>89</v>
      </c>
      <c r="AA603" s="7" t="str">
        <f aca="false">IFERROR(INDEX(02_轉折點45!B:B,MATCH(A603,02_轉折點45!A:A,0)),"")</f>
        <v/>
      </c>
      <c r="AB603" s="7" t="n">
        <f aca="false">COUNTIFS(05_訊號明細!A:A,A603,05_訊號明細!C:C,"TOP")</f>
        <v>0</v>
      </c>
      <c r="AC603" s="7" t="n">
        <f aca="false">COUNTIFS(05_訊號明細!A:A,A603,05_訊號明細!C:C,"BOTTOM")</f>
        <v>1</v>
      </c>
    </row>
    <row r="604" customFormat="false" ht="15" hidden="false" customHeight="false" outlineLevel="0" collapsed="false">
      <c r="A604" s="7" t="s">
        <v>645</v>
      </c>
      <c r="B604" s="7" t="n">
        <v>12037.03</v>
      </c>
      <c r="C604" s="7" t="n">
        <v>12044.7</v>
      </c>
      <c r="D604" s="7" t="n">
        <v>11492.29</v>
      </c>
      <c r="E604" s="7" t="n">
        <v>11835.62</v>
      </c>
      <c r="F604" s="7" t="n">
        <v>5434</v>
      </c>
      <c r="G604" s="7" t="n">
        <f aca="false">AVERAGE(E600:E604)</f>
        <v>12089.448</v>
      </c>
      <c r="H604" s="7" t="n">
        <f aca="false">AVERAGE(E595:E604)</f>
        <v>12128.128</v>
      </c>
      <c r="I604" s="7" t="n">
        <f aca="false">AVERAGE(E585:E604)</f>
        <v>12619.1985</v>
      </c>
      <c r="J604" s="7" t="n">
        <f aca="false">AVERAGE(E555:E604)</f>
        <v>13625.1682</v>
      </c>
      <c r="K604" s="7" t="n">
        <f aca="false">AVERAGE(E505:E604)</f>
        <v>14188.3142</v>
      </c>
      <c r="L604" s="7" t="n">
        <f aca="false">AVERAGE(E405:E604)</f>
        <v>14893.51905</v>
      </c>
      <c r="M604" s="7" t="n">
        <f aca="false">I604</f>
        <v>12619.1985</v>
      </c>
      <c r="N604" s="7" t="n">
        <f aca="false">I604+2*STDEV(E585:E604)</f>
        <v>13761.8596896478</v>
      </c>
      <c r="O604" s="7" t="n">
        <f aca="false">I604-2*STDEV(E585:E604)</f>
        <v>11476.5373103522</v>
      </c>
      <c r="P604" s="7" t="n">
        <f aca="false">MAX(E604-E603,0)</f>
        <v>0</v>
      </c>
      <c r="Q604" s="7" t="n">
        <f aca="false">MAX(E603-E604,0)</f>
        <v>40.0099999999984</v>
      </c>
      <c r="R604" s="7" t="n">
        <f aca="false">(R603*13+P604)/14</f>
        <v>97.6611260523256</v>
      </c>
      <c r="S604" s="7" t="n">
        <f aca="false">(S603*13+Q604)/14</f>
        <v>173.995898235624</v>
      </c>
      <c r="T604" s="7" t="n">
        <f aca="false">IF(S604=0,100,100-100/(1+R604/S604))</f>
        <v>35.9501567494192</v>
      </c>
      <c r="U604" s="7" t="n">
        <f aca="false">E604*2/13+U603*11/13</f>
        <v>12296.133946661</v>
      </c>
      <c r="V604" s="7" t="n">
        <f aca="false">E604*2/27+V603*25/27</f>
        <v>12798.6234079649</v>
      </c>
      <c r="W604" s="7" t="n">
        <f aca="false">U604-V604</f>
        <v>-502.489461303958</v>
      </c>
      <c r="X604" s="7" t="n">
        <f aca="false">W604*2/10+X603*8/10</f>
        <v>-472.210675183537</v>
      </c>
      <c r="Y604" s="7" t="n">
        <f aca="false">W604-X604</f>
        <v>-30.2787861204209</v>
      </c>
      <c r="Z604" s="9" t="s">
        <v>89</v>
      </c>
      <c r="AA604" s="7" t="str">
        <f aca="false">IFERROR(INDEX(02_轉折點45!B:B,MATCH(A604,02_轉折點45!A:A,0)),"")</f>
        <v/>
      </c>
      <c r="AB604" s="7" t="n">
        <f aca="false">COUNTIFS(05_訊號明細!A:A,A604,05_訊號明細!C:C,"TOP")</f>
        <v>0</v>
      </c>
      <c r="AC604" s="7" t="n">
        <f aca="false">COUNTIFS(05_訊號明細!A:A,A604,05_訊號明細!C:C,"BOTTOM")</f>
        <v>0</v>
      </c>
    </row>
    <row r="605" customFormat="false" ht="15" hidden="false" customHeight="false" outlineLevel="0" collapsed="false">
      <c r="A605" s="7" t="s">
        <v>646</v>
      </c>
      <c r="B605" s="7" t="n">
        <v>11867.08</v>
      </c>
      <c r="C605" s="7" t="n">
        <v>12047.81</v>
      </c>
      <c r="D605" s="7" t="n">
        <v>11785.76</v>
      </c>
      <c r="E605" s="7" t="n">
        <v>12034.28</v>
      </c>
      <c r="F605" s="7" t="n">
        <v>4552</v>
      </c>
      <c r="G605" s="7" t="n">
        <f aca="false">AVERAGE(E601:E605)</f>
        <v>12047.588</v>
      </c>
      <c r="H605" s="7" t="n">
        <f aca="false">AVERAGE(E596:E605)</f>
        <v>12112.784</v>
      </c>
      <c r="I605" s="7" t="n">
        <f aca="false">AVERAGE(E586:E605)</f>
        <v>12544.2515</v>
      </c>
      <c r="J605" s="7" t="n">
        <f aca="false">AVERAGE(E556:E605)</f>
        <v>13599.8172</v>
      </c>
      <c r="K605" s="7" t="n">
        <f aca="false">AVERAGE(E506:E605)</f>
        <v>14143.7469</v>
      </c>
      <c r="L605" s="7" t="n">
        <f aca="false">AVERAGE(E406:E605)</f>
        <v>14878.14365</v>
      </c>
      <c r="M605" s="7" t="n">
        <f aca="false">I605</f>
        <v>12544.2515</v>
      </c>
      <c r="N605" s="7" t="n">
        <f aca="false">I605+2*STDEV(E586:E605)</f>
        <v>13629.6869077662</v>
      </c>
      <c r="O605" s="7" t="n">
        <f aca="false">I605-2*STDEV(E586:E605)</f>
        <v>11458.8160922338</v>
      </c>
      <c r="P605" s="7" t="n">
        <f aca="false">MAX(E605-E604,0)</f>
        <v>198.66</v>
      </c>
      <c r="Q605" s="7" t="n">
        <f aca="false">MAX(E604-E605,0)</f>
        <v>0</v>
      </c>
      <c r="R605" s="7" t="n">
        <f aca="false">(R604*13+P605)/14</f>
        <v>104.875331334302</v>
      </c>
      <c r="S605" s="7" t="n">
        <f aca="false">(S604*13+Q605)/14</f>
        <v>161.567619790222</v>
      </c>
      <c r="T605" s="7" t="n">
        <f aca="false">IF(S605=0,100,100-100/(1+R605/S605))</f>
        <v>39.3612707304416</v>
      </c>
      <c r="U605" s="7" t="n">
        <f aca="false">E605*2/13+U604*11/13</f>
        <v>12255.8487240977</v>
      </c>
      <c r="V605" s="7" t="n">
        <f aca="false">E605*2/27+V604*25/27</f>
        <v>12742.0053777453</v>
      </c>
      <c r="W605" s="7" t="n">
        <f aca="false">U605-V605</f>
        <v>-486.156653647558</v>
      </c>
      <c r="X605" s="7" t="n">
        <f aca="false">W605*2/10+X604*8/10</f>
        <v>-474.999870876341</v>
      </c>
      <c r="Y605" s="7" t="n">
        <f aca="false">W605-X605</f>
        <v>-11.1567827712173</v>
      </c>
      <c r="Z605" s="9" t="s">
        <v>89</v>
      </c>
      <c r="AA605" s="7" t="str">
        <f aca="false">IFERROR(INDEX(02_轉折點45!B:B,MATCH(A605,02_轉折點45!A:A,0)),"")</f>
        <v/>
      </c>
      <c r="AB605" s="7" t="n">
        <f aca="false">COUNTIFS(05_訊號明細!A:A,A605,05_訊號明細!C:C,"TOP")</f>
        <v>0</v>
      </c>
      <c r="AC605" s="7" t="n">
        <f aca="false">COUNTIFS(05_訊號明細!A:A,A605,05_訊號明細!C:C,"BOTTOM")</f>
        <v>1</v>
      </c>
    </row>
    <row r="606" customFormat="false" ht="15" hidden="false" customHeight="false" outlineLevel="0" collapsed="false">
      <c r="A606" s="7" t="s">
        <v>647</v>
      </c>
      <c r="B606" s="7" t="n">
        <v>11807.78</v>
      </c>
      <c r="C606" s="7" t="n">
        <v>11842.81</v>
      </c>
      <c r="D606" s="7" t="n">
        <v>11576.11</v>
      </c>
      <c r="E606" s="7" t="n">
        <v>11769.84</v>
      </c>
      <c r="F606" s="7" t="n">
        <v>4724</v>
      </c>
      <c r="G606" s="7" t="n">
        <f aca="false">AVERAGE(E602:E606)</f>
        <v>11888.736</v>
      </c>
      <c r="H606" s="7" t="n">
        <f aca="false">AVERAGE(E597:E606)</f>
        <v>12055.182</v>
      </c>
      <c r="I606" s="7" t="n">
        <f aca="false">AVERAGE(E587:E606)</f>
        <v>12482.258</v>
      </c>
      <c r="J606" s="7" t="n">
        <f aca="false">AVERAGE(E557:E606)</f>
        <v>13574.2812</v>
      </c>
      <c r="K606" s="7" t="n">
        <f aca="false">AVERAGE(E507:E606)</f>
        <v>14097.1543</v>
      </c>
      <c r="L606" s="7" t="n">
        <f aca="false">AVERAGE(E407:E606)</f>
        <v>14861.3273</v>
      </c>
      <c r="M606" s="7" t="n">
        <f aca="false">I606</f>
        <v>12482.258</v>
      </c>
      <c r="N606" s="7" t="n">
        <f aca="false">I606+2*STDEV(E587:E606)</f>
        <v>13596.9923597959</v>
      </c>
      <c r="O606" s="7" t="n">
        <f aca="false">I606-2*STDEV(E587:E606)</f>
        <v>11367.5236402041</v>
      </c>
      <c r="P606" s="7" t="n">
        <f aca="false">MAX(E606-E605,0)</f>
        <v>0</v>
      </c>
      <c r="Q606" s="7" t="n">
        <f aca="false">MAX(E605-E606,0)</f>
        <v>264.440000000001</v>
      </c>
      <c r="R606" s="7" t="n">
        <f aca="false">(R605*13+P606)/14</f>
        <v>97.384236238995</v>
      </c>
      <c r="S606" s="7" t="n">
        <f aca="false">(S605*13+Q606)/14</f>
        <v>168.915646948064</v>
      </c>
      <c r="T606" s="7" t="n">
        <f aca="false">IF(S606=0,100,100-100/(1+R606/S606))</f>
        <v>36.569387516625</v>
      </c>
      <c r="U606" s="7" t="n">
        <f aca="false">E606*2/13+U605*11/13</f>
        <v>12181.0781511596</v>
      </c>
      <c r="V606" s="7" t="n">
        <f aca="false">E606*2/27+V605*25/27</f>
        <v>12669.993127542</v>
      </c>
      <c r="W606" s="7" t="n">
        <f aca="false">U606-V606</f>
        <v>-488.914976382317</v>
      </c>
      <c r="X606" s="7" t="n">
        <f aca="false">W606*2/10+X605*8/10</f>
        <v>-477.782891977536</v>
      </c>
      <c r="Y606" s="7" t="n">
        <f aca="false">W606-X606</f>
        <v>-11.1320844047807</v>
      </c>
      <c r="Z606" s="9" t="s">
        <v>89</v>
      </c>
      <c r="AA606" s="7" t="str">
        <f aca="false">IFERROR(INDEX(02_轉折點45!B:B,MATCH(A606,02_轉折點45!A:A,0)),"")</f>
        <v/>
      </c>
      <c r="AB606" s="7" t="n">
        <f aca="false">COUNTIFS(05_訊號明細!A:A,A606,05_訊號明細!C:C,"TOP")</f>
        <v>0</v>
      </c>
      <c r="AC606" s="7" t="n">
        <f aca="false">COUNTIFS(05_訊號明細!A:A,A606,05_訊號明細!C:C,"BOTTOM")</f>
        <v>1</v>
      </c>
    </row>
    <row r="607" customFormat="false" ht="15" hidden="false" customHeight="false" outlineLevel="0" collapsed="false">
      <c r="A607" s="7" t="s">
        <v>648</v>
      </c>
      <c r="B607" s="7" t="n">
        <v>11732.45</v>
      </c>
      <c r="C607" s="7" t="n">
        <v>12028.89</v>
      </c>
      <c r="D607" s="7" t="n">
        <v>11714.27</v>
      </c>
      <c r="E607" s="7" t="n">
        <v>11943.93</v>
      </c>
      <c r="F607" s="7" t="n">
        <v>4520</v>
      </c>
      <c r="G607" s="7" t="n">
        <f aca="false">AVERAGE(E603:E607)</f>
        <v>11891.86</v>
      </c>
      <c r="H607" s="7" t="n">
        <f aca="false">AVERAGE(E598:E607)</f>
        <v>12052.819</v>
      </c>
      <c r="I607" s="7" t="n">
        <f aca="false">AVERAGE(E588:E607)</f>
        <v>12429.2865</v>
      </c>
      <c r="J607" s="7" t="n">
        <f aca="false">AVERAGE(E558:E607)</f>
        <v>13543.9886</v>
      </c>
      <c r="K607" s="7" t="n">
        <f aca="false">AVERAGE(E508:E607)</f>
        <v>14053.3928</v>
      </c>
      <c r="L607" s="7" t="n">
        <f aca="false">AVERAGE(E408:E607)</f>
        <v>14845.77905</v>
      </c>
      <c r="M607" s="7" t="n">
        <f aca="false">I607</f>
        <v>12429.2865</v>
      </c>
      <c r="N607" s="7" t="n">
        <f aca="false">I607+2*STDEV(E588:E607)</f>
        <v>13540.4390961105</v>
      </c>
      <c r="O607" s="7" t="n">
        <f aca="false">I607-2*STDEV(E588:E607)</f>
        <v>11318.1339038895</v>
      </c>
      <c r="P607" s="7" t="n">
        <f aca="false">MAX(E607-E606,0)</f>
        <v>174.09</v>
      </c>
      <c r="Q607" s="7" t="n">
        <f aca="false">MAX(E606-E607,0)</f>
        <v>0</v>
      </c>
      <c r="R607" s="7" t="n">
        <f aca="false">(R606*13+P607)/14</f>
        <v>102.863219364781</v>
      </c>
      <c r="S607" s="7" t="n">
        <f aca="false">(S606*13+Q607)/14</f>
        <v>156.85024359463</v>
      </c>
      <c r="T607" s="7" t="n">
        <f aca="false">IF(S607=0,100,100-100/(1+R607/S607))</f>
        <v>39.606425555558</v>
      </c>
      <c r="U607" s="7" t="n">
        <f aca="false">E607*2/13+U606*11/13</f>
        <v>12144.593820212</v>
      </c>
      <c r="V607" s="7" t="n">
        <f aca="false">E607*2/27+V606*25/27</f>
        <v>12616.21067365</v>
      </c>
      <c r="W607" s="7" t="n">
        <f aca="false">U607-V607</f>
        <v>-471.616853437958</v>
      </c>
      <c r="X607" s="7" t="n">
        <f aca="false">W607*2/10+X606*8/10</f>
        <v>-476.549684269621</v>
      </c>
      <c r="Y607" s="7" t="n">
        <f aca="false">W607-X607</f>
        <v>4.93283083166301</v>
      </c>
      <c r="Z607" s="9" t="s">
        <v>89</v>
      </c>
      <c r="AA607" s="7" t="str">
        <f aca="false">IFERROR(INDEX(02_轉折點45!B:B,MATCH(A607,02_轉折點45!A:A,0)),"")</f>
        <v/>
      </c>
      <c r="AB607" s="7" t="n">
        <f aca="false">COUNTIFS(05_訊號明細!A:A,A607,05_訊號明細!C:C,"TOP")</f>
        <v>0</v>
      </c>
      <c r="AC607" s="7" t="n">
        <f aca="false">COUNTIFS(05_訊號明細!A:A,A607,05_訊號明細!C:C,"BOTTOM")</f>
        <v>1</v>
      </c>
    </row>
    <row r="608" customFormat="false" ht="15" hidden="false" customHeight="false" outlineLevel="0" collapsed="false">
      <c r="A608" s="7" t="s">
        <v>649</v>
      </c>
      <c r="B608" s="7" t="n">
        <v>11906.83</v>
      </c>
      <c r="C608" s="7" t="n">
        <v>12337.73</v>
      </c>
      <c r="D608" s="7" t="n">
        <v>11901.87</v>
      </c>
      <c r="E608" s="7" t="n">
        <v>12276.79</v>
      </c>
      <c r="F608" s="7" t="n">
        <v>4673</v>
      </c>
      <c r="G608" s="7" t="n">
        <f aca="false">AVERAGE(E604:E608)</f>
        <v>11972.092</v>
      </c>
      <c r="H608" s="7" t="n">
        <f aca="false">AVERAGE(E599:E608)</f>
        <v>12085.948</v>
      </c>
      <c r="I608" s="7" t="n">
        <f aca="false">AVERAGE(E589:E608)</f>
        <v>12370.323</v>
      </c>
      <c r="J608" s="7" t="n">
        <f aca="false">AVERAGE(E559:E608)</f>
        <v>13510.3886</v>
      </c>
      <c r="K608" s="7" t="n">
        <f aca="false">AVERAGE(E509:E608)</f>
        <v>14011.143</v>
      </c>
      <c r="L608" s="7" t="n">
        <f aca="false">AVERAGE(E409:E608)</f>
        <v>14832.0242</v>
      </c>
      <c r="M608" s="7" t="n">
        <f aca="false">I608</f>
        <v>12370.323</v>
      </c>
      <c r="N608" s="7" t="n">
        <f aca="false">I608+2*STDEV(E589:E608)</f>
        <v>13371.8053656981</v>
      </c>
      <c r="O608" s="7" t="n">
        <f aca="false">I608-2*STDEV(E589:E608)</f>
        <v>11368.8406343019</v>
      </c>
      <c r="P608" s="7" t="n">
        <f aca="false">MAX(E608-E607,0)</f>
        <v>332.860000000001</v>
      </c>
      <c r="Q608" s="7" t="n">
        <f aca="false">MAX(E607-E608,0)</f>
        <v>0</v>
      </c>
      <c r="R608" s="7" t="n">
        <f aca="false">(R607*13+P608)/14</f>
        <v>119.291560838725</v>
      </c>
      <c r="S608" s="7" t="n">
        <f aca="false">(S607*13+Q608)/14</f>
        <v>145.646654766443</v>
      </c>
      <c r="T608" s="7" t="n">
        <f aca="false">IF(S608=0,100,100-100/(1+R608/S608))</f>
        <v>45.0261811291517</v>
      </c>
      <c r="U608" s="7" t="n">
        <f aca="false">E608*2/13+U607*11/13</f>
        <v>12164.9316940255</v>
      </c>
      <c r="V608" s="7" t="n">
        <f aca="false">E608*2/27+V607*25/27</f>
        <v>12591.0684015277</v>
      </c>
      <c r="W608" s="7" t="n">
        <f aca="false">U608-V608</f>
        <v>-426.136707502199</v>
      </c>
      <c r="X608" s="7" t="n">
        <f aca="false">W608*2/10+X607*8/10</f>
        <v>-466.467088916136</v>
      </c>
      <c r="Y608" s="7" t="n">
        <f aca="false">W608-X608</f>
        <v>40.3303814139373</v>
      </c>
      <c r="Z608" s="9" t="s">
        <v>89</v>
      </c>
      <c r="AA608" s="7" t="str">
        <f aca="false">IFERROR(INDEX(02_轉折點45!B:B,MATCH(A608,02_轉折點45!A:A,0)),"")</f>
        <v/>
      </c>
      <c r="AB608" s="7" t="n">
        <f aca="false">COUNTIFS(05_訊號明細!A:A,A608,05_訊號明細!C:C,"TOP")</f>
        <v>0</v>
      </c>
      <c r="AC608" s="7" t="n">
        <f aca="false">COUNTIFS(05_訊號明細!A:A,A608,05_訊號明細!C:C,"BOTTOM")</f>
        <v>0</v>
      </c>
    </row>
    <row r="609" customFormat="false" ht="15" hidden="false" customHeight="false" outlineLevel="0" collapsed="false">
      <c r="A609" s="7" t="s">
        <v>650</v>
      </c>
      <c r="B609" s="7" t="n">
        <v>12421.8</v>
      </c>
      <c r="C609" s="7" t="n">
        <v>12682.58</v>
      </c>
      <c r="D609" s="7" t="n">
        <v>12405.29</v>
      </c>
      <c r="E609" s="7" t="n">
        <v>12681.42</v>
      </c>
      <c r="F609" s="7" t="n">
        <v>4794</v>
      </c>
      <c r="G609" s="7" t="n">
        <f aca="false">AVERAGE(E605:E609)</f>
        <v>12141.252</v>
      </c>
      <c r="H609" s="7" t="n">
        <f aca="false">AVERAGE(E600:E609)</f>
        <v>12115.35</v>
      </c>
      <c r="I609" s="7" t="n">
        <f aca="false">AVERAGE(E590:E609)</f>
        <v>12361.654</v>
      </c>
      <c r="J609" s="7" t="n">
        <f aca="false">AVERAGE(E560:E609)</f>
        <v>13481.645</v>
      </c>
      <c r="K609" s="7" t="n">
        <f aca="false">AVERAGE(E510:E609)</f>
        <v>13975.1599</v>
      </c>
      <c r="L609" s="7" t="n">
        <f aca="false">AVERAGE(E410:E609)</f>
        <v>14819.9864</v>
      </c>
      <c r="M609" s="7" t="n">
        <f aca="false">I609</f>
        <v>12361.654</v>
      </c>
      <c r="N609" s="7" t="n">
        <f aca="false">I609+2*STDEV(E590:E609)</f>
        <v>13348.3713925358</v>
      </c>
      <c r="O609" s="7" t="n">
        <f aca="false">I609-2*STDEV(E590:E609)</f>
        <v>11374.9366074642</v>
      </c>
      <c r="P609" s="7" t="n">
        <f aca="false">MAX(E609-E608,0)</f>
        <v>404.629999999999</v>
      </c>
      <c r="Q609" s="7" t="n">
        <f aca="false">MAX(E608-E609,0)</f>
        <v>0</v>
      </c>
      <c r="R609" s="7" t="n">
        <f aca="false">(R608*13+P609)/14</f>
        <v>139.672877921673</v>
      </c>
      <c r="S609" s="7" t="n">
        <f aca="false">(S608*13+Q609)/14</f>
        <v>135.243322283125</v>
      </c>
      <c r="T609" s="7" t="n">
        <f aca="false">IF(S609=0,100,100-100/(1+R609/S609))</f>
        <v>50.8056192460191</v>
      </c>
      <c r="U609" s="7" t="n">
        <f aca="false">E609*2/13+U608*11/13</f>
        <v>12244.3914334062</v>
      </c>
      <c r="V609" s="7" t="n">
        <f aca="false">E609*2/27+V608*25/27</f>
        <v>12597.7611125257</v>
      </c>
      <c r="W609" s="7" t="n">
        <f aca="false">U609-V609</f>
        <v>-353.369679119458</v>
      </c>
      <c r="X609" s="7" t="n">
        <f aca="false">W609*2/10+X608*8/10</f>
        <v>-443.847606956801</v>
      </c>
      <c r="Y609" s="7" t="n">
        <f aca="false">W609-X609</f>
        <v>90.4779278373427</v>
      </c>
      <c r="Z609" s="9" t="s">
        <v>89</v>
      </c>
      <c r="AA609" s="7" t="str">
        <f aca="false">IFERROR(INDEX(02_轉折點45!B:B,MATCH(A609,02_轉折點45!A:A,0)),"")</f>
        <v/>
      </c>
      <c r="AB609" s="7" t="n">
        <f aca="false">COUNTIFS(05_訊號明細!A:A,A609,05_訊號明細!C:C,"TOP")</f>
        <v>0</v>
      </c>
      <c r="AC609" s="7" t="n">
        <f aca="false">COUNTIFS(05_訊號明細!A:A,A609,05_訊號明細!C:C,"BOTTOM")</f>
        <v>1</v>
      </c>
    </row>
    <row r="610" customFormat="false" ht="15" hidden="false" customHeight="false" outlineLevel="0" collapsed="false">
      <c r="A610" s="7" t="s">
        <v>651</v>
      </c>
      <c r="B610" s="7" t="n">
        <v>12688.95</v>
      </c>
      <c r="C610" s="7" t="n">
        <v>12762.84</v>
      </c>
      <c r="D610" s="7" t="n">
        <v>12482.32</v>
      </c>
      <c r="E610" s="7" t="n">
        <v>12642.1</v>
      </c>
      <c r="F610" s="7" t="n">
        <v>6046</v>
      </c>
      <c r="G610" s="7" t="n">
        <f aca="false">AVERAGE(E606:E610)</f>
        <v>12262.816</v>
      </c>
      <c r="H610" s="7" t="n">
        <f aca="false">AVERAGE(E601:E610)</f>
        <v>12155.202</v>
      </c>
      <c r="I610" s="7" t="n">
        <f aca="false">AVERAGE(E591:E610)</f>
        <v>12339.9665</v>
      </c>
      <c r="J610" s="7" t="n">
        <f aca="false">AVERAGE(E561:E610)</f>
        <v>13446.0854</v>
      </c>
      <c r="K610" s="7" t="n">
        <f aca="false">AVERAGE(E511:E610)</f>
        <v>13943.8631</v>
      </c>
      <c r="L610" s="7" t="n">
        <f aca="false">AVERAGE(E411:E610)</f>
        <v>14807.5135</v>
      </c>
      <c r="M610" s="7" t="n">
        <f aca="false">I610</f>
        <v>12339.9665</v>
      </c>
      <c r="N610" s="7" t="n">
        <f aca="false">I610+2*STDEV(E591:E610)</f>
        <v>13278.478237846</v>
      </c>
      <c r="O610" s="7" t="n">
        <f aca="false">I610-2*STDEV(E591:E610)</f>
        <v>11401.454762154</v>
      </c>
      <c r="P610" s="7" t="n">
        <f aca="false">MAX(E610-E609,0)</f>
        <v>0</v>
      </c>
      <c r="Q610" s="7" t="n">
        <f aca="false">MAX(E609-E610,0)</f>
        <v>39.3199999999997</v>
      </c>
      <c r="R610" s="7" t="n">
        <f aca="false">(R609*13+P610)/14</f>
        <v>129.696243784411</v>
      </c>
      <c r="S610" s="7" t="n">
        <f aca="false">(S609*13+Q610)/14</f>
        <v>128.391656405759</v>
      </c>
      <c r="T610" s="7" t="n">
        <f aca="false">IF(S610=0,100,100-100/(1+R610/S610))</f>
        <v>50.2527409029425</v>
      </c>
      <c r="U610" s="7" t="n">
        <f aca="false">E610*2/13+U609*11/13</f>
        <v>12305.5773667283</v>
      </c>
      <c r="V610" s="7" t="n">
        <f aca="false">E610*2/27+V609*25/27</f>
        <v>12601.0454745608</v>
      </c>
      <c r="W610" s="7" t="n">
        <f aca="false">U610-V610</f>
        <v>-295.468107832474</v>
      </c>
      <c r="X610" s="7" t="n">
        <f aca="false">W610*2/10+X609*8/10</f>
        <v>-414.171707131935</v>
      </c>
      <c r="Y610" s="7" t="n">
        <f aca="false">W610-X610</f>
        <v>118.703599299461</v>
      </c>
      <c r="Z610" s="9" t="s">
        <v>89</v>
      </c>
      <c r="AA610" s="7" t="str">
        <f aca="false">IFERROR(INDEX(02_轉折點45!B:B,MATCH(A610,02_轉折點45!A:A,0)),"")</f>
        <v/>
      </c>
      <c r="AB610" s="7" t="n">
        <f aca="false">COUNTIFS(05_訊號明細!A:A,A610,05_訊號明細!C:C,"TOP")</f>
        <v>0</v>
      </c>
      <c r="AC610" s="7" t="n">
        <f aca="false">COUNTIFS(05_訊號明細!A:A,A610,05_訊號明細!C:C,"BOTTOM")</f>
        <v>0</v>
      </c>
    </row>
    <row r="611" customFormat="false" ht="15" hidden="false" customHeight="false" outlineLevel="0" collapsed="false">
      <c r="A611" s="7" t="s">
        <v>652</v>
      </c>
      <c r="B611" s="7" t="n">
        <v>12750.31</v>
      </c>
      <c r="C611" s="7" t="n">
        <v>12820.47</v>
      </c>
      <c r="D611" s="7" t="n">
        <v>12457.91</v>
      </c>
      <c r="E611" s="7" t="n">
        <v>12548.36</v>
      </c>
      <c r="F611" s="7" t="n">
        <v>4720</v>
      </c>
      <c r="G611" s="7" t="n">
        <f aca="false">AVERAGE(E607:E611)</f>
        <v>12418.52</v>
      </c>
      <c r="H611" s="7" t="n">
        <f aca="false">AVERAGE(E602:E611)</f>
        <v>12153.628</v>
      </c>
      <c r="I611" s="7" t="n">
        <f aca="false">AVERAGE(E592:E611)</f>
        <v>12312.8895</v>
      </c>
      <c r="J611" s="7" t="n">
        <f aca="false">AVERAGE(E562:E611)</f>
        <v>13409.5308</v>
      </c>
      <c r="K611" s="7" t="n">
        <f aca="false">AVERAGE(E512:E611)</f>
        <v>13911.6931</v>
      </c>
      <c r="L611" s="7" t="n">
        <f aca="false">AVERAGE(E412:E611)</f>
        <v>14794.55145</v>
      </c>
      <c r="M611" s="7" t="n">
        <f aca="false">I611</f>
        <v>12312.8895</v>
      </c>
      <c r="N611" s="7" t="n">
        <f aca="false">I611+2*STDEV(E592:E611)</f>
        <v>13189.5079620094</v>
      </c>
      <c r="O611" s="7" t="n">
        <f aca="false">I611-2*STDEV(E592:E611)</f>
        <v>11436.2710379906</v>
      </c>
      <c r="P611" s="7" t="n">
        <f aca="false">MAX(E611-E610,0)</f>
        <v>0</v>
      </c>
      <c r="Q611" s="7" t="n">
        <f aca="false">MAX(E610-E611,0)</f>
        <v>93.7399999999998</v>
      </c>
      <c r="R611" s="7" t="n">
        <f aca="false">(R610*13+P611)/14</f>
        <v>120.432226371239</v>
      </c>
      <c r="S611" s="7" t="n">
        <f aca="false">(S610*13+Q611)/14</f>
        <v>125.916538091062</v>
      </c>
      <c r="T611" s="7" t="n">
        <f aca="false">IF(S611=0,100,100-100/(1+R611/S611))</f>
        <v>48.8868806117632</v>
      </c>
      <c r="U611" s="7" t="n">
        <f aca="false">E611*2/13+U610*11/13</f>
        <v>12342.9285410778</v>
      </c>
      <c r="V611" s="7" t="n">
        <f aca="false">E611*2/27+V610*25/27</f>
        <v>12597.1428468156</v>
      </c>
      <c r="W611" s="7" t="n">
        <f aca="false">U611-V611</f>
        <v>-254.214305737743</v>
      </c>
      <c r="X611" s="7" t="n">
        <f aca="false">W611*2/10+X610*8/10</f>
        <v>-382.180226853097</v>
      </c>
      <c r="Y611" s="7" t="n">
        <f aca="false">W611-X611</f>
        <v>127.965921115353</v>
      </c>
      <c r="Z611" s="9" t="s">
        <v>89</v>
      </c>
      <c r="AA611" s="7" t="str">
        <f aca="false">IFERROR(INDEX(02_轉折點45!B:B,MATCH(A611,02_轉折點45!A:A,0)),"")</f>
        <v/>
      </c>
      <c r="AB611" s="7" t="n">
        <f aca="false">COUNTIFS(05_訊號明細!A:A,A611,05_訊號明細!C:C,"TOP")</f>
        <v>0</v>
      </c>
      <c r="AC611" s="7" t="n">
        <f aca="false">COUNTIFS(05_訊號明細!A:A,A611,05_訊號明細!C:C,"BOTTOM")</f>
        <v>0</v>
      </c>
    </row>
    <row r="612" customFormat="false" ht="15" hidden="false" customHeight="false" outlineLevel="0" collapsed="false">
      <c r="A612" s="7" t="s">
        <v>653</v>
      </c>
      <c r="B612" s="7" t="n">
        <v>12498.63</v>
      </c>
      <c r="C612" s="7" t="n">
        <v>12897.63</v>
      </c>
      <c r="D612" s="7" t="n">
        <v>12447.77</v>
      </c>
      <c r="E612" s="7" t="n">
        <v>12892.89</v>
      </c>
      <c r="F612" s="7" t="n">
        <v>4446</v>
      </c>
      <c r="G612" s="7" t="n">
        <f aca="false">AVERAGE(E608:E612)</f>
        <v>12608.312</v>
      </c>
      <c r="H612" s="7" t="n">
        <f aca="false">AVERAGE(E603:E612)</f>
        <v>12250.086</v>
      </c>
      <c r="I612" s="7" t="n">
        <f aca="false">AVERAGE(E593:E612)</f>
        <v>12280.7485</v>
      </c>
      <c r="J612" s="7" t="n">
        <f aca="false">AVERAGE(E563:E612)</f>
        <v>13374.302</v>
      </c>
      <c r="K612" s="7" t="n">
        <f aca="false">AVERAGE(E513:E612)</f>
        <v>13884.7001</v>
      </c>
      <c r="L612" s="7" t="n">
        <f aca="false">AVERAGE(E413:E612)</f>
        <v>14784.00175</v>
      </c>
      <c r="M612" s="7" t="n">
        <f aca="false">I612</f>
        <v>12280.7485</v>
      </c>
      <c r="N612" s="7" t="n">
        <f aca="false">I612+2*STDEV(E593:E612)</f>
        <v>13001.9513526748</v>
      </c>
      <c r="O612" s="7" t="n">
        <f aca="false">I612-2*STDEV(E593:E612)</f>
        <v>11559.5456473252</v>
      </c>
      <c r="P612" s="7" t="n">
        <f aca="false">MAX(E612-E611,0)</f>
        <v>344.529999999999</v>
      </c>
      <c r="Q612" s="7" t="n">
        <f aca="false">MAX(E611-E612,0)</f>
        <v>0</v>
      </c>
      <c r="R612" s="7" t="n">
        <f aca="false">(R611*13+P612)/14</f>
        <v>136.439210201865</v>
      </c>
      <c r="S612" s="7" t="n">
        <f aca="false">(S611*13+Q612)/14</f>
        <v>116.922499655986</v>
      </c>
      <c r="T612" s="7" t="n">
        <f aca="false">IF(S612=0,100,100-100/(1+R612/S612))</f>
        <v>53.8515509223608</v>
      </c>
      <c r="U612" s="7" t="n">
        <f aca="false">E612*2/13+U611*11/13</f>
        <v>12427.5379962966</v>
      </c>
      <c r="V612" s="7" t="n">
        <f aca="false">E612*2/27+V611*25/27</f>
        <v>12619.0500433478</v>
      </c>
      <c r="W612" s="7" t="n">
        <f aca="false">U612-V612</f>
        <v>-191.512047051128</v>
      </c>
      <c r="X612" s="7" t="n">
        <f aca="false">W612*2/10+X611*8/10</f>
        <v>-344.046590892703</v>
      </c>
      <c r="Y612" s="7" t="n">
        <f aca="false">W612-X612</f>
        <v>152.534543841575</v>
      </c>
      <c r="Z612" s="9" t="s">
        <v>89</v>
      </c>
      <c r="AA612" s="7" t="str">
        <f aca="false">IFERROR(INDEX(02_轉折點45!B:B,MATCH(A612,02_轉折點45!A:A,0)),"")</f>
        <v/>
      </c>
      <c r="AB612" s="7" t="n">
        <f aca="false">COUNTIFS(05_訊號明細!A:A,A612,05_訊號明細!C:C,"TOP")</f>
        <v>0</v>
      </c>
      <c r="AC612" s="7" t="n">
        <f aca="false">COUNTIFS(05_訊號明細!A:A,A612,05_訊號明細!C:C,"BOTTOM")</f>
        <v>0</v>
      </c>
    </row>
    <row r="613" customFormat="false" ht="15" hidden="false" customHeight="false" outlineLevel="0" collapsed="false">
      <c r="A613" s="7" t="s">
        <v>654</v>
      </c>
      <c r="B613" s="7" t="n">
        <v>12650.38</v>
      </c>
      <c r="C613" s="7" t="n">
        <v>12724.81</v>
      </c>
      <c r="D613" s="7" t="n">
        <v>12505.76</v>
      </c>
      <c r="E613" s="7" t="n">
        <v>12548.03</v>
      </c>
      <c r="F613" s="7" t="n">
        <v>4130</v>
      </c>
      <c r="G613" s="7" t="n">
        <f aca="false">AVERAGE(E609:E613)</f>
        <v>12662.56</v>
      </c>
      <c r="H613" s="7" t="n">
        <f aca="false">AVERAGE(E604:E613)</f>
        <v>12317.326</v>
      </c>
      <c r="I613" s="7" t="n">
        <f aca="false">AVERAGE(E594:E613)</f>
        <v>12265.6225</v>
      </c>
      <c r="J613" s="7" t="n">
        <f aca="false">AVERAGE(E564:E613)</f>
        <v>13336.3116</v>
      </c>
      <c r="K613" s="7" t="n">
        <f aca="false">AVERAGE(E514:E613)</f>
        <v>13854.0361</v>
      </c>
      <c r="L613" s="7" t="n">
        <f aca="false">AVERAGE(E414:E613)</f>
        <v>14772.4523</v>
      </c>
      <c r="M613" s="7" t="n">
        <f aca="false">I613</f>
        <v>12265.6225</v>
      </c>
      <c r="N613" s="7" t="n">
        <f aca="false">I613+2*STDEV(E594:E613)</f>
        <v>12948.1601979255</v>
      </c>
      <c r="O613" s="7" t="n">
        <f aca="false">I613-2*STDEV(E594:E613)</f>
        <v>11583.0848020745</v>
      </c>
      <c r="P613" s="7" t="n">
        <f aca="false">MAX(E613-E612,0)</f>
        <v>0</v>
      </c>
      <c r="Q613" s="7" t="n">
        <f aca="false">MAX(E612-E613,0)</f>
        <v>344.859999999999</v>
      </c>
      <c r="R613" s="7" t="n">
        <f aca="false">(R612*13+P613)/14</f>
        <v>126.693552330303</v>
      </c>
      <c r="S613" s="7" t="n">
        <f aca="false">(S612*13+Q613)/14</f>
        <v>133.203749680558</v>
      </c>
      <c r="T613" s="7" t="n">
        <f aca="false">IF(S613=0,100,100-100/(1+R613/S613))</f>
        <v>48.7475442607743</v>
      </c>
      <c r="U613" s="7" t="n">
        <f aca="false">E613*2/13+U612*11/13</f>
        <v>12446.0752276356</v>
      </c>
      <c r="V613" s="7" t="n">
        <f aca="false">E613*2/27+V612*25/27</f>
        <v>12613.7892993961</v>
      </c>
      <c r="W613" s="7" t="n">
        <f aca="false">U613-V613</f>
        <v>-167.714071760463</v>
      </c>
      <c r="X613" s="7" t="n">
        <f aca="false">W613*2/10+X612*8/10</f>
        <v>-308.780087066255</v>
      </c>
      <c r="Y613" s="7" t="n">
        <f aca="false">W613-X613</f>
        <v>141.066015305792</v>
      </c>
      <c r="Z613" s="9" t="s">
        <v>89</v>
      </c>
      <c r="AA613" s="7" t="str">
        <f aca="false">IFERROR(INDEX(02_轉折點45!B:B,MATCH(A613,02_轉折點45!A:A,0)),"")</f>
        <v/>
      </c>
      <c r="AB613" s="7" t="n">
        <f aca="false">COUNTIFS(05_訊號明細!A:A,A613,05_訊號明細!C:C,"TOP")</f>
        <v>0</v>
      </c>
      <c r="AC613" s="7" t="n">
        <f aca="false">COUNTIFS(05_訊號明細!A:A,A613,05_訊號明細!C:C,"BOTTOM")</f>
        <v>0</v>
      </c>
    </row>
    <row r="614" customFormat="false" ht="15" hidden="false" customHeight="false" outlineLevel="0" collapsed="false">
      <c r="A614" s="7" t="s">
        <v>655</v>
      </c>
      <c r="B614" s="7" t="n">
        <v>12745.89</v>
      </c>
      <c r="C614" s="7" t="n">
        <v>12804.46</v>
      </c>
      <c r="D614" s="7" t="n">
        <v>12534.58</v>
      </c>
      <c r="E614" s="7" t="n">
        <v>12599.63</v>
      </c>
      <c r="F614" s="7" t="n">
        <v>4647</v>
      </c>
      <c r="G614" s="7" t="n">
        <f aca="false">AVERAGE(E610:E614)</f>
        <v>12646.202</v>
      </c>
      <c r="H614" s="7" t="n">
        <f aca="false">AVERAGE(E605:E614)</f>
        <v>12393.727</v>
      </c>
      <c r="I614" s="7" t="n">
        <f aca="false">AVERAGE(E595:E614)</f>
        <v>12260.9275</v>
      </c>
      <c r="J614" s="7" t="n">
        <f aca="false">AVERAGE(E565:E614)</f>
        <v>13292.9904</v>
      </c>
      <c r="K614" s="7" t="n">
        <f aca="false">AVERAGE(E515:E614)</f>
        <v>13821.5912</v>
      </c>
      <c r="L614" s="7" t="n">
        <f aca="false">AVERAGE(E415:E614)</f>
        <v>14760.78075</v>
      </c>
      <c r="M614" s="7" t="n">
        <f aca="false">I614</f>
        <v>12260.9275</v>
      </c>
      <c r="N614" s="7" t="n">
        <f aca="false">I614+2*STDEV(E595:E614)</f>
        <v>12932.2717036886</v>
      </c>
      <c r="O614" s="7" t="n">
        <f aca="false">I614-2*STDEV(E595:E614)</f>
        <v>11589.5832963114</v>
      </c>
      <c r="P614" s="7" t="n">
        <f aca="false">MAX(E614-E613,0)</f>
        <v>51.5999999999985</v>
      </c>
      <c r="Q614" s="7" t="n">
        <f aca="false">MAX(E613-E614,0)</f>
        <v>0</v>
      </c>
      <c r="R614" s="7" t="n">
        <f aca="false">(R613*13+P614)/14</f>
        <v>121.329727163852</v>
      </c>
      <c r="S614" s="7" t="n">
        <f aca="false">(S613*13+Q614)/14</f>
        <v>123.689196131947</v>
      </c>
      <c r="T614" s="7" t="n">
        <f aca="false">IF(S614=0,100,100-100/(1+R614/S614))</f>
        <v>49.518512909869</v>
      </c>
      <c r="U614" s="7" t="n">
        <f aca="false">E614*2/13+U613*11/13</f>
        <v>12469.6990387686</v>
      </c>
      <c r="V614" s="7" t="n">
        <f aca="false">E614*2/27+V613*25/27</f>
        <v>12612.7404624038</v>
      </c>
      <c r="W614" s="7" t="n">
        <f aca="false">U614-V614</f>
        <v>-143.041423635179</v>
      </c>
      <c r="X614" s="7" t="n">
        <f aca="false">W614*2/10+X613*8/10</f>
        <v>-275.63235438004</v>
      </c>
      <c r="Y614" s="7" t="n">
        <f aca="false">W614-X614</f>
        <v>132.590930744861</v>
      </c>
      <c r="Z614" s="9" t="s">
        <v>89</v>
      </c>
      <c r="AA614" s="7" t="str">
        <f aca="false">IFERROR(INDEX(02_轉折點45!B:B,MATCH(A614,02_轉折點45!A:A,0)),"")</f>
        <v/>
      </c>
      <c r="AB614" s="7" t="n">
        <f aca="false">COUNTIFS(05_訊號明細!A:A,A614,05_訊號明細!C:C,"TOP")</f>
        <v>0</v>
      </c>
      <c r="AC614" s="7" t="n">
        <f aca="false">COUNTIFS(05_訊號明細!A:A,A614,05_訊號明細!C:C,"BOTTOM")</f>
        <v>0</v>
      </c>
    </row>
    <row r="615" customFormat="false" ht="15" hidden="false" customHeight="false" outlineLevel="0" collapsed="false">
      <c r="A615" s="7" t="s">
        <v>656</v>
      </c>
      <c r="B615" s="7" t="n">
        <v>12456.49</v>
      </c>
      <c r="C615" s="7" t="n">
        <v>12737.3</v>
      </c>
      <c r="D615" s="7" t="n">
        <v>12413.56</v>
      </c>
      <c r="E615" s="7" t="n">
        <v>12711.68</v>
      </c>
      <c r="F615" s="7" t="n">
        <v>4411</v>
      </c>
      <c r="G615" s="7" t="n">
        <f aca="false">AVERAGE(E611:E615)</f>
        <v>12660.118</v>
      </c>
      <c r="H615" s="7" t="n">
        <f aca="false">AVERAGE(E606:E615)</f>
        <v>12461.467</v>
      </c>
      <c r="I615" s="7" t="n">
        <f aca="false">AVERAGE(E596:E615)</f>
        <v>12287.1255</v>
      </c>
      <c r="J615" s="7" t="n">
        <f aca="false">AVERAGE(E566:E615)</f>
        <v>13252.1378</v>
      </c>
      <c r="K615" s="7" t="n">
        <f aca="false">AVERAGE(E516:E615)</f>
        <v>13789.657</v>
      </c>
      <c r="L615" s="7" t="n">
        <f aca="false">AVERAGE(E416:E615)</f>
        <v>14748.8763</v>
      </c>
      <c r="M615" s="7" t="n">
        <f aca="false">I615</f>
        <v>12287.1255</v>
      </c>
      <c r="N615" s="7" t="n">
        <f aca="false">I615+2*STDEV(E596:E615)</f>
        <v>12986.7391096439</v>
      </c>
      <c r="O615" s="7" t="n">
        <f aca="false">I615-2*STDEV(E596:E615)</f>
        <v>11587.5118903561</v>
      </c>
      <c r="P615" s="7" t="n">
        <f aca="false">MAX(E615-E614,0)</f>
        <v>112.050000000001</v>
      </c>
      <c r="Q615" s="7" t="n">
        <f aca="false">MAX(E614-E615,0)</f>
        <v>0</v>
      </c>
      <c r="R615" s="7" t="n">
        <f aca="false">(R614*13+P615)/14</f>
        <v>120.666889509292</v>
      </c>
      <c r="S615" s="7" t="n">
        <f aca="false">(S614*13+Q615)/14</f>
        <v>114.854253551094</v>
      </c>
      <c r="T615" s="7" t="n">
        <f aca="false">IF(S615=0,100,100-100/(1+R615/S615))</f>
        <v>51.2339945116323</v>
      </c>
      <c r="U615" s="7" t="n">
        <f aca="false">E615*2/13+U614*11/13</f>
        <v>12506.926878958</v>
      </c>
      <c r="V615" s="7" t="n">
        <f aca="false">E615*2/27+V614*25/27</f>
        <v>12620.0693170405</v>
      </c>
      <c r="W615" s="7" t="n">
        <f aca="false">U615-V615</f>
        <v>-113.142438082488</v>
      </c>
      <c r="X615" s="7" t="n">
        <f aca="false">W615*2/10+X614*8/10</f>
        <v>-243.13437112053</v>
      </c>
      <c r="Y615" s="7" t="n">
        <f aca="false">W615-X615</f>
        <v>129.991933038041</v>
      </c>
      <c r="Z615" s="9" t="s">
        <v>89</v>
      </c>
      <c r="AA615" s="7" t="str">
        <f aca="false">IFERROR(INDEX(02_轉折點45!B:B,MATCH(A615,02_轉折點45!A:A,0)),"")</f>
        <v/>
      </c>
      <c r="AB615" s="7" t="n">
        <f aca="false">COUNTIFS(05_訊號明細!A:A,A615,05_訊號明細!C:C,"TOP")</f>
        <v>0</v>
      </c>
      <c r="AC615" s="7" t="n">
        <f aca="false">COUNTIFS(05_訊號明細!A:A,A615,05_訊號明細!C:C,"BOTTOM")</f>
        <v>0</v>
      </c>
    </row>
    <row r="616" customFormat="false" ht="15" hidden="false" customHeight="false" outlineLevel="0" collapsed="false">
      <c r="A616" s="7" t="s">
        <v>657</v>
      </c>
      <c r="B616" s="7" t="n">
        <v>12682.81</v>
      </c>
      <c r="C616" s="7" t="n">
        <v>12776.65</v>
      </c>
      <c r="D616" s="7" t="n">
        <v>12578.55</v>
      </c>
      <c r="E616" s="7" t="n">
        <v>12615.13</v>
      </c>
      <c r="F616" s="7" t="n">
        <v>4709</v>
      </c>
      <c r="G616" s="7" t="n">
        <f aca="false">AVERAGE(E612:E616)</f>
        <v>12673.472</v>
      </c>
      <c r="H616" s="7" t="n">
        <f aca="false">AVERAGE(E607:E616)</f>
        <v>12545.996</v>
      </c>
      <c r="I616" s="7" t="n">
        <f aca="false">AVERAGE(E597:E616)</f>
        <v>12300.589</v>
      </c>
      <c r="J616" s="7" t="n">
        <f aca="false">AVERAGE(E567:E616)</f>
        <v>13204.6924</v>
      </c>
      <c r="K616" s="7" t="n">
        <f aca="false">AVERAGE(E517:E616)</f>
        <v>13760.8521</v>
      </c>
      <c r="L616" s="7" t="n">
        <f aca="false">AVERAGE(E417:E616)</f>
        <v>14735.38785</v>
      </c>
      <c r="M616" s="7" t="n">
        <f aca="false">I616</f>
        <v>12300.589</v>
      </c>
      <c r="N616" s="7" t="n">
        <f aca="false">I616+2*STDEV(E597:E616)</f>
        <v>13015.1655190038</v>
      </c>
      <c r="O616" s="7" t="n">
        <f aca="false">I616-2*STDEV(E597:E616)</f>
        <v>11586.0124809962</v>
      </c>
      <c r="P616" s="7" t="n">
        <f aca="false">MAX(E616-E615,0)</f>
        <v>0</v>
      </c>
      <c r="Q616" s="7" t="n">
        <f aca="false">MAX(E615-E616,0)</f>
        <v>96.5500000000011</v>
      </c>
      <c r="R616" s="7" t="n">
        <f aca="false">(R615*13+P616)/14</f>
        <v>112.047825972914</v>
      </c>
      <c r="S616" s="7" t="n">
        <f aca="false">(S615*13+Q616)/14</f>
        <v>113.546806868873</v>
      </c>
      <c r="T616" s="7" t="n">
        <f aca="false">IF(S616=0,100,100-100/(1+R616/S616))</f>
        <v>49.6677711528247</v>
      </c>
      <c r="U616" s="7" t="n">
        <f aca="false">E616*2/13+U615*11/13</f>
        <v>12523.5735129645</v>
      </c>
      <c r="V616" s="7" t="n">
        <f aca="false">E616*2/27+V615*25/27</f>
        <v>12619.7034417042</v>
      </c>
      <c r="W616" s="7" t="n">
        <f aca="false">U616-V616</f>
        <v>-96.1299287396942</v>
      </c>
      <c r="X616" s="7" t="n">
        <f aca="false">W616*2/10+X615*8/10</f>
        <v>-213.733482644363</v>
      </c>
      <c r="Y616" s="7" t="n">
        <f aca="false">W616-X616</f>
        <v>117.603553904668</v>
      </c>
      <c r="Z616" s="9" t="s">
        <v>89</v>
      </c>
      <c r="AA616" s="7" t="str">
        <f aca="false">IFERROR(INDEX(02_轉折點45!B:B,MATCH(A616,02_轉折點45!A:A,0)),"")</f>
        <v/>
      </c>
      <c r="AB616" s="7" t="n">
        <f aca="false">COUNTIFS(05_訊號明細!A:A,A616,05_訊號明細!C:C,"TOP")</f>
        <v>0</v>
      </c>
      <c r="AC616" s="7" t="n">
        <f aca="false">COUNTIFS(05_訊號明細!A:A,A616,05_訊號明細!C:C,"BOTTOM")</f>
        <v>0</v>
      </c>
    </row>
    <row r="617" customFormat="false" ht="15" hidden="false" customHeight="false" outlineLevel="0" collapsed="false">
      <c r="A617" s="7" t="s">
        <v>658</v>
      </c>
      <c r="B617" s="7" t="n">
        <v>12543.37</v>
      </c>
      <c r="C617" s="7" t="n">
        <v>12666.41</v>
      </c>
      <c r="D617" s="7" t="n">
        <v>12265.86</v>
      </c>
      <c r="E617" s="7" t="n">
        <v>12269.78</v>
      </c>
      <c r="F617" s="7" t="n">
        <v>5408</v>
      </c>
      <c r="G617" s="7" t="n">
        <f aca="false">AVERAGE(E613:E617)</f>
        <v>12548.85</v>
      </c>
      <c r="H617" s="7" t="n">
        <f aca="false">AVERAGE(E608:E617)</f>
        <v>12578.581</v>
      </c>
      <c r="I617" s="7" t="n">
        <f aca="false">AVERAGE(E598:E617)</f>
        <v>12315.7</v>
      </c>
      <c r="J617" s="7" t="n">
        <f aca="false">AVERAGE(E568:E617)</f>
        <v>13145.3016</v>
      </c>
      <c r="K617" s="7" t="n">
        <f aca="false">AVERAGE(E518:E617)</f>
        <v>13727.434</v>
      </c>
      <c r="L617" s="7" t="n">
        <f aca="false">AVERAGE(E418:E617)</f>
        <v>14719.94835</v>
      </c>
      <c r="M617" s="7" t="n">
        <f aca="false">I617</f>
        <v>12315.7</v>
      </c>
      <c r="N617" s="7" t="n">
        <f aca="false">I617+2*STDEV(E598:E617)</f>
        <v>13013.2018793259</v>
      </c>
      <c r="O617" s="7" t="n">
        <f aca="false">I617-2*STDEV(E598:E617)</f>
        <v>11618.1981206741</v>
      </c>
      <c r="P617" s="7" t="n">
        <f aca="false">MAX(E617-E616,0)</f>
        <v>0</v>
      </c>
      <c r="Q617" s="7" t="n">
        <f aca="false">MAX(E616-E617,0)</f>
        <v>345.349999999999</v>
      </c>
      <c r="R617" s="7" t="n">
        <f aca="false">(R616*13+P617)/14</f>
        <v>104.044409831991</v>
      </c>
      <c r="S617" s="7" t="n">
        <f aca="false">(S616*13+Q617)/14</f>
        <v>130.10417780681</v>
      </c>
      <c r="T617" s="7" t="n">
        <f aca="false">IF(S617=0,100,100-100/(1+R617/S617))</f>
        <v>44.4352070969954</v>
      </c>
      <c r="U617" s="7" t="n">
        <f aca="false">E617*2/13+U616*11/13</f>
        <v>12484.5283571238</v>
      </c>
      <c r="V617" s="7" t="n">
        <f aca="false">E617*2/27+V616*25/27</f>
        <v>12593.7831867631</v>
      </c>
      <c r="W617" s="7" t="n">
        <f aca="false">U617-V617</f>
        <v>-109.254829639332</v>
      </c>
      <c r="X617" s="7" t="n">
        <f aca="false">W617*2/10+X616*8/10</f>
        <v>-192.837752043357</v>
      </c>
      <c r="Y617" s="7" t="n">
        <f aca="false">W617-X617</f>
        <v>83.5829224040241</v>
      </c>
      <c r="Z617" s="9" t="s">
        <v>89</v>
      </c>
      <c r="AA617" s="7" t="str">
        <f aca="false">IFERROR(INDEX(02_轉折點45!B:B,MATCH(A617,02_轉折點45!A:A,0)),"")</f>
        <v/>
      </c>
      <c r="AB617" s="7" t="n">
        <f aca="false">COUNTIFS(05_訊號明細!A:A,A617,05_訊號明細!C:C,"TOP")</f>
        <v>0</v>
      </c>
      <c r="AC617" s="7" t="n">
        <f aca="false">COUNTIFS(05_訊號明細!A:A,A617,05_訊號明細!C:C,"BOTTOM")</f>
        <v>0</v>
      </c>
    </row>
    <row r="618" customFormat="false" ht="15" hidden="false" customHeight="false" outlineLevel="0" collapsed="false">
      <c r="A618" s="7" t="s">
        <v>659</v>
      </c>
      <c r="B618" s="7" t="n">
        <v>12052.59</v>
      </c>
      <c r="C618" s="7" t="n">
        <v>12082.69</v>
      </c>
      <c r="D618" s="7" t="n">
        <v>11825.35</v>
      </c>
      <c r="E618" s="7" t="n">
        <v>11832.82</v>
      </c>
      <c r="F618" s="7" t="n">
        <v>5152</v>
      </c>
      <c r="G618" s="7" t="n">
        <f aca="false">AVERAGE(E614:E618)</f>
        <v>12405.808</v>
      </c>
      <c r="H618" s="7" t="n">
        <f aca="false">AVERAGE(E609:E618)</f>
        <v>12534.184</v>
      </c>
      <c r="I618" s="7" t="n">
        <f aca="false">AVERAGE(E599:E618)</f>
        <v>12310.066</v>
      </c>
      <c r="J618" s="7" t="n">
        <f aca="false">AVERAGE(E569:E618)</f>
        <v>13080.527</v>
      </c>
      <c r="K618" s="7" t="n">
        <f aca="false">AVERAGE(E519:E618)</f>
        <v>13693.6546</v>
      </c>
      <c r="L618" s="7" t="n">
        <f aca="false">AVERAGE(E419:E618)</f>
        <v>14702.26785</v>
      </c>
      <c r="M618" s="7" t="n">
        <f aca="false">I618</f>
        <v>12310.066</v>
      </c>
      <c r="N618" s="7" t="n">
        <f aca="false">I618+2*STDEV(E599:E618)</f>
        <v>13021.8328683495</v>
      </c>
      <c r="O618" s="7" t="n">
        <f aca="false">I618-2*STDEV(E599:E618)</f>
        <v>11598.2991316505</v>
      </c>
      <c r="P618" s="7" t="n">
        <f aca="false">MAX(E618-E617,0)</f>
        <v>0</v>
      </c>
      <c r="Q618" s="7" t="n">
        <f aca="false">MAX(E617-E618,0)</f>
        <v>436.960000000001</v>
      </c>
      <c r="R618" s="7" t="n">
        <f aca="false">(R617*13+P618)/14</f>
        <v>96.6126662725633</v>
      </c>
      <c r="S618" s="7" t="n">
        <f aca="false">(S617*13+Q618)/14</f>
        <v>152.02245082061</v>
      </c>
      <c r="T618" s="7" t="n">
        <f aca="false">IF(S618=0,100,100-100/(1+R618/S618))</f>
        <v>38.857208668701</v>
      </c>
      <c r="U618" s="7" t="n">
        <f aca="false">E618*2/13+U617*11/13</f>
        <v>12384.2655329509</v>
      </c>
      <c r="V618" s="7" t="n">
        <f aca="false">E618*2/27+V617*25/27</f>
        <v>12537.4155432992</v>
      </c>
      <c r="W618" s="7" t="n">
        <f aca="false">U618-V618</f>
        <v>-153.150010348289</v>
      </c>
      <c r="X618" s="7" t="n">
        <f aca="false">W618*2/10+X617*8/10</f>
        <v>-184.900203704343</v>
      </c>
      <c r="Y618" s="7" t="n">
        <f aca="false">W618-X618</f>
        <v>31.7501933560544</v>
      </c>
      <c r="Z618" s="9" t="s">
        <v>89</v>
      </c>
      <c r="AA618" s="7" t="str">
        <f aca="false">IFERROR(INDEX(02_轉折點45!B:B,MATCH(A618,02_轉折點45!A:A,0)),"")</f>
        <v/>
      </c>
      <c r="AB618" s="7" t="n">
        <f aca="false">COUNTIFS(05_訊號明細!A:A,A618,05_訊號明細!C:C,"TOP")</f>
        <v>0</v>
      </c>
      <c r="AC618" s="7" t="n">
        <f aca="false">COUNTIFS(05_訊號明細!A:A,A618,05_訊號明細!C:C,"BOTTOM")</f>
        <v>0</v>
      </c>
    </row>
    <row r="619" customFormat="false" ht="15" hidden="false" customHeight="false" outlineLevel="0" collapsed="false">
      <c r="A619" s="7" t="s">
        <v>660</v>
      </c>
      <c r="B619" s="7" t="n">
        <v>11472.19</v>
      </c>
      <c r="C619" s="7" t="n">
        <v>11568.65</v>
      </c>
      <c r="D619" s="7" t="n">
        <v>11254.19</v>
      </c>
      <c r="E619" s="7" t="n">
        <v>11288.32</v>
      </c>
      <c r="F619" s="7" t="n">
        <v>5937</v>
      </c>
      <c r="G619" s="7" t="n">
        <f aca="false">AVERAGE(E615:E619)</f>
        <v>12143.546</v>
      </c>
      <c r="H619" s="7" t="n">
        <f aca="false">AVERAGE(E610:E619)</f>
        <v>12394.874</v>
      </c>
      <c r="I619" s="7" t="n">
        <f aca="false">AVERAGE(E600:E619)</f>
        <v>12255.112</v>
      </c>
      <c r="J619" s="7" t="n">
        <f aca="false">AVERAGE(E570:E619)</f>
        <v>13009.5236</v>
      </c>
      <c r="K619" s="7" t="n">
        <f aca="false">AVERAGE(E520:E619)</f>
        <v>13656.0594</v>
      </c>
      <c r="L619" s="7" t="n">
        <f aca="false">AVERAGE(E420:E619)</f>
        <v>14682.31685</v>
      </c>
      <c r="M619" s="7" t="n">
        <f aca="false">I619</f>
        <v>12255.112</v>
      </c>
      <c r="N619" s="7" t="n">
        <f aca="false">I619+2*STDEV(E600:E619)</f>
        <v>13099.1614939741</v>
      </c>
      <c r="O619" s="7" t="n">
        <f aca="false">I619-2*STDEV(E600:E619)</f>
        <v>11411.0625060259</v>
      </c>
      <c r="P619" s="7" t="n">
        <f aca="false">MAX(E619-E618,0)</f>
        <v>0</v>
      </c>
      <c r="Q619" s="7" t="n">
        <f aca="false">MAX(E618-E619,0)</f>
        <v>544.5</v>
      </c>
      <c r="R619" s="7" t="n">
        <f aca="false">(R618*13+P619)/14</f>
        <v>89.7117615388088</v>
      </c>
      <c r="S619" s="7" t="n">
        <f aca="false">(S618*13+Q619)/14</f>
        <v>180.05656147628</v>
      </c>
      <c r="T619" s="7" t="n">
        <f aca="false">IF(S619=0,100,100-100/(1+R619/S619))</f>
        <v>33.2551133269234</v>
      </c>
      <c r="U619" s="7" t="n">
        <f aca="false">E619*2/13+U618*11/13</f>
        <v>12215.6585278815</v>
      </c>
      <c r="V619" s="7" t="n">
        <f aca="false">E619*2/27+V618*25/27</f>
        <v>12444.8899474993</v>
      </c>
      <c r="W619" s="7" t="n">
        <f aca="false">U619-V619</f>
        <v>-229.231419617718</v>
      </c>
      <c r="X619" s="7" t="n">
        <f aca="false">W619*2/10+X618*8/10</f>
        <v>-193.766446887018</v>
      </c>
      <c r="Y619" s="7" t="n">
        <f aca="false">W619-X619</f>
        <v>-35.4649727306997</v>
      </c>
      <c r="Z619" s="9" t="s">
        <v>89</v>
      </c>
      <c r="AA619" s="7" t="str">
        <f aca="false">IFERROR(INDEX(02_轉折點45!B:B,MATCH(A619,02_轉折點45!A:A,0)),"")</f>
        <v/>
      </c>
      <c r="AB619" s="7" t="n">
        <f aca="false">COUNTIFS(05_訊號明細!A:A,A619,05_訊號明細!C:C,"TOP")</f>
        <v>0</v>
      </c>
      <c r="AC619" s="7" t="n">
        <f aca="false">COUNTIFS(05_訊號明細!A:A,A619,05_訊號明細!C:C,"BOTTOM")</f>
        <v>0</v>
      </c>
    </row>
    <row r="620" customFormat="false" ht="15" hidden="false" customHeight="false" outlineLevel="0" collapsed="false">
      <c r="A620" s="7" t="s">
        <v>661</v>
      </c>
      <c r="B620" s="7" t="n">
        <v>11385.18</v>
      </c>
      <c r="C620" s="7" t="n">
        <v>11418.22</v>
      </c>
      <c r="D620" s="7" t="n">
        <v>11205.92</v>
      </c>
      <c r="E620" s="7" t="n">
        <v>11311.69</v>
      </c>
      <c r="F620" s="7" t="n">
        <v>4820</v>
      </c>
      <c r="G620" s="7" t="n">
        <f aca="false">AVERAGE(E616:E620)</f>
        <v>11863.548</v>
      </c>
      <c r="H620" s="7" t="n">
        <f aca="false">AVERAGE(E611:E620)</f>
        <v>12261.833</v>
      </c>
      <c r="I620" s="7" t="n">
        <f aca="false">AVERAGE(E601:E620)</f>
        <v>12208.5175</v>
      </c>
      <c r="J620" s="7" t="n">
        <f aca="false">AVERAGE(E571:E620)</f>
        <v>12938.5332</v>
      </c>
      <c r="K620" s="7" t="n">
        <f aca="false">AVERAGE(E521:E620)</f>
        <v>13620.7117</v>
      </c>
      <c r="L620" s="7" t="n">
        <f aca="false">AVERAGE(E421:E620)</f>
        <v>14661.71055</v>
      </c>
      <c r="M620" s="7" t="n">
        <f aca="false">I620</f>
        <v>12208.5175</v>
      </c>
      <c r="N620" s="7" t="n">
        <f aca="false">I620+2*STDEV(E601:E620)</f>
        <v>13152.2485041337</v>
      </c>
      <c r="O620" s="7" t="n">
        <f aca="false">I620-2*STDEV(E601:E620)</f>
        <v>11264.7864958663</v>
      </c>
      <c r="P620" s="7" t="n">
        <f aca="false">MAX(E620-E619,0)</f>
        <v>23.3700000000008</v>
      </c>
      <c r="Q620" s="7" t="n">
        <f aca="false">MAX(E619-E620,0)</f>
        <v>0</v>
      </c>
      <c r="R620" s="7" t="n">
        <f aca="false">(R619*13+P620)/14</f>
        <v>84.9730642860368</v>
      </c>
      <c r="S620" s="7" t="n">
        <f aca="false">(S619*13+Q620)/14</f>
        <v>167.195378513689</v>
      </c>
      <c r="T620" s="7" t="n">
        <f aca="false">IF(S620=0,100,100-100/(1+R620/S620))</f>
        <v>33.6969461137225</v>
      </c>
      <c r="U620" s="7" t="n">
        <f aca="false">E620*2/13+U619*11/13</f>
        <v>12076.586446669</v>
      </c>
      <c r="V620" s="7" t="n">
        <f aca="false">E620*2/27+V619*25/27</f>
        <v>12360.9492106475</v>
      </c>
      <c r="W620" s="7" t="n">
        <f aca="false">U620-V620</f>
        <v>-284.362763978466</v>
      </c>
      <c r="X620" s="7" t="n">
        <f aca="false">W620*2/10+X619*8/10</f>
        <v>-211.885710305308</v>
      </c>
      <c r="Y620" s="7" t="n">
        <f aca="false">W620-X620</f>
        <v>-72.4770536731588</v>
      </c>
      <c r="Z620" s="9" t="s">
        <v>89</v>
      </c>
      <c r="AA620" s="7" t="str">
        <f aca="false">IFERROR(INDEX(02_轉折點45!B:B,MATCH(A620,02_轉折點45!A:A,0)),"")</f>
        <v/>
      </c>
      <c r="AB620" s="7" t="n">
        <f aca="false">COUNTIFS(05_訊號明細!A:A,A620,05_訊號明細!C:C,"TOP")</f>
        <v>0</v>
      </c>
      <c r="AC620" s="7" t="n">
        <f aca="false">COUNTIFS(05_訊號明細!A:A,A620,05_訊號明細!C:C,"BOTTOM")</f>
        <v>0</v>
      </c>
    </row>
    <row r="621" customFormat="false" ht="15" hidden="false" customHeight="false" outlineLevel="0" collapsed="false">
      <c r="A621" s="7" t="s">
        <v>662</v>
      </c>
      <c r="B621" s="7" t="n">
        <v>11468.13</v>
      </c>
      <c r="C621" s="7" t="n">
        <v>11751.29</v>
      </c>
      <c r="D621" s="7" t="n">
        <v>11346.54</v>
      </c>
      <c r="E621" s="7" t="n">
        <v>11593.77</v>
      </c>
      <c r="F621" s="7" t="n">
        <v>5369</v>
      </c>
      <c r="G621" s="7" t="n">
        <f aca="false">AVERAGE(E617:E621)</f>
        <v>11659.276</v>
      </c>
      <c r="H621" s="7" t="n">
        <f aca="false">AVERAGE(E612:E621)</f>
        <v>12166.374</v>
      </c>
      <c r="I621" s="7" t="n">
        <f aca="false">AVERAGE(E602:E621)</f>
        <v>12160.001</v>
      </c>
      <c r="J621" s="7" t="n">
        <f aca="false">AVERAGE(E572:E621)</f>
        <v>12867.217</v>
      </c>
      <c r="K621" s="7" t="n">
        <f aca="false">AVERAGE(E522:E621)</f>
        <v>13592.2654</v>
      </c>
      <c r="L621" s="7" t="n">
        <f aca="false">AVERAGE(E422:E621)</f>
        <v>14641.65395</v>
      </c>
      <c r="M621" s="7" t="n">
        <f aca="false">I621</f>
        <v>12160.001</v>
      </c>
      <c r="N621" s="7" t="n">
        <f aca="false">I621+2*STDEV(E602:E621)</f>
        <v>13126.2615672091</v>
      </c>
      <c r="O621" s="7" t="n">
        <f aca="false">I621-2*STDEV(E602:E621)</f>
        <v>11193.7404327909</v>
      </c>
      <c r="P621" s="7" t="n">
        <f aca="false">MAX(E621-E620,0)</f>
        <v>282.08</v>
      </c>
      <c r="Q621" s="7" t="n">
        <f aca="false">MAX(E620-E621,0)</f>
        <v>0</v>
      </c>
      <c r="R621" s="7" t="n">
        <f aca="false">(R620*13+P621)/14</f>
        <v>99.0521311227484</v>
      </c>
      <c r="S621" s="7" t="n">
        <f aca="false">(S620*13+Q621)/14</f>
        <v>155.252851476997</v>
      </c>
      <c r="T621" s="7" t="n">
        <f aca="false">IF(S621=0,100,100-100/(1+R621/S621))</f>
        <v>38.9501338550838</v>
      </c>
      <c r="U621" s="7" t="n">
        <f aca="false">E621*2/13+U620*11/13</f>
        <v>12002.3069933353</v>
      </c>
      <c r="V621" s="7" t="n">
        <f aca="false">E621*2/27+V620*25/27</f>
        <v>12304.1211209699</v>
      </c>
      <c r="W621" s="7" t="n">
        <f aca="false">U621-V621</f>
        <v>-301.814127634569</v>
      </c>
      <c r="X621" s="7" t="n">
        <f aca="false">W621*2/10+X620*8/10</f>
        <v>-229.87139377116</v>
      </c>
      <c r="Y621" s="7" t="n">
        <f aca="false">W621-X621</f>
        <v>-71.9427338634089</v>
      </c>
      <c r="Z621" s="9" t="s">
        <v>89</v>
      </c>
      <c r="AA621" s="7" t="str">
        <f aca="false">IFERROR(INDEX(02_轉折點45!B:B,MATCH(A621,02_轉折點45!A:A,0)),"")</f>
        <v/>
      </c>
      <c r="AB621" s="7" t="n">
        <f aca="false">COUNTIFS(05_訊號明細!A:A,A621,05_訊號明細!C:C,"TOP")</f>
        <v>0</v>
      </c>
      <c r="AC621" s="7" t="n">
        <f aca="false">COUNTIFS(05_訊號明細!A:A,A621,05_訊號明細!C:C,"BOTTOM")</f>
        <v>0</v>
      </c>
    </row>
    <row r="622" customFormat="false" ht="15" hidden="false" customHeight="false" outlineLevel="0" collapsed="false">
      <c r="A622" s="7" t="s">
        <v>663</v>
      </c>
      <c r="B622" s="7" t="n">
        <v>11286.87</v>
      </c>
      <c r="C622" s="7" t="n">
        <v>11311.05</v>
      </c>
      <c r="D622" s="7" t="n">
        <v>11037.21</v>
      </c>
      <c r="E622" s="7" t="n">
        <v>11127.57</v>
      </c>
      <c r="F622" s="7" t="n">
        <v>5697</v>
      </c>
      <c r="G622" s="7" t="n">
        <f aca="false">AVERAGE(E618:E622)</f>
        <v>11430.834</v>
      </c>
      <c r="H622" s="7" t="n">
        <f aca="false">AVERAGE(E613:E622)</f>
        <v>11989.842</v>
      </c>
      <c r="I622" s="7" t="n">
        <f aca="false">AVERAGE(E603:E622)</f>
        <v>12119.964</v>
      </c>
      <c r="J622" s="7" t="n">
        <f aca="false">AVERAGE(E573:E622)</f>
        <v>12793.3556</v>
      </c>
      <c r="K622" s="7" t="n">
        <f aca="false">AVERAGE(E523:E622)</f>
        <v>13558.4453</v>
      </c>
      <c r="L622" s="7" t="n">
        <f aca="false">AVERAGE(E423:E622)</f>
        <v>14619.37925</v>
      </c>
      <c r="M622" s="7" t="n">
        <f aca="false">I622</f>
        <v>12119.964</v>
      </c>
      <c r="N622" s="7" t="n">
        <f aca="false">I622+2*STDEV(E603:E622)</f>
        <v>13187.6773826602</v>
      </c>
      <c r="O622" s="7" t="n">
        <f aca="false">I622-2*STDEV(E603:E622)</f>
        <v>11052.2506173399</v>
      </c>
      <c r="P622" s="7" t="n">
        <f aca="false">MAX(E622-E621,0)</f>
        <v>0</v>
      </c>
      <c r="Q622" s="7" t="n">
        <f aca="false">MAX(E621-E622,0)</f>
        <v>466.200000000001</v>
      </c>
      <c r="R622" s="7" t="n">
        <f aca="false">(R621*13+P622)/14</f>
        <v>91.976978899695</v>
      </c>
      <c r="S622" s="7" t="n">
        <f aca="false">(S621*13+Q622)/14</f>
        <v>177.463362085783</v>
      </c>
      <c r="T622" s="7" t="n">
        <f aca="false">IF(S622=0,100,100-100/(1+R622/S622))</f>
        <v>34.1363058565355</v>
      </c>
      <c r="U622" s="7" t="n">
        <f aca="false">E622*2/13+U621*11/13</f>
        <v>11867.7320712837</v>
      </c>
      <c r="V622" s="7" t="n">
        <f aca="false">E622*2/27+V621*25/27</f>
        <v>12216.9691860832</v>
      </c>
      <c r="W622" s="7" t="n">
        <f aca="false">U622-V622</f>
        <v>-349.237114799498</v>
      </c>
      <c r="X622" s="7" t="n">
        <f aca="false">W622*2/10+X621*8/10</f>
        <v>-253.744537976827</v>
      </c>
      <c r="Y622" s="7" t="n">
        <f aca="false">W622-X622</f>
        <v>-95.4925768226707</v>
      </c>
      <c r="Z622" s="9" t="s">
        <v>89</v>
      </c>
      <c r="AA622" s="7" t="str">
        <f aca="false">IFERROR(INDEX(02_轉折點45!B:B,MATCH(A622,02_轉折點45!A:A,0)),"")</f>
        <v>BOTTOM</v>
      </c>
      <c r="AB622" s="7" t="n">
        <f aca="false">COUNTIFS(05_訊號明細!A:A,A622,05_訊號明細!C:C,"TOP")</f>
        <v>0</v>
      </c>
      <c r="AC622" s="7" t="n">
        <f aca="false">COUNTIFS(05_訊號明細!A:A,A622,05_訊號明細!C:C,"BOTTOM")</f>
        <v>0</v>
      </c>
    </row>
    <row r="623" customFormat="false" ht="15" hidden="false" customHeight="false" outlineLevel="0" collapsed="false">
      <c r="A623" s="7" t="s">
        <v>664</v>
      </c>
      <c r="B623" s="7" t="n">
        <v>11172.65</v>
      </c>
      <c r="C623" s="7" t="n">
        <v>11357.97</v>
      </c>
      <c r="D623" s="7" t="n">
        <v>11089.93</v>
      </c>
      <c r="E623" s="7" t="n">
        <v>11265.99</v>
      </c>
      <c r="F623" s="7" t="n">
        <v>7453</v>
      </c>
      <c r="G623" s="7" t="n">
        <f aca="false">AVERAGE(E619:E623)</f>
        <v>11317.468</v>
      </c>
      <c r="H623" s="7" t="n">
        <f aca="false">AVERAGE(E614:E623)</f>
        <v>11861.638</v>
      </c>
      <c r="I623" s="7" t="n">
        <f aca="false">AVERAGE(E604:E623)</f>
        <v>12089.482</v>
      </c>
      <c r="J623" s="7" t="n">
        <f aca="false">AVERAGE(E574:E623)</f>
        <v>12728.6976</v>
      </c>
      <c r="K623" s="7" t="n">
        <f aca="false">AVERAGE(E524:E623)</f>
        <v>13529.614</v>
      </c>
      <c r="L623" s="7" t="n">
        <f aca="false">AVERAGE(E424:E623)</f>
        <v>14597.65135</v>
      </c>
      <c r="M623" s="7" t="n">
        <f aca="false">I623</f>
        <v>12089.482</v>
      </c>
      <c r="N623" s="7" t="n">
        <f aca="false">I623+2*STDEV(E604:E623)</f>
        <v>13219.5538014748</v>
      </c>
      <c r="O623" s="7" t="n">
        <f aca="false">I623-2*STDEV(E604:E623)</f>
        <v>10959.4101985252</v>
      </c>
      <c r="P623" s="7" t="n">
        <f aca="false">MAX(E623-E622,0)</f>
        <v>138.42</v>
      </c>
      <c r="Q623" s="7" t="n">
        <f aca="false">MAX(E622-E623,0)</f>
        <v>0</v>
      </c>
      <c r="R623" s="7" t="n">
        <f aca="false">(R622*13+P623)/14</f>
        <v>95.2943375497168</v>
      </c>
      <c r="S623" s="7" t="n">
        <f aca="false">(S622*13+Q623)/14</f>
        <v>164.787407651084</v>
      </c>
      <c r="T623" s="7" t="n">
        <f aca="false">IF(S623=0,100,100-100/(1+R623/S623))</f>
        <v>36.6401484564567</v>
      </c>
      <c r="U623" s="7" t="n">
        <f aca="false">E623*2/13+U622*11/13</f>
        <v>11775.1563680093</v>
      </c>
      <c r="V623" s="7" t="n">
        <f aca="false">E623*2/27+V622*25/27</f>
        <v>12146.5262834104</v>
      </c>
      <c r="W623" s="7" t="n">
        <f aca="false">U623-V623</f>
        <v>-371.369915401085</v>
      </c>
      <c r="X623" s="7" t="n">
        <f aca="false">W623*2/10+X622*8/10</f>
        <v>-277.269613461679</v>
      </c>
      <c r="Y623" s="7" t="n">
        <f aca="false">W623-X623</f>
        <v>-94.1003019394058</v>
      </c>
      <c r="Z623" s="9" t="s">
        <v>89</v>
      </c>
      <c r="AA623" s="7" t="str">
        <f aca="false">IFERROR(INDEX(02_轉折點45!B:B,MATCH(A623,02_轉折點45!A:A,0)),"")</f>
        <v/>
      </c>
      <c r="AB623" s="7" t="n">
        <f aca="false">COUNTIFS(05_訊號明細!A:A,A623,05_訊號明細!C:C,"TOP")</f>
        <v>0</v>
      </c>
      <c r="AC623" s="7" t="n">
        <f aca="false">COUNTIFS(05_訊號明細!A:A,A623,05_訊號明細!C:C,"BOTTOM")</f>
        <v>0</v>
      </c>
    </row>
    <row r="624" customFormat="false" ht="15" hidden="false" customHeight="false" outlineLevel="0" collapsed="false">
      <c r="A624" s="7" t="s">
        <v>665</v>
      </c>
      <c r="B624" s="7" t="n">
        <v>11446.98</v>
      </c>
      <c r="C624" s="7" t="n">
        <v>11638.47</v>
      </c>
      <c r="D624" s="7" t="n">
        <v>11446.98</v>
      </c>
      <c r="E624" s="7" t="n">
        <v>11546.76</v>
      </c>
      <c r="F624" s="7" t="n">
        <v>5226</v>
      </c>
      <c r="G624" s="7" t="n">
        <f aca="false">AVERAGE(E620:E624)</f>
        <v>11369.156</v>
      </c>
      <c r="H624" s="7" t="n">
        <f aca="false">AVERAGE(E615:E624)</f>
        <v>11756.351</v>
      </c>
      <c r="I624" s="7" t="n">
        <f aca="false">AVERAGE(E605:E624)</f>
        <v>12075.039</v>
      </c>
      <c r="J624" s="7" t="n">
        <f aca="false">AVERAGE(E575:E624)</f>
        <v>12668.9966</v>
      </c>
      <c r="K624" s="7" t="n">
        <f aca="false">AVERAGE(E525:E624)</f>
        <v>13503.354</v>
      </c>
      <c r="L624" s="7" t="n">
        <f aca="false">AVERAGE(E425:E624)</f>
        <v>14577.3639</v>
      </c>
      <c r="M624" s="7" t="n">
        <f aca="false">I624</f>
        <v>12075.039</v>
      </c>
      <c r="N624" s="7" t="n">
        <f aca="false">I624+2*STDEV(E605:E624)</f>
        <v>13225.963119551</v>
      </c>
      <c r="O624" s="7" t="n">
        <f aca="false">I624-2*STDEV(E605:E624)</f>
        <v>10924.114880449</v>
      </c>
      <c r="P624" s="7" t="n">
        <f aca="false">MAX(E624-E623,0)</f>
        <v>280.77</v>
      </c>
      <c r="Q624" s="7" t="n">
        <f aca="false">MAX(E623-E624,0)</f>
        <v>0</v>
      </c>
      <c r="R624" s="7" t="n">
        <f aca="false">(R623*13+P624)/14</f>
        <v>108.542599153308</v>
      </c>
      <c r="S624" s="7" t="n">
        <f aca="false">(S623*13+Q624)/14</f>
        <v>153.01687853315</v>
      </c>
      <c r="T624" s="7" t="n">
        <f aca="false">IF(S624=0,100,100-100/(1+R624/S624))</f>
        <v>41.4982474018483</v>
      </c>
      <c r="U624" s="7" t="n">
        <f aca="false">E624*2/13+U623*11/13</f>
        <v>11740.0184652386</v>
      </c>
      <c r="V624" s="7" t="n">
        <f aca="false">E624*2/27+V623*25/27</f>
        <v>12102.0991513059</v>
      </c>
      <c r="W624" s="7" t="n">
        <f aca="false">U624-V624</f>
        <v>-362.080686067271</v>
      </c>
      <c r="X624" s="7" t="n">
        <f aca="false">W624*2/10+X623*8/10</f>
        <v>-294.231827982797</v>
      </c>
      <c r="Y624" s="7" t="n">
        <f aca="false">W624-X624</f>
        <v>-67.8488580844737</v>
      </c>
      <c r="Z624" s="9" t="s">
        <v>89</v>
      </c>
      <c r="AA624" s="7" t="str">
        <f aca="false">IFERROR(INDEX(02_轉折點45!B:B,MATCH(A624,02_轉折點45!A:A,0)),"")</f>
        <v/>
      </c>
      <c r="AB624" s="7" t="n">
        <f aca="false">COUNTIFS(05_訊號明細!A:A,A624,05_訊號明細!C:C,"TOP")</f>
        <v>0</v>
      </c>
      <c r="AC624" s="7" t="n">
        <f aca="false">COUNTIFS(05_訊號明細!A:A,A624,05_訊號明細!C:C,"BOTTOM")</f>
        <v>0</v>
      </c>
    </row>
    <row r="625" customFormat="false" ht="15" hidden="false" customHeight="false" outlineLevel="0" collapsed="false">
      <c r="A625" s="7" t="s">
        <v>666</v>
      </c>
      <c r="B625" s="7" t="n">
        <v>11427.74</v>
      </c>
      <c r="C625" s="7" t="n">
        <v>11708.08</v>
      </c>
      <c r="D625" s="7" t="n">
        <v>11423.2</v>
      </c>
      <c r="E625" s="7" t="n">
        <v>11527.71</v>
      </c>
      <c r="F625" s="7" t="n">
        <v>5238</v>
      </c>
      <c r="G625" s="7" t="n">
        <f aca="false">AVERAGE(E621:E625)</f>
        <v>11412.36</v>
      </c>
      <c r="H625" s="7" t="n">
        <f aca="false">AVERAGE(E616:E625)</f>
        <v>11637.954</v>
      </c>
      <c r="I625" s="7" t="n">
        <f aca="false">AVERAGE(E606:E625)</f>
        <v>12049.7105</v>
      </c>
      <c r="J625" s="7" t="n">
        <f aca="false">AVERAGE(E576:E625)</f>
        <v>12613.0056</v>
      </c>
      <c r="K625" s="7" t="n">
        <f aca="false">AVERAGE(E526:E625)</f>
        <v>13478.6</v>
      </c>
      <c r="L625" s="7" t="n">
        <f aca="false">AVERAGE(E426:E625)</f>
        <v>14556.73815</v>
      </c>
      <c r="M625" s="7" t="n">
        <f aca="false">I625</f>
        <v>12049.7105</v>
      </c>
      <c r="N625" s="7" t="n">
        <f aca="false">I625+2*STDEV(E606:E625)</f>
        <v>13226.4188565246</v>
      </c>
      <c r="O625" s="7" t="n">
        <f aca="false">I625-2*STDEV(E606:E625)</f>
        <v>10873.0021434754</v>
      </c>
      <c r="P625" s="7" t="n">
        <f aca="false">MAX(E625-E624,0)</f>
        <v>0</v>
      </c>
      <c r="Q625" s="7" t="n">
        <f aca="false">MAX(E624-E625,0)</f>
        <v>19.0500000000011</v>
      </c>
      <c r="R625" s="7" t="n">
        <f aca="false">(R624*13+P625)/14</f>
        <v>100.789556356644</v>
      </c>
      <c r="S625" s="7" t="n">
        <f aca="false">(S624*13+Q625)/14</f>
        <v>143.447815780782</v>
      </c>
      <c r="T625" s="7" t="n">
        <f aca="false">IF(S625=0,100,100-100/(1+R625/S625))</f>
        <v>41.2670491311756</v>
      </c>
      <c r="U625" s="7" t="n">
        <f aca="false">E625*2/13+U624*11/13</f>
        <v>11707.3556244327</v>
      </c>
      <c r="V625" s="7" t="n">
        <f aca="false">E625*2/27+V624*25/27</f>
        <v>12059.5518067647</v>
      </c>
      <c r="W625" s="7" t="n">
        <f aca="false">U625-V625</f>
        <v>-352.196182332038</v>
      </c>
      <c r="X625" s="7" t="n">
        <f aca="false">W625*2/10+X624*8/10</f>
        <v>-305.824698852646</v>
      </c>
      <c r="Y625" s="7" t="n">
        <f aca="false">W625-X625</f>
        <v>-46.3714834793925</v>
      </c>
      <c r="Z625" s="9" t="s">
        <v>89</v>
      </c>
      <c r="AA625" s="7" t="str">
        <f aca="false">IFERROR(INDEX(02_轉折點45!B:B,MATCH(A625,02_轉折點45!A:A,0)),"")</f>
        <v/>
      </c>
      <c r="AB625" s="7" t="n">
        <f aca="false">COUNTIFS(05_訊號明細!A:A,A625,05_訊號明細!C:C,"TOP")</f>
        <v>0</v>
      </c>
      <c r="AC625" s="7" t="n">
        <f aca="false">COUNTIFS(05_訊號明細!A:A,A625,05_訊號明細!C:C,"BOTTOM")</f>
        <v>0</v>
      </c>
    </row>
    <row r="626" customFormat="false" ht="15" hidden="false" customHeight="false" outlineLevel="0" collapsed="false">
      <c r="A626" s="7" t="s">
        <v>667</v>
      </c>
      <c r="B626" s="7" t="n">
        <v>11622.09</v>
      </c>
      <c r="C626" s="7" t="n">
        <v>11729.62</v>
      </c>
      <c r="D626" s="7" t="n">
        <v>11515.48</v>
      </c>
      <c r="E626" s="7" t="n">
        <v>11697.68</v>
      </c>
      <c r="F626" s="7" t="n">
        <v>5258</v>
      </c>
      <c r="G626" s="7" t="n">
        <f aca="false">AVERAGE(E622:E626)</f>
        <v>11433.142</v>
      </c>
      <c r="H626" s="7" t="n">
        <f aca="false">AVERAGE(E617:E626)</f>
        <v>11546.209</v>
      </c>
      <c r="I626" s="7" t="n">
        <f aca="false">AVERAGE(E607:E626)</f>
        <v>12046.1025</v>
      </c>
      <c r="J626" s="7" t="n">
        <f aca="false">AVERAGE(E577:E626)</f>
        <v>12567.155</v>
      </c>
      <c r="K626" s="7" t="n">
        <f aca="false">AVERAGE(E527:E626)</f>
        <v>13451.0307</v>
      </c>
      <c r="L626" s="7" t="n">
        <f aca="false">AVERAGE(E427:E626)</f>
        <v>14536.84775</v>
      </c>
      <c r="M626" s="7" t="n">
        <f aca="false">I626</f>
        <v>12046.1025</v>
      </c>
      <c r="N626" s="7" t="n">
        <f aca="false">I626+2*STDEV(E607:E626)</f>
        <v>13226.8595956917</v>
      </c>
      <c r="O626" s="7" t="n">
        <f aca="false">I626-2*STDEV(E607:E626)</f>
        <v>10865.3454043083</v>
      </c>
      <c r="P626" s="7" t="n">
        <f aca="false">MAX(E626-E625,0)</f>
        <v>169.970000000001</v>
      </c>
      <c r="Q626" s="7" t="n">
        <f aca="false">MAX(E625-E626,0)</f>
        <v>0</v>
      </c>
      <c r="R626" s="7" t="n">
        <f aca="false">(R625*13+P626)/14</f>
        <v>105.731016616883</v>
      </c>
      <c r="S626" s="7" t="n">
        <f aca="false">(S625*13+Q626)/14</f>
        <v>133.201543225012</v>
      </c>
      <c r="T626" s="7" t="n">
        <f aca="false">IF(S626=0,100,100-100/(1+R626/S626))</f>
        <v>44.2514057886657</v>
      </c>
      <c r="U626" s="7" t="n">
        <f aca="false">E626*2/13+U625*11/13</f>
        <v>11705.8670668277</v>
      </c>
      <c r="V626" s="7" t="n">
        <f aca="false">E626*2/27+V625*25/27</f>
        <v>12032.7464877451</v>
      </c>
      <c r="W626" s="7" t="n">
        <f aca="false">U626-V626</f>
        <v>-326.879420917456</v>
      </c>
      <c r="X626" s="7" t="n">
        <f aca="false">W626*2/10+X625*8/10</f>
        <v>-310.035643265608</v>
      </c>
      <c r="Y626" s="7" t="n">
        <f aca="false">W626-X626</f>
        <v>-16.8437776518482</v>
      </c>
      <c r="Z626" s="9" t="s">
        <v>89</v>
      </c>
      <c r="AA626" s="7" t="str">
        <f aca="false">IFERROR(INDEX(02_轉折點45!B:B,MATCH(A626,02_轉折點45!A:A,0)),"")</f>
        <v/>
      </c>
      <c r="AB626" s="7" t="n">
        <f aca="false">COUNTIFS(05_訊號明細!A:A,A626,05_訊號明細!C:C,"TOP")</f>
        <v>0</v>
      </c>
      <c r="AC626" s="7" t="n">
        <f aca="false">COUNTIFS(05_訊號明細!A:A,A626,05_訊號明細!C:C,"BOTTOM")</f>
        <v>0</v>
      </c>
    </row>
    <row r="627" customFormat="false" ht="15" hidden="false" customHeight="false" outlineLevel="0" collapsed="false">
      <c r="A627" s="7" t="s">
        <v>668</v>
      </c>
      <c r="B627" s="7" t="n">
        <v>11826.95</v>
      </c>
      <c r="C627" s="7" t="n">
        <v>12112.82</v>
      </c>
      <c r="D627" s="7" t="n">
        <v>11812.18</v>
      </c>
      <c r="E627" s="7" t="n">
        <v>12105.85</v>
      </c>
      <c r="F627" s="7" t="n">
        <v>9468</v>
      </c>
      <c r="G627" s="7" t="n">
        <f aca="false">AVERAGE(E623:E627)</f>
        <v>11628.798</v>
      </c>
      <c r="H627" s="7" t="n">
        <f aca="false">AVERAGE(E618:E627)</f>
        <v>11529.816</v>
      </c>
      <c r="I627" s="7" t="n">
        <f aca="false">AVERAGE(E608:E627)</f>
        <v>12054.1985</v>
      </c>
      <c r="J627" s="7" t="n">
        <f aca="false">AVERAGE(E578:E627)</f>
        <v>12530.4672</v>
      </c>
      <c r="K627" s="7" t="n">
        <f aca="false">AVERAGE(E528:E627)</f>
        <v>13422.7887</v>
      </c>
      <c r="L627" s="7" t="n">
        <f aca="false">AVERAGE(E428:E627)</f>
        <v>14519.27275</v>
      </c>
      <c r="M627" s="7" t="n">
        <f aca="false">I627</f>
        <v>12054.1985</v>
      </c>
      <c r="N627" s="7" t="n">
        <f aca="false">I627+2*STDEV(E608:E627)</f>
        <v>13234.226100485</v>
      </c>
      <c r="O627" s="7" t="n">
        <f aca="false">I627-2*STDEV(E608:E627)</f>
        <v>10874.170899515</v>
      </c>
      <c r="P627" s="7" t="n">
        <f aca="false">MAX(E627-E626,0)</f>
        <v>408.17</v>
      </c>
      <c r="Q627" s="7" t="n">
        <f aca="false">MAX(E626-E627,0)</f>
        <v>0</v>
      </c>
      <c r="R627" s="7" t="n">
        <f aca="false">(R626*13+P627)/14</f>
        <v>127.333801144249</v>
      </c>
      <c r="S627" s="7" t="n">
        <f aca="false">(S626*13+Q627)/14</f>
        <v>123.687147280368</v>
      </c>
      <c r="T627" s="7" t="n">
        <f aca="false">IF(S627=0,100,100-100/(1+R627/S627))</f>
        <v>50.7263644502116</v>
      </c>
      <c r="U627" s="7" t="n">
        <f aca="false">E627*2/13+U626*11/13</f>
        <v>11767.4029027003</v>
      </c>
      <c r="V627" s="7" t="n">
        <f aca="false">E627*2/27+V626*25/27</f>
        <v>12038.161562727</v>
      </c>
      <c r="W627" s="7" t="n">
        <f aca="false">U627-V627</f>
        <v>-270.758660026633</v>
      </c>
      <c r="X627" s="7" t="n">
        <f aca="false">W627*2/10+X626*8/10</f>
        <v>-302.180246617813</v>
      </c>
      <c r="Y627" s="7" t="n">
        <f aca="false">W627-X627</f>
        <v>31.4215865911795</v>
      </c>
      <c r="Z627" s="9" t="s">
        <v>89</v>
      </c>
      <c r="AA627" s="7" t="str">
        <f aca="false">IFERROR(INDEX(02_轉折點45!B:B,MATCH(A627,02_轉折點45!A:A,0)),"")</f>
        <v/>
      </c>
      <c r="AB627" s="7" t="n">
        <f aca="false">COUNTIFS(05_訊號明細!A:A,A627,05_訊號明細!C:C,"TOP")</f>
        <v>0</v>
      </c>
      <c r="AC627" s="7" t="n">
        <f aca="false">COUNTIFS(05_訊號明細!A:A,A627,05_訊號明細!C:C,"BOTTOM")</f>
        <v>2</v>
      </c>
    </row>
    <row r="628" customFormat="false" ht="15" hidden="false" customHeight="false" outlineLevel="0" collapsed="false">
      <c r="A628" s="7" t="s">
        <v>669</v>
      </c>
      <c r="B628" s="7" t="n">
        <v>12157.93</v>
      </c>
      <c r="C628" s="7" t="n">
        <v>12175.98</v>
      </c>
      <c r="D628" s="7" t="n">
        <v>11965.67</v>
      </c>
      <c r="E628" s="7" t="n">
        <v>12008.24</v>
      </c>
      <c r="F628" s="7" t="n">
        <v>5048</v>
      </c>
      <c r="G628" s="7" t="n">
        <f aca="false">AVERAGE(E624:E628)</f>
        <v>11777.248</v>
      </c>
      <c r="H628" s="7" t="n">
        <f aca="false">AVERAGE(E619:E628)</f>
        <v>11547.358</v>
      </c>
      <c r="I628" s="7" t="n">
        <f aca="false">AVERAGE(E609:E628)</f>
        <v>12040.771</v>
      </c>
      <c r="J628" s="7" t="n">
        <f aca="false">AVERAGE(E579:E628)</f>
        <v>12486.2862</v>
      </c>
      <c r="K628" s="7" t="n">
        <f aca="false">AVERAGE(E529:E628)</f>
        <v>13392.6743</v>
      </c>
      <c r="L628" s="7" t="n">
        <f aca="false">AVERAGE(E429:E628)</f>
        <v>14501.5087</v>
      </c>
      <c r="M628" s="7" t="n">
        <f aca="false">I628</f>
        <v>12040.771</v>
      </c>
      <c r="N628" s="7" t="n">
        <f aca="false">I628+2*STDEV(E609:E628)</f>
        <v>13216.2367448975</v>
      </c>
      <c r="O628" s="7" t="n">
        <f aca="false">I628-2*STDEV(E609:E628)</f>
        <v>10865.3052551025</v>
      </c>
      <c r="P628" s="7" t="n">
        <f aca="false">MAX(E628-E627,0)</f>
        <v>0</v>
      </c>
      <c r="Q628" s="7" t="n">
        <f aca="false">MAX(E627-E628,0)</f>
        <v>97.6100000000006</v>
      </c>
      <c r="R628" s="7" t="n">
        <f aca="false">(R627*13+P628)/14</f>
        <v>118.238529633945</v>
      </c>
      <c r="S628" s="7" t="n">
        <f aca="false">(S627*13+Q628)/14</f>
        <v>121.824493903199</v>
      </c>
      <c r="T628" s="7" t="n">
        <f aca="false">IF(S628=0,100,100-100/(1+R628/S628))</f>
        <v>49.2531202397568</v>
      </c>
      <c r="U628" s="7" t="n">
        <f aca="false">E628*2/13+U627*11/13</f>
        <v>11804.4547638234</v>
      </c>
      <c r="V628" s="7" t="n">
        <f aca="false">E628*2/27+V627*25/27</f>
        <v>12035.9451506731</v>
      </c>
      <c r="W628" s="7" t="n">
        <f aca="false">U628-V628</f>
        <v>-231.490386849757</v>
      </c>
      <c r="X628" s="7" t="n">
        <f aca="false">W628*2/10+X627*8/10</f>
        <v>-288.042274664201</v>
      </c>
      <c r="Y628" s="7" t="n">
        <f aca="false">W628-X628</f>
        <v>56.5518878144447</v>
      </c>
      <c r="Z628" s="9" t="s">
        <v>89</v>
      </c>
      <c r="AA628" s="7" t="str">
        <f aca="false">IFERROR(INDEX(02_轉折點45!B:B,MATCH(A628,02_轉折點45!A:A,0)),"")</f>
        <v/>
      </c>
      <c r="AB628" s="7" t="n">
        <f aca="false">COUNTIFS(05_訊號明細!A:A,A628,05_訊號明細!C:C,"TOP")</f>
        <v>0</v>
      </c>
      <c r="AC628" s="7" t="n">
        <f aca="false">COUNTIFS(05_訊號明細!A:A,A628,05_訊號明細!C:C,"BOTTOM")</f>
        <v>0</v>
      </c>
    </row>
    <row r="629" customFormat="false" ht="15" hidden="false" customHeight="false" outlineLevel="0" collapsed="false">
      <c r="A629" s="7" t="s">
        <v>670</v>
      </c>
      <c r="B629" s="7" t="n">
        <v>12021.34</v>
      </c>
      <c r="C629" s="7" t="n">
        <v>12133.87</v>
      </c>
      <c r="D629" s="7" t="n">
        <v>11633.13</v>
      </c>
      <c r="E629" s="7" t="n">
        <v>11637.77</v>
      </c>
      <c r="F629" s="7" t="n">
        <v>5433</v>
      </c>
      <c r="G629" s="7" t="n">
        <f aca="false">AVERAGE(E625:E629)</f>
        <v>11795.45</v>
      </c>
      <c r="H629" s="7" t="n">
        <f aca="false">AVERAGE(E620:E629)</f>
        <v>11582.303</v>
      </c>
      <c r="I629" s="7" t="n">
        <f aca="false">AVERAGE(E610:E629)</f>
        <v>11988.5885</v>
      </c>
      <c r="J629" s="7" t="n">
        <f aca="false">AVERAGE(E580:E629)</f>
        <v>12441.1774</v>
      </c>
      <c r="K629" s="7" t="n">
        <f aca="false">AVERAGE(E530:E629)</f>
        <v>13357.6546</v>
      </c>
      <c r="L629" s="7" t="n">
        <f aca="false">AVERAGE(E430:E629)</f>
        <v>14482.4938</v>
      </c>
      <c r="M629" s="7" t="n">
        <f aca="false">I629</f>
        <v>11988.5885</v>
      </c>
      <c r="N629" s="7" t="n">
        <f aca="false">I629+2*STDEV(E610:E629)</f>
        <v>13136.6474620339</v>
      </c>
      <c r="O629" s="7" t="n">
        <f aca="false">I629-2*STDEV(E610:E629)</f>
        <v>10840.5295379661</v>
      </c>
      <c r="P629" s="7" t="n">
        <f aca="false">MAX(E629-E628,0)</f>
        <v>0</v>
      </c>
      <c r="Q629" s="7" t="n">
        <f aca="false">MAX(E628-E629,0)</f>
        <v>370.469999999999</v>
      </c>
      <c r="R629" s="7" t="n">
        <f aca="false">(R628*13+P629)/14</f>
        <v>109.792920374378</v>
      </c>
      <c r="S629" s="7" t="n">
        <f aca="false">(S628*13+Q629)/14</f>
        <v>139.584887195827</v>
      </c>
      <c r="T629" s="7" t="n">
        <f aca="false">IF(S629=0,100,100-100/(1+R629/S629))</f>
        <v>44.0267405685122</v>
      </c>
      <c r="U629" s="7" t="n">
        <f aca="false">E629*2/13+U628*11/13</f>
        <v>11778.8109540044</v>
      </c>
      <c r="V629" s="7" t="n">
        <f aca="false">E629*2/27+V628*25/27</f>
        <v>12006.4506950677</v>
      </c>
      <c r="W629" s="7" t="n">
        <f aca="false">U629-V629</f>
        <v>-227.639741063318</v>
      </c>
      <c r="X629" s="7" t="n">
        <f aca="false">W629*2/10+X628*8/10</f>
        <v>-275.961767944025</v>
      </c>
      <c r="Y629" s="7" t="n">
        <f aca="false">W629-X629</f>
        <v>48.3220268807067</v>
      </c>
      <c r="Z629" s="9" t="s">
        <v>89</v>
      </c>
      <c r="AA629" s="7" t="str">
        <f aca="false">IFERROR(INDEX(02_轉折點45!B:B,MATCH(A629,02_轉折點45!A:A,0)),"")</f>
        <v/>
      </c>
      <c r="AB629" s="7" t="n">
        <f aca="false">COUNTIFS(05_訊號明細!A:A,A629,05_訊號明細!C:C,"TOP")</f>
        <v>0</v>
      </c>
      <c r="AC629" s="7" t="n">
        <f aca="false">COUNTIFS(05_訊號明細!A:A,A629,05_訊號明細!C:C,"BOTTOM")</f>
        <v>0</v>
      </c>
    </row>
    <row r="630" customFormat="false" ht="15" hidden="false" customHeight="false" outlineLevel="0" collapsed="false">
      <c r="A630" s="7" t="s">
        <v>671</v>
      </c>
      <c r="B630" s="7" t="n">
        <v>11619.01</v>
      </c>
      <c r="C630" s="7" t="n">
        <v>11710.21</v>
      </c>
      <c r="D630" s="7" t="n">
        <v>11537.72</v>
      </c>
      <c r="E630" s="7" t="n">
        <v>11658.26</v>
      </c>
      <c r="F630" s="7" t="n">
        <v>5651</v>
      </c>
      <c r="G630" s="7" t="n">
        <f aca="false">AVERAGE(E626:E630)</f>
        <v>11821.56</v>
      </c>
      <c r="H630" s="7" t="n">
        <f aca="false">AVERAGE(E621:E630)</f>
        <v>11616.96</v>
      </c>
      <c r="I630" s="7" t="n">
        <f aca="false">AVERAGE(E611:E630)</f>
        <v>11939.3965</v>
      </c>
      <c r="J630" s="7" t="n">
        <f aca="false">AVERAGE(E581:E630)</f>
        <v>12396.1274</v>
      </c>
      <c r="K630" s="7" t="n">
        <f aca="false">AVERAGE(E531:E630)</f>
        <v>13329.2261</v>
      </c>
      <c r="L630" s="7" t="n">
        <f aca="false">AVERAGE(E431:E630)</f>
        <v>14463.6126</v>
      </c>
      <c r="M630" s="7" t="n">
        <f aca="false">I630</f>
        <v>11939.3965</v>
      </c>
      <c r="N630" s="7" t="n">
        <f aca="false">I630+2*STDEV(E611:E630)</f>
        <v>13053.3585740454</v>
      </c>
      <c r="O630" s="7" t="n">
        <f aca="false">I630-2*STDEV(E611:E630)</f>
        <v>10825.4344259546</v>
      </c>
      <c r="P630" s="7" t="n">
        <f aca="false">MAX(E630-E629,0)</f>
        <v>20.4899999999998</v>
      </c>
      <c r="Q630" s="7" t="n">
        <f aca="false">MAX(E629-E630,0)</f>
        <v>0</v>
      </c>
      <c r="R630" s="7" t="n">
        <f aca="false">(R629*13+P630)/14</f>
        <v>103.414140347637</v>
      </c>
      <c r="S630" s="7" t="n">
        <f aca="false">(S629*13+Q630)/14</f>
        <v>129.614538110411</v>
      </c>
      <c r="T630" s="7" t="n">
        <f aca="false">IF(S630=0,100,100-100/(1+R630/S630))</f>
        <v>44.3782889865439</v>
      </c>
      <c r="U630" s="7" t="n">
        <f aca="false">E630*2/13+U629*11/13</f>
        <v>11760.2646533883</v>
      </c>
      <c r="V630" s="7" t="n">
        <f aca="false">E630*2/27+V629*25/27</f>
        <v>11980.6587917294</v>
      </c>
      <c r="W630" s="7" t="n">
        <f aca="false">U630-V630</f>
        <v>-220.394138341027</v>
      </c>
      <c r="X630" s="7" t="n">
        <f aca="false">W630*2/10+X629*8/10</f>
        <v>-264.848242023425</v>
      </c>
      <c r="Y630" s="7" t="n">
        <f aca="false">W630-X630</f>
        <v>44.4541036823978</v>
      </c>
      <c r="Z630" s="9" t="s">
        <v>89</v>
      </c>
      <c r="AA630" s="7" t="str">
        <f aca="false">IFERROR(INDEX(02_轉折點45!B:B,MATCH(A630,02_轉折點45!A:A,0)),"")</f>
        <v/>
      </c>
      <c r="AB630" s="7" t="n">
        <f aca="false">COUNTIFS(05_訊號明細!A:A,A630,05_訊號明細!C:C,"TOP")</f>
        <v>0</v>
      </c>
      <c r="AC630" s="7" t="n">
        <f aca="false">COUNTIFS(05_訊號明細!A:A,A630,05_訊號明細!C:C,"BOTTOM")</f>
        <v>0</v>
      </c>
    </row>
    <row r="631" customFormat="false" ht="15" hidden="false" customHeight="false" outlineLevel="0" collapsed="false">
      <c r="A631" s="7" t="s">
        <v>672</v>
      </c>
      <c r="B631" s="7" t="n">
        <v>11532.32</v>
      </c>
      <c r="C631" s="7" t="n">
        <v>11650.96</v>
      </c>
      <c r="D631" s="7" t="n">
        <v>11322.86</v>
      </c>
      <c r="E631" s="7" t="n">
        <v>11503.72</v>
      </c>
      <c r="F631" s="7" t="n">
        <v>5655</v>
      </c>
      <c r="G631" s="7" t="n">
        <f aca="false">AVERAGE(E627:E631)</f>
        <v>11782.768</v>
      </c>
      <c r="H631" s="7" t="n">
        <f aca="false">AVERAGE(E622:E631)</f>
        <v>11607.955</v>
      </c>
      <c r="I631" s="7" t="n">
        <f aca="false">AVERAGE(E612:E631)</f>
        <v>11887.1645</v>
      </c>
      <c r="J631" s="7" t="n">
        <f aca="false">AVERAGE(E582:E631)</f>
        <v>12341.9966</v>
      </c>
      <c r="K631" s="7" t="n">
        <f aca="false">AVERAGE(E532:E631)</f>
        <v>13297.3198</v>
      </c>
      <c r="L631" s="7" t="n">
        <f aca="false">AVERAGE(E432:E631)</f>
        <v>14444.2167</v>
      </c>
      <c r="M631" s="7" t="n">
        <f aca="false">I631</f>
        <v>11887.1645</v>
      </c>
      <c r="N631" s="7" t="n">
        <f aca="false">I631+2*STDEV(E612:E631)</f>
        <v>12978.6380060357</v>
      </c>
      <c r="O631" s="7" t="n">
        <f aca="false">I631-2*STDEV(E612:E631)</f>
        <v>10795.6909939643</v>
      </c>
      <c r="P631" s="7" t="n">
        <f aca="false">MAX(E631-E630,0)</f>
        <v>0</v>
      </c>
      <c r="Q631" s="7" t="n">
        <f aca="false">MAX(E630-E631,0)</f>
        <v>154.540000000001</v>
      </c>
      <c r="R631" s="7" t="n">
        <f aca="false">(R630*13+P631)/14</f>
        <v>96.0274160370911</v>
      </c>
      <c r="S631" s="7" t="n">
        <f aca="false">(S630*13+Q631)/14</f>
        <v>131.394928245382</v>
      </c>
      <c r="T631" s="7" t="n">
        <f aca="false">IF(S631=0,100,100-100/(1+R631/S631))</f>
        <v>42.224266195154</v>
      </c>
      <c r="U631" s="7" t="n">
        <f aca="false">E631*2/13+U630*11/13</f>
        <v>11720.7962451747</v>
      </c>
      <c r="V631" s="7" t="n">
        <f aca="false">E631*2/27+V630*25/27</f>
        <v>11945.329992342</v>
      </c>
      <c r="W631" s="7" t="n">
        <f aca="false">U631-V631</f>
        <v>-224.533747167256</v>
      </c>
      <c r="X631" s="7" t="n">
        <f aca="false">W631*2/10+X630*8/10</f>
        <v>-256.785343052191</v>
      </c>
      <c r="Y631" s="7" t="n">
        <f aca="false">W631-X631</f>
        <v>32.2515958849357</v>
      </c>
      <c r="Z631" s="9" t="s">
        <v>89</v>
      </c>
      <c r="AA631" s="7" t="str">
        <f aca="false">IFERROR(INDEX(02_轉折點45!B:B,MATCH(A631,02_轉折點45!A:A,0)),"")</f>
        <v/>
      </c>
      <c r="AB631" s="7" t="n">
        <f aca="false">COUNTIFS(05_訊號明細!A:A,A631,05_訊號明細!C:C,"TOP")</f>
        <v>0</v>
      </c>
      <c r="AC631" s="7" t="n">
        <f aca="false">COUNTIFS(05_訊號明細!A:A,A631,05_訊號明細!C:C,"BOTTOM")</f>
        <v>0</v>
      </c>
    </row>
    <row r="632" customFormat="false" ht="15" hidden="false" customHeight="false" outlineLevel="0" collapsed="false">
      <c r="A632" s="7" t="s">
        <v>673</v>
      </c>
      <c r="B632" s="7" t="n">
        <v>11472.63</v>
      </c>
      <c r="C632" s="7" t="n">
        <v>11592.85</v>
      </c>
      <c r="D632" s="7" t="n">
        <v>11378.63</v>
      </c>
      <c r="E632" s="7" t="n">
        <v>11585.68</v>
      </c>
      <c r="F632" s="7" t="n">
        <v>4866</v>
      </c>
      <c r="G632" s="7" t="n">
        <f aca="false">AVERAGE(E628:E632)</f>
        <v>11678.734</v>
      </c>
      <c r="H632" s="7" t="n">
        <f aca="false">AVERAGE(E623:E632)</f>
        <v>11653.766</v>
      </c>
      <c r="I632" s="7" t="n">
        <f aca="false">AVERAGE(E613:E632)</f>
        <v>11821.804</v>
      </c>
      <c r="J632" s="7" t="n">
        <f aca="false">AVERAGE(E583:E632)</f>
        <v>12293.7396</v>
      </c>
      <c r="K632" s="7" t="n">
        <f aca="false">AVERAGE(E533:E632)</f>
        <v>13267.4641</v>
      </c>
      <c r="L632" s="7" t="n">
        <f aca="false">AVERAGE(E433:E632)</f>
        <v>14424.62745</v>
      </c>
      <c r="M632" s="7" t="n">
        <f aca="false">I632</f>
        <v>11821.804</v>
      </c>
      <c r="N632" s="7" t="n">
        <f aca="false">I632+2*STDEV(E613:E632)</f>
        <v>12811.510250038</v>
      </c>
      <c r="O632" s="7" t="n">
        <f aca="false">I632-2*STDEV(E613:E632)</f>
        <v>10832.097749962</v>
      </c>
      <c r="P632" s="7" t="n">
        <f aca="false">MAX(E632-E631,0)</f>
        <v>81.960000000001</v>
      </c>
      <c r="Q632" s="7" t="n">
        <f aca="false">MAX(E631-E632,0)</f>
        <v>0</v>
      </c>
      <c r="R632" s="7" t="n">
        <f aca="false">(R631*13+P632)/14</f>
        <v>95.0226006058704</v>
      </c>
      <c r="S632" s="7" t="n">
        <f aca="false">(S631*13+Q632)/14</f>
        <v>122.009576227855</v>
      </c>
      <c r="T632" s="7" t="n">
        <f aca="false">IF(S632=0,100,100-100/(1+R632/S632))</f>
        <v>43.7827247517635</v>
      </c>
      <c r="U632" s="7" t="n">
        <f aca="false">E632*2/13+U631*11/13</f>
        <v>11700.0091305325</v>
      </c>
      <c r="V632" s="7" t="n">
        <f aca="false">E632*2/27+V631*25/27</f>
        <v>11918.6892521685</v>
      </c>
      <c r="W632" s="7" t="n">
        <f aca="false">U632-V632</f>
        <v>-218.680121636042</v>
      </c>
      <c r="X632" s="7" t="n">
        <f aca="false">W632*2/10+X631*8/10</f>
        <v>-249.164298768961</v>
      </c>
      <c r="Y632" s="7" t="n">
        <f aca="false">W632-X632</f>
        <v>30.4841771329196</v>
      </c>
      <c r="Z632" s="9" t="s">
        <v>89</v>
      </c>
      <c r="AA632" s="7" t="str">
        <f aca="false">IFERROR(INDEX(02_轉折點45!B:B,MATCH(A632,02_轉折點45!A:A,0)),"")</f>
        <v/>
      </c>
      <c r="AB632" s="7" t="n">
        <f aca="false">COUNTIFS(05_訊號明細!A:A,A632,05_訊號明細!C:C,"TOP")</f>
        <v>0</v>
      </c>
      <c r="AC632" s="7" t="n">
        <f aca="false">COUNTIFS(05_訊號明細!A:A,A632,05_訊號明細!C:C,"BOTTOM")</f>
        <v>1</v>
      </c>
    </row>
    <row r="633" customFormat="false" ht="15" hidden="false" customHeight="false" outlineLevel="0" collapsed="false">
      <c r="A633" s="7" t="s">
        <v>674</v>
      </c>
      <c r="B633" s="7" t="n">
        <v>11419.34</v>
      </c>
      <c r="C633" s="7" t="n">
        <v>11781.74</v>
      </c>
      <c r="D633" s="7" t="n">
        <v>11366.07</v>
      </c>
      <c r="E633" s="7" t="n">
        <v>11779.9</v>
      </c>
      <c r="F633" s="7" t="n">
        <v>5054</v>
      </c>
      <c r="G633" s="7" t="n">
        <f aca="false">AVERAGE(E629:E633)</f>
        <v>11633.066</v>
      </c>
      <c r="H633" s="7" t="n">
        <f aca="false">AVERAGE(E624:E633)</f>
        <v>11705.157</v>
      </c>
      <c r="I633" s="7" t="n">
        <f aca="false">AVERAGE(E614:E633)</f>
        <v>11783.3975</v>
      </c>
      <c r="J633" s="7" t="n">
        <f aca="false">AVERAGE(E584:E633)</f>
        <v>12254.9286</v>
      </c>
      <c r="K633" s="7" t="n">
        <f aca="false">AVERAGE(E534:E633)</f>
        <v>13237.7928</v>
      </c>
      <c r="L633" s="7" t="n">
        <f aca="false">AVERAGE(E434:E633)</f>
        <v>14405.9474</v>
      </c>
      <c r="M633" s="7" t="n">
        <f aca="false">I633</f>
        <v>11783.3975</v>
      </c>
      <c r="N633" s="7" t="n">
        <f aca="false">I633+2*STDEV(E614:E633)</f>
        <v>12712.1842863396</v>
      </c>
      <c r="O633" s="7" t="n">
        <f aca="false">I633-2*STDEV(E614:E633)</f>
        <v>10854.6107136605</v>
      </c>
      <c r="P633" s="7" t="n">
        <f aca="false">MAX(E633-E632,0)</f>
        <v>194.219999999999</v>
      </c>
      <c r="Q633" s="7" t="n">
        <f aca="false">MAX(E632-E633,0)</f>
        <v>0</v>
      </c>
      <c r="R633" s="7" t="n">
        <f aca="false">(R632*13+P633)/14</f>
        <v>102.108129134022</v>
      </c>
      <c r="S633" s="7" t="n">
        <f aca="false">(S632*13+Q633)/14</f>
        <v>113.294606497294</v>
      </c>
      <c r="T633" s="7" t="n">
        <f aca="false">IF(S633=0,100,100-100/(1+R633/S633))</f>
        <v>47.4033576383129</v>
      </c>
      <c r="U633" s="7" t="n">
        <f aca="false">E633*2/13+U632*11/13</f>
        <v>11712.3000335275</v>
      </c>
      <c r="V633" s="7" t="n">
        <f aca="false">E633*2/27+V632*25/27</f>
        <v>11908.4085668227</v>
      </c>
      <c r="W633" s="7" t="n">
        <f aca="false">U633-V633</f>
        <v>-196.108533295224</v>
      </c>
      <c r="X633" s="7" t="n">
        <f aca="false">W633*2/10+X632*8/10</f>
        <v>-238.553145674214</v>
      </c>
      <c r="Y633" s="7" t="n">
        <f aca="false">W633-X633</f>
        <v>42.4446123789896</v>
      </c>
      <c r="Z633" s="9" t="s">
        <v>89</v>
      </c>
      <c r="AA633" s="7" t="str">
        <f aca="false">IFERROR(INDEX(02_轉折點45!B:B,MATCH(A633,02_轉折點45!A:A,0)),"")</f>
        <v/>
      </c>
      <c r="AB633" s="7" t="n">
        <f aca="false">COUNTIFS(05_訊號明細!A:A,A633,05_訊號明細!C:C,"TOP")</f>
        <v>0</v>
      </c>
      <c r="AC633" s="7" t="n">
        <f aca="false">COUNTIFS(05_訊號明細!A:A,A633,05_訊號明細!C:C,"BOTTOM")</f>
        <v>0</v>
      </c>
    </row>
    <row r="634" customFormat="false" ht="15" hidden="false" customHeight="false" outlineLevel="0" collapsed="false">
      <c r="A634" s="7" t="s">
        <v>675</v>
      </c>
      <c r="B634" s="7" t="n">
        <v>11807.08</v>
      </c>
      <c r="C634" s="7" t="n">
        <v>11941.31</v>
      </c>
      <c r="D634" s="7" t="n">
        <v>11727.36</v>
      </c>
      <c r="E634" s="7" t="n">
        <v>11852.59</v>
      </c>
      <c r="F634" s="7" t="n">
        <v>4851</v>
      </c>
      <c r="G634" s="7" t="n">
        <f aca="false">AVERAGE(E630:E634)</f>
        <v>11676.03</v>
      </c>
      <c r="H634" s="7" t="n">
        <f aca="false">AVERAGE(E625:E634)</f>
        <v>11735.74</v>
      </c>
      <c r="I634" s="7" t="n">
        <f aca="false">AVERAGE(E615:E634)</f>
        <v>11746.0455</v>
      </c>
      <c r="J634" s="7" t="n">
        <f aca="false">AVERAGE(E585:E634)</f>
        <v>12224.843</v>
      </c>
      <c r="K634" s="7" t="n">
        <f aca="false">AVERAGE(E535:E634)</f>
        <v>13205.7491</v>
      </c>
      <c r="L634" s="7" t="n">
        <f aca="false">AVERAGE(E435:E634)</f>
        <v>14388.543</v>
      </c>
      <c r="M634" s="7" t="n">
        <f aca="false">I634</f>
        <v>11746.0455</v>
      </c>
      <c r="N634" s="7" t="n">
        <f aca="false">I634+2*STDEV(E615:E634)</f>
        <v>12593.1100186009</v>
      </c>
      <c r="O634" s="7" t="n">
        <f aca="false">I634-2*STDEV(E615:E634)</f>
        <v>10898.9809813991</v>
      </c>
      <c r="P634" s="7" t="n">
        <f aca="false">MAX(E634-E633,0)</f>
        <v>72.6900000000005</v>
      </c>
      <c r="Q634" s="7" t="n">
        <f aca="false">MAX(E633-E634,0)</f>
        <v>0</v>
      </c>
      <c r="R634" s="7" t="n">
        <f aca="false">(R633*13+P634)/14</f>
        <v>100.006834195878</v>
      </c>
      <c r="S634" s="7" t="n">
        <f aca="false">(S633*13+Q634)/14</f>
        <v>105.20213460463</v>
      </c>
      <c r="T634" s="7" t="n">
        <f aca="false">IF(S634=0,100,100-100/(1+R634/S634))</f>
        <v>48.734143921896</v>
      </c>
      <c r="U634" s="7" t="n">
        <f aca="false">E634*2/13+U633*11/13</f>
        <v>11733.8831052925</v>
      </c>
      <c r="V634" s="7" t="n">
        <f aca="false">E634*2/27+V633*25/27</f>
        <v>11904.2738581692</v>
      </c>
      <c r="W634" s="7" t="n">
        <f aca="false">U634-V634</f>
        <v>-170.390752876687</v>
      </c>
      <c r="X634" s="7" t="n">
        <f aca="false">W634*2/10+X633*8/10</f>
        <v>-224.920667114709</v>
      </c>
      <c r="Y634" s="7" t="n">
        <f aca="false">W634-X634</f>
        <v>54.5299142380218</v>
      </c>
      <c r="Z634" s="9" t="s">
        <v>89</v>
      </c>
      <c r="AA634" s="7" t="str">
        <f aca="false">IFERROR(INDEX(02_轉折點45!B:B,MATCH(A634,02_轉折點45!A:A,0)),"")</f>
        <v/>
      </c>
      <c r="AB634" s="7" t="n">
        <f aca="false">COUNTIFS(05_訊號明細!A:A,A634,05_訊號明細!C:C,"TOP")</f>
        <v>0</v>
      </c>
      <c r="AC634" s="7" t="n">
        <f aca="false">COUNTIFS(05_訊號明細!A:A,A634,05_訊號明細!C:C,"BOTTOM")</f>
        <v>0</v>
      </c>
    </row>
    <row r="635" customFormat="false" ht="15" hidden="false" customHeight="false" outlineLevel="0" collapsed="false">
      <c r="A635" s="7" t="s">
        <v>676</v>
      </c>
      <c r="B635" s="7" t="n">
        <v>11913.73</v>
      </c>
      <c r="C635" s="7" t="n">
        <v>12137.71</v>
      </c>
      <c r="D635" s="7" t="n">
        <v>11897.51</v>
      </c>
      <c r="E635" s="7" t="n">
        <v>12109.05</v>
      </c>
      <c r="F635" s="7" t="n">
        <v>4685</v>
      </c>
      <c r="G635" s="7" t="n">
        <f aca="false">AVERAGE(E631:E635)</f>
        <v>11766.188</v>
      </c>
      <c r="H635" s="7" t="n">
        <f aca="false">AVERAGE(E626:E635)</f>
        <v>11793.874</v>
      </c>
      <c r="I635" s="7" t="n">
        <f aca="false">AVERAGE(E616:E635)</f>
        <v>11715.914</v>
      </c>
      <c r="J635" s="7" t="n">
        <f aca="false">AVERAGE(E586:E635)</f>
        <v>12196.3596</v>
      </c>
      <c r="K635" s="7" t="n">
        <f aca="false">AVERAGE(E536:E635)</f>
        <v>13179.7832</v>
      </c>
      <c r="L635" s="7" t="n">
        <f aca="false">AVERAGE(E436:E635)</f>
        <v>14374.0273</v>
      </c>
      <c r="M635" s="7" t="n">
        <f aca="false">I635</f>
        <v>11715.914</v>
      </c>
      <c r="N635" s="7" t="n">
        <f aca="false">I635+2*STDEV(E616:E635)</f>
        <v>12454.2444141643</v>
      </c>
      <c r="O635" s="7" t="n">
        <f aca="false">I635-2*STDEV(E616:E635)</f>
        <v>10977.5835858357</v>
      </c>
      <c r="P635" s="7" t="n">
        <f aca="false">MAX(E635-E634,0)</f>
        <v>256.459999999999</v>
      </c>
      <c r="Q635" s="7" t="n">
        <f aca="false">MAX(E634-E635,0)</f>
        <v>0</v>
      </c>
      <c r="R635" s="7" t="n">
        <f aca="false">(R634*13+P635)/14</f>
        <v>111.182060324744</v>
      </c>
      <c r="S635" s="7" t="n">
        <f aca="false">(S634*13+Q635)/14</f>
        <v>97.6876964185848</v>
      </c>
      <c r="T635" s="7" t="n">
        <f aca="false">IF(S635=0,100,100-100/(1+R635/S635))</f>
        <v>53.2303297798019</v>
      </c>
      <c r="U635" s="7" t="n">
        <f aca="false">E635*2/13+U634*11/13</f>
        <v>11791.6010890936</v>
      </c>
      <c r="V635" s="7" t="n">
        <f aca="false">E635*2/27+V634*25/27</f>
        <v>11919.4424612677</v>
      </c>
      <c r="W635" s="7" t="n">
        <f aca="false">U635-V635</f>
        <v>-127.841372174113</v>
      </c>
      <c r="X635" s="7" t="n">
        <f aca="false">W635*2/10+X634*8/10</f>
        <v>-205.504808126589</v>
      </c>
      <c r="Y635" s="7" t="n">
        <f aca="false">W635-X635</f>
        <v>77.6634359524767</v>
      </c>
      <c r="Z635" s="9" t="s">
        <v>89</v>
      </c>
      <c r="AA635" s="7" t="str">
        <f aca="false">IFERROR(INDEX(02_轉折點45!B:B,MATCH(A635,02_轉折點45!A:A,0)),"")</f>
        <v/>
      </c>
      <c r="AB635" s="7" t="n">
        <f aca="false">COUNTIFS(05_訊號明細!A:A,A635,05_訊號明細!C:C,"TOP")</f>
        <v>0</v>
      </c>
      <c r="AC635" s="7" t="n">
        <f aca="false">COUNTIFS(05_訊號明細!A:A,A635,05_訊號明細!C:C,"BOTTOM")</f>
        <v>0</v>
      </c>
    </row>
    <row r="636" customFormat="false" ht="15" hidden="false" customHeight="false" outlineLevel="0" collapsed="false">
      <c r="A636" s="7" t="s">
        <v>677</v>
      </c>
      <c r="B636" s="7" t="n">
        <v>11977.95</v>
      </c>
      <c r="C636" s="7" t="n">
        <v>12179.32</v>
      </c>
      <c r="D636" s="7" t="n">
        <v>11956.03</v>
      </c>
      <c r="E636" s="7" t="n">
        <v>12125.69</v>
      </c>
      <c r="F636" s="7" t="n">
        <v>4527</v>
      </c>
      <c r="G636" s="7" t="n">
        <f aca="false">AVERAGE(E632:E636)</f>
        <v>11890.582</v>
      </c>
      <c r="H636" s="7" t="n">
        <f aca="false">AVERAGE(E627:E636)</f>
        <v>11836.675</v>
      </c>
      <c r="I636" s="7" t="n">
        <f aca="false">AVERAGE(E617:E636)</f>
        <v>11691.442</v>
      </c>
      <c r="J636" s="7" t="n">
        <f aca="false">AVERAGE(E587:E636)</f>
        <v>12178.6792</v>
      </c>
      <c r="K636" s="7" t="n">
        <f aca="false">AVERAGE(E537:E636)</f>
        <v>13158.5017</v>
      </c>
      <c r="L636" s="7" t="n">
        <f aca="false">AVERAGE(E437:E636)</f>
        <v>14359.5169</v>
      </c>
      <c r="M636" s="7" t="n">
        <f aca="false">I636</f>
        <v>11691.442</v>
      </c>
      <c r="N636" s="7" t="n">
        <f aca="false">I636+2*STDEV(E617:E636)</f>
        <v>12329.9806988429</v>
      </c>
      <c r="O636" s="7" t="n">
        <f aca="false">I636-2*STDEV(E617:E636)</f>
        <v>11052.9033011571</v>
      </c>
      <c r="P636" s="7" t="n">
        <f aca="false">MAX(E636-E635,0)</f>
        <v>16.6400000000012</v>
      </c>
      <c r="Q636" s="7" t="n">
        <f aca="false">MAX(E635-E636,0)</f>
        <v>0</v>
      </c>
      <c r="R636" s="7" t="n">
        <f aca="false">(R635*13+P636)/14</f>
        <v>104.429056015834</v>
      </c>
      <c r="S636" s="7" t="n">
        <f aca="false">(S635*13+Q636)/14</f>
        <v>90.7100038172573</v>
      </c>
      <c r="T636" s="7" t="n">
        <f aca="false">IF(S636=0,100,100-100/(1+R636/S636))</f>
        <v>53.5151989074639</v>
      </c>
      <c r="U636" s="7" t="n">
        <f aca="false">E636*2/13+U635*11/13</f>
        <v>11842.9993830792</v>
      </c>
      <c r="V636" s="7" t="n">
        <f aca="false">E636*2/27+V635*25/27</f>
        <v>11934.7200567294</v>
      </c>
      <c r="W636" s="7" t="n">
        <f aca="false">U636-V636</f>
        <v>-91.7206736501648</v>
      </c>
      <c r="X636" s="7" t="n">
        <f aca="false">W636*2/10+X635*8/10</f>
        <v>-182.747981231304</v>
      </c>
      <c r="Y636" s="7" t="n">
        <f aca="false">W636-X636</f>
        <v>91.0273075811396</v>
      </c>
      <c r="Z636" s="9" t="s">
        <v>89</v>
      </c>
      <c r="AA636" s="7" t="str">
        <f aca="false">IFERROR(INDEX(02_轉折點45!B:B,MATCH(A636,02_轉折點45!A:A,0)),"")</f>
        <v/>
      </c>
      <c r="AB636" s="7" t="n">
        <f aca="false">COUNTIFS(05_訊號明細!A:A,A636,05_訊號明細!C:C,"TOP")</f>
        <v>0</v>
      </c>
      <c r="AC636" s="7" t="n">
        <f aca="false">COUNTIFS(05_訊號明細!A:A,A636,05_訊號明細!C:C,"BOTTOM")</f>
        <v>1</v>
      </c>
    </row>
    <row r="637" customFormat="false" ht="15" hidden="false" customHeight="false" outlineLevel="0" collapsed="false">
      <c r="A637" s="7" t="s">
        <v>678</v>
      </c>
      <c r="B637" s="7" t="n">
        <v>12008.76</v>
      </c>
      <c r="C637" s="7" t="n">
        <v>12026.06</v>
      </c>
      <c r="D637" s="7" t="n">
        <v>11830.89</v>
      </c>
      <c r="E637" s="7" t="n">
        <v>11860.28</v>
      </c>
      <c r="F637" s="7" t="n">
        <v>4363</v>
      </c>
      <c r="G637" s="7" t="n">
        <f aca="false">AVERAGE(E633:E637)</f>
        <v>11945.502</v>
      </c>
      <c r="H637" s="7" t="n">
        <f aca="false">AVERAGE(E628:E637)</f>
        <v>11812.118</v>
      </c>
      <c r="I637" s="7" t="n">
        <f aca="false">AVERAGE(E618:E637)</f>
        <v>11670.967</v>
      </c>
      <c r="J637" s="7" t="n">
        <f aca="false">AVERAGE(E588:E637)</f>
        <v>12155.8176</v>
      </c>
      <c r="K637" s="7" t="n">
        <f aca="false">AVERAGE(E538:E637)</f>
        <v>13134.4186</v>
      </c>
      <c r="L637" s="7" t="n">
        <f aca="false">AVERAGE(E438:E637)</f>
        <v>14342.93575</v>
      </c>
      <c r="M637" s="7" t="n">
        <f aca="false">I637</f>
        <v>11670.967</v>
      </c>
      <c r="N637" s="7" t="n">
        <f aca="false">I637+2*STDEV(E618:E637)</f>
        <v>12255.3915658621</v>
      </c>
      <c r="O637" s="7" t="n">
        <f aca="false">I637-2*STDEV(E618:E637)</f>
        <v>11086.5424341379</v>
      </c>
      <c r="P637" s="7" t="n">
        <f aca="false">MAX(E637-E636,0)</f>
        <v>0</v>
      </c>
      <c r="Q637" s="7" t="n">
        <f aca="false">MAX(E636-E637,0)</f>
        <v>265.41</v>
      </c>
      <c r="R637" s="7" t="n">
        <f aca="false">(R636*13+P637)/14</f>
        <v>96.9698377289883</v>
      </c>
      <c r="S637" s="7" t="n">
        <f aca="false">(S636*13+Q637)/14</f>
        <v>103.188574973167</v>
      </c>
      <c r="T637" s="7" t="n">
        <f aca="false">IF(S637=0,100,100-100/(1+R637/S637))</f>
        <v>48.4465461230868</v>
      </c>
      <c r="U637" s="7" t="n">
        <f aca="false">E637*2/13+U636*11/13</f>
        <v>11845.6579395286</v>
      </c>
      <c r="V637" s="7" t="n">
        <f aca="false">E637*2/27+V636*25/27</f>
        <v>11929.2059784531</v>
      </c>
      <c r="W637" s="7" t="n">
        <f aca="false">U637-V637</f>
        <v>-83.5480389245658</v>
      </c>
      <c r="X637" s="7" t="n">
        <f aca="false">W637*2/10+X636*8/10</f>
        <v>-162.907992769957</v>
      </c>
      <c r="Y637" s="7" t="n">
        <f aca="false">W637-X637</f>
        <v>79.3599538453909</v>
      </c>
      <c r="Z637" s="9" t="s">
        <v>89</v>
      </c>
      <c r="AA637" s="7" t="str">
        <f aca="false">IFERROR(INDEX(02_轉折點45!B:B,MATCH(A637,02_轉折點45!A:A,0)),"")</f>
        <v/>
      </c>
      <c r="AB637" s="7" t="n">
        <f aca="false">COUNTIFS(05_訊號明細!A:A,A637,05_訊號明細!C:C,"TOP")</f>
        <v>0</v>
      </c>
      <c r="AC637" s="7" t="n">
        <f aca="false">COUNTIFS(05_訊號明細!A:A,A637,05_訊號明細!C:C,"BOTTOM")</f>
        <v>0</v>
      </c>
    </row>
    <row r="638" customFormat="false" ht="15" hidden="false" customHeight="false" outlineLevel="0" collapsed="false">
      <c r="A638" s="7" t="s">
        <v>679</v>
      </c>
      <c r="B638" s="7" t="n">
        <v>11926.84</v>
      </c>
      <c r="C638" s="7" t="n">
        <v>11990.44</v>
      </c>
      <c r="D638" s="7" t="n">
        <v>11684.02</v>
      </c>
      <c r="E638" s="7" t="n">
        <v>11744.99</v>
      </c>
      <c r="F638" s="7" t="n">
        <v>4318</v>
      </c>
      <c r="G638" s="7" t="n">
        <f aca="false">AVERAGE(E634:E638)</f>
        <v>11938.52</v>
      </c>
      <c r="H638" s="7" t="n">
        <f aca="false">AVERAGE(E629:E638)</f>
        <v>11785.793</v>
      </c>
      <c r="I638" s="7" t="n">
        <f aca="false">AVERAGE(E619:E638)</f>
        <v>11666.5755</v>
      </c>
      <c r="J638" s="7" t="n">
        <f aca="false">AVERAGE(E589:E638)</f>
        <v>12121.5962</v>
      </c>
      <c r="K638" s="7" t="n">
        <f aca="false">AVERAGE(E539:E638)</f>
        <v>13105.6603</v>
      </c>
      <c r="L638" s="7" t="n">
        <f aca="false">AVERAGE(E439:E638)</f>
        <v>14325.0778</v>
      </c>
      <c r="M638" s="7" t="n">
        <f aca="false">I638</f>
        <v>11666.5755</v>
      </c>
      <c r="N638" s="7" t="n">
        <f aca="false">I638+2*STDEV(E619:E638)</f>
        <v>12247.1867302148</v>
      </c>
      <c r="O638" s="7" t="n">
        <f aca="false">I638-2*STDEV(E619:E638)</f>
        <v>11085.9642697852</v>
      </c>
      <c r="P638" s="7" t="n">
        <f aca="false">MAX(E638-E637,0)</f>
        <v>0</v>
      </c>
      <c r="Q638" s="7" t="n">
        <f aca="false">MAX(E637-E638,0)</f>
        <v>115.290000000001</v>
      </c>
      <c r="R638" s="7" t="n">
        <f aca="false">(R637*13+P638)/14</f>
        <v>90.0434207483463</v>
      </c>
      <c r="S638" s="7" t="n">
        <f aca="false">(S637*13+Q638)/14</f>
        <v>104.052962475084</v>
      </c>
      <c r="T638" s="7" t="n">
        <f aca="false">IF(S638=0,100,100-100/(1+R638/S638))</f>
        <v>46.391086352544</v>
      </c>
      <c r="U638" s="7" t="n">
        <f aca="false">E638*2/13+U637*11/13</f>
        <v>11830.1705642165</v>
      </c>
      <c r="V638" s="7" t="n">
        <f aca="false">E638*2/27+V637*25/27</f>
        <v>11915.5603504196</v>
      </c>
      <c r="W638" s="7" t="n">
        <f aca="false">U638-V638</f>
        <v>-85.3897862030899</v>
      </c>
      <c r="X638" s="7" t="n">
        <f aca="false">W638*2/10+X637*8/10</f>
        <v>-147.404351456583</v>
      </c>
      <c r="Y638" s="7" t="n">
        <f aca="false">W638-X638</f>
        <v>62.0145652534935</v>
      </c>
      <c r="Z638" s="9" t="s">
        <v>89</v>
      </c>
      <c r="AA638" s="7" t="str">
        <f aca="false">IFERROR(INDEX(02_轉折點45!B:B,MATCH(A638,02_轉折點45!A:A,0)),"")</f>
        <v/>
      </c>
      <c r="AB638" s="7" t="n">
        <f aca="false">COUNTIFS(05_訊號明細!A:A,A638,05_訊號明細!C:C,"TOP")</f>
        <v>0</v>
      </c>
      <c r="AC638" s="7" t="n">
        <f aca="false">COUNTIFS(05_訊號明細!A:A,A638,05_訊號明細!C:C,"BOTTOM")</f>
        <v>0</v>
      </c>
    </row>
    <row r="639" customFormat="false" ht="15" hidden="false" customHeight="false" outlineLevel="0" collapsed="false">
      <c r="A639" s="7" t="s">
        <v>680</v>
      </c>
      <c r="B639" s="7" t="n">
        <v>11523.91</v>
      </c>
      <c r="C639" s="7" t="n">
        <v>11819.69</v>
      </c>
      <c r="D639" s="7" t="n">
        <v>11498.96</v>
      </c>
      <c r="E639" s="7" t="n">
        <v>11728.53</v>
      </c>
      <c r="F639" s="7" t="n">
        <v>4433</v>
      </c>
      <c r="G639" s="7" t="n">
        <f aca="false">AVERAGE(E635:E639)</f>
        <v>11913.708</v>
      </c>
      <c r="H639" s="7" t="n">
        <f aca="false">AVERAGE(E630:E639)</f>
        <v>11794.869</v>
      </c>
      <c r="I639" s="7" t="n">
        <f aca="false">AVERAGE(E620:E639)</f>
        <v>11688.586</v>
      </c>
      <c r="J639" s="7" t="n">
        <f aca="false">AVERAGE(E590:E639)</f>
        <v>12099.0708</v>
      </c>
      <c r="K639" s="7" t="n">
        <f aca="false">AVERAGE(E540:E639)</f>
        <v>13076.9092</v>
      </c>
      <c r="L639" s="7" t="n">
        <f aca="false">AVERAGE(E440:E639)</f>
        <v>14307.07205</v>
      </c>
      <c r="M639" s="7" t="n">
        <f aca="false">I639</f>
        <v>11688.586</v>
      </c>
      <c r="N639" s="7" t="n">
        <f aca="false">I639+2*STDEV(E620:E639)</f>
        <v>12241.5381817491</v>
      </c>
      <c r="O639" s="7" t="n">
        <f aca="false">I639-2*STDEV(E620:E639)</f>
        <v>11135.6338182509</v>
      </c>
      <c r="P639" s="7" t="n">
        <f aca="false">MAX(E639-E638,0)</f>
        <v>0</v>
      </c>
      <c r="Q639" s="7" t="n">
        <f aca="false">MAX(E638-E639,0)</f>
        <v>16.4599999999991</v>
      </c>
      <c r="R639" s="7" t="n">
        <f aca="false">(R638*13+P639)/14</f>
        <v>83.6117478377501</v>
      </c>
      <c r="S639" s="7" t="n">
        <f aca="false">(S638*13+Q639)/14</f>
        <v>97.7963222982923</v>
      </c>
      <c r="T639" s="7" t="n">
        <f aca="false">IF(S639=0,100,100-100/(1+R639/S639))</f>
        <v>46.0904235269399</v>
      </c>
      <c r="U639" s="7" t="n">
        <f aca="false">E639*2/13+U638*11/13</f>
        <v>11814.533554337</v>
      </c>
      <c r="V639" s="7" t="n">
        <f aca="false">E639*2/27+V638*25/27</f>
        <v>11901.7062503885</v>
      </c>
      <c r="W639" s="7" t="n">
        <f aca="false">U639-V639</f>
        <v>-87.1726960514679</v>
      </c>
      <c r="X639" s="7" t="n">
        <f aca="false">W639*2/10+X638*8/10</f>
        <v>-135.35802037556</v>
      </c>
      <c r="Y639" s="7" t="n">
        <f aca="false">W639-X639</f>
        <v>48.1853243240924</v>
      </c>
      <c r="Z639" s="9" t="s">
        <v>89</v>
      </c>
      <c r="AA639" s="7" t="str">
        <f aca="false">IFERROR(INDEX(02_轉折點45!B:B,MATCH(A639,02_轉折點45!A:A,0)),"")</f>
        <v/>
      </c>
      <c r="AB639" s="7" t="n">
        <f aca="false">COUNTIFS(05_訊號明細!A:A,A639,05_訊號明細!C:C,"TOP")</f>
        <v>0</v>
      </c>
      <c r="AC639" s="7" t="n">
        <f aca="false">COUNTIFS(05_訊號明細!A:A,A639,05_訊號明細!C:C,"BOTTOM")</f>
        <v>0</v>
      </c>
    </row>
    <row r="640" customFormat="false" ht="15" hidden="false" customHeight="false" outlineLevel="0" collapsed="false">
      <c r="A640" s="7" t="s">
        <v>681</v>
      </c>
      <c r="B640" s="7" t="n">
        <v>11637.18</v>
      </c>
      <c r="C640" s="7" t="n">
        <v>11801.11</v>
      </c>
      <c r="D640" s="7" t="n">
        <v>11488.27</v>
      </c>
      <c r="E640" s="7" t="n">
        <v>11768.4</v>
      </c>
      <c r="F640" s="7" t="n">
        <v>4481</v>
      </c>
      <c r="G640" s="7" t="n">
        <f aca="false">AVERAGE(E636:E640)</f>
        <v>11845.578</v>
      </c>
      <c r="H640" s="7" t="n">
        <f aca="false">AVERAGE(E631:E640)</f>
        <v>11805.883</v>
      </c>
      <c r="I640" s="7" t="n">
        <f aca="false">AVERAGE(E621:E640)</f>
        <v>11711.4215</v>
      </c>
      <c r="J640" s="7" t="n">
        <f aca="false">AVERAGE(E591:E640)</f>
        <v>12072.9218</v>
      </c>
      <c r="K640" s="7" t="n">
        <f aca="false">AVERAGE(E541:E640)</f>
        <v>13052.8758</v>
      </c>
      <c r="L640" s="7" t="n">
        <f aca="false">AVERAGE(E441:E640)</f>
        <v>14289.88995</v>
      </c>
      <c r="M640" s="7" t="n">
        <f aca="false">I640</f>
        <v>11711.4215</v>
      </c>
      <c r="N640" s="7" t="n">
        <f aca="false">I640+2*STDEV(E621:E640)</f>
        <v>12235.8223162214</v>
      </c>
      <c r="O640" s="7" t="n">
        <f aca="false">I640-2*STDEV(E621:E640)</f>
        <v>11187.0206837786</v>
      </c>
      <c r="P640" s="7" t="n">
        <f aca="false">MAX(E640-E639,0)</f>
        <v>39.869999999999</v>
      </c>
      <c r="Q640" s="7" t="n">
        <f aca="false">MAX(E639-E640,0)</f>
        <v>0</v>
      </c>
      <c r="R640" s="7" t="n">
        <f aca="false">(R639*13+P640)/14</f>
        <v>80.4873372779108</v>
      </c>
      <c r="S640" s="7" t="n">
        <f aca="false">(S639*13+Q640)/14</f>
        <v>90.8108707055572</v>
      </c>
      <c r="T640" s="7" t="n">
        <f aca="false">IF(S640=0,100,100-100/(1+R640/S640))</f>
        <v>46.9866779258302</v>
      </c>
      <c r="U640" s="7" t="n">
        <f aca="false">E640*2/13+U639*11/13</f>
        <v>11807.436084439</v>
      </c>
      <c r="V640" s="7" t="n">
        <f aca="false">E640*2/27+V639*25/27</f>
        <v>11891.8317133227</v>
      </c>
      <c r="W640" s="7" t="n">
        <f aca="false">U640-V640</f>
        <v>-84.395628883658</v>
      </c>
      <c r="X640" s="7" t="n">
        <f aca="false">W640*2/10+X639*8/10</f>
        <v>-125.16554207718</v>
      </c>
      <c r="Y640" s="7" t="n">
        <f aca="false">W640-X640</f>
        <v>40.7699131935218</v>
      </c>
      <c r="Z640" s="9" t="s">
        <v>89</v>
      </c>
      <c r="AA640" s="7" t="str">
        <f aca="false">IFERROR(INDEX(02_轉折點45!B:B,MATCH(A640,02_轉折點45!A:A,0)),"")</f>
        <v/>
      </c>
      <c r="AB640" s="7" t="n">
        <f aca="false">COUNTIFS(05_訊號明細!A:A,A640,05_訊號明細!C:C,"TOP")</f>
        <v>0</v>
      </c>
      <c r="AC640" s="7" t="n">
        <f aca="false">COUNTIFS(05_訊號明細!A:A,A640,05_訊號明細!C:C,"BOTTOM")</f>
        <v>0</v>
      </c>
    </row>
    <row r="641" customFormat="false" ht="15" hidden="false" customHeight="false" outlineLevel="0" collapsed="false">
      <c r="A641" s="7" t="s">
        <v>682</v>
      </c>
      <c r="B641" s="7" t="n">
        <v>11896.15</v>
      </c>
      <c r="C641" s="7" t="n">
        <v>11987.52</v>
      </c>
      <c r="D641" s="7" t="n">
        <v>11828.13</v>
      </c>
      <c r="E641" s="7" t="n">
        <v>11983.62</v>
      </c>
      <c r="F641" s="7" t="n">
        <v>4369</v>
      </c>
      <c r="G641" s="7" t="n">
        <f aca="false">AVERAGE(E637:E641)</f>
        <v>11817.164</v>
      </c>
      <c r="H641" s="7" t="n">
        <f aca="false">AVERAGE(E632:E641)</f>
        <v>11853.873</v>
      </c>
      <c r="I641" s="7" t="n">
        <f aca="false">AVERAGE(E622:E641)</f>
        <v>11730.914</v>
      </c>
      <c r="J641" s="7" t="n">
        <f aca="false">AVERAGE(E592:E641)</f>
        <v>12050.7962</v>
      </c>
      <c r="K641" s="7" t="n">
        <f aca="false">AVERAGE(E542:E641)</f>
        <v>13032.6166</v>
      </c>
      <c r="L641" s="7" t="n">
        <f aca="false">AVERAGE(E442:E641)</f>
        <v>14275.95655</v>
      </c>
      <c r="M641" s="7" t="n">
        <f aca="false">I641</f>
        <v>11730.914</v>
      </c>
      <c r="N641" s="7" t="n">
        <f aca="false">I641+2*STDEV(E622:E641)</f>
        <v>12265.7790637665</v>
      </c>
      <c r="O641" s="7" t="n">
        <f aca="false">I641-2*STDEV(E622:E641)</f>
        <v>11196.0489362335</v>
      </c>
      <c r="P641" s="7" t="n">
        <f aca="false">MAX(E641-E640,0)</f>
        <v>215.220000000001</v>
      </c>
      <c r="Q641" s="7" t="n">
        <f aca="false">MAX(E640-E641,0)</f>
        <v>0</v>
      </c>
      <c r="R641" s="7" t="n">
        <f aca="false">(R640*13+P641)/14</f>
        <v>90.1110989009172</v>
      </c>
      <c r="S641" s="7" t="n">
        <f aca="false">(S640*13+Q641)/14</f>
        <v>84.3243799408745</v>
      </c>
      <c r="T641" s="7" t="n">
        <f aca="false">IF(S641=0,100,100-100/(1+R641/S641))</f>
        <v>51.6586989637845</v>
      </c>
      <c r="U641" s="7" t="n">
        <f aca="false">E641*2/13+U640*11/13</f>
        <v>11834.5413022176</v>
      </c>
      <c r="V641" s="7" t="n">
        <f aca="false">E641*2/27+V640*25/27</f>
        <v>11898.6308456692</v>
      </c>
      <c r="W641" s="7" t="n">
        <f aca="false">U641-V641</f>
        <v>-64.0895434515151</v>
      </c>
      <c r="X641" s="7" t="n">
        <f aca="false">W641*2/10+X640*8/10</f>
        <v>-112.950342352047</v>
      </c>
      <c r="Y641" s="7" t="n">
        <f aca="false">W641-X641</f>
        <v>48.8607989005318</v>
      </c>
      <c r="Z641" s="9" t="s">
        <v>89</v>
      </c>
      <c r="AA641" s="7" t="str">
        <f aca="false">IFERROR(INDEX(02_轉折點45!B:B,MATCH(A641,02_轉折點45!A:A,0)),"")</f>
        <v/>
      </c>
      <c r="AB641" s="7" t="n">
        <f aca="false">COUNTIFS(05_訊號明細!A:A,A641,05_訊號明細!C:C,"TOP")</f>
        <v>0</v>
      </c>
      <c r="AC641" s="7" t="n">
        <f aca="false">COUNTIFS(05_訊號明細!A:A,A641,05_訊號明細!C:C,"BOTTOM")</f>
        <v>0</v>
      </c>
    </row>
    <row r="642" customFormat="false" ht="15" hidden="false" customHeight="false" outlineLevel="0" collapsed="false">
      <c r="A642" s="7" t="s">
        <v>683</v>
      </c>
      <c r="B642" s="7" t="n">
        <v>12089.68</v>
      </c>
      <c r="C642" s="7" t="n">
        <v>12156.09</v>
      </c>
      <c r="D642" s="7" t="n">
        <v>11836.52</v>
      </c>
      <c r="E642" s="7" t="n">
        <v>11877.5</v>
      </c>
      <c r="F642" s="7" t="n">
        <v>5058</v>
      </c>
      <c r="G642" s="7" t="n">
        <f aca="false">AVERAGE(E638:E642)</f>
        <v>11820.608</v>
      </c>
      <c r="H642" s="7" t="n">
        <f aca="false">AVERAGE(E633:E642)</f>
        <v>11883.055</v>
      </c>
      <c r="I642" s="7" t="n">
        <f aca="false">AVERAGE(E623:E642)</f>
        <v>11768.4105</v>
      </c>
      <c r="J642" s="7" t="n">
        <f aca="false">AVERAGE(E593:E642)</f>
        <v>12017.632</v>
      </c>
      <c r="K642" s="7" t="n">
        <f aca="false">AVERAGE(E543:E642)</f>
        <v>13012.6863</v>
      </c>
      <c r="L642" s="7" t="n">
        <f aca="false">AVERAGE(E443:E642)</f>
        <v>14261.5796</v>
      </c>
      <c r="M642" s="7" t="n">
        <f aca="false">I642</f>
        <v>11768.4105</v>
      </c>
      <c r="N642" s="7" t="n">
        <f aca="false">I642+2*STDEV(E623:E642)</f>
        <v>12224.5330010651</v>
      </c>
      <c r="O642" s="7" t="n">
        <f aca="false">I642-2*STDEV(E623:E642)</f>
        <v>11312.2879989349</v>
      </c>
      <c r="P642" s="7" t="n">
        <f aca="false">MAX(E642-E641,0)</f>
        <v>0</v>
      </c>
      <c r="Q642" s="7" t="n">
        <f aca="false">MAX(E641-E642,0)</f>
        <v>106.120000000001</v>
      </c>
      <c r="R642" s="7" t="n">
        <f aca="false">(R641*13+P642)/14</f>
        <v>83.674591836566</v>
      </c>
      <c r="S642" s="7" t="n">
        <f aca="false">(S641*13+Q642)/14</f>
        <v>85.8812099450978</v>
      </c>
      <c r="T642" s="7" t="n">
        <f aca="false">IF(S642=0,100,100-100/(1+R642/S642))</f>
        <v>49.3492944253912</v>
      </c>
      <c r="U642" s="7" t="n">
        <f aca="false">E642*2/13+U641*11/13</f>
        <v>11841.1503326457</v>
      </c>
      <c r="V642" s="7" t="n">
        <f aca="false">E642*2/27+V641*25/27</f>
        <v>11897.0655978418</v>
      </c>
      <c r="W642" s="7" t="n">
        <f aca="false">U642-V642</f>
        <v>-55.9152651961158</v>
      </c>
      <c r="X642" s="7" t="n">
        <f aca="false">W642*2/10+X641*8/10</f>
        <v>-101.543326920861</v>
      </c>
      <c r="Y642" s="7" t="n">
        <f aca="false">W642-X642</f>
        <v>45.6280617247449</v>
      </c>
      <c r="Z642" s="9" t="s">
        <v>89</v>
      </c>
      <c r="AA642" s="7" t="str">
        <f aca="false">IFERROR(INDEX(02_轉折點45!B:B,MATCH(A642,02_轉折點45!A:A,0)),"")</f>
        <v/>
      </c>
      <c r="AB642" s="7" t="n">
        <f aca="false">COUNTIFS(05_訊號明細!A:A,A642,05_訊號明細!C:C,"TOP")</f>
        <v>0</v>
      </c>
      <c r="AC642" s="7" t="n">
        <f aca="false">COUNTIFS(05_訊號明細!A:A,A642,05_訊號明細!C:C,"BOTTOM")</f>
        <v>0</v>
      </c>
    </row>
    <row r="643" customFormat="false" ht="15" hidden="false" customHeight="false" outlineLevel="0" collapsed="false">
      <c r="A643" s="7" t="s">
        <v>684</v>
      </c>
      <c r="B643" s="7" t="n">
        <v>12046.69</v>
      </c>
      <c r="C643" s="7" t="n">
        <v>12258.37</v>
      </c>
      <c r="D643" s="7" t="n">
        <v>11967.92</v>
      </c>
      <c r="E643" s="7" t="n">
        <v>12249.42</v>
      </c>
      <c r="F643" s="7" t="n">
        <v>5303</v>
      </c>
      <c r="G643" s="7" t="n">
        <f aca="false">AVERAGE(E639:E643)</f>
        <v>11921.494</v>
      </c>
      <c r="H643" s="7" t="n">
        <f aca="false">AVERAGE(E634:E643)</f>
        <v>11930.007</v>
      </c>
      <c r="I643" s="7" t="n">
        <f aca="false">AVERAGE(E624:E643)</f>
        <v>11817.582</v>
      </c>
      <c r="J643" s="7" t="n">
        <f aca="false">AVERAGE(E594:E643)</f>
        <v>12005.6094</v>
      </c>
      <c r="K643" s="7" t="n">
        <f aca="false">AVERAGE(E544:E643)</f>
        <v>13000.0862</v>
      </c>
      <c r="L643" s="7" t="n">
        <f aca="false">AVERAGE(E444:E643)</f>
        <v>14249.3786</v>
      </c>
      <c r="M643" s="7" t="n">
        <f aca="false">I643</f>
        <v>11817.582</v>
      </c>
      <c r="N643" s="7" t="n">
        <f aca="false">I643+2*STDEV(E624:E643)</f>
        <v>12257.3938731601</v>
      </c>
      <c r="O643" s="7" t="n">
        <f aca="false">I643-2*STDEV(E624:E643)</f>
        <v>11377.7701268399</v>
      </c>
      <c r="P643" s="7" t="n">
        <f aca="false">MAX(E643-E642,0)</f>
        <v>371.92</v>
      </c>
      <c r="Q643" s="7" t="n">
        <f aca="false">MAX(E642-E643,0)</f>
        <v>0</v>
      </c>
      <c r="R643" s="7" t="n">
        <f aca="false">(R642*13+P643)/14</f>
        <v>104.263549562526</v>
      </c>
      <c r="S643" s="7" t="n">
        <f aca="false">(S642*13+Q643)/14</f>
        <v>79.7468378061623</v>
      </c>
      <c r="T643" s="7" t="n">
        <f aca="false">IF(S643=0,100,100-100/(1+R643/S643))</f>
        <v>56.6617738560707</v>
      </c>
      <c r="U643" s="7" t="n">
        <f aca="false">E643*2/13+U642*11/13</f>
        <v>11903.9610507002</v>
      </c>
      <c r="V643" s="7" t="n">
        <f aca="false">E643*2/27+V642*25/27</f>
        <v>11923.1659239276</v>
      </c>
      <c r="W643" s="7" t="n">
        <f aca="false">U643-V643</f>
        <v>-19.2048732273961</v>
      </c>
      <c r="X643" s="7" t="n">
        <f aca="false">W643*2/10+X642*8/10</f>
        <v>-85.0756361821678</v>
      </c>
      <c r="Y643" s="7" t="n">
        <f aca="false">W643-X643</f>
        <v>65.8707629547717</v>
      </c>
      <c r="Z643" s="9" t="s">
        <v>89</v>
      </c>
      <c r="AA643" s="7" t="str">
        <f aca="false">IFERROR(INDEX(02_轉折點45!B:B,MATCH(A643,02_轉折點45!A:A,0)),"")</f>
        <v/>
      </c>
      <c r="AB643" s="7" t="n">
        <f aca="false">COUNTIFS(05_訊號明細!A:A,A643,05_訊號明細!C:C,"TOP")</f>
        <v>0</v>
      </c>
      <c r="AC643" s="7" t="n">
        <f aca="false">COUNTIFS(05_訊號明細!A:A,A643,05_訊號明細!C:C,"BOTTOM")</f>
        <v>0</v>
      </c>
    </row>
    <row r="644" customFormat="false" ht="15" hidden="false" customHeight="false" outlineLevel="0" collapsed="false">
      <c r="A644" s="7" t="s">
        <v>685</v>
      </c>
      <c r="B644" s="7" t="n">
        <v>12269.07</v>
      </c>
      <c r="C644" s="7" t="n">
        <v>12488.39</v>
      </c>
      <c r="D644" s="7" t="n">
        <v>12232.2</v>
      </c>
      <c r="E644" s="7" t="n">
        <v>12439.68</v>
      </c>
      <c r="F644" s="7" t="n">
        <v>5467</v>
      </c>
      <c r="G644" s="7" t="n">
        <f aca="false">AVERAGE(E640:E644)</f>
        <v>12063.724</v>
      </c>
      <c r="H644" s="7" t="n">
        <f aca="false">AVERAGE(E635:E644)</f>
        <v>11988.716</v>
      </c>
      <c r="I644" s="7" t="n">
        <f aca="false">AVERAGE(E625:E644)</f>
        <v>11862.228</v>
      </c>
      <c r="J644" s="7" t="n">
        <f aca="false">AVERAGE(E595:E644)</f>
        <v>12000.5324</v>
      </c>
      <c r="K644" s="7" t="n">
        <f aca="false">AVERAGE(E545:E644)</f>
        <v>12984.7363</v>
      </c>
      <c r="L644" s="7" t="n">
        <f aca="false">AVERAGE(E445:E644)</f>
        <v>14237.61765</v>
      </c>
      <c r="M644" s="7" t="n">
        <f aca="false">I644</f>
        <v>11862.228</v>
      </c>
      <c r="N644" s="7" t="n">
        <f aca="false">I644+2*STDEV(E625:E644)</f>
        <v>12363.3026047026</v>
      </c>
      <c r="O644" s="7" t="n">
        <f aca="false">I644-2*STDEV(E625:E644)</f>
        <v>11361.1533952974</v>
      </c>
      <c r="P644" s="7" t="n">
        <f aca="false">MAX(E644-E643,0)</f>
        <v>190.26</v>
      </c>
      <c r="Q644" s="7" t="n">
        <f aca="false">MAX(E643-E644,0)</f>
        <v>0</v>
      </c>
      <c r="R644" s="7" t="n">
        <f aca="false">(R643*13+P644)/14</f>
        <v>110.406153165202</v>
      </c>
      <c r="S644" s="7" t="n">
        <f aca="false">(S643*13+Q644)/14</f>
        <v>74.0506351057221</v>
      </c>
      <c r="T644" s="7" t="n">
        <f aca="false">IF(S644=0,100,100-100/(1+R644/S644))</f>
        <v>59.8547519991735</v>
      </c>
      <c r="U644" s="7" t="n">
        <f aca="false">E644*2/13+U643*11/13</f>
        <v>11986.3793505925</v>
      </c>
      <c r="V644" s="7" t="n">
        <f aca="false">E644*2/27+V643*25/27</f>
        <v>11961.4262258589</v>
      </c>
      <c r="W644" s="7" t="n">
        <f aca="false">U644-V644</f>
        <v>24.9531247335908</v>
      </c>
      <c r="X644" s="7" t="n">
        <f aca="false">W644*2/10+X643*8/10</f>
        <v>-63.069883999016</v>
      </c>
      <c r="Y644" s="7" t="n">
        <f aca="false">W644-X644</f>
        <v>88.0230087326069</v>
      </c>
      <c r="Z644" s="9" t="s">
        <v>89</v>
      </c>
      <c r="AA644" s="7" t="str">
        <f aca="false">IFERROR(INDEX(02_轉折點45!B:B,MATCH(A644,02_轉折點45!A:A,0)),"")</f>
        <v/>
      </c>
      <c r="AB644" s="7" t="n">
        <f aca="false">COUNTIFS(05_訊號明細!A:A,A644,05_訊號明細!C:C,"TOP")</f>
        <v>0</v>
      </c>
      <c r="AC644" s="7" t="n">
        <f aca="false">COUNTIFS(05_訊號明細!A:A,A644,05_訊號明細!C:C,"BOTTOM")</f>
        <v>1</v>
      </c>
    </row>
    <row r="645" customFormat="false" ht="15" hidden="false" customHeight="false" outlineLevel="0" collapsed="false">
      <c r="A645" s="7" t="s">
        <v>686</v>
      </c>
      <c r="B645" s="7" t="n">
        <v>12466.13</v>
      </c>
      <c r="C645" s="7" t="n">
        <v>12620.5</v>
      </c>
      <c r="D645" s="7" t="n">
        <v>12351.42</v>
      </c>
      <c r="E645" s="7" t="n">
        <v>12619.41</v>
      </c>
      <c r="F645" s="7" t="n">
        <v>4681</v>
      </c>
      <c r="G645" s="7" t="n">
        <f aca="false">AVERAGE(E641:E645)</f>
        <v>12233.926</v>
      </c>
      <c r="H645" s="7" t="n">
        <f aca="false">AVERAGE(E636:E645)</f>
        <v>12039.752</v>
      </c>
      <c r="I645" s="7" t="n">
        <f aca="false">AVERAGE(E626:E645)</f>
        <v>11916.813</v>
      </c>
      <c r="J645" s="7" t="n">
        <f aca="false">AVERAGE(E596:E645)</f>
        <v>12009.1662</v>
      </c>
      <c r="K645" s="7" t="n">
        <f aca="false">AVERAGE(E546:E645)</f>
        <v>12969.0388</v>
      </c>
      <c r="L645" s="7" t="n">
        <f aca="false">AVERAGE(E446:E645)</f>
        <v>14228.3541</v>
      </c>
      <c r="M645" s="7" t="n">
        <f aca="false">I645</f>
        <v>11916.813</v>
      </c>
      <c r="N645" s="7" t="n">
        <f aca="false">I645+2*STDEV(E626:E645)</f>
        <v>12496.1850197121</v>
      </c>
      <c r="O645" s="7" t="n">
        <f aca="false">I645-2*STDEV(E626:E645)</f>
        <v>11337.4409802879</v>
      </c>
      <c r="P645" s="7" t="n">
        <f aca="false">MAX(E645-E644,0)</f>
        <v>179.73</v>
      </c>
      <c r="Q645" s="7" t="n">
        <f aca="false">MAX(E644-E645,0)</f>
        <v>0</v>
      </c>
      <c r="R645" s="7" t="n">
        <f aca="false">(R644*13+P645)/14</f>
        <v>115.357856510545</v>
      </c>
      <c r="S645" s="7" t="n">
        <f aca="false">(S644*13+Q645)/14</f>
        <v>68.7613040267419</v>
      </c>
      <c r="T645" s="7" t="n">
        <f aca="false">IF(S645=0,100,100-100/(1+R645/S645))</f>
        <v>62.6539118329204</v>
      </c>
      <c r="U645" s="7" t="n">
        <f aca="false">E645*2/13+U644*11/13</f>
        <v>12083.7686812706</v>
      </c>
      <c r="V645" s="7" t="n">
        <f aca="false">E645*2/27+V644*25/27</f>
        <v>12010.1657646842</v>
      </c>
      <c r="W645" s="7" t="n">
        <f aca="false">U645-V645</f>
        <v>73.6029165864038</v>
      </c>
      <c r="X645" s="7" t="n">
        <f aca="false">W645*2/10+X644*8/10</f>
        <v>-35.7353238819321</v>
      </c>
      <c r="Y645" s="7" t="n">
        <f aca="false">W645-X645</f>
        <v>109.338240468336</v>
      </c>
      <c r="Z645" s="9" t="s">
        <v>89</v>
      </c>
      <c r="AA645" s="7" t="str">
        <f aca="false">IFERROR(INDEX(02_轉折點45!B:B,MATCH(A645,02_轉折點45!A:A,0)),"")</f>
        <v/>
      </c>
      <c r="AB645" s="7" t="n">
        <f aca="false">COUNTIFS(05_訊號明細!A:A,A645,05_訊號明細!C:C,"TOP")</f>
        <v>0</v>
      </c>
      <c r="AC645" s="7" t="n">
        <f aca="false">COUNTIFS(05_訊號明細!A:A,A645,05_訊號明細!C:C,"BOTTOM")</f>
        <v>0</v>
      </c>
    </row>
    <row r="646" customFormat="false" ht="15" hidden="false" customHeight="false" outlineLevel="0" collapsed="false">
      <c r="A646" s="7" t="s">
        <v>687</v>
      </c>
      <c r="B646" s="7" t="n">
        <v>12575.76</v>
      </c>
      <c r="C646" s="7" t="n">
        <v>12662.86</v>
      </c>
      <c r="D646" s="7" t="n">
        <v>12322.82</v>
      </c>
      <c r="E646" s="7" t="n">
        <v>12396.47</v>
      </c>
      <c r="F646" s="7" t="n">
        <v>4722</v>
      </c>
      <c r="G646" s="7" t="n">
        <f aca="false">AVERAGE(E642:E646)</f>
        <v>12316.496</v>
      </c>
      <c r="H646" s="7" t="n">
        <f aca="false">AVERAGE(E637:E646)</f>
        <v>12066.83</v>
      </c>
      <c r="I646" s="7" t="n">
        <f aca="false">AVERAGE(E627:E646)</f>
        <v>11951.7525</v>
      </c>
      <c r="J646" s="7" t="n">
        <f aca="false">AVERAGE(E597:E646)</f>
        <v>12010.1784</v>
      </c>
      <c r="K646" s="7" t="n">
        <f aca="false">AVERAGE(E547:E646)</f>
        <v>12950.6254</v>
      </c>
      <c r="L646" s="7" t="n">
        <f aca="false">AVERAGE(E447:E646)</f>
        <v>14216.9657</v>
      </c>
      <c r="M646" s="7" t="n">
        <f aca="false">I646</f>
        <v>11951.7525</v>
      </c>
      <c r="N646" s="7" t="n">
        <f aca="false">I646+2*STDEV(E627:E646)</f>
        <v>12559.0897243828</v>
      </c>
      <c r="O646" s="7" t="n">
        <f aca="false">I646-2*STDEV(E627:E646)</f>
        <v>11344.4152756172</v>
      </c>
      <c r="P646" s="7" t="n">
        <f aca="false">MAX(E646-E645,0)</f>
        <v>0</v>
      </c>
      <c r="Q646" s="7" t="n">
        <f aca="false">MAX(E645-E646,0)</f>
        <v>222.940000000001</v>
      </c>
      <c r="R646" s="7" t="n">
        <f aca="false">(R645*13+P646)/14</f>
        <v>107.118009616935</v>
      </c>
      <c r="S646" s="7" t="n">
        <f aca="false">(S645*13+Q646)/14</f>
        <v>79.7740680248319</v>
      </c>
      <c r="T646" s="7" t="n">
        <f aca="false">IF(S646=0,100,100-100/(1+R646/S646))</f>
        <v>57.3154362499291</v>
      </c>
      <c r="U646" s="7" t="n">
        <f aca="false">E646*2/13+U645*11/13</f>
        <v>12131.8765764597</v>
      </c>
      <c r="V646" s="7" t="n">
        <f aca="false">E646*2/27+V645*25/27</f>
        <v>12038.7808932261</v>
      </c>
      <c r="W646" s="7" t="n">
        <f aca="false">U646-V646</f>
        <v>93.0956832336324</v>
      </c>
      <c r="X646" s="7" t="n">
        <f aca="false">W646*2/10+X645*8/10</f>
        <v>-9.96912245881918</v>
      </c>
      <c r="Y646" s="7" t="n">
        <f aca="false">W646-X646</f>
        <v>103.064805692452</v>
      </c>
      <c r="Z646" s="9" t="s">
        <v>89</v>
      </c>
      <c r="AA646" s="7" t="str">
        <f aca="false">IFERROR(INDEX(02_轉折點45!B:B,MATCH(A646,02_轉折點45!A:A,0)),"")</f>
        <v/>
      </c>
      <c r="AB646" s="7" t="n">
        <f aca="false">COUNTIFS(05_訊號明細!A:A,A646,05_訊號明細!C:C,"TOP")</f>
        <v>0</v>
      </c>
      <c r="AC646" s="7" t="n">
        <f aca="false">COUNTIFS(05_訊號明細!A:A,A646,05_訊號明細!C:C,"BOTTOM")</f>
        <v>1</v>
      </c>
    </row>
    <row r="647" customFormat="false" ht="15" hidden="false" customHeight="false" outlineLevel="0" collapsed="false">
      <c r="A647" s="7" t="s">
        <v>688</v>
      </c>
      <c r="B647" s="7" t="n">
        <v>12391.21</v>
      </c>
      <c r="C647" s="7" t="n">
        <v>12415.59</v>
      </c>
      <c r="D647" s="7" t="n">
        <v>12244.4</v>
      </c>
      <c r="E647" s="7" t="n">
        <v>12328.41</v>
      </c>
      <c r="F647" s="7" t="n">
        <v>4347</v>
      </c>
      <c r="G647" s="7" t="n">
        <f aca="false">AVERAGE(E643:E647)</f>
        <v>12406.678</v>
      </c>
      <c r="H647" s="7" t="n">
        <f aca="false">AVERAGE(E638:E647)</f>
        <v>12113.643</v>
      </c>
      <c r="I647" s="7" t="n">
        <f aca="false">AVERAGE(E628:E647)</f>
        <v>11962.8805</v>
      </c>
      <c r="J647" s="7" t="n">
        <f aca="false">AVERAGE(E598:E647)</f>
        <v>12017.3954</v>
      </c>
      <c r="K647" s="7" t="n">
        <f aca="false">AVERAGE(E548:E647)</f>
        <v>12933.8496</v>
      </c>
      <c r="L647" s="7" t="n">
        <f aca="false">AVERAGE(E448:E647)</f>
        <v>14204.774</v>
      </c>
      <c r="M647" s="7" t="n">
        <f aca="false">I647</f>
        <v>11962.8805</v>
      </c>
      <c r="N647" s="7" t="n">
        <f aca="false">I647+2*STDEV(E628:E647)</f>
        <v>12589.941494212</v>
      </c>
      <c r="O647" s="7" t="n">
        <f aca="false">I647-2*STDEV(E628:E647)</f>
        <v>11335.819505788</v>
      </c>
      <c r="P647" s="7" t="n">
        <f aca="false">MAX(E647-E646,0)</f>
        <v>0</v>
      </c>
      <c r="Q647" s="7" t="n">
        <f aca="false">MAX(E646-E647,0)</f>
        <v>68.0599999999995</v>
      </c>
      <c r="R647" s="7" t="n">
        <f aca="false">(R646*13+P647)/14</f>
        <v>99.466723215725</v>
      </c>
      <c r="S647" s="7" t="n">
        <f aca="false">(S646*13+Q647)/14</f>
        <v>78.937348880201</v>
      </c>
      <c r="T647" s="7" t="n">
        <f aca="false">IF(S647=0,100,100-100/(1+R647/S647))</f>
        <v>55.753617082374</v>
      </c>
      <c r="U647" s="7" t="n">
        <f aca="false">E647*2/13+U646*11/13</f>
        <v>12162.1124877736</v>
      </c>
      <c r="V647" s="7" t="n">
        <f aca="false">E647*2/27+V646*25/27</f>
        <v>12060.2349011352</v>
      </c>
      <c r="W647" s="7" t="n">
        <f aca="false">U647-V647</f>
        <v>101.877586638346</v>
      </c>
      <c r="X647" s="7" t="n">
        <f aca="false">W647*2/10+X646*8/10</f>
        <v>12.4002193606138</v>
      </c>
      <c r="Y647" s="7" t="n">
        <f aca="false">W647-X647</f>
        <v>89.4773672777319</v>
      </c>
      <c r="Z647" s="9" t="s">
        <v>89</v>
      </c>
      <c r="AA647" s="7" t="str">
        <f aca="false">IFERROR(INDEX(02_轉折點45!B:B,MATCH(A647,02_轉折點45!A:A,0)),"")</f>
        <v/>
      </c>
      <c r="AB647" s="7" t="n">
        <f aca="false">COUNTIFS(05_訊號明細!A:A,A647,05_訊號明細!C:C,"TOP")</f>
        <v>0</v>
      </c>
      <c r="AC647" s="7" t="n">
        <f aca="false">COUNTIFS(05_訊號明細!A:A,A647,05_訊號明細!C:C,"BOTTOM")</f>
        <v>0</v>
      </c>
    </row>
    <row r="648" customFormat="false" ht="15" hidden="false" customHeight="false" outlineLevel="0" collapsed="false">
      <c r="A648" s="7" t="s">
        <v>689</v>
      </c>
      <c r="B648" s="7" t="n">
        <v>12248.21</v>
      </c>
      <c r="C648" s="7" t="n">
        <v>12259.01</v>
      </c>
      <c r="D648" s="7" t="n">
        <v>12051.21</v>
      </c>
      <c r="E648" s="7" t="n">
        <v>12086.9</v>
      </c>
      <c r="F648" s="7" t="n">
        <v>4350</v>
      </c>
      <c r="G648" s="7" t="n">
        <f aca="false">AVERAGE(E644:E648)</f>
        <v>12374.174</v>
      </c>
      <c r="H648" s="7" t="n">
        <f aca="false">AVERAGE(E639:E648)</f>
        <v>12147.834</v>
      </c>
      <c r="I648" s="7" t="n">
        <f aca="false">AVERAGE(E629:E648)</f>
        <v>11966.8135</v>
      </c>
      <c r="J648" s="7" t="n">
        <f aca="false">AVERAGE(E599:E648)</f>
        <v>12020.2234</v>
      </c>
      <c r="K648" s="7" t="n">
        <f aca="false">AVERAGE(E549:E648)</f>
        <v>12912.2817</v>
      </c>
      <c r="L648" s="7" t="n">
        <f aca="false">AVERAGE(E449:E648)</f>
        <v>14190.72285</v>
      </c>
      <c r="M648" s="7" t="n">
        <f aca="false">I648</f>
        <v>11966.8135</v>
      </c>
      <c r="N648" s="7" t="n">
        <f aca="false">I648+2*STDEV(E629:E648)</f>
        <v>12596.055326504</v>
      </c>
      <c r="O648" s="7" t="n">
        <f aca="false">I648-2*STDEV(E629:E648)</f>
        <v>11337.571673496</v>
      </c>
      <c r="P648" s="7" t="n">
        <f aca="false">MAX(E648-E647,0)</f>
        <v>0</v>
      </c>
      <c r="Q648" s="7" t="n">
        <f aca="false">MAX(E647-E648,0)</f>
        <v>241.51</v>
      </c>
      <c r="R648" s="7" t="n">
        <f aca="false">(R647*13+P648)/14</f>
        <v>92.3619572717447</v>
      </c>
      <c r="S648" s="7" t="n">
        <f aca="false">(S647*13+Q648)/14</f>
        <v>90.5496811030438</v>
      </c>
      <c r="T648" s="7" t="n">
        <f aca="false">IF(S648=0,100,100-100/(1+R648/S648))</f>
        <v>50.4953966256066</v>
      </c>
      <c r="U648" s="7" t="n">
        <f aca="false">E648*2/13+U647*11/13</f>
        <v>12150.5413358084</v>
      </c>
      <c r="V648" s="7" t="n">
        <f aca="false">E648*2/27+V647*25/27</f>
        <v>12062.2100936438</v>
      </c>
      <c r="W648" s="7" t="n">
        <f aca="false">U648-V648</f>
        <v>88.3312421646733</v>
      </c>
      <c r="X648" s="7" t="n">
        <f aca="false">W648*2/10+X647*8/10</f>
        <v>27.5864239214257</v>
      </c>
      <c r="Y648" s="7" t="n">
        <f aca="false">W648-X648</f>
        <v>60.7448182432476</v>
      </c>
      <c r="Z648" s="9" t="s">
        <v>89</v>
      </c>
      <c r="AA648" s="7" t="str">
        <f aca="false">IFERROR(INDEX(02_轉折點45!B:B,MATCH(A648,02_轉折點45!A:A,0)),"")</f>
        <v/>
      </c>
      <c r="AB648" s="7" t="n">
        <f aca="false">COUNTIFS(05_訊號明細!A:A,A648,05_訊號明細!C:C,"TOP")</f>
        <v>0</v>
      </c>
      <c r="AC648" s="7" t="n">
        <f aca="false">COUNTIFS(05_訊號明細!A:A,A648,05_訊號明細!C:C,"BOTTOM")</f>
        <v>0</v>
      </c>
    </row>
    <row r="649" customFormat="false" ht="15" hidden="false" customHeight="false" outlineLevel="0" collapsed="false">
      <c r="A649" s="7" t="s">
        <v>690</v>
      </c>
      <c r="B649" s="7" t="n">
        <v>12299.34</v>
      </c>
      <c r="C649" s="7" t="n">
        <v>12660.77</v>
      </c>
      <c r="D649" s="7" t="n">
        <v>12256.94</v>
      </c>
      <c r="E649" s="7" t="n">
        <v>12601.47</v>
      </c>
      <c r="F649" s="7" t="n">
        <v>4588</v>
      </c>
      <c r="G649" s="7" t="n">
        <f aca="false">AVERAGE(E645:E649)</f>
        <v>12406.532</v>
      </c>
      <c r="H649" s="7" t="n">
        <f aca="false">AVERAGE(E640:E649)</f>
        <v>12235.128</v>
      </c>
      <c r="I649" s="7" t="n">
        <f aca="false">AVERAGE(E630:E649)</f>
        <v>12014.9985</v>
      </c>
      <c r="J649" s="7" t="n">
        <f aca="false">AVERAGE(E600:E649)</f>
        <v>12024.5048</v>
      </c>
      <c r="K649" s="7" t="n">
        <f aca="false">AVERAGE(E550:E649)</f>
        <v>12897.9443</v>
      </c>
      <c r="L649" s="7" t="n">
        <f aca="false">AVERAGE(E450:E649)</f>
        <v>14179.62645</v>
      </c>
      <c r="M649" s="7" t="n">
        <f aca="false">I649</f>
        <v>12014.9985</v>
      </c>
      <c r="N649" s="7" t="n">
        <f aca="false">I649+2*STDEV(E630:E649)</f>
        <v>12684.456006321</v>
      </c>
      <c r="O649" s="7" t="n">
        <f aca="false">I649-2*STDEV(E630:E649)</f>
        <v>11345.540993679</v>
      </c>
      <c r="P649" s="7" t="n">
        <f aca="false">MAX(E649-E648,0)</f>
        <v>514.57</v>
      </c>
      <c r="Q649" s="7" t="n">
        <f aca="false">MAX(E648-E649,0)</f>
        <v>0</v>
      </c>
      <c r="R649" s="7" t="n">
        <f aca="false">(R648*13+P649)/14</f>
        <v>122.519674609477</v>
      </c>
      <c r="S649" s="7" t="n">
        <f aca="false">(S648*13+Q649)/14</f>
        <v>84.0818467385407</v>
      </c>
      <c r="T649" s="7" t="n">
        <f aca="false">IF(S649=0,100,100-100/(1+R649/S649))</f>
        <v>59.3024067829076</v>
      </c>
      <c r="U649" s="7" t="n">
        <f aca="false">E649*2/13+U648*11/13</f>
        <v>12219.9149764533</v>
      </c>
      <c r="V649" s="7" t="n">
        <f aca="false">E649*2/27+V648*25/27</f>
        <v>12102.1552718924</v>
      </c>
      <c r="W649" s="7" t="n">
        <f aca="false">U649-V649</f>
        <v>117.75970456092</v>
      </c>
      <c r="X649" s="7" t="n">
        <f aca="false">W649*2/10+X648*8/10</f>
        <v>45.6210800493246</v>
      </c>
      <c r="Y649" s="7" t="n">
        <f aca="false">W649-X649</f>
        <v>72.1386245115954</v>
      </c>
      <c r="Z649" s="9" t="s">
        <v>89</v>
      </c>
      <c r="AA649" s="7" t="str">
        <f aca="false">IFERROR(INDEX(02_轉折點45!B:B,MATCH(A649,02_轉折點45!A:A,0)),"")</f>
        <v/>
      </c>
      <c r="AB649" s="7" t="n">
        <f aca="false">COUNTIFS(05_訊號明細!A:A,A649,05_訊號明細!C:C,"TOP")</f>
        <v>0</v>
      </c>
      <c r="AC649" s="7" t="n">
        <f aca="false">COUNTIFS(05_訊號明細!A:A,A649,05_訊號明細!C:C,"BOTTOM")</f>
        <v>1</v>
      </c>
    </row>
    <row r="650" customFormat="false" ht="15" hidden="false" customHeight="false" outlineLevel="0" collapsed="false">
      <c r="A650" s="7" t="s">
        <v>691</v>
      </c>
      <c r="B650" s="7" t="n">
        <v>12580.61</v>
      </c>
      <c r="C650" s="7" t="n">
        <v>12741.83</v>
      </c>
      <c r="D650" s="7" t="n">
        <v>12433.55</v>
      </c>
      <c r="E650" s="7" t="n">
        <v>12717.87</v>
      </c>
      <c r="F650" s="7" t="n">
        <v>4925</v>
      </c>
      <c r="G650" s="7" t="n">
        <f aca="false">AVERAGE(E646:E650)</f>
        <v>12426.224</v>
      </c>
      <c r="H650" s="7" t="n">
        <f aca="false">AVERAGE(E641:E650)</f>
        <v>12330.075</v>
      </c>
      <c r="I650" s="7" t="n">
        <f aca="false">AVERAGE(E631:E650)</f>
        <v>12067.979</v>
      </c>
      <c r="J650" s="7" t="n">
        <f aca="false">AVERAGE(E601:E650)</f>
        <v>12033.9906</v>
      </c>
      <c r="K650" s="7" t="n">
        <f aca="false">AVERAGE(E551:E650)</f>
        <v>12886.7447</v>
      </c>
      <c r="L650" s="7" t="n">
        <f aca="false">AVERAGE(E451:E650)</f>
        <v>14169.64715</v>
      </c>
      <c r="M650" s="7" t="n">
        <f aca="false">I650</f>
        <v>12067.979</v>
      </c>
      <c r="N650" s="7" t="n">
        <f aca="false">I650+2*STDEV(E631:E650)</f>
        <v>12784.6159918886</v>
      </c>
      <c r="O650" s="7" t="n">
        <f aca="false">I650-2*STDEV(E631:E650)</f>
        <v>11351.3420081114</v>
      </c>
      <c r="P650" s="7" t="n">
        <f aca="false">MAX(E650-E649,0)</f>
        <v>116.400000000001</v>
      </c>
      <c r="Q650" s="7" t="n">
        <f aca="false">MAX(E649-E650,0)</f>
        <v>0</v>
      </c>
      <c r="R650" s="7" t="n">
        <f aca="false">(R649*13+P650)/14</f>
        <v>122.082554994515</v>
      </c>
      <c r="S650" s="7" t="n">
        <f aca="false">(S649*13+Q650)/14</f>
        <v>78.0760005429306</v>
      </c>
      <c r="T650" s="7" t="n">
        <f aca="false">IF(S650=0,100,100-100/(1+R650/S650))</f>
        <v>60.9929236682944</v>
      </c>
      <c r="U650" s="7" t="n">
        <f aca="false">E650*2/13+U649*11/13</f>
        <v>12296.5234416143</v>
      </c>
      <c r="V650" s="7" t="n">
        <f aca="false">E650*2/27+V649*25/27</f>
        <v>12147.7637702707</v>
      </c>
      <c r="W650" s="7" t="n">
        <f aca="false">U650-V650</f>
        <v>148.759671343611</v>
      </c>
      <c r="X650" s="7" t="n">
        <f aca="false">W650*2/10+X649*8/10</f>
        <v>66.2487983081818</v>
      </c>
      <c r="Y650" s="7" t="n">
        <f aca="false">W650-X650</f>
        <v>82.5108730354288</v>
      </c>
      <c r="Z650" s="9" t="s">
        <v>89</v>
      </c>
      <c r="AA650" s="7" t="str">
        <f aca="false">IFERROR(INDEX(02_轉折點45!B:B,MATCH(A650,02_轉折點45!A:A,0)),"")</f>
        <v/>
      </c>
      <c r="AB650" s="7" t="n">
        <f aca="false">COUNTIFS(05_訊號明細!A:A,A650,05_訊號明細!C:C,"TOP")</f>
        <v>0</v>
      </c>
      <c r="AC650" s="7" t="n">
        <f aca="false">COUNTIFS(05_訊號明細!A:A,A650,05_訊號明細!C:C,"BOTTOM")</f>
        <v>0</v>
      </c>
    </row>
    <row r="651" customFormat="false" ht="15" hidden="false" customHeight="false" outlineLevel="0" collapsed="false">
      <c r="A651" s="7" t="s">
        <v>692</v>
      </c>
      <c r="B651" s="7" t="n">
        <v>12784.2</v>
      </c>
      <c r="C651" s="7" t="n">
        <v>12986.64</v>
      </c>
      <c r="D651" s="7" t="n">
        <v>12726.25</v>
      </c>
      <c r="E651" s="7" t="n">
        <v>12947.97</v>
      </c>
      <c r="F651" s="7" t="n">
        <v>4907</v>
      </c>
      <c r="G651" s="7" t="n">
        <f aca="false">AVERAGE(E647:E651)</f>
        <v>12536.524</v>
      </c>
      <c r="H651" s="7" t="n">
        <f aca="false">AVERAGE(E642:E651)</f>
        <v>12426.51</v>
      </c>
      <c r="I651" s="7" t="n">
        <f aca="false">AVERAGE(E632:E651)</f>
        <v>12140.1915</v>
      </c>
      <c r="J651" s="7" t="n">
        <f aca="false">AVERAGE(E602:E651)</f>
        <v>12041.668</v>
      </c>
      <c r="K651" s="7" t="n">
        <f aca="false">AVERAGE(E552:E651)</f>
        <v>12883.0306</v>
      </c>
      <c r="L651" s="7" t="n">
        <f aca="false">AVERAGE(E452:E651)</f>
        <v>14161.07645</v>
      </c>
      <c r="M651" s="7" t="n">
        <f aca="false">I651</f>
        <v>12140.1915</v>
      </c>
      <c r="N651" s="7" t="n">
        <f aca="false">I651+2*STDEV(E632:E651)</f>
        <v>12906.7496014893</v>
      </c>
      <c r="O651" s="7" t="n">
        <f aca="false">I651-2*STDEV(E632:E651)</f>
        <v>11373.6333985107</v>
      </c>
      <c r="P651" s="7" t="n">
        <f aca="false">MAX(E651-E650,0)</f>
        <v>230.099999999999</v>
      </c>
      <c r="Q651" s="7" t="n">
        <f aca="false">MAX(E650-E651,0)</f>
        <v>0</v>
      </c>
      <c r="R651" s="7" t="n">
        <f aca="false">(R650*13+P651)/14</f>
        <v>129.798086780621</v>
      </c>
      <c r="S651" s="7" t="n">
        <f aca="false">(S650*13+Q651)/14</f>
        <v>72.4991433612927</v>
      </c>
      <c r="T651" s="7" t="n">
        <f aca="false">IF(S651=0,100,100-100/(1+R651/S651))</f>
        <v>64.1620682050694</v>
      </c>
      <c r="U651" s="7" t="n">
        <f aca="false">E651*2/13+U650*11/13</f>
        <v>12396.7459890583</v>
      </c>
      <c r="V651" s="7" t="n">
        <f aca="false">E651*2/27+V650*25/27</f>
        <v>12207.0383058062</v>
      </c>
      <c r="W651" s="7" t="n">
        <f aca="false">U651-V651</f>
        <v>189.70768325206</v>
      </c>
      <c r="X651" s="7" t="n">
        <f aca="false">W651*2/10+X650*8/10</f>
        <v>90.9405752969574</v>
      </c>
      <c r="Y651" s="7" t="n">
        <f aca="false">W651-X651</f>
        <v>98.7671079551024</v>
      </c>
      <c r="Z651" s="9" t="s">
        <v>89</v>
      </c>
      <c r="AA651" s="7" t="str">
        <f aca="false">IFERROR(INDEX(02_轉折點45!B:B,MATCH(A651,02_轉折點45!A:A,0)),"")</f>
        <v/>
      </c>
      <c r="AB651" s="7" t="n">
        <f aca="false">COUNTIFS(05_訊號明細!A:A,A651,05_訊號明細!C:C,"TOP")</f>
        <v>0</v>
      </c>
      <c r="AC651" s="7" t="n">
        <f aca="false">COUNTIFS(05_訊號明細!A:A,A651,05_訊號明細!C:C,"BOTTOM")</f>
        <v>0</v>
      </c>
    </row>
    <row r="652" customFormat="false" ht="15" hidden="false" customHeight="false" outlineLevel="0" collapsed="false">
      <c r="A652" s="7" t="s">
        <v>693</v>
      </c>
      <c r="B652" s="7" t="n">
        <v>12877.04</v>
      </c>
      <c r="C652" s="7" t="n">
        <v>13084.61</v>
      </c>
      <c r="D652" s="7" t="n">
        <v>12833.16</v>
      </c>
      <c r="E652" s="7" t="n">
        <v>12940.78</v>
      </c>
      <c r="F652" s="7" t="n">
        <v>4396</v>
      </c>
      <c r="G652" s="7" t="n">
        <f aca="false">AVERAGE(E648:E652)</f>
        <v>12658.998</v>
      </c>
      <c r="H652" s="7" t="n">
        <f aca="false">AVERAGE(E643:E652)</f>
        <v>12532.838</v>
      </c>
      <c r="I652" s="7" t="n">
        <f aca="false">AVERAGE(E633:E652)</f>
        <v>12207.9465</v>
      </c>
      <c r="J652" s="7" t="n">
        <f aca="false">AVERAGE(E603:E652)</f>
        <v>12061.9174</v>
      </c>
      <c r="K652" s="7" t="n">
        <f aca="false">AVERAGE(E553:E652)</f>
        <v>12879.7623</v>
      </c>
      <c r="L652" s="7" t="n">
        <f aca="false">AVERAGE(E453:E652)</f>
        <v>14151.90735</v>
      </c>
      <c r="M652" s="7" t="n">
        <f aca="false">I652</f>
        <v>12207.9465</v>
      </c>
      <c r="N652" s="7" t="n">
        <f aca="false">I652+2*STDEV(E633:E652)</f>
        <v>13006.9982967869</v>
      </c>
      <c r="O652" s="7" t="n">
        <f aca="false">I652-2*STDEV(E633:E652)</f>
        <v>11408.8947032131</v>
      </c>
      <c r="P652" s="7" t="n">
        <f aca="false">MAX(E652-E651,0)</f>
        <v>0</v>
      </c>
      <c r="Q652" s="7" t="n">
        <f aca="false">MAX(E651-E652,0)</f>
        <v>7.18999999999869</v>
      </c>
      <c r="R652" s="7" t="n">
        <f aca="false">(R651*13+P652)/14</f>
        <v>120.526794867719</v>
      </c>
      <c r="S652" s="7" t="n">
        <f aca="false">(S651*13+Q652)/14</f>
        <v>67.8342045497717</v>
      </c>
      <c r="T652" s="7" t="n">
        <f aca="false">IF(S652=0,100,100-100/(1+R652/S652))</f>
        <v>63.9871285671928</v>
      </c>
      <c r="U652" s="7" t="n">
        <f aca="false">E652*2/13+U651*11/13</f>
        <v>12480.4435292032</v>
      </c>
      <c r="V652" s="7" t="n">
        <f aca="false">E652*2/27+V651*25/27</f>
        <v>12261.3895424132</v>
      </c>
      <c r="W652" s="7" t="n">
        <f aca="false">U652-V652</f>
        <v>219.053986789995</v>
      </c>
      <c r="X652" s="7" t="n">
        <f aca="false">W652*2/10+X651*8/10</f>
        <v>116.563257595565</v>
      </c>
      <c r="Y652" s="7" t="n">
        <f aca="false">W652-X652</f>
        <v>102.49072919443</v>
      </c>
      <c r="Z652" s="9" t="s">
        <v>89</v>
      </c>
      <c r="AA652" s="7" t="str">
        <f aca="false">IFERROR(INDEX(02_轉折點45!B:B,MATCH(A652,02_轉折點45!A:A,0)),"")</f>
        <v/>
      </c>
      <c r="AB652" s="7" t="n">
        <f aca="false">COUNTIFS(05_訊號明細!A:A,A652,05_訊號明細!C:C,"TOP")</f>
        <v>0</v>
      </c>
      <c r="AC652" s="7" t="n">
        <f aca="false">COUNTIFS(05_訊號明細!A:A,A652,05_訊號明細!C:C,"BOTTOM")</f>
        <v>0</v>
      </c>
    </row>
    <row r="653" customFormat="false" ht="15" hidden="false" customHeight="false" outlineLevel="0" collapsed="false">
      <c r="A653" s="7" t="s">
        <v>694</v>
      </c>
      <c r="B653" s="7" t="n">
        <v>12853.04</v>
      </c>
      <c r="C653" s="7" t="n">
        <v>13073.27</v>
      </c>
      <c r="D653" s="7" t="n">
        <v>12809.01</v>
      </c>
      <c r="E653" s="7" t="n">
        <v>12901.6</v>
      </c>
      <c r="F653" s="7" t="n">
        <v>4792</v>
      </c>
      <c r="G653" s="7" t="n">
        <f aca="false">AVERAGE(E649:E653)</f>
        <v>12821.938</v>
      </c>
      <c r="H653" s="7" t="n">
        <f aca="false">AVERAGE(E644:E653)</f>
        <v>12598.056</v>
      </c>
      <c r="I653" s="7" t="n">
        <f aca="false">AVERAGE(E634:E653)</f>
        <v>12264.0315</v>
      </c>
      <c r="J653" s="7" t="n">
        <f aca="false">AVERAGE(E604:E653)</f>
        <v>12082.4368</v>
      </c>
      <c r="K653" s="7" t="n">
        <f aca="false">AVERAGE(E554:E653)</f>
        <v>12871.3563</v>
      </c>
      <c r="L653" s="7" t="n">
        <f aca="false">AVERAGE(E454:E653)</f>
        <v>14141.15325</v>
      </c>
      <c r="M653" s="7" t="n">
        <f aca="false">I653</f>
        <v>12264.0315</v>
      </c>
      <c r="N653" s="7" t="n">
        <f aca="false">I653+2*STDEV(E634:E653)</f>
        <v>13093.4661525645</v>
      </c>
      <c r="O653" s="7" t="n">
        <f aca="false">I653-2*STDEV(E634:E653)</f>
        <v>11434.5968474355</v>
      </c>
      <c r="P653" s="7" t="n">
        <f aca="false">MAX(E653-E652,0)</f>
        <v>0</v>
      </c>
      <c r="Q653" s="7" t="n">
        <f aca="false">MAX(E652-E653,0)</f>
        <v>39.1800000000003</v>
      </c>
      <c r="R653" s="7" t="n">
        <f aca="false">(R652*13+P653)/14</f>
        <v>111.917738091454</v>
      </c>
      <c r="S653" s="7" t="n">
        <f aca="false">(S652*13+Q653)/14</f>
        <v>65.7874756533595</v>
      </c>
      <c r="T653" s="7" t="n">
        <f aca="false">IF(S653=0,100,100-100/(1+R653/S653))</f>
        <v>62.9794341612109</v>
      </c>
      <c r="U653" s="7" t="n">
        <f aca="false">E653*2/13+U652*11/13</f>
        <v>12545.2368324027</v>
      </c>
      <c r="V653" s="7" t="n">
        <f aca="false">E653*2/27+V652*25/27</f>
        <v>12308.8125392714</v>
      </c>
      <c r="W653" s="7" t="n">
        <f aca="false">U653-V653</f>
        <v>236.424293131227</v>
      </c>
      <c r="X653" s="7" t="n">
        <f aca="false">W653*2/10+X652*8/10</f>
        <v>140.535464702697</v>
      </c>
      <c r="Y653" s="7" t="n">
        <f aca="false">W653-X653</f>
        <v>95.88882842853</v>
      </c>
      <c r="Z653" s="9" t="s">
        <v>89</v>
      </c>
      <c r="AA653" s="7" t="str">
        <f aca="false">IFERROR(INDEX(02_轉折點45!B:B,MATCH(A653,02_轉折點45!A:A,0)),"")</f>
        <v/>
      </c>
      <c r="AB653" s="7" t="n">
        <f aca="false">COUNTIFS(05_訊號明細!A:A,A653,05_訊號明細!C:C,"TOP")</f>
        <v>0</v>
      </c>
      <c r="AC653" s="7" t="n">
        <f aca="false">COUNTIFS(05_訊號明細!A:A,A653,05_訊號明細!C:C,"BOTTOM")</f>
        <v>0</v>
      </c>
    </row>
    <row r="654" customFormat="false" ht="15" hidden="false" customHeight="false" outlineLevel="0" collapsed="false">
      <c r="A654" s="7" t="s">
        <v>695</v>
      </c>
      <c r="B654" s="7" t="n">
        <v>12983.58</v>
      </c>
      <c r="C654" s="7" t="n">
        <v>13289.19</v>
      </c>
      <c r="D654" s="7" t="n">
        <v>12974.85</v>
      </c>
      <c r="E654" s="7" t="n">
        <v>13253.26</v>
      </c>
      <c r="F654" s="7" t="n">
        <v>5668</v>
      </c>
      <c r="G654" s="7" t="n">
        <f aca="false">AVERAGE(E650:E654)</f>
        <v>12952.296</v>
      </c>
      <c r="H654" s="7" t="n">
        <f aca="false">AVERAGE(E645:E654)</f>
        <v>12679.414</v>
      </c>
      <c r="I654" s="7" t="n">
        <f aca="false">AVERAGE(E635:E654)</f>
        <v>12334.065</v>
      </c>
      <c r="J654" s="7" t="n">
        <f aca="false">AVERAGE(E605:E654)</f>
        <v>12110.7896</v>
      </c>
      <c r="K654" s="7" t="n">
        <f aca="false">AVERAGE(E555:E654)</f>
        <v>12867.9789</v>
      </c>
      <c r="L654" s="7" t="n">
        <f aca="false">AVERAGE(E455:E654)</f>
        <v>14131.68495</v>
      </c>
      <c r="M654" s="7" t="n">
        <f aca="false">I654</f>
        <v>12334.065</v>
      </c>
      <c r="N654" s="7" t="n">
        <f aca="false">I654+2*STDEV(E635:E654)</f>
        <v>13249.3174930313</v>
      </c>
      <c r="O654" s="7" t="n">
        <f aca="false">I654-2*STDEV(E635:E654)</f>
        <v>11418.8125069687</v>
      </c>
      <c r="P654" s="7" t="n">
        <f aca="false">MAX(E654-E653,0)</f>
        <v>351.66</v>
      </c>
      <c r="Q654" s="7" t="n">
        <f aca="false">MAX(E653-E654,0)</f>
        <v>0</v>
      </c>
      <c r="R654" s="7" t="n">
        <f aca="false">(R653*13+P654)/14</f>
        <v>129.042185370635</v>
      </c>
      <c r="S654" s="7" t="n">
        <f aca="false">(S653*13+Q654)/14</f>
        <v>61.0883702495481</v>
      </c>
      <c r="T654" s="7" t="n">
        <f aca="false">IF(S654=0,100,100-100/(1+R654/S654))</f>
        <v>67.8703036183295</v>
      </c>
      <c r="U654" s="7" t="n">
        <f aca="false">E654*2/13+U653*11/13</f>
        <v>12654.1634735715</v>
      </c>
      <c r="V654" s="7" t="n">
        <f aca="false">E654*2/27+V653*25/27</f>
        <v>12378.7716104365</v>
      </c>
      <c r="W654" s="7" t="n">
        <f aca="false">U654-V654</f>
        <v>275.39186313497</v>
      </c>
      <c r="X654" s="7" t="n">
        <f aca="false">W654*2/10+X653*8/10</f>
        <v>167.506744389152</v>
      </c>
      <c r="Y654" s="7" t="n">
        <f aca="false">W654-X654</f>
        <v>107.885118745818</v>
      </c>
      <c r="Z654" s="9" t="s">
        <v>89</v>
      </c>
      <c r="AA654" s="7" t="str">
        <f aca="false">IFERROR(INDEX(02_轉折點45!B:B,MATCH(A654,02_轉折點45!A:A,0)),"")</f>
        <v/>
      </c>
      <c r="AB654" s="7" t="n">
        <f aca="false">COUNTIFS(05_訊號明細!A:A,A654,05_訊號明細!C:C,"TOP")</f>
        <v>0</v>
      </c>
      <c r="AC654" s="7" t="n">
        <f aca="false">COUNTIFS(05_訊號明細!A:A,A654,05_訊號明細!C:C,"BOTTOM")</f>
        <v>2</v>
      </c>
    </row>
    <row r="655" customFormat="false" ht="15" hidden="false" customHeight="false" outlineLevel="0" collapsed="false">
      <c r="A655" s="7" t="s">
        <v>696</v>
      </c>
      <c r="B655" s="7" t="n">
        <v>13253.77</v>
      </c>
      <c r="C655" s="7" t="n">
        <v>13326.72</v>
      </c>
      <c r="D655" s="7" t="n">
        <v>13170.44</v>
      </c>
      <c r="E655" s="7" t="n">
        <v>13311.04</v>
      </c>
      <c r="F655" s="7" t="n">
        <v>5451</v>
      </c>
      <c r="G655" s="7" t="n">
        <f aca="false">AVERAGE(E651:E655)</f>
        <v>13070.93</v>
      </c>
      <c r="H655" s="7" t="n">
        <f aca="false">AVERAGE(E646:E655)</f>
        <v>12748.577</v>
      </c>
      <c r="I655" s="7" t="n">
        <f aca="false">AVERAGE(E636:E655)</f>
        <v>12394.1645</v>
      </c>
      <c r="J655" s="7" t="n">
        <f aca="false">AVERAGE(E606:E655)</f>
        <v>12136.3248</v>
      </c>
      <c r="K655" s="7" t="n">
        <f aca="false">AVERAGE(E556:E655)</f>
        <v>12868.071</v>
      </c>
      <c r="L655" s="7" t="n">
        <f aca="false">AVERAGE(E456:E655)</f>
        <v>14121.7357</v>
      </c>
      <c r="M655" s="7" t="n">
        <f aca="false">I655</f>
        <v>12394.1645</v>
      </c>
      <c r="N655" s="7" t="n">
        <f aca="false">I655+2*STDEV(E636:E655)</f>
        <v>13400.525662636</v>
      </c>
      <c r="O655" s="7" t="n">
        <f aca="false">I655-2*STDEV(E636:E655)</f>
        <v>11387.803337364</v>
      </c>
      <c r="P655" s="7" t="n">
        <f aca="false">MAX(E655-E654,0)</f>
        <v>57.7800000000007</v>
      </c>
      <c r="Q655" s="7" t="n">
        <f aca="false">MAX(E654-E655,0)</f>
        <v>0</v>
      </c>
      <c r="R655" s="7" t="n">
        <f aca="false">(R654*13+P655)/14</f>
        <v>123.952029272733</v>
      </c>
      <c r="S655" s="7" t="n">
        <f aca="false">(S654*13+Q655)/14</f>
        <v>56.7249152317232</v>
      </c>
      <c r="T655" s="7" t="n">
        <f aca="false">IF(S655=0,100,100-100/(1+R655/S655))</f>
        <v>68.6042314987654</v>
      </c>
      <c r="U655" s="7" t="n">
        <f aca="false">E655*2/13+U654*11/13</f>
        <v>12755.2214007143</v>
      </c>
      <c r="V655" s="7" t="n">
        <f aca="false">E655*2/27+V654*25/27</f>
        <v>12447.828528182</v>
      </c>
      <c r="W655" s="7" t="n">
        <f aca="false">U655-V655</f>
        <v>307.392872532377</v>
      </c>
      <c r="X655" s="7" t="n">
        <f aca="false">W655*2/10+X654*8/10</f>
        <v>195.483970017797</v>
      </c>
      <c r="Y655" s="7" t="n">
        <f aca="false">W655-X655</f>
        <v>111.90890251458</v>
      </c>
      <c r="Z655" s="9" t="s">
        <v>89</v>
      </c>
      <c r="AA655" s="7" t="str">
        <f aca="false">IFERROR(INDEX(02_轉折點45!B:B,MATCH(A655,02_轉折點45!A:A,0)),"")</f>
        <v/>
      </c>
      <c r="AB655" s="7" t="n">
        <f aca="false">COUNTIFS(05_訊號明細!A:A,A655,05_訊號明細!C:C,"TOP")</f>
        <v>1</v>
      </c>
      <c r="AC655" s="7" t="n">
        <f aca="false">COUNTIFS(05_訊號明細!A:A,A655,05_訊號明細!C:C,"BOTTOM")</f>
        <v>0</v>
      </c>
    </row>
    <row r="656" customFormat="false" ht="15" hidden="false" customHeight="false" outlineLevel="0" collapsed="false">
      <c r="A656" s="7" t="s">
        <v>697</v>
      </c>
      <c r="B656" s="7" t="n">
        <v>13107.45</v>
      </c>
      <c r="C656" s="7" t="n">
        <v>13286.02</v>
      </c>
      <c r="D656" s="7" t="n">
        <v>13070.36</v>
      </c>
      <c r="E656" s="7" t="n">
        <v>13207.69</v>
      </c>
      <c r="F656" s="7" t="n">
        <v>4911</v>
      </c>
      <c r="G656" s="7" t="n">
        <f aca="false">AVERAGE(E652:E656)</f>
        <v>13122.874</v>
      </c>
      <c r="H656" s="7" t="n">
        <f aca="false">AVERAGE(E647:E656)</f>
        <v>12829.699</v>
      </c>
      <c r="I656" s="7" t="n">
        <f aca="false">AVERAGE(E637:E656)</f>
        <v>12448.2645</v>
      </c>
      <c r="J656" s="7" t="n">
        <f aca="false">AVERAGE(E607:E656)</f>
        <v>12165.0818</v>
      </c>
      <c r="K656" s="7" t="n">
        <f aca="false">AVERAGE(E557:E656)</f>
        <v>12869.6815</v>
      </c>
      <c r="L656" s="7" t="n">
        <f aca="false">AVERAGE(E457:E656)</f>
        <v>14110.72055</v>
      </c>
      <c r="M656" s="7" t="n">
        <f aca="false">I656</f>
        <v>12448.2645</v>
      </c>
      <c r="N656" s="7" t="n">
        <f aca="false">I656+2*STDEV(E637:E656)</f>
        <v>13508.7343296306</v>
      </c>
      <c r="O656" s="7" t="n">
        <f aca="false">I656-2*STDEV(E637:E656)</f>
        <v>11387.7946703694</v>
      </c>
      <c r="P656" s="7" t="n">
        <f aca="false">MAX(E656-E655,0)</f>
        <v>0</v>
      </c>
      <c r="Q656" s="7" t="n">
        <f aca="false">MAX(E655-E656,0)</f>
        <v>103.35</v>
      </c>
      <c r="R656" s="7" t="n">
        <f aca="false">(R655*13+P656)/14</f>
        <v>115.098312896109</v>
      </c>
      <c r="S656" s="7" t="n">
        <f aca="false">(S655*13+Q656)/14</f>
        <v>60.0552784294573</v>
      </c>
      <c r="T656" s="7" t="n">
        <f aca="false">IF(S656=0,100,100-100/(1+R656/S656))</f>
        <v>65.7127907141626</v>
      </c>
      <c r="U656" s="7" t="n">
        <f aca="false">E656*2/13+U655*11/13</f>
        <v>12824.8319544506</v>
      </c>
      <c r="V656" s="7" t="n">
        <f aca="false">E656*2/27+V655*25/27</f>
        <v>12504.1145631314</v>
      </c>
      <c r="W656" s="7" t="n">
        <f aca="false">U656-V656</f>
        <v>320.717391319147</v>
      </c>
      <c r="X656" s="7" t="n">
        <f aca="false">W656*2/10+X655*8/10</f>
        <v>220.530654278067</v>
      </c>
      <c r="Y656" s="7" t="n">
        <f aca="false">W656-X656</f>
        <v>100.18673704108</v>
      </c>
      <c r="Z656" s="9" t="s">
        <v>89</v>
      </c>
      <c r="AA656" s="7" t="str">
        <f aca="false">IFERROR(INDEX(02_轉折點45!B:B,MATCH(A656,02_轉折點45!A:A,0)),"")</f>
        <v/>
      </c>
      <c r="AB656" s="7" t="n">
        <f aca="false">COUNTIFS(05_訊號明細!A:A,A656,05_訊號明細!C:C,"TOP")</f>
        <v>0</v>
      </c>
      <c r="AC656" s="7" t="n">
        <f aca="false">COUNTIFS(05_訊號明細!A:A,A656,05_訊號明細!C:C,"BOTTOM")</f>
        <v>0</v>
      </c>
    </row>
    <row r="657" customFormat="false" ht="15" hidden="false" customHeight="false" outlineLevel="0" collapsed="false">
      <c r="A657" s="7" t="s">
        <v>698</v>
      </c>
      <c r="B657" s="7" t="n">
        <v>13227.09</v>
      </c>
      <c r="C657" s="7" t="n">
        <v>13394.54</v>
      </c>
      <c r="D657" s="7" t="n">
        <v>13103.8</v>
      </c>
      <c r="E657" s="7" t="n">
        <v>13159.16</v>
      </c>
      <c r="F657" s="7" t="n">
        <v>5239</v>
      </c>
      <c r="G657" s="7" t="n">
        <f aca="false">AVERAGE(E653:E657)</f>
        <v>13166.55</v>
      </c>
      <c r="H657" s="7" t="n">
        <f aca="false">AVERAGE(E648:E657)</f>
        <v>12912.774</v>
      </c>
      <c r="I657" s="7" t="n">
        <f aca="false">AVERAGE(E638:E657)</f>
        <v>12513.2085</v>
      </c>
      <c r="J657" s="7" t="n">
        <f aca="false">AVERAGE(E608:E657)</f>
        <v>12189.3864</v>
      </c>
      <c r="K657" s="7" t="n">
        <f aca="false">AVERAGE(E558:E657)</f>
        <v>12866.6875</v>
      </c>
      <c r="L657" s="7" t="n">
        <f aca="false">AVERAGE(E458:E657)</f>
        <v>14099.5728</v>
      </c>
      <c r="M657" s="7" t="n">
        <f aca="false">I657</f>
        <v>12513.2085</v>
      </c>
      <c r="N657" s="7" t="n">
        <f aca="false">I657+2*STDEV(E638:E657)</f>
        <v>13581.1257459418</v>
      </c>
      <c r="O657" s="7" t="n">
        <f aca="false">I657-2*STDEV(E638:E657)</f>
        <v>11445.2912540582</v>
      </c>
      <c r="P657" s="7" t="n">
        <f aca="false">MAX(E657-E656,0)</f>
        <v>0</v>
      </c>
      <c r="Q657" s="7" t="n">
        <f aca="false">MAX(E656-E657,0)</f>
        <v>48.5300000000007</v>
      </c>
      <c r="R657" s="7" t="n">
        <f aca="false">(R656*13+P657)/14</f>
        <v>106.877004832101</v>
      </c>
      <c r="S657" s="7" t="n">
        <f aca="false">(S656*13+Q657)/14</f>
        <v>59.2320442559247</v>
      </c>
      <c r="T657" s="7" t="n">
        <f aca="false">IF(S657=0,100,100-100/(1+R657/S657))</f>
        <v>64.34147050921</v>
      </c>
      <c r="U657" s="7" t="n">
        <f aca="false">E657*2/13+U656*11/13</f>
        <v>12876.2670383813</v>
      </c>
      <c r="V657" s="7" t="n">
        <f aca="false">E657*2/27+V656*25/27</f>
        <v>12552.6364473439</v>
      </c>
      <c r="W657" s="7" t="n">
        <f aca="false">U657-V657</f>
        <v>323.630591037341</v>
      </c>
      <c r="X657" s="7" t="n">
        <f aca="false">W657*2/10+X656*8/10</f>
        <v>241.150641629922</v>
      </c>
      <c r="Y657" s="7" t="n">
        <f aca="false">W657-X657</f>
        <v>82.4799494074194</v>
      </c>
      <c r="Z657" s="9" t="s">
        <v>89</v>
      </c>
      <c r="AA657" s="7" t="str">
        <f aca="false">IFERROR(INDEX(02_轉折點45!B:B,MATCH(A657,02_轉折點45!A:A,0)),"")</f>
        <v/>
      </c>
      <c r="AB657" s="7" t="n">
        <f aca="false">COUNTIFS(05_訊號明細!A:A,A657,05_訊號明細!C:C,"TOP")</f>
        <v>0</v>
      </c>
      <c r="AC657" s="7" t="n">
        <f aca="false">COUNTIFS(05_訊號明細!A:A,A657,05_訊號明細!C:C,"BOTTOM")</f>
        <v>0</v>
      </c>
    </row>
    <row r="658" customFormat="false" ht="15" hidden="false" customHeight="false" outlineLevel="0" collapsed="false">
      <c r="A658" s="7" t="s">
        <v>699</v>
      </c>
      <c r="B658" s="7" t="n">
        <v>13064.24</v>
      </c>
      <c r="C658" s="7" t="n">
        <v>13095.7</v>
      </c>
      <c r="D658" s="7" t="n">
        <v>12945.6</v>
      </c>
      <c r="E658" s="7" t="n">
        <v>13008.17</v>
      </c>
      <c r="F658" s="7" t="n">
        <v>5307</v>
      </c>
      <c r="G658" s="7" t="n">
        <f aca="false">AVERAGE(E654:E658)</f>
        <v>13187.864</v>
      </c>
      <c r="H658" s="7" t="n">
        <f aca="false">AVERAGE(E649:E658)</f>
        <v>13004.901</v>
      </c>
      <c r="I658" s="7" t="n">
        <f aca="false">AVERAGE(E639:E658)</f>
        <v>12576.3675</v>
      </c>
      <c r="J658" s="7" t="n">
        <f aca="false">AVERAGE(E609:E658)</f>
        <v>12204.014</v>
      </c>
      <c r="K658" s="7" t="n">
        <f aca="false">AVERAGE(E559:E658)</f>
        <v>12857.2013</v>
      </c>
      <c r="L658" s="7" t="n">
        <f aca="false">AVERAGE(E459:E658)</f>
        <v>14087.1657</v>
      </c>
      <c r="M658" s="7" t="n">
        <f aca="false">I658</f>
        <v>12576.3675</v>
      </c>
      <c r="N658" s="7" t="n">
        <f aca="false">I658+2*STDEV(E639:E658)</f>
        <v>13601.5422421756</v>
      </c>
      <c r="O658" s="7" t="n">
        <f aca="false">I658-2*STDEV(E639:E658)</f>
        <v>11551.1927578244</v>
      </c>
      <c r="P658" s="7" t="n">
        <f aca="false">MAX(E658-E657,0)</f>
        <v>0</v>
      </c>
      <c r="Q658" s="7" t="n">
        <f aca="false">MAX(E657-E658,0)</f>
        <v>150.99</v>
      </c>
      <c r="R658" s="7" t="n">
        <f aca="false">(R657*13+P658)/14</f>
        <v>99.2429330583798</v>
      </c>
      <c r="S658" s="7" t="n">
        <f aca="false">(S657*13+Q658)/14</f>
        <v>65.78618395193</v>
      </c>
      <c r="T658" s="7" t="n">
        <f aca="false">IF(S658=0,100,100-100/(1+R658/S658))</f>
        <v>60.1366200439525</v>
      </c>
      <c r="U658" s="7" t="n">
        <f aca="false">E658*2/13+U657*11/13</f>
        <v>12896.5598017072</v>
      </c>
      <c r="V658" s="7" t="n">
        <f aca="false">E658*2/27+V657*25/27</f>
        <v>12586.3796734666</v>
      </c>
      <c r="W658" s="7" t="n">
        <f aca="false">U658-V658</f>
        <v>310.180128240627</v>
      </c>
      <c r="X658" s="7" t="n">
        <f aca="false">W658*2/10+X657*8/10</f>
        <v>254.956538952063</v>
      </c>
      <c r="Y658" s="7" t="n">
        <f aca="false">W658-X658</f>
        <v>55.223589288564</v>
      </c>
      <c r="Z658" s="9" t="s">
        <v>89</v>
      </c>
      <c r="AA658" s="7" t="str">
        <f aca="false">IFERROR(INDEX(02_轉折點45!B:B,MATCH(A658,02_轉折點45!A:A,0)),"")</f>
        <v/>
      </c>
      <c r="AB658" s="7" t="n">
        <f aca="false">COUNTIFS(05_訊號明細!A:A,A658,05_訊號明細!C:C,"TOP")</f>
        <v>0</v>
      </c>
      <c r="AC658" s="7" t="n">
        <f aca="false">COUNTIFS(05_訊號明細!A:A,A658,05_訊號明細!C:C,"BOTTOM")</f>
        <v>0</v>
      </c>
    </row>
    <row r="659" customFormat="false" ht="15" hidden="false" customHeight="false" outlineLevel="0" collapsed="false">
      <c r="A659" s="7" t="s">
        <v>700</v>
      </c>
      <c r="B659" s="7" t="n">
        <v>13330.66</v>
      </c>
      <c r="C659" s="7" t="n">
        <v>13386.85</v>
      </c>
      <c r="D659" s="7" t="n">
        <v>13220.05</v>
      </c>
      <c r="E659" s="7" t="n">
        <v>13378.32</v>
      </c>
      <c r="F659" s="7" t="n">
        <v>5196</v>
      </c>
      <c r="G659" s="7" t="n">
        <f aca="false">AVERAGE(E655:E659)</f>
        <v>13212.876</v>
      </c>
      <c r="H659" s="7" t="n">
        <f aca="false">AVERAGE(E650:E659)</f>
        <v>13082.586</v>
      </c>
      <c r="I659" s="7" t="n">
        <f aca="false">AVERAGE(E640:E659)</f>
        <v>12658.857</v>
      </c>
      <c r="J659" s="7" t="n">
        <f aca="false">AVERAGE(E610:E659)</f>
        <v>12217.952</v>
      </c>
      <c r="K659" s="7" t="n">
        <f aca="false">AVERAGE(E560:E659)</f>
        <v>12849.7985</v>
      </c>
      <c r="L659" s="7" t="n">
        <f aca="false">AVERAGE(E460:E659)</f>
        <v>14077.28195</v>
      </c>
      <c r="M659" s="7" t="n">
        <f aca="false">I659</f>
        <v>12658.857</v>
      </c>
      <c r="N659" s="7" t="n">
        <f aca="false">I659+2*STDEV(E640:E659)</f>
        <v>13662.0497432605</v>
      </c>
      <c r="O659" s="7" t="n">
        <f aca="false">I659-2*STDEV(E640:E659)</f>
        <v>11655.6642567395</v>
      </c>
      <c r="P659" s="7" t="n">
        <f aca="false">MAX(E659-E658,0)</f>
        <v>370.15</v>
      </c>
      <c r="Q659" s="7" t="n">
        <f aca="false">MAX(E658-E659,0)</f>
        <v>0</v>
      </c>
      <c r="R659" s="7" t="n">
        <f aca="false">(R658*13+P659)/14</f>
        <v>118.593437839924</v>
      </c>
      <c r="S659" s="7" t="n">
        <f aca="false">(S658*13+Q659)/14</f>
        <v>61.0871708125065</v>
      </c>
      <c r="T659" s="7" t="n">
        <f aca="false">IF(S659=0,100,100-100/(1+R659/S659))</f>
        <v>66.0023575884742</v>
      </c>
      <c r="U659" s="7" t="n">
        <f aca="false">E659*2/13+U658*11/13</f>
        <v>12970.6767552907</v>
      </c>
      <c r="V659" s="7" t="n">
        <f aca="false">E659*2/27+V658*25/27</f>
        <v>12645.0419198765</v>
      </c>
      <c r="W659" s="7" t="n">
        <f aca="false">U659-V659</f>
        <v>325.63483541425</v>
      </c>
      <c r="X659" s="7" t="n">
        <f aca="false">W659*2/10+X658*8/10</f>
        <v>269.0921982445</v>
      </c>
      <c r="Y659" s="7" t="n">
        <f aca="false">W659-X659</f>
        <v>56.5426371697499</v>
      </c>
      <c r="Z659" s="9" t="s">
        <v>89</v>
      </c>
      <c r="AA659" s="7" t="str">
        <f aca="false">IFERROR(INDEX(02_轉折點45!B:B,MATCH(A659,02_轉折點45!A:A,0)),"")</f>
        <v/>
      </c>
      <c r="AB659" s="7" t="n">
        <f aca="false">COUNTIFS(05_訊號明細!A:A,A659,05_訊號明細!C:C,"TOP")</f>
        <v>0</v>
      </c>
      <c r="AC659" s="7" t="n">
        <f aca="false">COUNTIFS(05_訊號明細!A:A,A659,05_訊號明細!C:C,"BOTTOM")</f>
        <v>0</v>
      </c>
    </row>
    <row r="660" customFormat="false" ht="15" hidden="false" customHeight="false" outlineLevel="0" collapsed="false">
      <c r="A660" s="7" t="s">
        <v>701</v>
      </c>
      <c r="B660" s="7" t="n">
        <v>13471.03</v>
      </c>
      <c r="C660" s="7" t="n">
        <v>13555.38</v>
      </c>
      <c r="D660" s="7" t="n">
        <v>13271.35</v>
      </c>
      <c r="E660" s="7" t="n">
        <v>13291.99</v>
      </c>
      <c r="F660" s="7" t="n">
        <v>5816</v>
      </c>
      <c r="G660" s="7" t="n">
        <f aca="false">AVERAGE(E656:E660)</f>
        <v>13209.066</v>
      </c>
      <c r="H660" s="7" t="n">
        <f aca="false">AVERAGE(E651:E660)</f>
        <v>13139.998</v>
      </c>
      <c r="I660" s="7" t="n">
        <f aca="false">AVERAGE(E641:E660)</f>
        <v>12735.0365</v>
      </c>
      <c r="J660" s="7" t="n">
        <f aca="false">AVERAGE(E611:E660)</f>
        <v>12230.9498</v>
      </c>
      <c r="K660" s="7" t="n">
        <f aca="false">AVERAGE(E561:E660)</f>
        <v>12838.5176</v>
      </c>
      <c r="L660" s="7" t="n">
        <f aca="false">AVERAGE(E461:E660)</f>
        <v>14066.17095</v>
      </c>
      <c r="M660" s="7" t="n">
        <f aca="false">I660</f>
        <v>12735.0365</v>
      </c>
      <c r="N660" s="7" t="n">
        <f aca="false">I660+2*STDEV(E641:E660)</f>
        <v>13683.4153808782</v>
      </c>
      <c r="O660" s="7" t="n">
        <f aca="false">I660-2*STDEV(E641:E660)</f>
        <v>11786.6576191218</v>
      </c>
      <c r="P660" s="7" t="n">
        <f aca="false">MAX(E660-E659,0)</f>
        <v>0</v>
      </c>
      <c r="Q660" s="7" t="n">
        <f aca="false">MAX(E659-E660,0)</f>
        <v>86.3299999999999</v>
      </c>
      <c r="R660" s="7" t="n">
        <f aca="false">(R659*13+P660)/14</f>
        <v>110.122477994215</v>
      </c>
      <c r="S660" s="7" t="n">
        <f aca="false">(S659*13+Q660)/14</f>
        <v>62.8902300401846</v>
      </c>
      <c r="T660" s="7" t="n">
        <f aca="false">IF(S660=0,100,100-100/(1+R660/S660))</f>
        <v>63.6499360337853</v>
      </c>
      <c r="U660" s="7" t="n">
        <f aca="false">E660*2/13+U659*11/13</f>
        <v>13020.1095621691</v>
      </c>
      <c r="V660" s="7" t="n">
        <f aca="false">E660*2/27+V659*25/27</f>
        <v>12692.9639998856</v>
      </c>
      <c r="W660" s="7" t="n">
        <f aca="false">U660-V660</f>
        <v>327.145562283447</v>
      </c>
      <c r="X660" s="7" t="n">
        <f aca="false">W660*2/10+X659*8/10</f>
        <v>280.70287105229</v>
      </c>
      <c r="Y660" s="7" t="n">
        <f aca="false">W660-X660</f>
        <v>46.4426912311577</v>
      </c>
      <c r="Z660" s="9" t="s">
        <v>89</v>
      </c>
      <c r="AA660" s="7" t="str">
        <f aca="false">IFERROR(INDEX(02_轉折點45!B:B,MATCH(A660,02_轉折點45!A:A,0)),"")</f>
        <v/>
      </c>
      <c r="AB660" s="7" t="n">
        <f aca="false">COUNTIFS(05_訊號明細!A:A,A660,05_訊號明細!C:C,"TOP")</f>
        <v>0</v>
      </c>
      <c r="AC660" s="7" t="n">
        <f aca="false">COUNTIFS(05_訊號明細!A:A,A660,05_訊號明細!C:C,"BOTTOM")</f>
        <v>0</v>
      </c>
    </row>
    <row r="661" customFormat="false" ht="15" hidden="false" customHeight="false" outlineLevel="0" collapsed="false">
      <c r="A661" s="7" t="s">
        <v>702</v>
      </c>
      <c r="B661" s="7" t="n">
        <v>13384.65</v>
      </c>
      <c r="C661" s="7" t="n">
        <v>13565.87</v>
      </c>
      <c r="D661" s="7" t="n">
        <v>13341.65</v>
      </c>
      <c r="E661" s="7" t="n">
        <v>13565.87</v>
      </c>
      <c r="F661" s="7" t="n">
        <v>4783</v>
      </c>
      <c r="G661" s="7" t="n">
        <f aca="false">AVERAGE(E657:E661)</f>
        <v>13280.702</v>
      </c>
      <c r="H661" s="7" t="n">
        <f aca="false">AVERAGE(E652:E661)</f>
        <v>13201.788</v>
      </c>
      <c r="I661" s="7" t="n">
        <f aca="false">AVERAGE(E642:E661)</f>
        <v>12814.149</v>
      </c>
      <c r="J661" s="7" t="n">
        <f aca="false">AVERAGE(E612:E661)</f>
        <v>12251.3</v>
      </c>
      <c r="K661" s="7" t="n">
        <f aca="false">AVERAGE(E562:E661)</f>
        <v>12830.4154</v>
      </c>
      <c r="L661" s="7" t="n">
        <f aca="false">AVERAGE(E462:E661)</f>
        <v>14056.20285</v>
      </c>
      <c r="M661" s="7" t="n">
        <f aca="false">I661</f>
        <v>12814.149</v>
      </c>
      <c r="N661" s="7" t="n">
        <f aca="false">I661+2*STDEV(E642:E661)</f>
        <v>13762.5813551252</v>
      </c>
      <c r="O661" s="7" t="n">
        <f aca="false">I661-2*STDEV(E642:E661)</f>
        <v>11865.7166448748</v>
      </c>
      <c r="P661" s="7" t="n">
        <f aca="false">MAX(E661-E660,0)</f>
        <v>273.880000000001</v>
      </c>
      <c r="Q661" s="7" t="n">
        <f aca="false">MAX(E660-E661,0)</f>
        <v>0</v>
      </c>
      <c r="R661" s="7" t="n">
        <f aca="false">(R660*13+P661)/14</f>
        <v>121.819443851771</v>
      </c>
      <c r="S661" s="7" t="n">
        <f aca="false">(S660*13+Q661)/14</f>
        <v>58.3980707516</v>
      </c>
      <c r="T661" s="7" t="n">
        <f aca="false">IF(S661=0,100,100-100/(1+R661/S661))</f>
        <v>67.5957850821967</v>
      </c>
      <c r="U661" s="7" t="n">
        <f aca="false">E661*2/13+U660*11/13</f>
        <v>13104.0727064508</v>
      </c>
      <c r="V661" s="7" t="n">
        <f aca="false">E661*2/27+V660*25/27</f>
        <v>12757.6237035978</v>
      </c>
      <c r="W661" s="7" t="n">
        <f aca="false">U661-V661</f>
        <v>346.449002852953</v>
      </c>
      <c r="X661" s="7" t="n">
        <f aca="false">W661*2/10+X660*8/10</f>
        <v>293.852097412422</v>
      </c>
      <c r="Y661" s="7" t="n">
        <f aca="false">W661-X661</f>
        <v>52.5969054405304</v>
      </c>
      <c r="Z661" s="9" t="s">
        <v>89</v>
      </c>
      <c r="AA661" s="7" t="str">
        <f aca="false">IFERROR(INDEX(02_轉折點45!B:B,MATCH(A661,02_轉折點45!A:A,0)),"")</f>
        <v/>
      </c>
      <c r="AB661" s="7" t="n">
        <f aca="false">COUNTIFS(05_訊號明細!A:A,A661,05_訊號明細!C:C,"TOP")</f>
        <v>0</v>
      </c>
      <c r="AC661" s="7" t="n">
        <f aca="false">COUNTIFS(05_訊號明細!A:A,A661,05_訊號明細!C:C,"BOTTOM")</f>
        <v>0</v>
      </c>
    </row>
    <row r="662" customFormat="false" ht="15" hidden="false" customHeight="false" outlineLevel="0" collapsed="false">
      <c r="A662" s="7" t="s">
        <v>703</v>
      </c>
      <c r="B662" s="7" t="n">
        <v>13529.66</v>
      </c>
      <c r="C662" s="7" t="n">
        <v>13685.65</v>
      </c>
      <c r="D662" s="7" t="n">
        <v>13524.53</v>
      </c>
      <c r="E662" s="7" t="n">
        <v>13667.18</v>
      </c>
      <c r="F662" s="7" t="n">
        <v>4476</v>
      </c>
      <c r="G662" s="7" t="n">
        <f aca="false">AVERAGE(E658:E662)</f>
        <v>13382.306</v>
      </c>
      <c r="H662" s="7" t="n">
        <f aca="false">AVERAGE(E653:E662)</f>
        <v>13274.428</v>
      </c>
      <c r="I662" s="7" t="n">
        <f aca="false">AVERAGE(E643:E662)</f>
        <v>12903.633</v>
      </c>
      <c r="J662" s="7" t="n">
        <f aca="false">AVERAGE(E613:E662)</f>
        <v>12266.7858</v>
      </c>
      <c r="K662" s="7" t="n">
        <f aca="false">AVERAGE(E563:E662)</f>
        <v>12820.5439</v>
      </c>
      <c r="L662" s="7" t="n">
        <f aca="false">AVERAGE(E463:E662)</f>
        <v>14046.5468</v>
      </c>
      <c r="M662" s="7" t="n">
        <f aca="false">I662</f>
        <v>12903.633</v>
      </c>
      <c r="N662" s="7" t="n">
        <f aca="false">I662+2*STDEV(E643:E662)</f>
        <v>13817.035141311</v>
      </c>
      <c r="O662" s="7" t="n">
        <f aca="false">I662-2*STDEV(E643:E662)</f>
        <v>11990.230858689</v>
      </c>
      <c r="P662" s="7" t="n">
        <f aca="false">MAX(E662-E661,0)</f>
        <v>101.309999999999</v>
      </c>
      <c r="Q662" s="7" t="n">
        <f aca="false">MAX(E661-E662,0)</f>
        <v>0</v>
      </c>
      <c r="R662" s="7" t="n">
        <f aca="false">(R661*13+P662)/14</f>
        <v>120.354483576645</v>
      </c>
      <c r="S662" s="7" t="n">
        <f aca="false">(S661*13+Q662)/14</f>
        <v>54.2267799836285</v>
      </c>
      <c r="T662" s="7" t="n">
        <f aca="false">IF(S662=0,100,100-100/(1+R662/S662))</f>
        <v>68.9389463234656</v>
      </c>
      <c r="U662" s="7" t="n">
        <f aca="false">E662*2/13+U661*11/13</f>
        <v>13190.704597766</v>
      </c>
      <c r="V662" s="7" t="n">
        <f aca="false">E662*2/27+V661*25/27</f>
        <v>12824.998244072</v>
      </c>
      <c r="W662" s="7" t="n">
        <f aca="false">U662-V662</f>
        <v>365.706353693984</v>
      </c>
      <c r="X662" s="7" t="n">
        <f aca="false">W662*2/10+X661*8/10</f>
        <v>308.222948668735</v>
      </c>
      <c r="Y662" s="7" t="n">
        <f aca="false">W662-X662</f>
        <v>57.4834050252495</v>
      </c>
      <c r="Z662" s="9" t="s">
        <v>89</v>
      </c>
      <c r="AA662" s="7" t="str">
        <f aca="false">IFERROR(INDEX(02_轉折點45!B:B,MATCH(A662,02_轉折點45!A:A,0)),"")</f>
        <v>TOP</v>
      </c>
      <c r="AB662" s="7" t="n">
        <f aca="false">COUNTIFS(05_訊號明細!A:A,A662,05_訊號明細!C:C,"TOP")</f>
        <v>0</v>
      </c>
      <c r="AC662" s="7" t="n">
        <f aca="false">COUNTIFS(05_訊號明細!A:A,A662,05_訊號明細!C:C,"BOTTOM")</f>
        <v>0</v>
      </c>
    </row>
    <row r="663" customFormat="false" ht="15" hidden="false" customHeight="false" outlineLevel="0" collapsed="false">
      <c r="A663" s="7" t="s">
        <v>704</v>
      </c>
      <c r="B663" s="7" t="n">
        <v>13617.66</v>
      </c>
      <c r="C663" s="7" t="n">
        <v>13720.91</v>
      </c>
      <c r="D663" s="7" t="n">
        <v>13508.47</v>
      </c>
      <c r="E663" s="7" t="n">
        <v>13635.21</v>
      </c>
      <c r="F663" s="7" t="n">
        <v>5028</v>
      </c>
      <c r="G663" s="7" t="n">
        <f aca="false">AVERAGE(E659:E663)</f>
        <v>13507.714</v>
      </c>
      <c r="H663" s="7" t="n">
        <f aca="false">AVERAGE(E654:E663)</f>
        <v>13347.789</v>
      </c>
      <c r="I663" s="7" t="n">
        <f aca="false">AVERAGE(E644:E663)</f>
        <v>12972.9225</v>
      </c>
      <c r="J663" s="7" t="n">
        <f aca="false">AVERAGE(E614:E663)</f>
        <v>12288.5294</v>
      </c>
      <c r="K663" s="7" t="n">
        <f aca="false">AVERAGE(E564:E663)</f>
        <v>12812.4205</v>
      </c>
      <c r="L663" s="7" t="n">
        <f aca="false">AVERAGE(E464:E663)</f>
        <v>14035.83205</v>
      </c>
      <c r="M663" s="7" t="n">
        <f aca="false">I663</f>
        <v>12972.9225</v>
      </c>
      <c r="N663" s="7" t="n">
        <f aca="false">I663+2*STDEV(E644:E663)</f>
        <v>13887.6132504064</v>
      </c>
      <c r="O663" s="7" t="n">
        <f aca="false">I663-2*STDEV(E644:E663)</f>
        <v>12058.2317495936</v>
      </c>
      <c r="P663" s="7" t="n">
        <f aca="false">MAX(E663-E662,0)</f>
        <v>0</v>
      </c>
      <c r="Q663" s="7" t="n">
        <f aca="false">MAX(E662-E663,0)</f>
        <v>31.9700000000012</v>
      </c>
      <c r="R663" s="7" t="n">
        <f aca="false">(R662*13+P663)/14</f>
        <v>111.757734749742</v>
      </c>
      <c r="S663" s="7" t="n">
        <f aca="false">(S662*13+Q663)/14</f>
        <v>52.637009984798</v>
      </c>
      <c r="T663" s="7" t="n">
        <f aca="false">IF(S663=0,100,100-100/(1+R663/S663))</f>
        <v>67.9813305043328</v>
      </c>
      <c r="U663" s="7" t="n">
        <f aca="false">E663*2/13+U662*11/13</f>
        <v>13259.0900442636</v>
      </c>
      <c r="V663" s="7" t="n">
        <f aca="false">E663*2/27+V662*25/27</f>
        <v>12885.0139296963</v>
      </c>
      <c r="W663" s="7" t="n">
        <f aca="false">U663-V663</f>
        <v>374.076114567224</v>
      </c>
      <c r="X663" s="7" t="n">
        <f aca="false">W663*2/10+X662*8/10</f>
        <v>321.393581848433</v>
      </c>
      <c r="Y663" s="7" t="n">
        <f aca="false">W663-X663</f>
        <v>52.6825327187916</v>
      </c>
      <c r="Z663" s="9" t="s">
        <v>89</v>
      </c>
      <c r="AA663" s="7" t="str">
        <f aca="false">IFERROR(INDEX(02_轉折點45!B:B,MATCH(A663,02_轉折點45!A:A,0)),"")</f>
        <v/>
      </c>
      <c r="AB663" s="7" t="n">
        <f aca="false">COUNTIFS(05_訊號明細!A:A,A663,05_訊號明細!C:C,"TOP")</f>
        <v>0</v>
      </c>
      <c r="AC663" s="7" t="n">
        <f aca="false">COUNTIFS(05_訊號明細!A:A,A663,05_訊號明細!C:C,"BOTTOM")</f>
        <v>0</v>
      </c>
    </row>
    <row r="664" customFormat="false" ht="15" hidden="false" customHeight="false" outlineLevel="0" collapsed="false">
      <c r="A664" s="7" t="s">
        <v>705</v>
      </c>
      <c r="B664" s="7" t="n">
        <v>13499.24</v>
      </c>
      <c r="C664" s="7" t="n">
        <v>13591.58</v>
      </c>
      <c r="D664" s="7" t="n">
        <v>13389.82</v>
      </c>
      <c r="E664" s="7" t="n">
        <v>13470.86</v>
      </c>
      <c r="F664" s="7" t="n">
        <v>5230</v>
      </c>
      <c r="G664" s="7" t="n">
        <f aca="false">AVERAGE(E660:E664)</f>
        <v>13526.222</v>
      </c>
      <c r="H664" s="7" t="n">
        <f aca="false">AVERAGE(E655:E664)</f>
        <v>13369.549</v>
      </c>
      <c r="I664" s="7" t="n">
        <f aca="false">AVERAGE(E645:E664)</f>
        <v>13024.4815</v>
      </c>
      <c r="J664" s="7" t="n">
        <f aca="false">AVERAGE(E615:E664)</f>
        <v>12305.954</v>
      </c>
      <c r="K664" s="7" t="n">
        <f aca="false">AVERAGE(E565:E664)</f>
        <v>12799.4722</v>
      </c>
      <c r="L664" s="7" t="n">
        <f aca="false">AVERAGE(E465:E664)</f>
        <v>14023.934</v>
      </c>
      <c r="M664" s="7" t="n">
        <f aca="false">I664</f>
        <v>13024.4815</v>
      </c>
      <c r="N664" s="7" t="n">
        <f aca="false">I664+2*STDEV(E645:E664)</f>
        <v>13928.8054560031</v>
      </c>
      <c r="O664" s="7" t="n">
        <f aca="false">I664-2*STDEV(E645:E664)</f>
        <v>12120.1575439969</v>
      </c>
      <c r="P664" s="7" t="n">
        <f aca="false">MAX(E664-E663,0)</f>
        <v>0</v>
      </c>
      <c r="Q664" s="7" t="n">
        <f aca="false">MAX(E663-E664,0)</f>
        <v>164.349999999999</v>
      </c>
      <c r="R664" s="7" t="n">
        <f aca="false">(R663*13+P664)/14</f>
        <v>103.775039410474</v>
      </c>
      <c r="S664" s="7" t="n">
        <f aca="false">(S663*13+Q664)/14</f>
        <v>60.6165092715981</v>
      </c>
      <c r="T664" s="7" t="n">
        <f aca="false">IF(S664=0,100,100-100/(1+R664/S664))</f>
        <v>63.1267484505373</v>
      </c>
      <c r="U664" s="7" t="n">
        <f aca="false">E664*2/13+U663*11/13</f>
        <v>13291.6700374538</v>
      </c>
      <c r="V664" s="7" t="n">
        <f aca="false">E664*2/27+V663*25/27</f>
        <v>12928.409934904</v>
      </c>
      <c r="W664" s="7" t="n">
        <f aca="false">U664-V664</f>
        <v>363.260102549766</v>
      </c>
      <c r="X664" s="7" t="n">
        <f aca="false">W664*2/10+X663*8/10</f>
        <v>329.766885988699</v>
      </c>
      <c r="Y664" s="7" t="n">
        <f aca="false">W664-X664</f>
        <v>33.4932165610668</v>
      </c>
      <c r="Z664" s="9" t="s">
        <v>89</v>
      </c>
      <c r="AA664" s="7" t="str">
        <f aca="false">IFERROR(INDEX(02_轉折點45!B:B,MATCH(A664,02_轉折點45!A:A,0)),"")</f>
        <v/>
      </c>
      <c r="AB664" s="7" t="n">
        <f aca="false">COUNTIFS(05_訊號明細!A:A,A664,05_訊號明細!C:C,"TOP")</f>
        <v>0</v>
      </c>
      <c r="AC664" s="7" t="n">
        <f aca="false">COUNTIFS(05_訊號明細!A:A,A664,05_訊號明細!C:C,"BOTTOM")</f>
        <v>0</v>
      </c>
    </row>
    <row r="665" customFormat="false" ht="15" hidden="false" customHeight="false" outlineLevel="0" collapsed="false">
      <c r="A665" s="7" t="s">
        <v>706</v>
      </c>
      <c r="B665" s="7" t="n">
        <v>13474.24</v>
      </c>
      <c r="C665" s="7" t="n">
        <v>13553.28</v>
      </c>
      <c r="D665" s="7" t="n">
        <v>13405.74</v>
      </c>
      <c r="E665" s="7" t="n">
        <v>13505.99</v>
      </c>
      <c r="F665" s="7" t="n">
        <v>4724</v>
      </c>
      <c r="G665" s="7" t="n">
        <f aca="false">AVERAGE(E661:E665)</f>
        <v>13569.022</v>
      </c>
      <c r="H665" s="7" t="n">
        <f aca="false">AVERAGE(E656:E665)</f>
        <v>13389.044</v>
      </c>
      <c r="I665" s="7" t="n">
        <f aca="false">AVERAGE(E646:E665)</f>
        <v>13068.8105</v>
      </c>
      <c r="J665" s="7" t="n">
        <f aca="false">AVERAGE(E616:E665)</f>
        <v>12321.8402</v>
      </c>
      <c r="K665" s="7" t="n">
        <f aca="false">AVERAGE(E566:E665)</f>
        <v>12786.989</v>
      </c>
      <c r="L665" s="7" t="n">
        <f aca="false">AVERAGE(E466:E665)</f>
        <v>14011.93755</v>
      </c>
      <c r="M665" s="7" t="n">
        <f aca="false">I665</f>
        <v>13068.8105</v>
      </c>
      <c r="N665" s="7" t="n">
        <f aca="false">I665+2*STDEV(E646:E665)</f>
        <v>13976.4418816215</v>
      </c>
      <c r="O665" s="7" t="n">
        <f aca="false">I665-2*STDEV(E646:E665)</f>
        <v>12161.1791183785</v>
      </c>
      <c r="P665" s="7" t="n">
        <f aca="false">MAX(E665-E664,0)</f>
        <v>35.1299999999992</v>
      </c>
      <c r="Q665" s="7" t="n">
        <f aca="false">MAX(E664-E665,0)</f>
        <v>0</v>
      </c>
      <c r="R665" s="7" t="n">
        <f aca="false">(R664*13+P665)/14</f>
        <v>98.8718223097261</v>
      </c>
      <c r="S665" s="7" t="n">
        <f aca="false">(S664*13+Q665)/14</f>
        <v>56.2867586093411</v>
      </c>
      <c r="T665" s="7" t="n">
        <f aca="false">IF(S665=0,100,100-100/(1+R665/S665))</f>
        <v>63.7230772053136</v>
      </c>
      <c r="U665" s="7" t="n">
        <f aca="false">E665*2/13+U664*11/13</f>
        <v>13324.642339384</v>
      </c>
      <c r="V665" s="7" t="n">
        <f aca="false">E665*2/27+V664*25/27</f>
        <v>12971.1936434296</v>
      </c>
      <c r="W665" s="7" t="n">
        <f aca="false">U665-V665</f>
        <v>353.448695954325</v>
      </c>
      <c r="X665" s="7" t="n">
        <f aca="false">W665*2/10+X664*8/10</f>
        <v>334.503247981824</v>
      </c>
      <c r="Y665" s="7" t="n">
        <f aca="false">W665-X665</f>
        <v>18.9454479725003</v>
      </c>
      <c r="Z665" s="9" t="s">
        <v>89</v>
      </c>
      <c r="AA665" s="7" t="str">
        <f aca="false">IFERROR(INDEX(02_轉折點45!B:B,MATCH(A665,02_轉折點45!A:A,0)),"")</f>
        <v/>
      </c>
      <c r="AB665" s="7" t="n">
        <f aca="false">COUNTIFS(05_訊號明細!A:A,A665,05_訊號明細!C:C,"TOP")</f>
        <v>0</v>
      </c>
      <c r="AC665" s="7" t="n">
        <f aca="false">COUNTIFS(05_訊號明細!A:A,A665,05_訊號明細!C:C,"BOTTOM")</f>
        <v>0</v>
      </c>
    </row>
    <row r="666" customFormat="false" ht="15" hidden="false" customHeight="false" outlineLevel="0" collapsed="false">
      <c r="A666" s="7" t="s">
        <v>707</v>
      </c>
      <c r="B666" s="7" t="n">
        <v>13370.25</v>
      </c>
      <c r="C666" s="7" t="n">
        <v>13402.61</v>
      </c>
      <c r="D666" s="7" t="n">
        <v>13210.82</v>
      </c>
      <c r="E666" s="7" t="n">
        <v>13242.9</v>
      </c>
      <c r="F666" s="7" t="n">
        <v>4628</v>
      </c>
      <c r="G666" s="7" t="n">
        <f aca="false">AVERAGE(E662:E666)</f>
        <v>13504.428</v>
      </c>
      <c r="H666" s="7" t="n">
        <f aca="false">AVERAGE(E657:E666)</f>
        <v>13392.565</v>
      </c>
      <c r="I666" s="7" t="n">
        <f aca="false">AVERAGE(E647:E666)</f>
        <v>13111.132</v>
      </c>
      <c r="J666" s="7" t="n">
        <f aca="false">AVERAGE(E617:E666)</f>
        <v>12334.3956</v>
      </c>
      <c r="K666" s="7" t="n">
        <f aca="false">AVERAGE(E567:E666)</f>
        <v>12769.544</v>
      </c>
      <c r="L666" s="7" t="n">
        <f aca="false">AVERAGE(E467:E666)</f>
        <v>13998.2896</v>
      </c>
      <c r="M666" s="7" t="n">
        <f aca="false">I666</f>
        <v>13111.132</v>
      </c>
      <c r="N666" s="7" t="n">
        <f aca="false">I666+2*STDEV(E647:E666)</f>
        <v>13964.0487494539</v>
      </c>
      <c r="O666" s="7" t="n">
        <f aca="false">I666-2*STDEV(E647:E666)</f>
        <v>12258.2152505461</v>
      </c>
      <c r="P666" s="7" t="n">
        <f aca="false">MAX(E666-E665,0)</f>
        <v>0</v>
      </c>
      <c r="Q666" s="7" t="n">
        <f aca="false">MAX(E665-E666,0)</f>
        <v>263.09</v>
      </c>
      <c r="R666" s="7" t="n">
        <f aca="false">(R665*13+P666)/14</f>
        <v>91.8095492876028</v>
      </c>
      <c r="S666" s="7" t="n">
        <f aca="false">(S665*13+Q666)/14</f>
        <v>71.0584187086738</v>
      </c>
      <c r="T666" s="7" t="n">
        <f aca="false">IF(S666=0,100,100-100/(1+R666/S666))</f>
        <v>56.3705376920412</v>
      </c>
      <c r="U666" s="7" t="n">
        <f aca="false">E666*2/13+U665*11/13</f>
        <v>13312.0665948634</v>
      </c>
      <c r="V666" s="7" t="n">
        <f aca="false">E666*2/27+V665*25/27</f>
        <v>12991.3200402126</v>
      </c>
      <c r="W666" s="7" t="n">
        <f aca="false">U666-V666</f>
        <v>320.746554650725</v>
      </c>
      <c r="X666" s="7" t="n">
        <f aca="false">W666*2/10+X665*8/10</f>
        <v>331.751909315604</v>
      </c>
      <c r="Y666" s="7" t="n">
        <f aca="false">W666-X666</f>
        <v>-11.0053546648797</v>
      </c>
      <c r="Z666" s="9" t="s">
        <v>89</v>
      </c>
      <c r="AA666" s="7" t="str">
        <f aca="false">IFERROR(INDEX(02_轉折點45!B:B,MATCH(A666,02_轉折點45!A:A,0)),"")</f>
        <v/>
      </c>
      <c r="AB666" s="7" t="n">
        <f aca="false">COUNTIFS(05_訊號明細!A:A,A666,05_訊號明細!C:C,"TOP")</f>
        <v>0</v>
      </c>
      <c r="AC666" s="7" t="n">
        <f aca="false">COUNTIFS(05_訊號明細!A:A,A666,05_訊號明細!C:C,"BOTTOM")</f>
        <v>0</v>
      </c>
    </row>
    <row r="667" customFormat="false" ht="15" hidden="false" customHeight="false" outlineLevel="0" collapsed="false">
      <c r="A667" s="7" t="s">
        <v>708</v>
      </c>
      <c r="B667" s="7" t="n">
        <v>13056.39</v>
      </c>
      <c r="C667" s="7" t="n">
        <v>13073.07</v>
      </c>
      <c r="D667" s="7" t="n">
        <v>12859.82</v>
      </c>
      <c r="E667" s="7" t="n">
        <v>12890.54</v>
      </c>
      <c r="F667" s="7" t="n">
        <v>4271</v>
      </c>
      <c r="G667" s="7" t="n">
        <f aca="false">AVERAGE(E663:E667)</f>
        <v>13349.1</v>
      </c>
      <c r="H667" s="7" t="n">
        <f aca="false">AVERAGE(E658:E667)</f>
        <v>13365.703</v>
      </c>
      <c r="I667" s="7" t="n">
        <f aca="false">AVERAGE(E648:E667)</f>
        <v>13139.2385</v>
      </c>
      <c r="J667" s="7" t="n">
        <f aca="false">AVERAGE(E618:E667)</f>
        <v>12346.8108</v>
      </c>
      <c r="K667" s="7" t="n">
        <f aca="false">AVERAGE(E568:E667)</f>
        <v>12746.0562</v>
      </c>
      <c r="L667" s="7" t="n">
        <f aca="false">AVERAGE(E468:E667)</f>
        <v>13982.0198</v>
      </c>
      <c r="M667" s="7" t="n">
        <f aca="false">I667</f>
        <v>13139.2385</v>
      </c>
      <c r="N667" s="7" t="n">
        <f aca="false">I667+2*STDEV(E648:E667)</f>
        <v>13917.3165310557</v>
      </c>
      <c r="O667" s="7" t="n">
        <f aca="false">I667-2*STDEV(E648:E667)</f>
        <v>12361.1604689443</v>
      </c>
      <c r="P667" s="7" t="n">
        <f aca="false">MAX(E667-E666,0)</f>
        <v>0</v>
      </c>
      <c r="Q667" s="7" t="n">
        <f aca="false">MAX(E666-E667,0)</f>
        <v>352.359999999999</v>
      </c>
      <c r="R667" s="7" t="n">
        <f aca="false">(R666*13+P667)/14</f>
        <v>85.2517243384883</v>
      </c>
      <c r="S667" s="7" t="n">
        <f aca="false">(S666*13+Q667)/14</f>
        <v>91.1513888009113</v>
      </c>
      <c r="T667" s="7" t="n">
        <f aca="false">IF(S667=0,100,100-100/(1+R667/S667))</f>
        <v>48.3277890176006</v>
      </c>
      <c r="U667" s="7" t="n">
        <f aca="false">E667*2/13+U666*11/13</f>
        <v>13247.2163494998</v>
      </c>
      <c r="V667" s="7" t="n">
        <f aca="false">E667*2/27+V666*25/27</f>
        <v>12983.8548520487</v>
      </c>
      <c r="W667" s="7" t="n">
        <f aca="false">U667-V667</f>
        <v>263.361497451027</v>
      </c>
      <c r="X667" s="7" t="n">
        <f aca="false">W667*2/10+X666*8/10</f>
        <v>318.073826942689</v>
      </c>
      <c r="Y667" s="7" t="n">
        <f aca="false">W667-X667</f>
        <v>-54.7123294916616</v>
      </c>
      <c r="Z667" s="9" t="s">
        <v>89</v>
      </c>
      <c r="AA667" s="7" t="str">
        <f aca="false">IFERROR(INDEX(02_轉折點45!B:B,MATCH(A667,02_轉折點45!A:A,0)),"")</f>
        <v/>
      </c>
      <c r="AB667" s="7" t="n">
        <f aca="false">COUNTIFS(05_訊號明細!A:A,A667,05_訊號明細!C:C,"TOP")</f>
        <v>0</v>
      </c>
      <c r="AC667" s="7" t="n">
        <f aca="false">COUNTIFS(05_訊號明細!A:A,A667,05_訊號明細!C:C,"BOTTOM")</f>
        <v>0</v>
      </c>
    </row>
    <row r="668" customFormat="false" ht="15" hidden="false" customHeight="false" outlineLevel="0" collapsed="false">
      <c r="A668" s="7" t="s">
        <v>709</v>
      </c>
      <c r="B668" s="7" t="n">
        <v>12885.28</v>
      </c>
      <c r="C668" s="7" t="n">
        <v>13000.71</v>
      </c>
      <c r="D668" s="7" t="n">
        <v>12852.7</v>
      </c>
      <c r="E668" s="7" t="n">
        <v>12881.79</v>
      </c>
      <c r="F668" s="7" t="n">
        <v>3836</v>
      </c>
      <c r="G668" s="7" t="n">
        <f aca="false">AVERAGE(E664:E668)</f>
        <v>13198.416</v>
      </c>
      <c r="H668" s="7" t="n">
        <f aca="false">AVERAGE(E659:E668)</f>
        <v>13353.065</v>
      </c>
      <c r="I668" s="7" t="n">
        <f aca="false">AVERAGE(E649:E668)</f>
        <v>13178.983</v>
      </c>
      <c r="J668" s="7" t="n">
        <f aca="false">AVERAGE(E619:E668)</f>
        <v>12367.7902</v>
      </c>
      <c r="K668" s="7" t="n">
        <f aca="false">AVERAGE(E569:E668)</f>
        <v>12724.1586</v>
      </c>
      <c r="L668" s="7" t="n">
        <f aca="false">AVERAGE(E469:E668)</f>
        <v>13964.69755</v>
      </c>
      <c r="M668" s="7" t="n">
        <f aca="false">I668</f>
        <v>13178.983</v>
      </c>
      <c r="N668" s="7" t="n">
        <f aca="false">I668+2*STDEV(E649:E668)</f>
        <v>13795.0736738494</v>
      </c>
      <c r="O668" s="7" t="n">
        <f aca="false">I668-2*STDEV(E649:E668)</f>
        <v>12562.8923261506</v>
      </c>
      <c r="P668" s="7" t="n">
        <f aca="false">MAX(E668-E667,0)</f>
        <v>0</v>
      </c>
      <c r="Q668" s="7" t="n">
        <f aca="false">MAX(E667-E668,0)</f>
        <v>8.75</v>
      </c>
      <c r="R668" s="7" t="n">
        <f aca="false">(R667*13+P668)/14</f>
        <v>79.1623154571677</v>
      </c>
      <c r="S668" s="7" t="n">
        <f aca="false">(S667*13+Q668)/14</f>
        <v>85.265575315132</v>
      </c>
      <c r="T668" s="7" t="n">
        <f aca="false">IF(S668=0,100,100-100/(1+R668/S668))</f>
        <v>48.1440922737323</v>
      </c>
      <c r="U668" s="7" t="n">
        <f aca="false">E668*2/13+U667*11/13</f>
        <v>13190.9969111152</v>
      </c>
      <c r="V668" s="7" t="n">
        <f aca="false">E668*2/27+V667*25/27</f>
        <v>12976.2944926377</v>
      </c>
      <c r="W668" s="7" t="n">
        <f aca="false">U668-V668</f>
        <v>214.702418477465</v>
      </c>
      <c r="X668" s="7" t="n">
        <f aca="false">W668*2/10+X667*8/10</f>
        <v>297.399545249644</v>
      </c>
      <c r="Y668" s="7" t="n">
        <f aca="false">W668-X668</f>
        <v>-82.6971267721788</v>
      </c>
      <c r="Z668" s="9" t="s">
        <v>89</v>
      </c>
      <c r="AA668" s="7" t="str">
        <f aca="false">IFERROR(INDEX(02_轉折點45!B:B,MATCH(A668,02_轉折點45!A:A,0)),"")</f>
        <v/>
      </c>
      <c r="AB668" s="7" t="n">
        <f aca="false">COUNTIFS(05_訊號明細!A:A,A668,05_訊號明細!C:C,"TOP")</f>
        <v>0</v>
      </c>
      <c r="AC668" s="7" t="n">
        <f aca="false">COUNTIFS(05_訊號明細!A:A,A668,05_訊號明細!C:C,"BOTTOM")</f>
        <v>0</v>
      </c>
    </row>
    <row r="669" customFormat="false" ht="15" hidden="false" customHeight="false" outlineLevel="0" collapsed="false">
      <c r="A669" s="7" t="s">
        <v>710</v>
      </c>
      <c r="B669" s="7" t="n">
        <v>12876.23</v>
      </c>
      <c r="C669" s="7" t="n">
        <v>12995.14</v>
      </c>
      <c r="D669" s="7" t="n">
        <v>12843.58</v>
      </c>
      <c r="E669" s="7" t="n">
        <v>12917.86</v>
      </c>
      <c r="F669" s="7" t="n">
        <v>3917</v>
      </c>
      <c r="G669" s="7" t="n">
        <f aca="false">AVERAGE(E665:E669)</f>
        <v>13087.816</v>
      </c>
      <c r="H669" s="7" t="n">
        <f aca="false">AVERAGE(E660:E669)</f>
        <v>13307.019</v>
      </c>
      <c r="I669" s="7" t="n">
        <f aca="false">AVERAGE(E650:E669)</f>
        <v>13194.8025</v>
      </c>
      <c r="J669" s="7" t="n">
        <f aca="false">AVERAGE(E620:E669)</f>
        <v>12400.381</v>
      </c>
      <c r="K669" s="7" t="n">
        <f aca="false">AVERAGE(E570:E669)</f>
        <v>12704.9523</v>
      </c>
      <c r="L669" s="7" t="n">
        <f aca="false">AVERAGE(E470:E669)</f>
        <v>13947.48995</v>
      </c>
      <c r="M669" s="7" t="n">
        <f aca="false">I669</f>
        <v>13194.8025</v>
      </c>
      <c r="N669" s="7" t="n">
        <f aca="false">I669+2*STDEV(E650:E669)</f>
        <v>13762.8287200722</v>
      </c>
      <c r="O669" s="7" t="n">
        <f aca="false">I669-2*STDEV(E650:E669)</f>
        <v>12626.7762799278</v>
      </c>
      <c r="P669" s="7" t="n">
        <f aca="false">MAX(E669-E668,0)</f>
        <v>36.0699999999997</v>
      </c>
      <c r="Q669" s="7" t="n">
        <f aca="false">MAX(E668-E669,0)</f>
        <v>0</v>
      </c>
      <c r="R669" s="7" t="n">
        <f aca="false">(R668*13+P669)/14</f>
        <v>76.0842929245129</v>
      </c>
      <c r="S669" s="7" t="n">
        <f aca="false">(S668*13+Q669)/14</f>
        <v>79.1751770783368</v>
      </c>
      <c r="T669" s="7" t="n">
        <f aca="false">IF(S669=0,100,100-100/(1+R669/S669))</f>
        <v>49.0046068836358</v>
      </c>
      <c r="U669" s="7" t="n">
        <f aca="false">E669*2/13+U668*11/13</f>
        <v>13148.9758478667</v>
      </c>
      <c r="V669" s="7" t="n">
        <f aca="false">E669*2/27+V668*25/27</f>
        <v>12971.9660117016</v>
      </c>
      <c r="W669" s="7" t="n">
        <f aca="false">U669-V669</f>
        <v>177.009836165102</v>
      </c>
      <c r="X669" s="7" t="n">
        <f aca="false">W669*2/10+X668*8/10</f>
        <v>273.321603432736</v>
      </c>
      <c r="Y669" s="7" t="n">
        <f aca="false">W669-X669</f>
        <v>-96.3117672676341</v>
      </c>
      <c r="Z669" s="9" t="s">
        <v>89</v>
      </c>
      <c r="AA669" s="7" t="str">
        <f aca="false">IFERROR(INDEX(02_轉折點45!B:B,MATCH(A669,02_轉折點45!A:A,0)),"")</f>
        <v/>
      </c>
      <c r="AB669" s="7" t="n">
        <f aca="false">COUNTIFS(05_訊號明細!A:A,A669,05_訊號明細!C:C,"TOP")</f>
        <v>0</v>
      </c>
      <c r="AC669" s="7" t="n">
        <f aca="false">COUNTIFS(05_訊號明細!A:A,A669,05_訊號明細!C:C,"BOTTOM")</f>
        <v>0</v>
      </c>
    </row>
    <row r="670" customFormat="false" ht="15" hidden="false" customHeight="false" outlineLevel="0" collapsed="false">
      <c r="A670" s="7" t="s">
        <v>711</v>
      </c>
      <c r="B670" s="7" t="n">
        <v>12984.74</v>
      </c>
      <c r="C670" s="7" t="n">
        <v>13146.84</v>
      </c>
      <c r="D670" s="7" t="n">
        <v>12951.61</v>
      </c>
      <c r="E670" s="7" t="n">
        <v>13143.58</v>
      </c>
      <c r="F670" s="7" t="n">
        <v>4323</v>
      </c>
      <c r="G670" s="7" t="n">
        <f aca="false">AVERAGE(E666:E670)</f>
        <v>13015.334</v>
      </c>
      <c r="H670" s="7" t="n">
        <f aca="false">AVERAGE(E661:E670)</f>
        <v>13292.178</v>
      </c>
      <c r="I670" s="7" t="n">
        <f aca="false">AVERAGE(E651:E670)</f>
        <v>13216.088</v>
      </c>
      <c r="J670" s="7" t="n">
        <f aca="false">AVERAGE(E621:E670)</f>
        <v>12437.0188</v>
      </c>
      <c r="K670" s="7" t="n">
        <f aca="false">AVERAGE(E571:E670)</f>
        <v>12687.776</v>
      </c>
      <c r="L670" s="7" t="n">
        <f aca="false">AVERAGE(E471:E670)</f>
        <v>13931.5277</v>
      </c>
      <c r="M670" s="7" t="n">
        <f aca="false">I670</f>
        <v>13216.088</v>
      </c>
      <c r="N670" s="7" t="n">
        <f aca="false">I670+2*STDEV(E651:E670)</f>
        <v>13738.9753626358</v>
      </c>
      <c r="O670" s="7" t="n">
        <f aca="false">I670-2*STDEV(E651:E670)</f>
        <v>12693.2006373642</v>
      </c>
      <c r="P670" s="7" t="n">
        <f aca="false">MAX(E670-E669,0)</f>
        <v>225.719999999999</v>
      </c>
      <c r="Q670" s="7" t="n">
        <f aca="false">MAX(E669-E670,0)</f>
        <v>0</v>
      </c>
      <c r="R670" s="7" t="n">
        <f aca="false">(R669*13+P670)/14</f>
        <v>86.772557715619</v>
      </c>
      <c r="S670" s="7" t="n">
        <f aca="false">(S669*13+Q670)/14</f>
        <v>73.519807287027</v>
      </c>
      <c r="T670" s="7" t="n">
        <f aca="false">IF(S670=0,100,100-100/(1+R670/S670))</f>
        <v>54.1339306548921</v>
      </c>
      <c r="U670" s="7" t="n">
        <f aca="false">E670*2/13+U669*11/13</f>
        <v>13148.1457174257</v>
      </c>
      <c r="V670" s="7" t="n">
        <f aca="false">E670*2/27+V669*25/27</f>
        <v>12984.678158983</v>
      </c>
      <c r="W670" s="7" t="n">
        <f aca="false">U670-V670</f>
        <v>163.467558442708</v>
      </c>
      <c r="X670" s="7" t="n">
        <f aca="false">W670*2/10+X669*8/10</f>
        <v>251.35079443473</v>
      </c>
      <c r="Y670" s="7" t="n">
        <f aca="false">W670-X670</f>
        <v>-87.8832359920224</v>
      </c>
      <c r="Z670" s="9" t="s">
        <v>89</v>
      </c>
      <c r="AA670" s="7" t="str">
        <f aca="false">IFERROR(INDEX(02_轉折點45!B:B,MATCH(A670,02_轉折點45!A:A,0)),"")</f>
        <v/>
      </c>
      <c r="AB670" s="7" t="n">
        <f aca="false">COUNTIFS(05_訊號明細!A:A,A670,05_訊號明細!C:C,"TOP")</f>
        <v>0</v>
      </c>
      <c r="AC670" s="7" t="n">
        <f aca="false">COUNTIFS(05_訊號明細!A:A,A670,05_訊號明細!C:C,"BOTTOM")</f>
        <v>0</v>
      </c>
    </row>
    <row r="671" customFormat="false" ht="15" hidden="false" customHeight="false" outlineLevel="0" collapsed="false">
      <c r="A671" s="7" t="s">
        <v>712</v>
      </c>
      <c r="B671" s="7" t="n">
        <v>13129.91</v>
      </c>
      <c r="C671" s="7" t="n">
        <v>13175.25</v>
      </c>
      <c r="D671" s="7" t="n">
        <v>12603.41</v>
      </c>
      <c r="E671" s="7" t="n">
        <v>12605.17</v>
      </c>
      <c r="F671" s="7" t="n">
        <v>4530</v>
      </c>
      <c r="G671" s="7" t="n">
        <f aca="false">AVERAGE(E667:E671)</f>
        <v>12887.788</v>
      </c>
      <c r="H671" s="7" t="n">
        <f aca="false">AVERAGE(E662:E671)</f>
        <v>13196.108</v>
      </c>
      <c r="I671" s="7" t="n">
        <f aca="false">AVERAGE(E652:E671)</f>
        <v>13198.948</v>
      </c>
      <c r="J671" s="7" t="n">
        <f aca="false">AVERAGE(E622:E671)</f>
        <v>12457.2468</v>
      </c>
      <c r="K671" s="7" t="n">
        <f aca="false">AVERAGE(E572:E671)</f>
        <v>12662.2319</v>
      </c>
      <c r="L671" s="7" t="n">
        <f aca="false">AVERAGE(E472:E671)</f>
        <v>13913.45385</v>
      </c>
      <c r="M671" s="7" t="n">
        <f aca="false">I671</f>
        <v>13198.948</v>
      </c>
      <c r="N671" s="7" t="n">
        <f aca="false">I671+2*STDEV(E652:E671)</f>
        <v>13778.2690400424</v>
      </c>
      <c r="O671" s="7" t="n">
        <f aca="false">I671-2*STDEV(E652:E671)</f>
        <v>12619.6269599576</v>
      </c>
      <c r="P671" s="7" t="n">
        <f aca="false">MAX(E671-E670,0)</f>
        <v>0</v>
      </c>
      <c r="Q671" s="7" t="n">
        <f aca="false">MAX(E670-E671,0)</f>
        <v>538.41</v>
      </c>
      <c r="R671" s="7" t="n">
        <f aca="false">(R670*13+P671)/14</f>
        <v>80.5745178787891</v>
      </c>
      <c r="S671" s="7" t="n">
        <f aca="false">(S670*13+Q671)/14</f>
        <v>106.726249623668</v>
      </c>
      <c r="T671" s="7" t="n">
        <f aca="false">IF(S671=0,100,100-100/(1+R671/S671))</f>
        <v>43.0187868171614</v>
      </c>
      <c r="U671" s="7" t="n">
        <f aca="false">E671*2/13+U670*11/13</f>
        <v>13064.6109916679</v>
      </c>
      <c r="V671" s="7" t="n">
        <f aca="false">E671*2/27+V670*25/27</f>
        <v>12956.5664435027</v>
      </c>
      <c r="W671" s="7" t="n">
        <f aca="false">U671-V671</f>
        <v>108.044548165131</v>
      </c>
      <c r="X671" s="7" t="n">
        <f aca="false">W671*2/10+X670*8/10</f>
        <v>222.68954518081</v>
      </c>
      <c r="Y671" s="7" t="n">
        <f aca="false">W671-X671</f>
        <v>-114.644997015679</v>
      </c>
      <c r="Z671" s="9" t="s">
        <v>89</v>
      </c>
      <c r="AA671" s="7" t="str">
        <f aca="false">IFERROR(INDEX(02_轉折點45!B:B,MATCH(A671,02_轉折點45!A:A,0)),"")</f>
        <v/>
      </c>
      <c r="AB671" s="7" t="n">
        <f aca="false">COUNTIFS(05_訊號明細!A:A,A671,05_訊號明細!C:C,"TOP")</f>
        <v>0</v>
      </c>
      <c r="AC671" s="7" t="n">
        <f aca="false">COUNTIFS(05_訊號明細!A:A,A671,05_訊號明細!C:C,"BOTTOM")</f>
        <v>0</v>
      </c>
    </row>
    <row r="672" customFormat="false" ht="15" hidden="false" customHeight="false" outlineLevel="0" collapsed="false">
      <c r="A672" s="7" t="s">
        <v>713</v>
      </c>
      <c r="B672" s="7" t="n">
        <v>12488.46</v>
      </c>
      <c r="C672" s="7" t="n">
        <v>12594.34</v>
      </c>
      <c r="D672" s="7" t="n">
        <v>12440.4</v>
      </c>
      <c r="E672" s="7" t="n">
        <v>12484.32</v>
      </c>
      <c r="F672" s="7" t="n">
        <v>4210</v>
      </c>
      <c r="G672" s="7" t="n">
        <f aca="false">AVERAGE(E668:E672)</f>
        <v>12806.544</v>
      </c>
      <c r="H672" s="7" t="n">
        <f aca="false">AVERAGE(E663:E672)</f>
        <v>13077.822</v>
      </c>
      <c r="I672" s="7" t="n">
        <f aca="false">AVERAGE(E653:E672)</f>
        <v>13176.125</v>
      </c>
      <c r="J672" s="7" t="n">
        <f aca="false">AVERAGE(E623:E672)</f>
        <v>12484.3818</v>
      </c>
      <c r="K672" s="7" t="n">
        <f aca="false">AVERAGE(E573:E672)</f>
        <v>12638.8687</v>
      </c>
      <c r="L672" s="7" t="n">
        <f aca="false">AVERAGE(E473:E672)</f>
        <v>13895.9476</v>
      </c>
      <c r="M672" s="7" t="n">
        <f aca="false">I672</f>
        <v>13176.125</v>
      </c>
      <c r="N672" s="7" t="n">
        <f aca="false">I672+2*STDEV(E653:E672)</f>
        <v>13829.5025882452</v>
      </c>
      <c r="O672" s="7" t="n">
        <f aca="false">I672-2*STDEV(E653:E672)</f>
        <v>12522.7474117548</v>
      </c>
      <c r="P672" s="7" t="n">
        <f aca="false">MAX(E672-E671,0)</f>
        <v>0</v>
      </c>
      <c r="Q672" s="7" t="n">
        <f aca="false">MAX(E671-E672,0)</f>
        <v>120.85</v>
      </c>
      <c r="R672" s="7" t="n">
        <f aca="false">(R671*13+P672)/14</f>
        <v>74.8191951731613</v>
      </c>
      <c r="S672" s="7" t="n">
        <f aca="false">(S671*13+Q672)/14</f>
        <v>107.735088936263</v>
      </c>
      <c r="T672" s="7" t="n">
        <f aca="false">IF(S672=0,100,100-100/(1+R672/S672))</f>
        <v>40.984628510999</v>
      </c>
      <c r="U672" s="7" t="n">
        <f aca="false">E672*2/13+U671*11/13</f>
        <v>12975.3354544882</v>
      </c>
      <c r="V672" s="7" t="n">
        <f aca="false">E672*2/27+V671*25/27</f>
        <v>12921.5852254655</v>
      </c>
      <c r="W672" s="7" t="n">
        <f aca="false">U672-V672</f>
        <v>53.7502290226985</v>
      </c>
      <c r="X672" s="7" t="n">
        <f aca="false">W672*2/10+X671*8/10</f>
        <v>188.901681949188</v>
      </c>
      <c r="Y672" s="7" t="n">
        <f aca="false">W672-X672</f>
        <v>-135.15145292649</v>
      </c>
      <c r="Z672" s="9" t="s">
        <v>89</v>
      </c>
      <c r="AA672" s="7" t="str">
        <f aca="false">IFERROR(INDEX(02_轉折點45!B:B,MATCH(A672,02_轉折點45!A:A,0)),"")</f>
        <v/>
      </c>
      <c r="AB672" s="7" t="n">
        <f aca="false">COUNTIFS(05_訊號明細!A:A,A672,05_訊號明細!C:C,"TOP")</f>
        <v>0</v>
      </c>
      <c r="AC672" s="7" t="n">
        <f aca="false">COUNTIFS(05_訊號明細!A:A,A672,05_訊號明細!C:C,"BOTTOM")</f>
        <v>0</v>
      </c>
    </row>
    <row r="673" customFormat="false" ht="15" hidden="false" customHeight="false" outlineLevel="0" collapsed="false">
      <c r="A673" s="7" t="s">
        <v>714</v>
      </c>
      <c r="B673" s="7" t="n">
        <v>12562.4</v>
      </c>
      <c r="C673" s="7" t="n">
        <v>12572.88</v>
      </c>
      <c r="D673" s="7" t="n">
        <v>12240.82</v>
      </c>
      <c r="E673" s="7" t="n">
        <v>12342.7</v>
      </c>
      <c r="F673" s="7" t="n">
        <v>4682</v>
      </c>
      <c r="G673" s="7" t="n">
        <f aca="false">AVERAGE(E669:E673)</f>
        <v>12698.726</v>
      </c>
      <c r="H673" s="7" t="n">
        <f aca="false">AVERAGE(E664:E673)</f>
        <v>12948.571</v>
      </c>
      <c r="I673" s="7" t="n">
        <f aca="false">AVERAGE(E654:E673)</f>
        <v>13148.18</v>
      </c>
      <c r="J673" s="7" t="n">
        <f aca="false">AVERAGE(E624:E673)</f>
        <v>12505.916</v>
      </c>
      <c r="K673" s="7" t="n">
        <f aca="false">AVERAGE(E574:E673)</f>
        <v>12617.3068</v>
      </c>
      <c r="L673" s="7" t="n">
        <f aca="false">AVERAGE(E474:E673)</f>
        <v>13877.49875</v>
      </c>
      <c r="M673" s="7" t="n">
        <f aca="false">I673</f>
        <v>13148.18</v>
      </c>
      <c r="N673" s="7" t="n">
        <f aca="false">I673+2*STDEV(E654:E673)</f>
        <v>13892.477703653</v>
      </c>
      <c r="O673" s="7" t="n">
        <f aca="false">I673-2*STDEV(E654:E673)</f>
        <v>12403.882296347</v>
      </c>
      <c r="P673" s="7" t="n">
        <f aca="false">MAX(E673-E672,0)</f>
        <v>0</v>
      </c>
      <c r="Q673" s="7" t="n">
        <f aca="false">MAX(E672-E673,0)</f>
        <v>141.619999999999</v>
      </c>
      <c r="R673" s="7" t="n">
        <f aca="false">(R672*13+P673)/14</f>
        <v>69.4749669465069</v>
      </c>
      <c r="S673" s="7" t="n">
        <f aca="false">(S672*13+Q673)/14</f>
        <v>110.15543972653</v>
      </c>
      <c r="T673" s="7" t="n">
        <f aca="false">IF(S673=0,100,100-100/(1+R673/S673))</f>
        <v>38.6766184151468</v>
      </c>
      <c r="U673" s="7" t="n">
        <f aca="false">E673*2/13+U672*11/13</f>
        <v>12878.0069230285</v>
      </c>
      <c r="V673" s="7" t="n">
        <f aca="false">E673*2/27+V672*25/27</f>
        <v>12878.704838394</v>
      </c>
      <c r="W673" s="7" t="n">
        <f aca="false">U673-V673</f>
        <v>-0.69791536550656</v>
      </c>
      <c r="X673" s="7" t="n">
        <f aca="false">W673*2/10+X672*8/10</f>
        <v>150.981762486249</v>
      </c>
      <c r="Y673" s="7" t="n">
        <f aca="false">W673-X673</f>
        <v>-151.679677851756</v>
      </c>
      <c r="Z673" s="9" t="s">
        <v>89</v>
      </c>
      <c r="AA673" s="7" t="str">
        <f aca="false">IFERROR(INDEX(02_轉折點45!B:B,MATCH(A673,02_轉折點45!A:A,0)),"")</f>
        <v/>
      </c>
      <c r="AB673" s="7" t="n">
        <f aca="false">COUNTIFS(05_訊號明細!A:A,A673,05_訊號明細!C:C,"TOP")</f>
        <v>0</v>
      </c>
      <c r="AC673" s="7" t="n">
        <f aca="false">COUNTIFS(05_訊號明細!A:A,A673,05_訊號明細!C:C,"BOTTOM")</f>
        <v>0</v>
      </c>
    </row>
    <row r="674" customFormat="false" ht="15" hidden="false" customHeight="false" outlineLevel="0" collapsed="false">
      <c r="A674" s="7" t="s">
        <v>715</v>
      </c>
      <c r="B674" s="7" t="n">
        <v>12448.07</v>
      </c>
      <c r="C674" s="7" t="n">
        <v>12502.15</v>
      </c>
      <c r="D674" s="7" t="n">
        <v>12268.08</v>
      </c>
      <c r="E674" s="7" t="n">
        <v>12272.03</v>
      </c>
      <c r="F674" s="7" t="n">
        <v>4952</v>
      </c>
      <c r="G674" s="7" t="n">
        <f aca="false">AVERAGE(E670:E674)</f>
        <v>12569.56</v>
      </c>
      <c r="H674" s="7" t="n">
        <f aca="false">AVERAGE(E665:E674)</f>
        <v>12828.688</v>
      </c>
      <c r="I674" s="7" t="n">
        <f aca="false">AVERAGE(E655:E674)</f>
        <v>13099.1185</v>
      </c>
      <c r="J674" s="7" t="n">
        <f aca="false">AVERAGE(E625:E674)</f>
        <v>12520.4214</v>
      </c>
      <c r="K674" s="7" t="n">
        <f aca="false">AVERAGE(E575:E674)</f>
        <v>12594.709</v>
      </c>
      <c r="L674" s="7" t="n">
        <f aca="false">AVERAGE(E475:E674)</f>
        <v>13857.85945</v>
      </c>
      <c r="M674" s="7" t="n">
        <f aca="false">I674</f>
        <v>13099.1185</v>
      </c>
      <c r="N674" s="7" t="n">
        <f aca="false">I674+2*STDEV(E655:E674)</f>
        <v>13937.6456537335</v>
      </c>
      <c r="O674" s="7" t="n">
        <f aca="false">I674-2*STDEV(E655:E674)</f>
        <v>12260.5913462665</v>
      </c>
      <c r="P674" s="7" t="n">
        <f aca="false">MAX(E674-E673,0)</f>
        <v>0</v>
      </c>
      <c r="Q674" s="7" t="n">
        <f aca="false">MAX(E673-E674,0)</f>
        <v>70.6700000000001</v>
      </c>
      <c r="R674" s="7" t="n">
        <f aca="false">(R673*13+P674)/14</f>
        <v>64.5124693074707</v>
      </c>
      <c r="S674" s="7" t="n">
        <f aca="false">(S673*13+Q674)/14</f>
        <v>107.335051174635</v>
      </c>
      <c r="T674" s="7" t="n">
        <f aca="false">IF(S674=0,100,100-100/(1+R674/S674))</f>
        <v>37.5405296081583</v>
      </c>
      <c r="U674" s="7" t="n">
        <f aca="false">E674*2/13+U673*11/13</f>
        <v>12784.779704101</v>
      </c>
      <c r="V674" s="7" t="n">
        <f aca="false">E674*2/27+V673*25/27</f>
        <v>12833.7659614759</v>
      </c>
      <c r="W674" s="7" t="n">
        <f aca="false">U674-V674</f>
        <v>-48.9862573748906</v>
      </c>
      <c r="X674" s="7" t="n">
        <f aca="false">W674*2/10+X673*8/10</f>
        <v>110.988158514021</v>
      </c>
      <c r="Y674" s="7" t="n">
        <f aca="false">W674-X674</f>
        <v>-159.974415888912</v>
      </c>
      <c r="Z674" s="9" t="s">
        <v>89</v>
      </c>
      <c r="AA674" s="7" t="str">
        <f aca="false">IFERROR(INDEX(02_轉折點45!B:B,MATCH(A674,02_轉折點45!A:A,0)),"")</f>
        <v/>
      </c>
      <c r="AB674" s="7" t="n">
        <f aca="false">COUNTIFS(05_訊號明細!A:A,A674,05_訊號明細!C:C,"TOP")</f>
        <v>0</v>
      </c>
      <c r="AC674" s="7" t="n">
        <f aca="false">COUNTIFS(05_訊號明細!A:A,A674,05_訊號明細!C:C,"BOTTOM")</f>
        <v>0</v>
      </c>
    </row>
    <row r="675" customFormat="false" ht="15" hidden="false" customHeight="false" outlineLevel="0" collapsed="false">
      <c r="A675" s="7" t="s">
        <v>716</v>
      </c>
      <c r="B675" s="7" t="n">
        <v>12158.88</v>
      </c>
      <c r="C675" s="7" t="n">
        <v>12290.33</v>
      </c>
      <c r="D675" s="7" t="n">
        <v>12012.98</v>
      </c>
      <c r="E675" s="7" t="n">
        <v>12274.62</v>
      </c>
      <c r="F675" s="7" t="n">
        <v>4793</v>
      </c>
      <c r="G675" s="7" t="n">
        <f aca="false">AVERAGE(E671:E675)</f>
        <v>12395.768</v>
      </c>
      <c r="H675" s="7" t="n">
        <f aca="false">AVERAGE(E666:E675)</f>
        <v>12705.551</v>
      </c>
      <c r="I675" s="7" t="n">
        <f aca="false">AVERAGE(E656:E675)</f>
        <v>13047.2975</v>
      </c>
      <c r="J675" s="7" t="n">
        <f aca="false">AVERAGE(E626:E675)</f>
        <v>12535.3596</v>
      </c>
      <c r="K675" s="7" t="n">
        <f aca="false">AVERAGE(E576:E675)</f>
        <v>12574.1826</v>
      </c>
      <c r="L675" s="7" t="n">
        <f aca="false">AVERAGE(E476:E675)</f>
        <v>13838.28695</v>
      </c>
      <c r="M675" s="7" t="n">
        <f aca="false">I675</f>
        <v>13047.2975</v>
      </c>
      <c r="N675" s="7" t="n">
        <f aca="false">I675+2*STDEV(E656:E675)</f>
        <v>13955.8574623204</v>
      </c>
      <c r="O675" s="7" t="n">
        <f aca="false">I675-2*STDEV(E656:E675)</f>
        <v>12138.7375376796</v>
      </c>
      <c r="P675" s="7" t="n">
        <f aca="false">MAX(E675-E674,0)</f>
        <v>2.59000000000015</v>
      </c>
      <c r="Q675" s="7" t="n">
        <f aca="false">MAX(E674-E675,0)</f>
        <v>0</v>
      </c>
      <c r="R675" s="7" t="n">
        <f aca="false">(R674*13+P675)/14</f>
        <v>60.0894357855085</v>
      </c>
      <c r="S675" s="7" t="n">
        <f aca="false">(S674*13+Q675)/14</f>
        <v>99.6682618050182</v>
      </c>
      <c r="T675" s="7" t="n">
        <f aca="false">IF(S675=0,100,100-100/(1+R675/S675))</f>
        <v>37.6128579040511</v>
      </c>
      <c r="U675" s="7" t="n">
        <f aca="false">E675*2/13+U674*11/13</f>
        <v>12706.2935957778</v>
      </c>
      <c r="V675" s="7" t="n">
        <f aca="false">E675*2/27+V674*25/27</f>
        <v>12792.3477421073</v>
      </c>
      <c r="W675" s="7" t="n">
        <f aca="false">U675-V675</f>
        <v>-86.0541463295358</v>
      </c>
      <c r="X675" s="7" t="n">
        <f aca="false">W675*2/10+X674*8/10</f>
        <v>71.5796975453098</v>
      </c>
      <c r="Y675" s="7" t="n">
        <f aca="false">W675-X675</f>
        <v>-157.633843874846</v>
      </c>
      <c r="Z675" s="9" t="s">
        <v>89</v>
      </c>
      <c r="AA675" s="7" t="str">
        <f aca="false">IFERROR(INDEX(02_轉折點45!B:B,MATCH(A675,02_轉折點45!A:A,0)),"")</f>
        <v/>
      </c>
      <c r="AB675" s="7" t="n">
        <f aca="false">COUNTIFS(05_訊號明細!A:A,A675,05_訊號明細!C:C,"TOP")</f>
        <v>0</v>
      </c>
      <c r="AC675" s="7" t="n">
        <f aca="false">COUNTIFS(05_訊號明細!A:A,A675,05_訊號明細!C:C,"BOTTOM")</f>
        <v>0</v>
      </c>
    </row>
    <row r="676" customFormat="false" ht="15" hidden="false" customHeight="false" outlineLevel="0" collapsed="false">
      <c r="A676" s="7" t="s">
        <v>717</v>
      </c>
      <c r="B676" s="7" t="n">
        <v>12392.46</v>
      </c>
      <c r="C676" s="7" t="n">
        <v>12451.28</v>
      </c>
      <c r="D676" s="7" t="n">
        <v>12035.53</v>
      </c>
      <c r="E676" s="7" t="n">
        <v>12098.44</v>
      </c>
      <c r="F676" s="7" t="n">
        <v>4257</v>
      </c>
      <c r="G676" s="7" t="n">
        <f aca="false">AVERAGE(E672:E676)</f>
        <v>12294.422</v>
      </c>
      <c r="H676" s="7" t="n">
        <f aca="false">AVERAGE(E667:E676)</f>
        <v>12591.105</v>
      </c>
      <c r="I676" s="7" t="n">
        <f aca="false">AVERAGE(E657:E676)</f>
        <v>12991.835</v>
      </c>
      <c r="J676" s="7" t="n">
        <f aca="false">AVERAGE(E627:E676)</f>
        <v>12543.3748</v>
      </c>
      <c r="K676" s="7" t="n">
        <f aca="false">AVERAGE(E577:E676)</f>
        <v>12555.2649</v>
      </c>
      <c r="L676" s="7" t="n">
        <f aca="false">AVERAGE(E477:E676)</f>
        <v>13817.2303</v>
      </c>
      <c r="M676" s="7" t="n">
        <f aca="false">I676</f>
        <v>12991.835</v>
      </c>
      <c r="N676" s="7" t="n">
        <f aca="false">I676+2*STDEV(E657:E676)</f>
        <v>13990.1618895613</v>
      </c>
      <c r="O676" s="7" t="n">
        <f aca="false">I676-2*STDEV(E657:E676)</f>
        <v>11993.5081104387</v>
      </c>
      <c r="P676" s="7" t="n">
        <f aca="false">MAX(E676-E675,0)</f>
        <v>0</v>
      </c>
      <c r="Q676" s="7" t="n">
        <f aca="false">MAX(E675-E676,0)</f>
        <v>176.18</v>
      </c>
      <c r="R676" s="7" t="n">
        <f aca="false">(R675*13+P676)/14</f>
        <v>55.7973332294008</v>
      </c>
      <c r="S676" s="7" t="n">
        <f aca="false">(S675*13+Q676)/14</f>
        <v>105.133385961803</v>
      </c>
      <c r="T676" s="7" t="n">
        <f aca="false">IF(S676=0,100,100-100/(1+R676/S676))</f>
        <v>34.6716484645218</v>
      </c>
      <c r="U676" s="7" t="n">
        <f aca="false">E676*2/13+U675*11/13</f>
        <v>12612.7776579658</v>
      </c>
      <c r="V676" s="7" t="n">
        <f aca="false">E676*2/27+V675*25/27</f>
        <v>12740.9471686179</v>
      </c>
      <c r="W676" s="7" t="n">
        <f aca="false">U676-V676</f>
        <v>-128.169510652071</v>
      </c>
      <c r="X676" s="7" t="n">
        <f aca="false">W676*2/10+X675*8/10</f>
        <v>31.6298559058336</v>
      </c>
      <c r="Y676" s="7" t="n">
        <f aca="false">W676-X676</f>
        <v>-159.799366557905</v>
      </c>
      <c r="Z676" s="9" t="s">
        <v>89</v>
      </c>
      <c r="AA676" s="7" t="str">
        <f aca="false">IFERROR(INDEX(02_轉折點45!B:B,MATCH(A676,02_轉折點45!A:A,0)),"")</f>
        <v/>
      </c>
      <c r="AB676" s="7" t="n">
        <f aca="false">COUNTIFS(05_訊號明細!A:A,A676,05_訊號明細!C:C,"TOP")</f>
        <v>1</v>
      </c>
      <c r="AC676" s="7" t="n">
        <f aca="false">COUNTIFS(05_訊號明細!A:A,A676,05_訊號明細!C:C,"BOTTOM")</f>
        <v>0</v>
      </c>
    </row>
    <row r="677" customFormat="false" ht="15" hidden="false" customHeight="false" outlineLevel="0" collapsed="false">
      <c r="A677" s="7" t="s">
        <v>718</v>
      </c>
      <c r="B677" s="7" t="n">
        <v>12106.57</v>
      </c>
      <c r="C677" s="7" t="n">
        <v>12152.42</v>
      </c>
      <c r="D677" s="7" t="n">
        <v>11928.81</v>
      </c>
      <c r="E677" s="7" t="n">
        <v>12011.31</v>
      </c>
      <c r="F677" s="7" t="n">
        <v>4623</v>
      </c>
      <c r="G677" s="7" t="n">
        <f aca="false">AVERAGE(E673:E677)</f>
        <v>12199.82</v>
      </c>
      <c r="H677" s="7" t="n">
        <f aca="false">AVERAGE(E668:E677)</f>
        <v>12503.182</v>
      </c>
      <c r="I677" s="7" t="n">
        <f aca="false">AVERAGE(E658:E677)</f>
        <v>12934.4425</v>
      </c>
      <c r="J677" s="7" t="n">
        <f aca="false">AVERAGE(E628:E677)</f>
        <v>12541.484</v>
      </c>
      <c r="K677" s="7" t="n">
        <f aca="false">AVERAGE(E578:E677)</f>
        <v>12535.9756</v>
      </c>
      <c r="L677" s="7" t="n">
        <f aca="false">AVERAGE(E478:E677)</f>
        <v>13795.7465</v>
      </c>
      <c r="M677" s="7" t="n">
        <f aca="false">I677</f>
        <v>12934.4425</v>
      </c>
      <c r="N677" s="7" t="n">
        <f aca="false">I677+2*STDEV(E658:E677)</f>
        <v>14020.3980468633</v>
      </c>
      <c r="O677" s="7" t="n">
        <f aca="false">I677-2*STDEV(E658:E677)</f>
        <v>11848.4869531367</v>
      </c>
      <c r="P677" s="7" t="n">
        <f aca="false">MAX(E677-E676,0)</f>
        <v>0</v>
      </c>
      <c r="Q677" s="7" t="n">
        <f aca="false">MAX(E676-E677,0)</f>
        <v>87.130000000001</v>
      </c>
      <c r="R677" s="7" t="n">
        <f aca="false">(R676*13+P677)/14</f>
        <v>51.8118094273007</v>
      </c>
      <c r="S677" s="7" t="n">
        <f aca="false">(S676*13+Q677)/14</f>
        <v>103.847429821674</v>
      </c>
      <c r="T677" s="7" t="n">
        <f aca="false">IF(S677=0,100,100-100/(1+R677/S677))</f>
        <v>33.2854057859222</v>
      </c>
      <c r="U677" s="7" t="n">
        <f aca="false">E677*2/13+U676*11/13</f>
        <v>12520.2441721249</v>
      </c>
      <c r="V677" s="7" t="n">
        <f aca="false">E677*2/27+V676*25/27</f>
        <v>12686.8999709425</v>
      </c>
      <c r="W677" s="7" t="n">
        <f aca="false">U677-V677</f>
        <v>-166.65579881757</v>
      </c>
      <c r="X677" s="7" t="n">
        <f aca="false">W677*2/10+X676*8/10</f>
        <v>-8.02727503884711</v>
      </c>
      <c r="Y677" s="7" t="n">
        <f aca="false">W677-X677</f>
        <v>-158.628523778723</v>
      </c>
      <c r="Z677" s="9" t="s">
        <v>89</v>
      </c>
      <c r="AA677" s="7" t="str">
        <f aca="false">IFERROR(INDEX(02_轉折點45!B:B,MATCH(A677,02_轉折點45!A:A,0)),"")</f>
        <v/>
      </c>
      <c r="AB677" s="7" t="n">
        <f aca="false">COUNTIFS(05_訊號明細!A:A,A677,05_訊號明細!C:C,"TOP")</f>
        <v>0</v>
      </c>
      <c r="AC677" s="7" t="n">
        <f aca="false">COUNTIFS(05_訊號明細!A:A,A677,05_訊號明細!C:C,"BOTTOM")</f>
        <v>0</v>
      </c>
    </row>
    <row r="678" customFormat="false" ht="15" hidden="false" customHeight="false" outlineLevel="0" collapsed="false">
      <c r="A678" s="7" t="s">
        <v>719</v>
      </c>
      <c r="B678" s="7" t="n">
        <v>12038.18</v>
      </c>
      <c r="C678" s="7" t="n">
        <v>12298.12</v>
      </c>
      <c r="D678" s="7" t="n">
        <v>12026.98</v>
      </c>
      <c r="E678" s="7" t="n">
        <v>12259.39</v>
      </c>
      <c r="F678" s="7" t="n">
        <v>4446</v>
      </c>
      <c r="G678" s="7" t="n">
        <f aca="false">AVERAGE(E674:E678)</f>
        <v>12183.158</v>
      </c>
      <c r="H678" s="7" t="n">
        <f aca="false">AVERAGE(E669:E678)</f>
        <v>12440.942</v>
      </c>
      <c r="I678" s="7" t="n">
        <f aca="false">AVERAGE(E659:E678)</f>
        <v>12897.0035</v>
      </c>
      <c r="J678" s="7" t="n">
        <f aca="false">AVERAGE(E629:E678)</f>
        <v>12546.507</v>
      </c>
      <c r="K678" s="7" t="n">
        <f aca="false">AVERAGE(E579:E678)</f>
        <v>12516.3966</v>
      </c>
      <c r="L678" s="7" t="n">
        <f aca="false">AVERAGE(E479:E678)</f>
        <v>13774.6286</v>
      </c>
      <c r="M678" s="7" t="n">
        <f aca="false">I678</f>
        <v>12897.0035</v>
      </c>
      <c r="N678" s="7" t="n">
        <f aca="false">I678+2*STDEV(E659:E678)</f>
        <v>14023.142590732</v>
      </c>
      <c r="O678" s="7" t="n">
        <f aca="false">I678-2*STDEV(E659:E678)</f>
        <v>11770.864409268</v>
      </c>
      <c r="P678" s="7" t="n">
        <f aca="false">MAX(E678-E677,0)</f>
        <v>248.08</v>
      </c>
      <c r="Q678" s="7" t="n">
        <f aca="false">MAX(E677-E678,0)</f>
        <v>0</v>
      </c>
      <c r="R678" s="7" t="n">
        <f aca="false">(R677*13+P678)/14</f>
        <v>65.8309658967792</v>
      </c>
      <c r="S678" s="7" t="n">
        <f aca="false">(S677*13+Q678)/14</f>
        <v>96.4297562629829</v>
      </c>
      <c r="T678" s="7" t="n">
        <f aca="false">IF(S678=0,100,100-100/(1+R678/S678))</f>
        <v>40.5711037277167</v>
      </c>
      <c r="U678" s="7" t="n">
        <f aca="false">E678*2/13+U677*11/13</f>
        <v>12480.1127610288</v>
      </c>
      <c r="V678" s="7" t="n">
        <f aca="false">E678*2/27+V677*25/27</f>
        <v>12655.2325656875</v>
      </c>
      <c r="W678" s="7" t="n">
        <f aca="false">U678-V678</f>
        <v>-175.119804658714</v>
      </c>
      <c r="X678" s="7" t="n">
        <f aca="false">W678*2/10+X677*8/10</f>
        <v>-41.4457809628205</v>
      </c>
      <c r="Y678" s="7" t="n">
        <f aca="false">W678-X678</f>
        <v>-133.674023695894</v>
      </c>
      <c r="Z678" s="9" t="s">
        <v>89</v>
      </c>
      <c r="AA678" s="7" t="str">
        <f aca="false">IFERROR(INDEX(02_轉折點45!B:B,MATCH(A678,02_轉折點45!A:A,0)),"")</f>
        <v/>
      </c>
      <c r="AB678" s="7" t="n">
        <f aca="false">COUNTIFS(05_訊號明細!A:A,A678,05_訊號明細!C:C,"TOP")</f>
        <v>0</v>
      </c>
      <c r="AC678" s="7" t="n">
        <f aca="false">COUNTIFS(05_訊號明細!A:A,A678,05_訊號明細!C:C,"BOTTOM")</f>
        <v>0</v>
      </c>
    </row>
    <row r="679" customFormat="false" ht="15" hidden="false" customHeight="false" outlineLevel="0" collapsed="false">
      <c r="A679" s="7" t="s">
        <v>720</v>
      </c>
      <c r="B679" s="7" t="n">
        <v>12139.57</v>
      </c>
      <c r="C679" s="7" t="n">
        <v>12374.13</v>
      </c>
      <c r="D679" s="7" t="n">
        <v>12120.26</v>
      </c>
      <c r="E679" s="7" t="n">
        <v>12321.19</v>
      </c>
      <c r="F679" s="7" t="n">
        <v>4330</v>
      </c>
      <c r="G679" s="7" t="n">
        <f aca="false">AVERAGE(E675:E679)</f>
        <v>12192.99</v>
      </c>
      <c r="H679" s="7" t="n">
        <f aca="false">AVERAGE(E670:E679)</f>
        <v>12381.275</v>
      </c>
      <c r="I679" s="7" t="n">
        <f aca="false">AVERAGE(E660:E679)</f>
        <v>12844.147</v>
      </c>
      <c r="J679" s="7" t="n">
        <f aca="false">AVERAGE(E630:E679)</f>
        <v>12560.1754</v>
      </c>
      <c r="K679" s="7" t="n">
        <f aca="false">AVERAGE(E580:E679)</f>
        <v>12500.6764</v>
      </c>
      <c r="L679" s="7" t="n">
        <f aca="false">AVERAGE(E480:E679)</f>
        <v>13753.36785</v>
      </c>
      <c r="M679" s="7" t="n">
        <f aca="false">I679</f>
        <v>12844.147</v>
      </c>
      <c r="N679" s="7" t="n">
        <f aca="false">I679+2*STDEV(E660:E679)</f>
        <v>13974.3932113903</v>
      </c>
      <c r="O679" s="7" t="n">
        <f aca="false">I679-2*STDEV(E660:E679)</f>
        <v>11713.9007886097</v>
      </c>
      <c r="P679" s="7" t="n">
        <f aca="false">MAX(E679-E678,0)</f>
        <v>61.8000000000011</v>
      </c>
      <c r="Q679" s="7" t="n">
        <f aca="false">MAX(E678-E679,0)</f>
        <v>0</v>
      </c>
      <c r="R679" s="7" t="n">
        <f aca="false">(R678*13+P679)/14</f>
        <v>65.5430397612951</v>
      </c>
      <c r="S679" s="7" t="n">
        <f aca="false">(S678*13+Q679)/14</f>
        <v>89.5419165299127</v>
      </c>
      <c r="T679" s="7" t="n">
        <f aca="false">IF(S679=0,100,100-100/(1+R679/S679))</f>
        <v>42.2626677201513</v>
      </c>
      <c r="U679" s="7" t="n">
        <f aca="false">E679*2/13+U678*11/13</f>
        <v>12455.6631054859</v>
      </c>
      <c r="V679" s="7" t="n">
        <f aca="false">E679*2/27+V678*25/27</f>
        <v>12630.4886719329</v>
      </c>
      <c r="W679" s="7" t="n">
        <f aca="false">U679-V679</f>
        <v>-174.825566446976</v>
      </c>
      <c r="X679" s="7" t="n">
        <f aca="false">W679*2/10+X678*8/10</f>
        <v>-68.1217380596517</v>
      </c>
      <c r="Y679" s="7" t="n">
        <f aca="false">W679-X679</f>
        <v>-106.703828387325</v>
      </c>
      <c r="Z679" s="9" t="s">
        <v>89</v>
      </c>
      <c r="AA679" s="7" t="str">
        <f aca="false">IFERROR(INDEX(02_轉折點45!B:B,MATCH(A679,02_轉折點45!A:A,0)),"")</f>
        <v/>
      </c>
      <c r="AB679" s="7" t="n">
        <f aca="false">COUNTIFS(05_訊號明細!A:A,A679,05_訊號明細!C:C,"TOP")</f>
        <v>0</v>
      </c>
      <c r="AC679" s="7" t="n">
        <f aca="false">COUNTIFS(05_訊號明細!A:A,A679,05_訊號明細!C:C,"BOTTOM")</f>
        <v>0</v>
      </c>
    </row>
    <row r="680" customFormat="false" ht="15" hidden="false" customHeight="false" outlineLevel="0" collapsed="false">
      <c r="A680" s="7" t="s">
        <v>721</v>
      </c>
      <c r="B680" s="7" t="n">
        <v>12424.15</v>
      </c>
      <c r="C680" s="7" t="n">
        <v>12610.43</v>
      </c>
      <c r="D680" s="7" t="n">
        <v>12424.15</v>
      </c>
      <c r="E680" s="7" t="n">
        <v>12588.29</v>
      </c>
      <c r="F680" s="7" t="n">
        <v>4402</v>
      </c>
      <c r="G680" s="7" t="n">
        <f aca="false">AVERAGE(E676:E680)</f>
        <v>12255.724</v>
      </c>
      <c r="H680" s="7" t="n">
        <f aca="false">AVERAGE(E671:E680)</f>
        <v>12325.746</v>
      </c>
      <c r="I680" s="7" t="n">
        <f aca="false">AVERAGE(E661:E680)</f>
        <v>12808.962</v>
      </c>
      <c r="J680" s="7" t="n">
        <f aca="false">AVERAGE(E631:E680)</f>
        <v>12578.776</v>
      </c>
      <c r="K680" s="7" t="n">
        <f aca="false">AVERAGE(E581:E680)</f>
        <v>12487.4517</v>
      </c>
      <c r="L680" s="7" t="n">
        <f aca="false">AVERAGE(E481:E680)</f>
        <v>13734.4044</v>
      </c>
      <c r="M680" s="7" t="n">
        <f aca="false">I680</f>
        <v>12808.962</v>
      </c>
      <c r="N680" s="7" t="n">
        <f aca="false">I680+2*STDEV(E661:E680)</f>
        <v>13924.2205854996</v>
      </c>
      <c r="O680" s="7" t="n">
        <f aca="false">I680-2*STDEV(E661:E680)</f>
        <v>11693.7034145004</v>
      </c>
      <c r="P680" s="7" t="n">
        <f aca="false">MAX(E680-E679,0)</f>
        <v>267.1</v>
      </c>
      <c r="Q680" s="7" t="n">
        <f aca="false">MAX(E679-E680,0)</f>
        <v>0</v>
      </c>
      <c r="R680" s="7" t="n">
        <f aca="false">(R679*13+P680)/14</f>
        <v>79.9399654926312</v>
      </c>
      <c r="S680" s="7" t="n">
        <f aca="false">(S679*13+Q680)/14</f>
        <v>83.1460653492047</v>
      </c>
      <c r="T680" s="7" t="n">
        <f aca="false">IF(S680=0,100,100-100/(1+R680/S680))</f>
        <v>49.0170525826081</v>
      </c>
      <c r="U680" s="7" t="n">
        <f aca="false">E680*2/13+U679*11/13</f>
        <v>12476.0672431034</v>
      </c>
      <c r="V680" s="7" t="n">
        <f aca="false">E680*2/27+V679*25/27</f>
        <v>12627.3628443823</v>
      </c>
      <c r="W680" s="7" t="n">
        <f aca="false">U680-V680</f>
        <v>-151.295601278838</v>
      </c>
      <c r="X680" s="7" t="n">
        <f aca="false">W680*2/10+X679*8/10</f>
        <v>-84.7565107034889</v>
      </c>
      <c r="Y680" s="7" t="n">
        <f aca="false">W680-X680</f>
        <v>-66.5390905753492</v>
      </c>
      <c r="Z680" s="9" t="s">
        <v>89</v>
      </c>
      <c r="AA680" s="7" t="str">
        <f aca="false">IFERROR(INDEX(02_轉折點45!B:B,MATCH(A680,02_轉折點45!A:A,0)),"")</f>
        <v/>
      </c>
      <c r="AB680" s="7" t="n">
        <f aca="false">COUNTIFS(05_訊號明細!A:A,A680,05_訊號明細!C:C,"TOP")</f>
        <v>0</v>
      </c>
      <c r="AC680" s="7" t="n">
        <f aca="false">COUNTIFS(05_訊號明細!A:A,A680,05_訊號明細!C:C,"BOTTOM")</f>
        <v>1</v>
      </c>
    </row>
    <row r="681" customFormat="false" ht="15" hidden="false" customHeight="false" outlineLevel="0" collapsed="false">
      <c r="A681" s="7" t="s">
        <v>722</v>
      </c>
      <c r="B681" s="7" t="n">
        <v>12649.23</v>
      </c>
      <c r="C681" s="7" t="n">
        <v>12752.83</v>
      </c>
      <c r="D681" s="7" t="n">
        <v>12639.76</v>
      </c>
      <c r="E681" s="7" t="n">
        <v>12739.72</v>
      </c>
      <c r="F681" s="7" t="n">
        <v>4147</v>
      </c>
      <c r="G681" s="7" t="n">
        <f aca="false">AVERAGE(E677:E681)</f>
        <v>12383.98</v>
      </c>
      <c r="H681" s="7" t="n">
        <f aca="false">AVERAGE(E672:E681)</f>
        <v>12339.201</v>
      </c>
      <c r="I681" s="7" t="n">
        <f aca="false">AVERAGE(E662:E681)</f>
        <v>12767.6545</v>
      </c>
      <c r="J681" s="7" t="n">
        <f aca="false">AVERAGE(E632:E681)</f>
        <v>12603.496</v>
      </c>
      <c r="K681" s="7" t="n">
        <f aca="false">AVERAGE(E582:E681)</f>
        <v>12472.7463</v>
      </c>
      <c r="L681" s="7" t="n">
        <f aca="false">AVERAGE(E482:E681)</f>
        <v>13716.5694</v>
      </c>
      <c r="M681" s="7" t="n">
        <f aca="false">I681</f>
        <v>12767.6545</v>
      </c>
      <c r="N681" s="7" t="n">
        <f aca="false">I681+2*STDEV(E662:E681)</f>
        <v>13824.5433481611</v>
      </c>
      <c r="O681" s="7" t="n">
        <f aca="false">I681-2*STDEV(E662:E681)</f>
        <v>11710.7656518389</v>
      </c>
      <c r="P681" s="7" t="n">
        <f aca="false">MAX(E681-E680,0)</f>
        <v>151.429999999998</v>
      </c>
      <c r="Q681" s="7" t="n">
        <f aca="false">MAX(E680-E681,0)</f>
        <v>0</v>
      </c>
      <c r="R681" s="7" t="n">
        <f aca="false">(R680*13+P681)/14</f>
        <v>85.0463965288717</v>
      </c>
      <c r="S681" s="7" t="n">
        <f aca="false">(S680*13+Q681)/14</f>
        <v>77.2070606814043</v>
      </c>
      <c r="T681" s="7" t="n">
        <f aca="false">IF(S681=0,100,100-100/(1+R681/S681))</f>
        <v>52.4157685088053</v>
      </c>
      <c r="U681" s="7" t="n">
        <f aca="false">E681*2/13+U680*11/13</f>
        <v>12516.6292057029</v>
      </c>
      <c r="V681" s="7" t="n">
        <f aca="false">E681*2/27+V680*25/27</f>
        <v>12635.6855966503</v>
      </c>
      <c r="W681" s="7" t="n">
        <f aca="false">U681-V681</f>
        <v>-119.056390947348</v>
      </c>
      <c r="X681" s="7" t="n">
        <f aca="false">W681*2/10+X680*8/10</f>
        <v>-91.6164867522607</v>
      </c>
      <c r="Y681" s="7" t="n">
        <f aca="false">W681-X681</f>
        <v>-27.4399041950869</v>
      </c>
      <c r="Z681" s="9" t="s">
        <v>89</v>
      </c>
      <c r="AA681" s="7" t="str">
        <f aca="false">IFERROR(INDEX(02_轉折點45!B:B,MATCH(A681,02_轉折點45!A:A,0)),"")</f>
        <v/>
      </c>
      <c r="AB681" s="7" t="n">
        <f aca="false">COUNTIFS(05_訊號明細!A:A,A681,05_訊號明細!C:C,"TOP")</f>
        <v>1</v>
      </c>
      <c r="AC681" s="7" t="n">
        <f aca="false">COUNTIFS(05_訊號明細!A:A,A681,05_訊號明細!C:C,"BOTTOM")</f>
        <v>0</v>
      </c>
    </row>
    <row r="682" customFormat="false" ht="15" hidden="false" customHeight="false" outlineLevel="0" collapsed="false">
      <c r="A682" s="7" t="s">
        <v>723</v>
      </c>
      <c r="B682" s="7" t="n">
        <v>12364.83</v>
      </c>
      <c r="C682" s="7" t="n">
        <v>12420.01</v>
      </c>
      <c r="D682" s="7" t="n">
        <v>12004.42</v>
      </c>
      <c r="E682" s="7" t="n">
        <v>12033.62</v>
      </c>
      <c r="F682" s="7" t="n">
        <v>5188</v>
      </c>
      <c r="G682" s="7" t="n">
        <f aca="false">AVERAGE(E678:E682)</f>
        <v>12388.442</v>
      </c>
      <c r="H682" s="7" t="n">
        <f aca="false">AVERAGE(E673:E682)</f>
        <v>12294.131</v>
      </c>
      <c r="I682" s="7" t="n">
        <f aca="false">AVERAGE(E663:E682)</f>
        <v>12685.9765</v>
      </c>
      <c r="J682" s="7" t="n">
        <f aca="false">AVERAGE(E633:E682)</f>
        <v>12612.4548</v>
      </c>
      <c r="K682" s="7" t="n">
        <f aca="false">AVERAGE(E583:E682)</f>
        <v>12453.0972</v>
      </c>
      <c r="L682" s="7" t="n">
        <f aca="false">AVERAGE(E483:E682)</f>
        <v>13694.89845</v>
      </c>
      <c r="M682" s="7" t="n">
        <f aca="false">I682</f>
        <v>12685.9765</v>
      </c>
      <c r="N682" s="7" t="n">
        <f aca="false">I682+2*STDEV(E663:E682)</f>
        <v>13701.8558220763</v>
      </c>
      <c r="O682" s="7" t="n">
        <f aca="false">I682-2*STDEV(E663:E682)</f>
        <v>11670.0971779238</v>
      </c>
      <c r="P682" s="7" t="n">
        <f aca="false">MAX(E682-E681,0)</f>
        <v>0</v>
      </c>
      <c r="Q682" s="7" t="n">
        <f aca="false">MAX(E681-E682,0)</f>
        <v>706.099999999999</v>
      </c>
      <c r="R682" s="7" t="n">
        <f aca="false">(R681*13+P682)/14</f>
        <v>78.9716539196666</v>
      </c>
      <c r="S682" s="7" t="n">
        <f aca="false">(S681*13+Q682)/14</f>
        <v>122.127984918447</v>
      </c>
      <c r="T682" s="7" t="n">
        <f aca="false">IF(S682=0,100,100-100/(1+R682/S682))</f>
        <v>39.2699133503861</v>
      </c>
      <c r="U682" s="7" t="n">
        <f aca="false">E682*2/13+U681*11/13</f>
        <v>12442.3200971332</v>
      </c>
      <c r="V682" s="7" t="n">
        <f aca="false">E682*2/27+V681*25/27</f>
        <v>12591.0881450465</v>
      </c>
      <c r="W682" s="7" t="n">
        <f aca="false">U682-V682</f>
        <v>-148.768047913303</v>
      </c>
      <c r="X682" s="7" t="n">
        <f aca="false">W682*2/10+X681*8/10</f>
        <v>-103.046798984469</v>
      </c>
      <c r="Y682" s="7" t="n">
        <f aca="false">W682-X682</f>
        <v>-45.7212489288341</v>
      </c>
      <c r="Z682" s="9" t="s">
        <v>89</v>
      </c>
      <c r="AA682" s="7" t="str">
        <f aca="false">IFERROR(INDEX(02_轉折點45!B:B,MATCH(A682,02_轉折點45!A:A,0)),"")</f>
        <v/>
      </c>
      <c r="AB682" s="7" t="n">
        <f aca="false">COUNTIFS(05_訊號明細!A:A,A682,05_訊號明細!C:C,"TOP")</f>
        <v>0</v>
      </c>
      <c r="AC682" s="7" t="n">
        <f aca="false">COUNTIFS(05_訊號明細!A:A,A682,05_訊號明細!C:C,"BOTTOM")</f>
        <v>0</v>
      </c>
    </row>
    <row r="683" customFormat="false" ht="15" hidden="false" customHeight="false" outlineLevel="0" collapsed="false">
      <c r="A683" s="7" t="s">
        <v>724</v>
      </c>
      <c r="B683" s="7" t="n">
        <v>12092.03</v>
      </c>
      <c r="C683" s="7" t="n">
        <v>12170.25</v>
      </c>
      <c r="D683" s="7" t="n">
        <v>12016.43</v>
      </c>
      <c r="E683" s="7" t="n">
        <v>12134.4</v>
      </c>
      <c r="F683" s="7" t="n">
        <v>4862</v>
      </c>
      <c r="G683" s="7" t="n">
        <f aca="false">AVERAGE(E679:E683)</f>
        <v>12363.444</v>
      </c>
      <c r="H683" s="7" t="n">
        <f aca="false">AVERAGE(E674:E683)</f>
        <v>12273.301</v>
      </c>
      <c r="I683" s="7" t="n">
        <f aca="false">AVERAGE(E664:E683)</f>
        <v>12610.936</v>
      </c>
      <c r="J683" s="7" t="n">
        <f aca="false">AVERAGE(E634:E683)</f>
        <v>12619.5448</v>
      </c>
      <c r="K683" s="7" t="n">
        <f aca="false">AVERAGE(E584:E683)</f>
        <v>12437.2367</v>
      </c>
      <c r="L683" s="7" t="n">
        <f aca="false">AVERAGE(E484:E683)</f>
        <v>13675.44255</v>
      </c>
      <c r="M683" s="7" t="n">
        <f aca="false">I683</f>
        <v>12610.936</v>
      </c>
      <c r="N683" s="7" t="n">
        <f aca="false">I683+2*STDEV(E664:E683)</f>
        <v>13550.4344273122</v>
      </c>
      <c r="O683" s="7" t="n">
        <f aca="false">I683-2*STDEV(E664:E683)</f>
        <v>11671.4375726878</v>
      </c>
      <c r="P683" s="7" t="n">
        <f aca="false">MAX(E683-E682,0)</f>
        <v>100.779999999999</v>
      </c>
      <c r="Q683" s="7" t="n">
        <f aca="false">MAX(E682-E683,0)</f>
        <v>0</v>
      </c>
      <c r="R683" s="7" t="n">
        <f aca="false">(R682*13+P683)/14</f>
        <v>80.5293929254046</v>
      </c>
      <c r="S683" s="7" t="n">
        <f aca="false">(S682*13+Q683)/14</f>
        <v>113.404557424272</v>
      </c>
      <c r="T683" s="7" t="n">
        <f aca="false">IF(S683=0,100,100-100/(1+R683/S683))</f>
        <v>41.5241337477035</v>
      </c>
      <c r="U683" s="7" t="n">
        <f aca="false">E683*2/13+U682*11/13</f>
        <v>12394.9477744974</v>
      </c>
      <c r="V683" s="7" t="n">
        <f aca="false">E683*2/27+V682*25/27</f>
        <v>12557.2593935616</v>
      </c>
      <c r="W683" s="7" t="n">
        <f aca="false">U683-V683</f>
        <v>-162.31161906426</v>
      </c>
      <c r="X683" s="7" t="n">
        <f aca="false">W683*2/10+X682*8/10</f>
        <v>-114.899763000427</v>
      </c>
      <c r="Y683" s="7" t="n">
        <f aca="false">W683-X683</f>
        <v>-47.4118560638323</v>
      </c>
      <c r="Z683" s="9" t="s">
        <v>89</v>
      </c>
      <c r="AA683" s="7" t="str">
        <f aca="false">IFERROR(INDEX(02_轉折點45!B:B,MATCH(A683,02_轉折點45!A:A,0)),"")</f>
        <v/>
      </c>
      <c r="AB683" s="7" t="n">
        <f aca="false">COUNTIFS(05_訊號明細!A:A,A683,05_訊號明細!C:C,"TOP")</f>
        <v>0</v>
      </c>
      <c r="AC683" s="7" t="n">
        <f aca="false">COUNTIFS(05_訊號明細!A:A,A683,05_訊號明細!C:C,"BOTTOM")</f>
        <v>0</v>
      </c>
    </row>
    <row r="684" customFormat="false" ht="15" hidden="false" customHeight="false" outlineLevel="0" collapsed="false">
      <c r="A684" s="7" t="s">
        <v>725</v>
      </c>
      <c r="B684" s="7" t="n">
        <v>12034.43</v>
      </c>
      <c r="C684" s="7" t="n">
        <v>12153.34</v>
      </c>
      <c r="D684" s="7" t="n">
        <v>11867.88</v>
      </c>
      <c r="E684" s="7" t="n">
        <v>11927.49</v>
      </c>
      <c r="F684" s="7" t="n">
        <v>4806</v>
      </c>
      <c r="G684" s="7" t="n">
        <f aca="false">AVERAGE(E680:E684)</f>
        <v>12284.704</v>
      </c>
      <c r="H684" s="7" t="n">
        <f aca="false">AVERAGE(E675:E684)</f>
        <v>12238.847</v>
      </c>
      <c r="I684" s="7" t="n">
        <f aca="false">AVERAGE(E665:E684)</f>
        <v>12533.7675</v>
      </c>
      <c r="J684" s="7" t="n">
        <f aca="false">AVERAGE(E635:E684)</f>
        <v>12621.0428</v>
      </c>
      <c r="K684" s="7" t="n">
        <f aca="false">AVERAGE(E585:E684)</f>
        <v>12422.9429</v>
      </c>
      <c r="L684" s="7" t="n">
        <f aca="false">AVERAGE(E485:E684)</f>
        <v>13653.0838</v>
      </c>
      <c r="M684" s="7" t="n">
        <f aca="false">I684</f>
        <v>12533.7675</v>
      </c>
      <c r="N684" s="7" t="n">
        <f aca="false">I684+2*STDEV(E665:E684)</f>
        <v>13428.3302278968</v>
      </c>
      <c r="O684" s="7" t="n">
        <f aca="false">I684-2*STDEV(E665:E684)</f>
        <v>11639.2047721032</v>
      </c>
      <c r="P684" s="7" t="n">
        <f aca="false">MAX(E684-E683,0)</f>
        <v>0</v>
      </c>
      <c r="Q684" s="7" t="n">
        <f aca="false">MAX(E683-E684,0)</f>
        <v>206.91</v>
      </c>
      <c r="R684" s="7" t="n">
        <f aca="false">(R683*13+P684)/14</f>
        <v>74.7772934307328</v>
      </c>
      <c r="S684" s="7" t="n">
        <f aca="false">(S683*13+Q684)/14</f>
        <v>120.083517608253</v>
      </c>
      <c r="T684" s="7" t="n">
        <f aca="false">IF(S684=0,100,100-100/(1+R684/S684))</f>
        <v>38.3747214393829</v>
      </c>
      <c r="U684" s="7" t="n">
        <f aca="false">E684*2/13+U683*11/13</f>
        <v>12323.0311938055</v>
      </c>
      <c r="V684" s="7" t="n">
        <f aca="false">E684*2/27+V683*25/27</f>
        <v>12510.6098088533</v>
      </c>
      <c r="W684" s="7" t="n">
        <f aca="false">U684-V684</f>
        <v>-187.578615047889</v>
      </c>
      <c r="X684" s="7" t="n">
        <f aca="false">W684*2/10+X683*8/10</f>
        <v>-129.43553340992</v>
      </c>
      <c r="Y684" s="7" t="n">
        <f aca="false">W684-X684</f>
        <v>-58.1430816379693</v>
      </c>
      <c r="Z684" s="9" t="s">
        <v>89</v>
      </c>
      <c r="AA684" s="7" t="str">
        <f aca="false">IFERROR(INDEX(02_轉折點45!B:B,MATCH(A684,02_轉折點45!A:A,0)),"")</f>
        <v/>
      </c>
      <c r="AB684" s="7" t="n">
        <f aca="false">COUNTIFS(05_訊號明細!A:A,A684,05_訊號明細!C:C,"TOP")</f>
        <v>0</v>
      </c>
      <c r="AC684" s="7" t="n">
        <f aca="false">COUNTIFS(05_訊號明細!A:A,A684,05_訊號明細!C:C,"BOTTOM")</f>
        <v>0</v>
      </c>
    </row>
    <row r="685" customFormat="false" ht="15" hidden="false" customHeight="false" outlineLevel="0" collapsed="false">
      <c r="A685" s="7" t="s">
        <v>726</v>
      </c>
      <c r="B685" s="7" t="n">
        <v>11775.94</v>
      </c>
      <c r="C685" s="7" t="n">
        <v>11875.09</v>
      </c>
      <c r="D685" s="7" t="n">
        <v>11710.26</v>
      </c>
      <c r="E685" s="7" t="n">
        <v>11861.38</v>
      </c>
      <c r="F685" s="7" t="n">
        <v>7452</v>
      </c>
      <c r="G685" s="7" t="n">
        <f aca="false">AVERAGE(E681:E685)</f>
        <v>12139.322</v>
      </c>
      <c r="H685" s="7" t="n">
        <f aca="false">AVERAGE(E676:E685)</f>
        <v>12197.523</v>
      </c>
      <c r="I685" s="7" t="n">
        <f aca="false">AVERAGE(E666:E685)</f>
        <v>12451.537</v>
      </c>
      <c r="J685" s="7" t="n">
        <f aca="false">AVERAGE(E636:E685)</f>
        <v>12616.0894</v>
      </c>
      <c r="K685" s="7" t="n">
        <f aca="false">AVERAGE(E586:E685)</f>
        <v>12406.2245</v>
      </c>
      <c r="L685" s="7" t="n">
        <f aca="false">AVERAGE(E486:E685)</f>
        <v>13631.7111</v>
      </c>
      <c r="M685" s="7" t="n">
        <f aca="false">I685</f>
        <v>12451.537</v>
      </c>
      <c r="N685" s="7" t="n">
        <f aca="false">I685+2*STDEV(E666:E685)</f>
        <v>13268.8242986089</v>
      </c>
      <c r="O685" s="7" t="n">
        <f aca="false">I685-2*STDEV(E666:E685)</f>
        <v>11634.2497013911</v>
      </c>
      <c r="P685" s="7" t="n">
        <f aca="false">MAX(E685-E684,0)</f>
        <v>0</v>
      </c>
      <c r="Q685" s="7" t="n">
        <f aca="false">MAX(E684-E685,0)</f>
        <v>66.1100000000006</v>
      </c>
      <c r="R685" s="7" t="n">
        <f aca="false">(R684*13+P685)/14</f>
        <v>69.4360581856805</v>
      </c>
      <c r="S685" s="7" t="n">
        <f aca="false">(S684*13+Q685)/14</f>
        <v>116.22826635052</v>
      </c>
      <c r="T685" s="7" t="n">
        <f aca="false">IF(S685=0,100,100-100/(1+R685/S685))</f>
        <v>37.3987077803641</v>
      </c>
      <c r="U685" s="7" t="n">
        <f aca="false">E685*2/13+U684*11/13</f>
        <v>12252.00793322</v>
      </c>
      <c r="V685" s="7" t="n">
        <f aca="false">E685*2/27+V684*25/27</f>
        <v>12462.5187119012</v>
      </c>
      <c r="W685" s="7" t="n">
        <f aca="false">U685-V685</f>
        <v>-210.510778681242</v>
      </c>
      <c r="X685" s="7" t="n">
        <f aca="false">W685*2/10+X684*8/10</f>
        <v>-145.650582464184</v>
      </c>
      <c r="Y685" s="7" t="n">
        <f aca="false">W685-X685</f>
        <v>-64.8601962170582</v>
      </c>
      <c r="Z685" s="9" t="s">
        <v>89</v>
      </c>
      <c r="AA685" s="7" t="str">
        <f aca="false">IFERROR(INDEX(02_轉折點45!B:B,MATCH(A685,02_轉折點45!A:A,0)),"")</f>
        <v/>
      </c>
      <c r="AB685" s="7" t="n">
        <f aca="false">COUNTIFS(05_訊號明細!A:A,A685,05_訊號明細!C:C,"TOP")</f>
        <v>0</v>
      </c>
      <c r="AC685" s="7" t="n">
        <f aca="false">COUNTIFS(05_訊號明細!A:A,A685,05_訊號明細!C:C,"BOTTOM")</f>
        <v>0</v>
      </c>
    </row>
    <row r="686" customFormat="false" ht="15" hidden="false" customHeight="false" outlineLevel="0" collapsed="false">
      <c r="A686" s="7" t="s">
        <v>727</v>
      </c>
      <c r="B686" s="7" t="n">
        <v>11753.6</v>
      </c>
      <c r="C686" s="7" t="n">
        <v>11956.79</v>
      </c>
      <c r="D686" s="7" t="n">
        <v>11752.43</v>
      </c>
      <c r="E686" s="7" t="n">
        <v>11953.27</v>
      </c>
      <c r="F686" s="7" t="n">
        <v>4169</v>
      </c>
      <c r="G686" s="7" t="n">
        <f aca="false">AVERAGE(E682:E686)</f>
        <v>11982.032</v>
      </c>
      <c r="H686" s="7" t="n">
        <f aca="false">AVERAGE(E677:E686)</f>
        <v>12183.006</v>
      </c>
      <c r="I686" s="7" t="n">
        <f aca="false">AVERAGE(E667:E686)</f>
        <v>12387.0555</v>
      </c>
      <c r="J686" s="7" t="n">
        <f aca="false">AVERAGE(E637:E686)</f>
        <v>12612.641</v>
      </c>
      <c r="K686" s="7" t="n">
        <f aca="false">AVERAGE(E587:E686)</f>
        <v>12395.6601</v>
      </c>
      <c r="L686" s="7" t="n">
        <f aca="false">AVERAGE(E487:E686)</f>
        <v>13612.08885</v>
      </c>
      <c r="M686" s="7" t="n">
        <f aca="false">I686</f>
        <v>12387.0555</v>
      </c>
      <c r="N686" s="7" t="n">
        <f aca="false">I686+2*STDEV(E667:E686)</f>
        <v>13142.6187738692</v>
      </c>
      <c r="O686" s="7" t="n">
        <f aca="false">I686-2*STDEV(E667:E686)</f>
        <v>11631.4922261308</v>
      </c>
      <c r="P686" s="7" t="n">
        <f aca="false">MAX(E686-E685,0)</f>
        <v>91.8900000000012</v>
      </c>
      <c r="Q686" s="7" t="n">
        <f aca="false">MAX(E685-E686,0)</f>
        <v>0</v>
      </c>
      <c r="R686" s="7" t="n">
        <f aca="false">(R685*13+P686)/14</f>
        <v>71.0399111724177</v>
      </c>
      <c r="S686" s="7" t="n">
        <f aca="false">(S685*13+Q686)/14</f>
        <v>107.926247325483</v>
      </c>
      <c r="T686" s="7" t="n">
        <f aca="false">IF(S686=0,100,100-100/(1+R686/S686))</f>
        <v>39.6946058230618</v>
      </c>
      <c r="U686" s="7" t="n">
        <f aca="false">E686*2/13+U685*11/13</f>
        <v>12206.0482511862</v>
      </c>
      <c r="V686" s="7" t="n">
        <f aca="false">E686*2/27+V685*25/27</f>
        <v>12424.7965850937</v>
      </c>
      <c r="W686" s="7" t="n">
        <f aca="false">U686-V686</f>
        <v>-218.74833390759</v>
      </c>
      <c r="X686" s="7" t="n">
        <f aca="false">W686*2/10+X685*8/10</f>
        <v>-160.270132752865</v>
      </c>
      <c r="Y686" s="7" t="n">
        <f aca="false">W686-X686</f>
        <v>-58.4782011547245</v>
      </c>
      <c r="Z686" s="9" t="s">
        <v>89</v>
      </c>
      <c r="AA686" s="7" t="str">
        <f aca="false">IFERROR(INDEX(02_轉折點45!B:B,MATCH(A686,02_轉折點45!A:A,0)),"")</f>
        <v/>
      </c>
      <c r="AB686" s="7" t="n">
        <f aca="false">COUNTIFS(05_訊號明細!A:A,A686,05_訊號明細!C:C,"TOP")</f>
        <v>0</v>
      </c>
      <c r="AC686" s="7" t="n">
        <f aca="false">COUNTIFS(05_訊號明細!A:A,A686,05_訊號明細!C:C,"BOTTOM")</f>
        <v>0</v>
      </c>
    </row>
    <row r="687" customFormat="false" ht="15" hidden="false" customHeight="false" outlineLevel="0" collapsed="false">
      <c r="A687" s="7" t="s">
        <v>728</v>
      </c>
      <c r="B687" s="7" t="n">
        <v>11855.84</v>
      </c>
      <c r="C687" s="7" t="n">
        <v>11951.13</v>
      </c>
      <c r="D687" s="7" t="n">
        <v>11761.69</v>
      </c>
      <c r="E687" s="7" t="n">
        <v>11851.54</v>
      </c>
      <c r="F687" s="7" t="n">
        <v>4028</v>
      </c>
      <c r="G687" s="7" t="n">
        <f aca="false">AVERAGE(E683:E687)</f>
        <v>11945.616</v>
      </c>
      <c r="H687" s="7" t="n">
        <f aca="false">AVERAGE(E678:E687)</f>
        <v>12167.029</v>
      </c>
      <c r="I687" s="7" t="n">
        <f aca="false">AVERAGE(E668:E687)</f>
        <v>12335.1055</v>
      </c>
      <c r="J687" s="7" t="n">
        <f aca="false">AVERAGE(E638:E687)</f>
        <v>12612.4662</v>
      </c>
      <c r="K687" s="7" t="n">
        <f aca="false">AVERAGE(E588:E687)</f>
        <v>12384.1419</v>
      </c>
      <c r="L687" s="7" t="n">
        <f aca="false">AVERAGE(E488:E687)</f>
        <v>13591.39275</v>
      </c>
      <c r="M687" s="7" t="n">
        <f aca="false">I687</f>
        <v>12335.1055</v>
      </c>
      <c r="N687" s="7" t="n">
        <f aca="false">I687+2*STDEV(E668:E687)</f>
        <v>13087.7799592864</v>
      </c>
      <c r="O687" s="7" t="n">
        <f aca="false">I687-2*STDEV(E668:E687)</f>
        <v>11582.4310407136</v>
      </c>
      <c r="P687" s="7" t="n">
        <f aca="false">MAX(E687-E686,0)</f>
        <v>0</v>
      </c>
      <c r="Q687" s="7" t="n">
        <f aca="false">MAX(E686-E687,0)</f>
        <v>101.73</v>
      </c>
      <c r="R687" s="7" t="n">
        <f aca="false">(R686*13+P687)/14</f>
        <v>65.9656318029593</v>
      </c>
      <c r="S687" s="7" t="n">
        <f aca="false">(S686*13+Q687)/14</f>
        <v>107.483658230806</v>
      </c>
      <c r="T687" s="7" t="n">
        <f aca="false">IF(S687=0,100,100-100/(1+R687/S687))</f>
        <v>38.0316528191715</v>
      </c>
      <c r="U687" s="7" t="n">
        <f aca="false">E687*2/13+U686*11/13</f>
        <v>12151.5085202344</v>
      </c>
      <c r="V687" s="7" t="n">
        <f aca="false">E687*2/27+V686*25/27</f>
        <v>12382.3331343461</v>
      </c>
      <c r="W687" s="7" t="n">
        <f aca="false">U687-V687</f>
        <v>-230.824614111622</v>
      </c>
      <c r="X687" s="7" t="n">
        <f aca="false">W687*2/10+X686*8/10</f>
        <v>-174.381029024617</v>
      </c>
      <c r="Y687" s="7" t="n">
        <f aca="false">W687-X687</f>
        <v>-56.443585087005</v>
      </c>
      <c r="Z687" s="9" t="s">
        <v>89</v>
      </c>
      <c r="AA687" s="7" t="str">
        <f aca="false">IFERROR(INDEX(02_轉折點45!B:B,MATCH(A687,02_轉折點45!A:A,0)),"")</f>
        <v/>
      </c>
      <c r="AB687" s="7" t="n">
        <f aca="false">COUNTIFS(05_訊號明細!A:A,A687,05_訊號明細!C:C,"TOP")</f>
        <v>0</v>
      </c>
      <c r="AC687" s="7" t="n">
        <f aca="false">COUNTIFS(05_訊號明細!A:A,A687,05_訊號明細!C:C,"BOTTOM")</f>
        <v>0</v>
      </c>
    </row>
    <row r="688" customFormat="false" ht="15" hidden="false" customHeight="false" outlineLevel="0" collapsed="false">
      <c r="A688" s="7" t="s">
        <v>729</v>
      </c>
      <c r="B688" s="7" t="n">
        <v>11892.72</v>
      </c>
      <c r="C688" s="7" t="n">
        <v>12062.52</v>
      </c>
      <c r="D688" s="7" t="n">
        <v>11636.25</v>
      </c>
      <c r="E688" s="7" t="n">
        <v>11637.79</v>
      </c>
      <c r="F688" s="7" t="n">
        <v>4471</v>
      </c>
      <c r="G688" s="7" t="n">
        <f aca="false">AVERAGE(E684:E688)</f>
        <v>11846.294</v>
      </c>
      <c r="H688" s="7" t="n">
        <f aca="false">AVERAGE(E679:E688)</f>
        <v>12104.869</v>
      </c>
      <c r="I688" s="7" t="n">
        <f aca="false">AVERAGE(E669:E688)</f>
        <v>12272.9055</v>
      </c>
      <c r="J688" s="7" t="n">
        <f aca="false">AVERAGE(E639:E688)</f>
        <v>12610.3222</v>
      </c>
      <c r="K688" s="7" t="n">
        <f aca="false">AVERAGE(E589:E688)</f>
        <v>12365.9592</v>
      </c>
      <c r="L688" s="7" t="n">
        <f aca="false">AVERAGE(E489:E688)</f>
        <v>13571.0215</v>
      </c>
      <c r="M688" s="7" t="n">
        <f aca="false">I688</f>
        <v>12272.9055</v>
      </c>
      <c r="N688" s="7" t="n">
        <f aca="false">I688+2*STDEV(E669:E688)</f>
        <v>13040.8107383828</v>
      </c>
      <c r="O688" s="7" t="n">
        <f aca="false">I688-2*STDEV(E669:E688)</f>
        <v>11505.0002616172</v>
      </c>
      <c r="P688" s="7" t="n">
        <f aca="false">MAX(E688-E687,0)</f>
        <v>0</v>
      </c>
      <c r="Q688" s="7" t="n">
        <f aca="false">MAX(E687-E688,0)</f>
        <v>213.75</v>
      </c>
      <c r="R688" s="7" t="n">
        <f aca="false">(R687*13+P688)/14</f>
        <v>61.2538009598908</v>
      </c>
      <c r="S688" s="7" t="n">
        <f aca="false">(S687*13+Q688)/14</f>
        <v>115.07411121432</v>
      </c>
      <c r="T688" s="7" t="n">
        <f aca="false">IF(S688=0,100,100-100/(1+R688/S688))</f>
        <v>34.738573266479</v>
      </c>
      <c r="U688" s="7" t="n">
        <f aca="false">E688*2/13+U687*11/13</f>
        <v>12072.4749017368</v>
      </c>
      <c r="V688" s="7" t="n">
        <f aca="false">E688*2/27+V687*25/27</f>
        <v>12327.1817910612</v>
      </c>
      <c r="W688" s="7" t="n">
        <f aca="false">U688-V688</f>
        <v>-254.706889324334</v>
      </c>
      <c r="X688" s="7" t="n">
        <f aca="false">W688*2/10+X687*8/10</f>
        <v>-190.44620108456</v>
      </c>
      <c r="Y688" s="7" t="n">
        <f aca="false">W688-X688</f>
        <v>-64.260688239774</v>
      </c>
      <c r="Z688" s="9" t="s">
        <v>89</v>
      </c>
      <c r="AA688" s="7" t="str">
        <f aca="false">IFERROR(INDEX(02_轉折點45!B:B,MATCH(A688,02_轉折點45!A:A,0)),"")</f>
        <v/>
      </c>
      <c r="AB688" s="7" t="n">
        <f aca="false">COUNTIFS(05_訊號明細!A:A,A688,05_訊號明細!C:C,"TOP")</f>
        <v>0</v>
      </c>
      <c r="AC688" s="7" t="n">
        <f aca="false">COUNTIFS(05_訊號明細!A:A,A688,05_訊號明細!C:C,"BOTTOM")</f>
        <v>0</v>
      </c>
    </row>
    <row r="689" customFormat="false" ht="15" hidden="false" customHeight="false" outlineLevel="0" collapsed="false">
      <c r="A689" s="7" t="s">
        <v>730</v>
      </c>
      <c r="B689" s="7" t="n">
        <v>11574.32</v>
      </c>
      <c r="C689" s="7" t="n">
        <v>11617.99</v>
      </c>
      <c r="D689" s="7" t="n">
        <v>11448.86</v>
      </c>
      <c r="E689" s="7" t="n">
        <v>11501.65</v>
      </c>
      <c r="F689" s="7" t="n">
        <v>4916</v>
      </c>
      <c r="G689" s="7" t="n">
        <f aca="false">AVERAGE(E685:E689)</f>
        <v>11761.126</v>
      </c>
      <c r="H689" s="7" t="n">
        <f aca="false">AVERAGE(E680:E689)</f>
        <v>12022.915</v>
      </c>
      <c r="I689" s="7" t="n">
        <f aca="false">AVERAGE(E670:E689)</f>
        <v>12202.095</v>
      </c>
      <c r="J689" s="7" t="n">
        <f aca="false">AVERAGE(E640:E689)</f>
        <v>12605.7846</v>
      </c>
      <c r="K689" s="7" t="n">
        <f aca="false">AVERAGE(E590:E689)</f>
        <v>12352.4277</v>
      </c>
      <c r="L689" s="7" t="n">
        <f aca="false">AVERAGE(E490:E689)</f>
        <v>13549.29895</v>
      </c>
      <c r="M689" s="7" t="n">
        <f aca="false">I689</f>
        <v>12202.095</v>
      </c>
      <c r="N689" s="7" t="n">
        <f aca="false">I689+2*STDEV(E670:E689)</f>
        <v>12980.6981842378</v>
      </c>
      <c r="O689" s="7" t="n">
        <f aca="false">I689-2*STDEV(E670:E689)</f>
        <v>11423.4918157622</v>
      </c>
      <c r="P689" s="7" t="n">
        <f aca="false">MAX(E689-E688,0)</f>
        <v>0</v>
      </c>
      <c r="Q689" s="7" t="n">
        <f aca="false">MAX(E688-E689,0)</f>
        <v>136.140000000001</v>
      </c>
      <c r="R689" s="7" t="n">
        <f aca="false">(R688*13+P689)/14</f>
        <v>56.8785294627557</v>
      </c>
      <c r="S689" s="7" t="n">
        <f aca="false">(S688*13+Q689)/14</f>
        <v>116.578817556154</v>
      </c>
      <c r="T689" s="7" t="n">
        <f aca="false">IF(S689=0,100,100-100/(1+R689/S689))</f>
        <v>32.7910754086162</v>
      </c>
      <c r="U689" s="7" t="n">
        <f aca="false">E689*2/13+U688*11/13</f>
        <v>11984.655686085</v>
      </c>
      <c r="V689" s="7" t="n">
        <f aca="false">E689*2/27+V688*25/27</f>
        <v>12266.0312880196</v>
      </c>
      <c r="W689" s="7" t="n">
        <f aca="false">U689-V689</f>
        <v>-281.375601934587</v>
      </c>
      <c r="X689" s="7" t="n">
        <f aca="false">W689*2/10+X688*8/10</f>
        <v>-208.632081254566</v>
      </c>
      <c r="Y689" s="7" t="n">
        <f aca="false">W689-X689</f>
        <v>-72.7435206800219</v>
      </c>
      <c r="Z689" s="9" t="s">
        <v>89</v>
      </c>
      <c r="AA689" s="7" t="str">
        <f aca="false">IFERROR(INDEX(02_轉折點45!B:B,MATCH(A689,02_轉折點45!A:A,0)),"")</f>
        <v/>
      </c>
      <c r="AB689" s="7" t="n">
        <f aca="false">COUNTIFS(05_訊號明細!A:A,A689,05_訊號明細!C:C,"TOP")</f>
        <v>0</v>
      </c>
      <c r="AC689" s="7" t="n">
        <f aca="false">COUNTIFS(05_訊號明細!A:A,A689,05_訊號明細!C:C,"BOTTOM")</f>
        <v>0</v>
      </c>
    </row>
    <row r="690" customFormat="false" ht="15" hidden="false" customHeight="false" outlineLevel="0" collapsed="false">
      <c r="A690" s="7" t="s">
        <v>731</v>
      </c>
      <c r="B690" s="7" t="n">
        <v>11398.75</v>
      </c>
      <c r="C690" s="7" t="n">
        <v>11402.41</v>
      </c>
      <c r="D690" s="7" t="n">
        <v>11169.66</v>
      </c>
      <c r="E690" s="7" t="n">
        <v>11311.24</v>
      </c>
      <c r="F690" s="7" t="n">
        <v>5134</v>
      </c>
      <c r="G690" s="7" t="n">
        <f aca="false">AVERAGE(E686:E690)</f>
        <v>11651.098</v>
      </c>
      <c r="H690" s="7" t="n">
        <f aca="false">AVERAGE(E681:E690)</f>
        <v>11895.21</v>
      </c>
      <c r="I690" s="7" t="n">
        <f aca="false">AVERAGE(E671:E690)</f>
        <v>12110.478</v>
      </c>
      <c r="J690" s="7" t="n">
        <f aca="false">AVERAGE(E641:E690)</f>
        <v>12596.6414</v>
      </c>
      <c r="K690" s="7" t="n">
        <f aca="false">AVERAGE(E591:E690)</f>
        <v>12334.7816</v>
      </c>
      <c r="L690" s="7" t="n">
        <f aca="false">AVERAGE(E491:E690)</f>
        <v>13524.22685</v>
      </c>
      <c r="M690" s="7" t="n">
        <f aca="false">I690</f>
        <v>12110.478</v>
      </c>
      <c r="N690" s="7" t="n">
        <f aca="false">I690+2*STDEV(E671:E690)</f>
        <v>12853.0076726192</v>
      </c>
      <c r="O690" s="7" t="n">
        <f aca="false">I690-2*STDEV(E671:E690)</f>
        <v>11367.9483273808</v>
      </c>
      <c r="P690" s="7" t="n">
        <f aca="false">MAX(E690-E689,0)</f>
        <v>0</v>
      </c>
      <c r="Q690" s="7" t="n">
        <f aca="false">MAX(E689-E690,0)</f>
        <v>190.41</v>
      </c>
      <c r="R690" s="7" t="n">
        <f aca="false">(R689*13+P690)/14</f>
        <v>52.8157773582732</v>
      </c>
      <c r="S690" s="7" t="n">
        <f aca="false">(S689*13+Q690)/14</f>
        <v>121.852473445</v>
      </c>
      <c r="T690" s="7" t="n">
        <f aca="false">IF(S690=0,100,100-100/(1+R690/S690))</f>
        <v>30.237766231345</v>
      </c>
      <c r="U690" s="7" t="n">
        <f aca="false">E690*2/13+U689*11/13</f>
        <v>11881.0532728412</v>
      </c>
      <c r="V690" s="7" t="n">
        <f aca="false">E690*2/27+V689*25/27</f>
        <v>12195.3060074256</v>
      </c>
      <c r="W690" s="7" t="n">
        <f aca="false">U690-V690</f>
        <v>-314.25273458439</v>
      </c>
      <c r="X690" s="7" t="n">
        <f aca="false">W690*2/10+X689*8/10</f>
        <v>-229.75621192053</v>
      </c>
      <c r="Y690" s="7" t="n">
        <f aca="false">W690-X690</f>
        <v>-84.4965226638597</v>
      </c>
      <c r="Z690" s="9" t="s">
        <v>89</v>
      </c>
      <c r="AA690" s="7" t="str">
        <f aca="false">IFERROR(INDEX(02_轉折點45!B:B,MATCH(A690,02_轉折點45!A:A,0)),"")</f>
        <v/>
      </c>
      <c r="AB690" s="7" t="n">
        <f aca="false">COUNTIFS(05_訊號明細!A:A,A690,05_訊號明細!C:C,"TOP")</f>
        <v>1</v>
      </c>
      <c r="AC690" s="7" t="n">
        <f aca="false">COUNTIFS(05_訊號明細!A:A,A690,05_訊號明細!C:C,"BOTTOM")</f>
        <v>0</v>
      </c>
    </row>
    <row r="691" customFormat="false" ht="15" hidden="false" customHeight="false" outlineLevel="0" collapsed="false">
      <c r="A691" s="7" t="s">
        <v>732</v>
      </c>
      <c r="B691" s="7" t="n">
        <v>11283.14</v>
      </c>
      <c r="C691" s="7" t="n">
        <v>11473.36</v>
      </c>
      <c r="D691" s="7" t="n">
        <v>11235.74</v>
      </c>
      <c r="E691" s="7" t="n">
        <v>11254.11</v>
      </c>
      <c r="F691" s="7" t="n">
        <v>4698</v>
      </c>
      <c r="G691" s="7" t="n">
        <f aca="false">AVERAGE(E687:E691)</f>
        <v>11511.266</v>
      </c>
      <c r="H691" s="7" t="n">
        <f aca="false">AVERAGE(E682:E691)</f>
        <v>11746.649</v>
      </c>
      <c r="I691" s="7" t="n">
        <f aca="false">AVERAGE(E672:E691)</f>
        <v>12042.925</v>
      </c>
      <c r="J691" s="7" t="n">
        <f aca="false">AVERAGE(E642:E691)</f>
        <v>12582.0512</v>
      </c>
      <c r="K691" s="7" t="n">
        <f aca="false">AVERAGE(E592:E691)</f>
        <v>12316.4237</v>
      </c>
      <c r="L691" s="7" t="n">
        <f aca="false">AVERAGE(E492:E691)</f>
        <v>13498.5257</v>
      </c>
      <c r="M691" s="7" t="n">
        <f aca="false">I691</f>
        <v>12042.925</v>
      </c>
      <c r="N691" s="7" t="n">
        <f aca="false">I691+2*STDEV(E672:E691)</f>
        <v>12839.7993961385</v>
      </c>
      <c r="O691" s="7" t="n">
        <f aca="false">I691-2*STDEV(E672:E691)</f>
        <v>11246.0506038615</v>
      </c>
      <c r="P691" s="7" t="n">
        <f aca="false">MAX(E691-E690,0)</f>
        <v>0</v>
      </c>
      <c r="Q691" s="7" t="n">
        <f aca="false">MAX(E690-E691,0)</f>
        <v>57.1299999999992</v>
      </c>
      <c r="R691" s="7" t="n">
        <f aca="false">(R690*13+P691)/14</f>
        <v>49.0432218326822</v>
      </c>
      <c r="S691" s="7" t="n">
        <f aca="false">(S690*13+Q691)/14</f>
        <v>117.2294396275</v>
      </c>
      <c r="T691" s="7" t="n">
        <f aca="false">IF(S691=0,100,100-100/(1+R691/S691))</f>
        <v>29.495661765435</v>
      </c>
      <c r="U691" s="7" t="n">
        <f aca="false">E691*2/13+U690*11/13</f>
        <v>11784.6004616348</v>
      </c>
      <c r="V691" s="7" t="n">
        <f aca="false">E691*2/27+V690*25/27</f>
        <v>12125.5877846533</v>
      </c>
      <c r="W691" s="7" t="n">
        <f aca="false">U691-V691</f>
        <v>-340.98732301846</v>
      </c>
      <c r="X691" s="7" t="n">
        <f aca="false">W691*2/10+X690*8/10</f>
        <v>-252.002434140116</v>
      </c>
      <c r="Y691" s="7" t="n">
        <f aca="false">W691-X691</f>
        <v>-88.9848888783439</v>
      </c>
      <c r="Z691" s="9" t="s">
        <v>89</v>
      </c>
      <c r="AA691" s="7" t="str">
        <f aca="false">IFERROR(INDEX(02_轉折點45!B:B,MATCH(A691,02_轉折點45!A:A,0)),"")</f>
        <v/>
      </c>
      <c r="AB691" s="7" t="n">
        <f aca="false">COUNTIFS(05_訊號明細!A:A,A691,05_訊號明細!C:C,"TOP")</f>
        <v>0</v>
      </c>
      <c r="AC691" s="7" t="n">
        <f aca="false">COUNTIFS(05_訊號明細!A:A,A691,05_訊號明細!C:C,"BOTTOM")</f>
        <v>0</v>
      </c>
    </row>
    <row r="692" customFormat="false" ht="15" hidden="false" customHeight="false" outlineLevel="0" collapsed="false">
      <c r="A692" s="7" t="s">
        <v>733</v>
      </c>
      <c r="B692" s="7" t="n">
        <v>11411.34</v>
      </c>
      <c r="C692" s="7" t="n">
        <v>11502.38</v>
      </c>
      <c r="D692" s="7" t="n">
        <v>11175.29</v>
      </c>
      <c r="E692" s="7" t="n">
        <v>11271.75</v>
      </c>
      <c r="F692" s="7" t="n">
        <v>4445</v>
      </c>
      <c r="G692" s="7" t="n">
        <f aca="false">AVERAGE(E688:E692)</f>
        <v>11395.308</v>
      </c>
      <c r="H692" s="7" t="n">
        <f aca="false">AVERAGE(E683:E692)</f>
        <v>11670.462</v>
      </c>
      <c r="I692" s="7" t="n">
        <f aca="false">AVERAGE(E673:E692)</f>
        <v>11982.2965</v>
      </c>
      <c r="J692" s="7" t="n">
        <f aca="false">AVERAGE(E643:E692)</f>
        <v>12569.9362</v>
      </c>
      <c r="K692" s="7" t="n">
        <f aca="false">AVERAGE(E593:E692)</f>
        <v>12293.7841</v>
      </c>
      <c r="L692" s="7" t="n">
        <f aca="false">AVERAGE(E493:E692)</f>
        <v>13474.1366</v>
      </c>
      <c r="M692" s="7" t="n">
        <f aca="false">I692</f>
        <v>11982.2965</v>
      </c>
      <c r="N692" s="7" t="n">
        <f aca="false">I692+2*STDEV(E673:E692)</f>
        <v>12821.1750558746</v>
      </c>
      <c r="O692" s="7" t="n">
        <f aca="false">I692-2*STDEV(E673:E692)</f>
        <v>11143.4179441254</v>
      </c>
      <c r="P692" s="7" t="n">
        <f aca="false">MAX(E692-E691,0)</f>
        <v>17.6399999999994</v>
      </c>
      <c r="Q692" s="7" t="n">
        <f aca="false">MAX(E691-E692,0)</f>
        <v>0</v>
      </c>
      <c r="R692" s="7" t="n">
        <f aca="false">(R691*13+P692)/14</f>
        <v>46.8001345589192</v>
      </c>
      <c r="S692" s="7" t="n">
        <f aca="false">(S691*13+Q692)/14</f>
        <v>108.855908225536</v>
      </c>
      <c r="T692" s="7" t="n">
        <f aca="false">IF(S692=0,100,100-100/(1+R692/S692))</f>
        <v>30.0663782283903</v>
      </c>
      <c r="U692" s="7" t="n">
        <f aca="false">E692*2/13+U691*11/13</f>
        <v>11705.7003906141</v>
      </c>
      <c r="V692" s="7" t="n">
        <f aca="false">E692*2/27+V691*25/27</f>
        <v>12062.3405413456</v>
      </c>
      <c r="W692" s="7" t="n">
        <f aca="false">U692-V692</f>
        <v>-356.640150731555</v>
      </c>
      <c r="X692" s="7" t="n">
        <f aca="false">W692*2/10+X691*8/10</f>
        <v>-272.929977458404</v>
      </c>
      <c r="Y692" s="7" t="n">
        <f aca="false">W692-X692</f>
        <v>-83.7101732731509</v>
      </c>
      <c r="Z692" s="9" t="s">
        <v>89</v>
      </c>
      <c r="AA692" s="7" t="str">
        <f aca="false">IFERROR(INDEX(02_轉折點45!B:B,MATCH(A692,02_轉折點45!A:A,0)),"")</f>
        <v/>
      </c>
      <c r="AB692" s="7" t="n">
        <f aca="false">COUNTIFS(05_訊號明細!A:A,A692,05_訊號明細!C:C,"TOP")</f>
        <v>0</v>
      </c>
      <c r="AC692" s="7" t="n">
        <f aca="false">COUNTIFS(05_訊號明細!A:A,A692,05_訊號明細!C:C,"BOTTOM")</f>
        <v>0</v>
      </c>
    </row>
    <row r="693" customFormat="false" ht="15" hidden="false" customHeight="false" outlineLevel="0" collapsed="false">
      <c r="A693" s="7" t="s">
        <v>734</v>
      </c>
      <c r="B693" s="7" t="n">
        <v>11258.74</v>
      </c>
      <c r="C693" s="7" t="n">
        <v>11546.87</v>
      </c>
      <c r="D693" s="7" t="n">
        <v>11210.81</v>
      </c>
      <c r="E693" s="7" t="n">
        <v>11493.83</v>
      </c>
      <c r="F693" s="7" t="n">
        <v>4556</v>
      </c>
      <c r="G693" s="7" t="n">
        <f aca="false">AVERAGE(E689:E693)</f>
        <v>11366.516</v>
      </c>
      <c r="H693" s="7" t="n">
        <f aca="false">AVERAGE(E684:E693)</f>
        <v>11606.405</v>
      </c>
      <c r="I693" s="7" t="n">
        <f aca="false">AVERAGE(E674:E693)</f>
        <v>11939.853</v>
      </c>
      <c r="J693" s="7" t="n">
        <f aca="false">AVERAGE(E644:E693)</f>
        <v>12554.8244</v>
      </c>
      <c r="K693" s="7" t="n">
        <f aca="false">AVERAGE(E594:E693)</f>
        <v>12280.2169</v>
      </c>
      <c r="L693" s="7" t="n">
        <f aca="false">AVERAGE(E494:E693)</f>
        <v>13449.94585</v>
      </c>
      <c r="M693" s="7" t="n">
        <f aca="false">I693</f>
        <v>11939.853</v>
      </c>
      <c r="N693" s="7" t="n">
        <f aca="false">I693+2*STDEV(E674:E693)</f>
        <v>12787.8024367522</v>
      </c>
      <c r="O693" s="7" t="n">
        <f aca="false">I693-2*STDEV(E674:E693)</f>
        <v>11091.9035632478</v>
      </c>
      <c r="P693" s="7" t="n">
        <f aca="false">MAX(E693-E692,0)</f>
        <v>222.08</v>
      </c>
      <c r="Q693" s="7" t="n">
        <f aca="false">MAX(E692-E693,0)</f>
        <v>0</v>
      </c>
      <c r="R693" s="7" t="n">
        <f aca="false">(R692*13+P693)/14</f>
        <v>59.3201249475678</v>
      </c>
      <c r="S693" s="7" t="n">
        <f aca="false">(S692*13+Q693)/14</f>
        <v>101.080486209426</v>
      </c>
      <c r="T693" s="7" t="n">
        <f aca="false">IF(S693=0,100,100-100/(1+R693/S693))</f>
        <v>36.9824806275255</v>
      </c>
      <c r="U693" s="7" t="n">
        <f aca="false">E693*2/13+U692*11/13</f>
        <v>11673.1049459042</v>
      </c>
      <c r="V693" s="7" t="n">
        <f aca="false">E693*2/27+V692*25/27</f>
        <v>12020.2286493941</v>
      </c>
      <c r="W693" s="7" t="n">
        <f aca="false">U693-V693</f>
        <v>-347.123703489886</v>
      </c>
      <c r="X693" s="7" t="n">
        <f aca="false">W693*2/10+X692*8/10</f>
        <v>-287.768722664701</v>
      </c>
      <c r="Y693" s="7" t="n">
        <f aca="false">W693-X693</f>
        <v>-59.3549808251854</v>
      </c>
      <c r="Z693" s="9" t="s">
        <v>89</v>
      </c>
      <c r="AA693" s="7" t="str">
        <f aca="false">IFERROR(INDEX(02_轉折點45!B:B,MATCH(A693,02_轉折點45!A:A,0)),"")</f>
        <v/>
      </c>
      <c r="AB693" s="7" t="n">
        <f aca="false">COUNTIFS(05_訊號明細!A:A,A693,05_訊號明細!C:C,"TOP")</f>
        <v>0</v>
      </c>
      <c r="AC693" s="7" t="n">
        <f aca="false">COUNTIFS(05_訊號明細!A:A,A693,05_訊號明細!C:C,"BOTTOM")</f>
        <v>0</v>
      </c>
    </row>
    <row r="694" customFormat="false" ht="15" hidden="false" customHeight="false" outlineLevel="0" collapsed="false">
      <c r="A694" s="7" t="s">
        <v>735</v>
      </c>
      <c r="B694" s="7" t="n">
        <v>11334.57</v>
      </c>
      <c r="C694" s="7" t="n">
        <v>11339.91</v>
      </c>
      <c r="D694" s="7" t="n">
        <v>11038.94</v>
      </c>
      <c r="E694" s="7" t="n">
        <v>11164.78</v>
      </c>
      <c r="F694" s="7" t="n">
        <v>4517</v>
      </c>
      <c r="G694" s="7" t="n">
        <f aca="false">AVERAGE(E690:E694)</f>
        <v>11299.142</v>
      </c>
      <c r="H694" s="7" t="n">
        <f aca="false">AVERAGE(E685:E694)</f>
        <v>11530.134</v>
      </c>
      <c r="I694" s="7" t="n">
        <f aca="false">AVERAGE(E675:E694)</f>
        <v>11884.4905</v>
      </c>
      <c r="J694" s="7" t="n">
        <f aca="false">AVERAGE(E645:E694)</f>
        <v>12529.3264</v>
      </c>
      <c r="K694" s="7" t="n">
        <f aca="false">AVERAGE(E595:E694)</f>
        <v>12264.9294</v>
      </c>
      <c r="L694" s="7" t="n">
        <f aca="false">AVERAGE(E495:E694)</f>
        <v>13425.357</v>
      </c>
      <c r="M694" s="7" t="n">
        <f aca="false">I694</f>
        <v>11884.4905</v>
      </c>
      <c r="N694" s="7" t="n">
        <f aca="false">I694+2*STDEV(E675:E694)</f>
        <v>12784.1317317076</v>
      </c>
      <c r="O694" s="7" t="n">
        <f aca="false">I694-2*STDEV(E675:E694)</f>
        <v>10984.8492682924</v>
      </c>
      <c r="P694" s="7" t="n">
        <f aca="false">MAX(E694-E693,0)</f>
        <v>0</v>
      </c>
      <c r="Q694" s="7" t="n">
        <f aca="false">MAX(E693-E694,0)</f>
        <v>329.049999999999</v>
      </c>
      <c r="R694" s="7" t="n">
        <f aca="false">(R693*13+P694)/14</f>
        <v>55.0829731655987</v>
      </c>
      <c r="S694" s="7" t="n">
        <f aca="false">(S693*13+Q694)/14</f>
        <v>117.364022908753</v>
      </c>
      <c r="T694" s="7" t="n">
        <f aca="false">IF(S694=0,100,100-100/(1+R694/S694))</f>
        <v>31.9419731392998</v>
      </c>
      <c r="U694" s="7" t="n">
        <f aca="false">E694*2/13+U693*11/13</f>
        <v>11594.9011080728</v>
      </c>
      <c r="V694" s="7" t="n">
        <f aca="false">E694*2/27+V693*25/27</f>
        <v>11956.8620827723</v>
      </c>
      <c r="W694" s="7" t="n">
        <f aca="false">U694-V694</f>
        <v>-361.960974699519</v>
      </c>
      <c r="X694" s="7" t="n">
        <f aca="false">W694*2/10+X693*8/10</f>
        <v>-302.607173071664</v>
      </c>
      <c r="Y694" s="7" t="n">
        <f aca="false">W694-X694</f>
        <v>-59.353801627855</v>
      </c>
      <c r="Z694" s="9" t="s">
        <v>89</v>
      </c>
      <c r="AA694" s="7" t="str">
        <f aca="false">IFERROR(INDEX(02_轉折點45!B:B,MATCH(A694,02_轉折點45!A:A,0)),"")</f>
        <v/>
      </c>
      <c r="AB694" s="7" t="n">
        <f aca="false">COUNTIFS(05_訊號明細!A:A,A694,05_訊號明細!C:C,"TOP")</f>
        <v>1</v>
      </c>
      <c r="AC694" s="7" t="n">
        <f aca="false">COUNTIFS(05_訊號明細!A:A,A694,05_訊號明細!C:C,"BOTTOM")</f>
        <v>0</v>
      </c>
    </row>
    <row r="695" customFormat="false" ht="15" hidden="false" customHeight="false" outlineLevel="0" collapsed="false">
      <c r="A695" s="7" t="s">
        <v>736</v>
      </c>
      <c r="B695" s="7" t="n">
        <v>11123.11</v>
      </c>
      <c r="C695" s="7" t="n">
        <v>11296.16</v>
      </c>
      <c r="D695" s="7" t="n">
        <v>10966.95</v>
      </c>
      <c r="E695" s="7" t="n">
        <v>10971.22</v>
      </c>
      <c r="F695" s="7" t="n">
        <v>4650</v>
      </c>
      <c r="G695" s="7" t="n">
        <f aca="false">AVERAGE(E691:E695)</f>
        <v>11231.138</v>
      </c>
      <c r="H695" s="7" t="n">
        <f aca="false">AVERAGE(E686:E695)</f>
        <v>11441.118</v>
      </c>
      <c r="I695" s="7" t="n">
        <f aca="false">AVERAGE(E676:E695)</f>
        <v>11819.3205</v>
      </c>
      <c r="J695" s="7" t="n">
        <f aca="false">AVERAGE(E646:E695)</f>
        <v>12496.3626</v>
      </c>
      <c r="K695" s="7" t="n">
        <f aca="false">AVERAGE(E596:E695)</f>
        <v>12252.7644</v>
      </c>
      <c r="L695" s="7" t="n">
        <f aca="false">AVERAGE(E496:E695)</f>
        <v>13400.6386</v>
      </c>
      <c r="M695" s="7" t="n">
        <f aca="false">I695</f>
        <v>11819.3205</v>
      </c>
      <c r="N695" s="7" t="n">
        <f aca="false">I695+2*STDEV(E676:E695)</f>
        <v>12786.2856432127</v>
      </c>
      <c r="O695" s="7" t="n">
        <f aca="false">I695-2*STDEV(E676:E695)</f>
        <v>10852.3553567873</v>
      </c>
      <c r="P695" s="7" t="n">
        <f aca="false">MAX(E695-E694,0)</f>
        <v>0</v>
      </c>
      <c r="Q695" s="7" t="n">
        <f aca="false">MAX(E694-E695,0)</f>
        <v>193.560000000001</v>
      </c>
      <c r="R695" s="7" t="n">
        <f aca="false">(R694*13+P695)/14</f>
        <v>51.1484750823416</v>
      </c>
      <c r="S695" s="7" t="n">
        <f aca="false">(S694*13+Q695)/14</f>
        <v>122.806592700985</v>
      </c>
      <c r="T695" s="7" t="n">
        <f aca="false">IF(S695=0,100,100-100/(1+R695/S695))</f>
        <v>29.4032681738544</v>
      </c>
      <c r="U695" s="7" t="n">
        <f aca="false">E695*2/13+U694*11/13</f>
        <v>11498.9501683693</v>
      </c>
      <c r="V695" s="7" t="n">
        <f aca="false">E695*2/27+V694*25/27</f>
        <v>11883.8515581225</v>
      </c>
      <c r="W695" s="7" t="n">
        <f aca="false">U695-V695</f>
        <v>-384.901389753228</v>
      </c>
      <c r="X695" s="7" t="n">
        <f aca="false">W695*2/10+X694*8/10</f>
        <v>-319.066016407977</v>
      </c>
      <c r="Y695" s="7" t="n">
        <f aca="false">W695-X695</f>
        <v>-65.8353733452508</v>
      </c>
      <c r="Z695" s="9" t="s">
        <v>89</v>
      </c>
      <c r="AA695" s="7" t="str">
        <f aca="false">IFERROR(INDEX(02_轉折點45!B:B,MATCH(A695,02_轉折點45!A:A,0)),"")</f>
        <v/>
      </c>
      <c r="AB695" s="7" t="n">
        <f aca="false">COUNTIFS(05_訊號明細!A:A,A695,05_訊號明細!C:C,"TOP")</f>
        <v>0</v>
      </c>
      <c r="AC695" s="7" t="n">
        <f aca="false">COUNTIFS(05_訊號明細!A:A,A695,05_訊號明細!C:C,"BOTTOM")</f>
        <v>0</v>
      </c>
    </row>
    <row r="696" customFormat="false" ht="15" hidden="false" customHeight="false" outlineLevel="0" collapsed="false">
      <c r="A696" s="7" t="s">
        <v>737</v>
      </c>
      <c r="B696" s="7" t="n">
        <v>11059.17</v>
      </c>
      <c r="C696" s="7" t="n">
        <v>11296.43</v>
      </c>
      <c r="D696" s="7" t="n">
        <v>10985.01</v>
      </c>
      <c r="E696" s="7" t="n">
        <v>11229.73</v>
      </c>
      <c r="F696" s="7" t="n">
        <v>4415</v>
      </c>
      <c r="G696" s="7" t="n">
        <f aca="false">AVERAGE(E692:E696)</f>
        <v>11226.262</v>
      </c>
      <c r="H696" s="7" t="n">
        <f aca="false">AVERAGE(E687:E696)</f>
        <v>11368.764</v>
      </c>
      <c r="I696" s="7" t="n">
        <f aca="false">AVERAGE(E677:E696)</f>
        <v>11775.885</v>
      </c>
      <c r="J696" s="7" t="n">
        <f aca="false">AVERAGE(E647:E696)</f>
        <v>12473.0278</v>
      </c>
      <c r="K696" s="7" t="n">
        <f aca="false">AVERAGE(E597:E696)</f>
        <v>12241.6031</v>
      </c>
      <c r="L696" s="7" t="n">
        <f aca="false">AVERAGE(E497:E696)</f>
        <v>13375.3393</v>
      </c>
      <c r="M696" s="7" t="n">
        <f aca="false">I696</f>
        <v>11775.885</v>
      </c>
      <c r="N696" s="7" t="n">
        <f aca="false">I696+2*STDEV(E677:E696)</f>
        <v>12767.7815303742</v>
      </c>
      <c r="O696" s="7" t="n">
        <f aca="false">I696-2*STDEV(E677:E696)</f>
        <v>10783.9884696258</v>
      </c>
      <c r="P696" s="7" t="n">
        <f aca="false">MAX(E696-E695,0)</f>
        <v>258.51</v>
      </c>
      <c r="Q696" s="7" t="n">
        <f aca="false">MAX(E695-E696,0)</f>
        <v>0</v>
      </c>
      <c r="R696" s="7" t="n">
        <f aca="false">(R695*13+P696)/14</f>
        <v>65.9600125764601</v>
      </c>
      <c r="S696" s="7" t="n">
        <f aca="false">(S695*13+Q696)/14</f>
        <v>114.034693222343</v>
      </c>
      <c r="T696" s="7" t="n">
        <f aca="false">IF(S696=0,100,100-100/(1+R696/S696))</f>
        <v>36.6455292580604</v>
      </c>
      <c r="U696" s="7" t="n">
        <f aca="false">E696*2/13+U695*11/13</f>
        <v>11457.5316809279</v>
      </c>
      <c r="V696" s="7" t="n">
        <f aca="false">E696*2/27+V695*25/27</f>
        <v>11835.3981093727</v>
      </c>
      <c r="W696" s="7" t="n">
        <f aca="false">U696-V696</f>
        <v>-377.866428444841</v>
      </c>
      <c r="X696" s="7" t="n">
        <f aca="false">W696*2/10+X695*8/10</f>
        <v>-330.82609881535</v>
      </c>
      <c r="Y696" s="7" t="n">
        <f aca="false">W696-X696</f>
        <v>-47.0403296294909</v>
      </c>
      <c r="Z696" s="9" t="s">
        <v>89</v>
      </c>
      <c r="AA696" s="7" t="str">
        <f aca="false">IFERROR(INDEX(02_轉折點45!B:B,MATCH(A696,02_轉折點45!A:A,0)),"")</f>
        <v/>
      </c>
      <c r="AB696" s="7" t="n">
        <f aca="false">COUNTIFS(05_訊號明細!A:A,A696,05_訊號明細!C:C,"TOP")</f>
        <v>0</v>
      </c>
      <c r="AC696" s="7" t="n">
        <f aca="false">COUNTIFS(05_訊號明細!A:A,A696,05_訊號明細!C:C,"BOTTOM")</f>
        <v>0</v>
      </c>
    </row>
    <row r="697" customFormat="false" ht="15" hidden="false" customHeight="false" outlineLevel="0" collapsed="false">
      <c r="A697" s="7" t="s">
        <v>738</v>
      </c>
      <c r="B697" s="7" t="n">
        <v>11477.85</v>
      </c>
      <c r="C697" s="7" t="n">
        <v>11609.25</v>
      </c>
      <c r="D697" s="7" t="n">
        <v>11462.37</v>
      </c>
      <c r="E697" s="7" t="n">
        <v>11582.54</v>
      </c>
      <c r="F697" s="7" t="n">
        <v>5005</v>
      </c>
      <c r="G697" s="7" t="n">
        <f aca="false">AVERAGE(E693:E697)</f>
        <v>11288.42</v>
      </c>
      <c r="H697" s="7" t="n">
        <f aca="false">AVERAGE(E688:E697)</f>
        <v>11341.864</v>
      </c>
      <c r="I697" s="7" t="n">
        <f aca="false">AVERAGE(E678:E697)</f>
        <v>11754.4465</v>
      </c>
      <c r="J697" s="7" t="n">
        <f aca="false">AVERAGE(E648:E697)</f>
        <v>12458.1104</v>
      </c>
      <c r="K697" s="7" t="n">
        <f aca="false">AVERAGE(E598:E697)</f>
        <v>12237.7529</v>
      </c>
      <c r="L697" s="7" t="n">
        <f aca="false">AVERAGE(E498:E697)</f>
        <v>13353.9323</v>
      </c>
      <c r="M697" s="7" t="n">
        <f aca="false">I697</f>
        <v>11754.4465</v>
      </c>
      <c r="N697" s="7" t="n">
        <f aca="false">I697+2*STDEV(E678:E697)</f>
        <v>12743.4485622463</v>
      </c>
      <c r="O697" s="7" t="n">
        <f aca="false">I697-2*STDEV(E678:E697)</f>
        <v>10765.4444377537</v>
      </c>
      <c r="P697" s="7" t="n">
        <f aca="false">MAX(E697-E696,0)</f>
        <v>352.810000000001</v>
      </c>
      <c r="Q697" s="7" t="n">
        <f aca="false">MAX(E696-E697,0)</f>
        <v>0</v>
      </c>
      <c r="R697" s="7" t="n">
        <f aca="false">(R696*13+P697)/14</f>
        <v>86.4492973924273</v>
      </c>
      <c r="S697" s="7" t="n">
        <f aca="false">(S696*13+Q697)/14</f>
        <v>105.889357992176</v>
      </c>
      <c r="T697" s="7" t="n">
        <f aca="false">IF(S697=0,100,100-100/(1+R697/S697))</f>
        <v>44.9463979144297</v>
      </c>
      <c r="U697" s="7" t="n">
        <f aca="false">E697*2/13+U696*11/13</f>
        <v>11476.7637300159</v>
      </c>
      <c r="V697" s="7" t="n">
        <f aca="false">E697*2/27+V696*25/27</f>
        <v>11816.6678790488</v>
      </c>
      <c r="W697" s="7" t="n">
        <f aca="false">U697-V697</f>
        <v>-339.904149032918</v>
      </c>
      <c r="X697" s="7" t="n">
        <f aca="false">W697*2/10+X696*8/10</f>
        <v>-332.641708858863</v>
      </c>
      <c r="Y697" s="7" t="n">
        <f aca="false">W697-X697</f>
        <v>-7.26244017405486</v>
      </c>
      <c r="Z697" s="9" t="s">
        <v>89</v>
      </c>
      <c r="AA697" s="7" t="str">
        <f aca="false">IFERROR(INDEX(02_轉折點45!B:B,MATCH(A697,02_轉折點45!A:A,0)),"")</f>
        <v/>
      </c>
      <c r="AB697" s="7" t="n">
        <f aca="false">COUNTIFS(05_訊號明細!A:A,A697,05_訊號明細!C:C,"TOP")</f>
        <v>0</v>
      </c>
      <c r="AC697" s="7" t="n">
        <f aca="false">COUNTIFS(05_訊號明細!A:A,A697,05_訊號明細!C:C,"BOTTOM")</f>
        <v>0</v>
      </c>
    </row>
    <row r="698" customFormat="false" ht="15" hidden="false" customHeight="false" outlineLevel="0" collapsed="false">
      <c r="A698" s="7" t="s">
        <v>739</v>
      </c>
      <c r="B698" s="7" t="n">
        <v>11429.47</v>
      </c>
      <c r="C698" s="7" t="n">
        <v>11647.62</v>
      </c>
      <c r="D698" s="7" t="n">
        <v>11312.52</v>
      </c>
      <c r="E698" s="7" t="n">
        <v>11573.18</v>
      </c>
      <c r="F698" s="7" t="n">
        <v>4092</v>
      </c>
      <c r="G698" s="7" t="n">
        <f aca="false">AVERAGE(E694:E698)</f>
        <v>11304.29</v>
      </c>
      <c r="H698" s="7" t="n">
        <f aca="false">AVERAGE(E689:E698)</f>
        <v>11335.403</v>
      </c>
      <c r="I698" s="7" t="n">
        <f aca="false">AVERAGE(E679:E698)</f>
        <v>11720.136</v>
      </c>
      <c r="J698" s="7" t="n">
        <f aca="false">AVERAGE(E649:E698)</f>
        <v>12447.836</v>
      </c>
      <c r="K698" s="7" t="n">
        <f aca="false">AVERAGE(E599:E698)</f>
        <v>12234.0297</v>
      </c>
      <c r="L698" s="7" t="n">
        <f aca="false">AVERAGE(E499:E698)</f>
        <v>13332.7909</v>
      </c>
      <c r="M698" s="7" t="n">
        <f aca="false">I698</f>
        <v>11720.136</v>
      </c>
      <c r="N698" s="7" t="n">
        <f aca="false">I698+2*STDEV(E679:E698)</f>
        <v>12682.6370757047</v>
      </c>
      <c r="O698" s="7" t="n">
        <f aca="false">I698-2*STDEV(E679:E698)</f>
        <v>10757.6349242953</v>
      </c>
      <c r="P698" s="7" t="n">
        <f aca="false">MAX(E698-E697,0)</f>
        <v>0</v>
      </c>
      <c r="Q698" s="7" t="n">
        <f aca="false">MAX(E697-E698,0)</f>
        <v>9.36000000000058</v>
      </c>
      <c r="R698" s="7" t="n">
        <f aca="false">(R697*13+P698)/14</f>
        <v>80.2743475786825</v>
      </c>
      <c r="S698" s="7" t="n">
        <f aca="false">(S697*13+Q698)/14</f>
        <v>98.9944038498774</v>
      </c>
      <c r="T698" s="7" t="n">
        <f aca="false">IF(S698=0,100,100-100/(1+R698/S698))</f>
        <v>44.7787731765804</v>
      </c>
      <c r="U698" s="7" t="n">
        <f aca="false">E698*2/13+U697*11/13</f>
        <v>11491.5970023211</v>
      </c>
      <c r="V698" s="7" t="n">
        <f aca="false">E698*2/27+V697*25/27</f>
        <v>11798.63173986</v>
      </c>
      <c r="W698" s="7" t="n">
        <f aca="false">U698-V698</f>
        <v>-307.034737538872</v>
      </c>
      <c r="X698" s="7" t="n">
        <f aca="false">W698*2/10+X697*8/10</f>
        <v>-327.520314594865</v>
      </c>
      <c r="Y698" s="7" t="n">
        <f aca="false">W698-X698</f>
        <v>20.4855770559931</v>
      </c>
      <c r="Z698" s="9" t="s">
        <v>89</v>
      </c>
      <c r="AA698" s="7" t="str">
        <f aca="false">IFERROR(INDEX(02_轉折點45!B:B,MATCH(A698,02_轉折點45!A:A,0)),"")</f>
        <v/>
      </c>
      <c r="AB698" s="7" t="n">
        <f aca="false">COUNTIFS(05_訊號明細!A:A,A698,05_訊號明細!C:C,"TOP")</f>
        <v>0</v>
      </c>
      <c r="AC698" s="7" t="n">
        <f aca="false">COUNTIFS(05_訊號明細!A:A,A698,05_訊號明細!C:C,"BOTTOM")</f>
        <v>0</v>
      </c>
    </row>
    <row r="699" customFormat="false" ht="15" hidden="false" customHeight="false" outlineLevel="0" collapsed="false">
      <c r="A699" s="7" t="s">
        <v>740</v>
      </c>
      <c r="B699" s="7" t="n">
        <v>11556.4</v>
      </c>
      <c r="C699" s="7" t="n">
        <v>11660.55</v>
      </c>
      <c r="D699" s="7" t="n">
        <v>11472.83</v>
      </c>
      <c r="E699" s="7" t="n">
        <v>11485.5</v>
      </c>
      <c r="F699" s="7" t="n">
        <v>4423</v>
      </c>
      <c r="G699" s="7" t="n">
        <f aca="false">AVERAGE(E695:E699)</f>
        <v>11368.434</v>
      </c>
      <c r="H699" s="7" t="n">
        <f aca="false">AVERAGE(E690:E699)</f>
        <v>11333.788</v>
      </c>
      <c r="I699" s="7" t="n">
        <f aca="false">AVERAGE(E680:E699)</f>
        <v>11678.3515</v>
      </c>
      <c r="J699" s="7" t="n">
        <f aca="false">AVERAGE(E650:E699)</f>
        <v>12425.5166</v>
      </c>
      <c r="K699" s="7" t="n">
        <f aca="false">AVERAGE(E600:E699)</f>
        <v>12225.0107</v>
      </c>
      <c r="L699" s="7" t="n">
        <f aca="false">AVERAGE(E500:E699)</f>
        <v>13312.0802</v>
      </c>
      <c r="M699" s="7" t="n">
        <f aca="false">I699</f>
        <v>11678.3515</v>
      </c>
      <c r="N699" s="7" t="n">
        <f aca="false">I699+2*STDEV(E680:E699)</f>
        <v>12602.7925859091</v>
      </c>
      <c r="O699" s="7" t="n">
        <f aca="false">I699-2*STDEV(E680:E699)</f>
        <v>10753.9104140909</v>
      </c>
      <c r="P699" s="7" t="n">
        <f aca="false">MAX(E699-E698,0)</f>
        <v>0</v>
      </c>
      <c r="Q699" s="7" t="n">
        <f aca="false">MAX(E698-E699,0)</f>
        <v>87.6800000000003</v>
      </c>
      <c r="R699" s="7" t="n">
        <f aca="false">(R698*13+P699)/14</f>
        <v>74.5404656087766</v>
      </c>
      <c r="S699" s="7" t="n">
        <f aca="false">(S698*13+Q699)/14</f>
        <v>98.1862321463148</v>
      </c>
      <c r="T699" s="7" t="n">
        <f aca="false">IF(S699=0,100,100-100/(1+R699/S699))</f>
        <v>43.1551500593541</v>
      </c>
      <c r="U699" s="7" t="n">
        <f aca="false">E699*2/13+U698*11/13</f>
        <v>11490.659001964</v>
      </c>
      <c r="V699" s="7" t="n">
        <f aca="false">E699*2/27+V698*25/27</f>
        <v>11775.4367961667</v>
      </c>
      <c r="W699" s="7" t="n">
        <f aca="false">U699-V699</f>
        <v>-284.777794202633</v>
      </c>
      <c r="X699" s="7" t="n">
        <f aca="false">W699*2/10+X698*8/10</f>
        <v>-318.971810516419</v>
      </c>
      <c r="Y699" s="7" t="n">
        <f aca="false">W699-X699</f>
        <v>34.1940163137854</v>
      </c>
      <c r="Z699" s="9" t="s">
        <v>89</v>
      </c>
      <c r="AA699" s="7" t="str">
        <f aca="false">IFERROR(INDEX(02_轉折點45!B:B,MATCH(A699,02_轉折點45!A:A,0)),"")</f>
        <v/>
      </c>
      <c r="AB699" s="7" t="n">
        <f aca="false">COUNTIFS(05_訊號明細!A:A,A699,05_訊號明細!C:C,"TOP")</f>
        <v>1</v>
      </c>
      <c r="AC699" s="7" t="n">
        <f aca="false">COUNTIFS(05_訊號明細!A:A,A699,05_訊號明細!C:C,"BOTTOM")</f>
        <v>1</v>
      </c>
    </row>
    <row r="700" customFormat="false" ht="15" hidden="false" customHeight="false" outlineLevel="0" collapsed="false">
      <c r="A700" s="7" t="s">
        <v>741</v>
      </c>
      <c r="B700" s="7" t="n">
        <v>11272.46</v>
      </c>
      <c r="C700" s="7" t="n">
        <v>11293.65</v>
      </c>
      <c r="D700" s="7" t="n">
        <v>10991.66</v>
      </c>
      <c r="E700" s="7" t="n">
        <v>11039.47</v>
      </c>
      <c r="F700" s="7" t="n">
        <v>4634</v>
      </c>
      <c r="G700" s="7" t="n">
        <f aca="false">AVERAGE(E696:E700)</f>
        <v>11382.084</v>
      </c>
      <c r="H700" s="7" t="n">
        <f aca="false">AVERAGE(E691:E700)</f>
        <v>11306.611</v>
      </c>
      <c r="I700" s="7" t="n">
        <f aca="false">AVERAGE(E681:E700)</f>
        <v>11600.9105</v>
      </c>
      <c r="J700" s="7" t="n">
        <f aca="false">AVERAGE(E651:E700)</f>
        <v>12391.9486</v>
      </c>
      <c r="K700" s="7" t="n">
        <f aca="false">AVERAGE(E601:E700)</f>
        <v>12212.9696</v>
      </c>
      <c r="L700" s="7" t="n">
        <f aca="false">AVERAGE(E501:E700)</f>
        <v>13287.34615</v>
      </c>
      <c r="M700" s="7" t="n">
        <f aca="false">I700</f>
        <v>11600.9105</v>
      </c>
      <c r="N700" s="7" t="n">
        <f aca="false">I700+2*STDEV(E681:E700)</f>
        <v>12461.6993797823</v>
      </c>
      <c r="O700" s="7" t="n">
        <f aca="false">I700-2*STDEV(E681:E700)</f>
        <v>10740.1216202177</v>
      </c>
      <c r="P700" s="7" t="n">
        <f aca="false">MAX(E700-E699,0)</f>
        <v>0</v>
      </c>
      <c r="Q700" s="7" t="n">
        <f aca="false">MAX(E699-E700,0)</f>
        <v>446.030000000001</v>
      </c>
      <c r="R700" s="7" t="n">
        <f aca="false">(R699*13+P700)/14</f>
        <v>69.2161466367212</v>
      </c>
      <c r="S700" s="7" t="n">
        <f aca="false">(S699*13+Q700)/14</f>
        <v>123.032215564435</v>
      </c>
      <c r="T700" s="7" t="n">
        <f aca="false">IF(S700=0,100,100-100/(1+R700/S700))</f>
        <v>36.0035039280583</v>
      </c>
      <c r="U700" s="7" t="n">
        <f aca="false">E700*2/13+U699*11/13</f>
        <v>11421.2453093542</v>
      </c>
      <c r="V700" s="7" t="n">
        <f aca="false">E700*2/27+V699*25/27</f>
        <v>11720.9207371914</v>
      </c>
      <c r="W700" s="7" t="n">
        <f aca="false">U700-V700</f>
        <v>-299.675427837177</v>
      </c>
      <c r="X700" s="7" t="n">
        <f aca="false">W700*2/10+X699*8/10</f>
        <v>-315.11253398057</v>
      </c>
      <c r="Y700" s="7" t="n">
        <f aca="false">W700-X700</f>
        <v>15.4371061433931</v>
      </c>
      <c r="Z700" s="9" t="s">
        <v>89</v>
      </c>
      <c r="AA700" s="7" t="str">
        <f aca="false">IFERROR(INDEX(02_轉折點45!B:B,MATCH(A700,02_轉折點45!A:A,0)),"")</f>
        <v/>
      </c>
      <c r="AB700" s="7" t="n">
        <f aca="false">COUNTIFS(05_訊號明細!A:A,A700,05_訊號明細!C:C,"TOP")</f>
        <v>0</v>
      </c>
      <c r="AC700" s="7" t="n">
        <f aca="false">COUNTIFS(05_訊號明細!A:A,A700,05_訊號明細!C:C,"BOTTOM")</f>
        <v>0</v>
      </c>
    </row>
    <row r="701" customFormat="false" ht="15" hidden="false" customHeight="false" outlineLevel="0" collapsed="false">
      <c r="A701" s="7" t="s">
        <v>742</v>
      </c>
      <c r="B701" s="7" t="n">
        <v>11048.51</v>
      </c>
      <c r="C701" s="7" t="n">
        <v>11063.21</v>
      </c>
      <c r="D701" s="7" t="n">
        <v>10824.25</v>
      </c>
      <c r="E701" s="7" t="n">
        <v>10926.97</v>
      </c>
      <c r="F701" s="7" t="n">
        <v>3990</v>
      </c>
      <c r="G701" s="7" t="n">
        <f aca="false">AVERAGE(E697:E701)</f>
        <v>11321.532</v>
      </c>
      <c r="H701" s="7" t="n">
        <f aca="false">AVERAGE(E692:E701)</f>
        <v>11273.897</v>
      </c>
      <c r="I701" s="7" t="n">
        <f aca="false">AVERAGE(E682:E701)</f>
        <v>11510.273</v>
      </c>
      <c r="J701" s="7" t="n">
        <f aca="false">AVERAGE(E652:E701)</f>
        <v>12351.5286</v>
      </c>
      <c r="K701" s="7" t="n">
        <f aca="false">AVERAGE(E602:E701)</f>
        <v>12196.5983</v>
      </c>
      <c r="L701" s="7" t="n">
        <f aca="false">AVERAGE(E502:E701)</f>
        <v>13261.0803</v>
      </c>
      <c r="M701" s="7" t="n">
        <f aca="false">I701</f>
        <v>11510.273</v>
      </c>
      <c r="N701" s="7" t="n">
        <f aca="false">I701+2*STDEV(E682:E701)</f>
        <v>12237.5684508632</v>
      </c>
      <c r="O701" s="7" t="n">
        <f aca="false">I701-2*STDEV(E682:E701)</f>
        <v>10782.9775491368</v>
      </c>
      <c r="P701" s="7" t="n">
        <f aca="false">MAX(E701-E700,0)</f>
        <v>0</v>
      </c>
      <c r="Q701" s="7" t="n">
        <f aca="false">MAX(E700-E701,0)</f>
        <v>112.5</v>
      </c>
      <c r="R701" s="7" t="n">
        <f aca="false">(R700*13+P701)/14</f>
        <v>64.2721361626696</v>
      </c>
      <c r="S701" s="7" t="n">
        <f aca="false">(S700*13+Q701)/14</f>
        <v>122.27991445269</v>
      </c>
      <c r="T701" s="7" t="n">
        <f aca="false">IF(S701=0,100,100-100/(1+R701/S701))</f>
        <v>34.4526559481185</v>
      </c>
      <c r="U701" s="7" t="n">
        <f aca="false">E701*2/13+U700*11/13</f>
        <v>11345.2029540689</v>
      </c>
      <c r="V701" s="7" t="n">
        <f aca="false">E701*2/27+V700*25/27</f>
        <v>11662.1095714735</v>
      </c>
      <c r="W701" s="7" t="n">
        <f aca="false">U701-V701</f>
        <v>-316.906617404558</v>
      </c>
      <c r="X701" s="7" t="n">
        <f aca="false">W701*2/10+X700*8/10</f>
        <v>-315.471350665368</v>
      </c>
      <c r="Y701" s="7" t="n">
        <f aca="false">W701-X701</f>
        <v>-1.43526673919035</v>
      </c>
      <c r="Z701" s="9" t="s">
        <v>89</v>
      </c>
      <c r="AA701" s="7" t="str">
        <f aca="false">IFERROR(INDEX(02_轉折點45!B:B,MATCH(A701,02_轉折點45!A:A,0)),"")</f>
        <v/>
      </c>
      <c r="AB701" s="7" t="n">
        <f aca="false">COUNTIFS(05_訊號明細!A:A,A701,05_訊號明細!C:C,"TOP")</f>
        <v>0</v>
      </c>
      <c r="AC701" s="7" t="n">
        <f aca="false">COUNTIFS(05_訊號明細!A:A,A701,05_訊號明細!C:C,"BOTTOM")</f>
        <v>1</v>
      </c>
    </row>
    <row r="702" customFormat="false" ht="15" hidden="false" customHeight="false" outlineLevel="0" collapsed="false">
      <c r="A702" s="7" t="s">
        <v>743</v>
      </c>
      <c r="B702" s="7" t="n">
        <v>10865.32</v>
      </c>
      <c r="C702" s="7" t="n">
        <v>10981.91</v>
      </c>
      <c r="D702" s="7" t="n">
        <v>10716.33</v>
      </c>
      <c r="E702" s="7" t="n">
        <v>10791.35</v>
      </c>
      <c r="F702" s="7" t="n">
        <v>4739</v>
      </c>
      <c r="G702" s="7" t="n">
        <f aca="false">AVERAGE(E698:E702)</f>
        <v>11163.294</v>
      </c>
      <c r="H702" s="7" t="n">
        <f aca="false">AVERAGE(E693:E702)</f>
        <v>11225.857</v>
      </c>
      <c r="I702" s="7" t="n">
        <f aca="false">AVERAGE(E683:E702)</f>
        <v>11448.1595</v>
      </c>
      <c r="J702" s="7" t="n">
        <f aca="false">AVERAGE(E653:E702)</f>
        <v>12308.54</v>
      </c>
      <c r="K702" s="7" t="n">
        <f aca="false">AVERAGE(E603:E702)</f>
        <v>12185.2287</v>
      </c>
      <c r="L702" s="7" t="n">
        <f aca="false">AVERAGE(E503:E702)</f>
        <v>13233.496</v>
      </c>
      <c r="M702" s="7" t="n">
        <f aca="false">I702</f>
        <v>11448.1595</v>
      </c>
      <c r="N702" s="7" t="n">
        <f aca="false">I702+2*STDEV(E683:E702)</f>
        <v>12199.0677438719</v>
      </c>
      <c r="O702" s="7" t="n">
        <f aca="false">I702-2*STDEV(E683:E702)</f>
        <v>10697.2512561281</v>
      </c>
      <c r="P702" s="7" t="n">
        <f aca="false">MAX(E702-E701,0)</f>
        <v>0</v>
      </c>
      <c r="Q702" s="7" t="n">
        <f aca="false">MAX(E701-E702,0)</f>
        <v>135.619999999999</v>
      </c>
      <c r="R702" s="7" t="n">
        <f aca="false">(R701*13+P702)/14</f>
        <v>59.6812692939075</v>
      </c>
      <c r="S702" s="7" t="n">
        <f aca="false">(S701*13+Q702)/14</f>
        <v>123.232777706069</v>
      </c>
      <c r="T702" s="7" t="n">
        <f aca="false">IF(S702=0,100,100-100/(1+R702/S702))</f>
        <v>32.6280404773479</v>
      </c>
      <c r="U702" s="7" t="n">
        <f aca="false">E702*2/13+U701*11/13</f>
        <v>11259.9948072891</v>
      </c>
      <c r="V702" s="7" t="n">
        <f aca="false">E702*2/27+V701*25/27</f>
        <v>11597.6088624754</v>
      </c>
      <c r="W702" s="7" t="n">
        <f aca="false">U702-V702</f>
        <v>-337.614055186357</v>
      </c>
      <c r="X702" s="7" t="n">
        <f aca="false">W702*2/10+X701*8/10</f>
        <v>-319.899891569566</v>
      </c>
      <c r="Y702" s="7" t="n">
        <f aca="false">W702-X702</f>
        <v>-17.7141636167914</v>
      </c>
      <c r="Z702" s="9" t="s">
        <v>89</v>
      </c>
      <c r="AA702" s="7" t="str">
        <f aca="false">IFERROR(INDEX(02_轉折點45!B:B,MATCH(A702,02_轉折點45!A:A,0)),"")</f>
        <v/>
      </c>
      <c r="AB702" s="7" t="n">
        <f aca="false">COUNTIFS(05_訊號明細!A:A,A702,05_訊號明細!C:C,"TOP")</f>
        <v>0</v>
      </c>
      <c r="AC702" s="7" t="n">
        <f aca="false">COUNTIFS(05_訊號明細!A:A,A702,05_訊號明細!C:C,"BOTTOM")</f>
        <v>1</v>
      </c>
    </row>
    <row r="703" customFormat="false" ht="15" hidden="false" customHeight="false" outlineLevel="0" collapsed="false">
      <c r="A703" s="7" t="s">
        <v>744</v>
      </c>
      <c r="B703" s="7" t="n">
        <v>10810.3</v>
      </c>
      <c r="C703" s="7" t="n">
        <v>10886.49</v>
      </c>
      <c r="D703" s="7" t="n">
        <v>10754.85</v>
      </c>
      <c r="E703" s="7" t="n">
        <v>10785.62</v>
      </c>
      <c r="F703" s="7" t="n">
        <v>4091</v>
      </c>
      <c r="G703" s="7" t="n">
        <f aca="false">AVERAGE(E699:E703)</f>
        <v>11005.782</v>
      </c>
      <c r="H703" s="7" t="n">
        <f aca="false">AVERAGE(E694:E703)</f>
        <v>11155.036</v>
      </c>
      <c r="I703" s="7" t="n">
        <f aca="false">AVERAGE(E684:E703)</f>
        <v>11380.7205</v>
      </c>
      <c r="J703" s="7" t="n">
        <f aca="false">AVERAGE(E654:E703)</f>
        <v>12266.2204</v>
      </c>
      <c r="K703" s="7" t="n">
        <f aca="false">AVERAGE(E604:E703)</f>
        <v>12174.3286</v>
      </c>
      <c r="L703" s="7" t="n">
        <f aca="false">AVERAGE(E504:E703)</f>
        <v>13204.5866</v>
      </c>
      <c r="M703" s="7" t="n">
        <f aca="false">I703</f>
        <v>11380.7205</v>
      </c>
      <c r="N703" s="7" t="n">
        <f aca="false">I703+2*STDEV(E684:E703)</f>
        <v>12114.1941886459</v>
      </c>
      <c r="O703" s="7" t="n">
        <f aca="false">I703-2*STDEV(E684:E703)</f>
        <v>10647.2468113541</v>
      </c>
      <c r="P703" s="7" t="n">
        <f aca="false">MAX(E703-E702,0)</f>
        <v>0</v>
      </c>
      <c r="Q703" s="7" t="n">
        <f aca="false">MAX(E702-E703,0)</f>
        <v>5.72999999999956</v>
      </c>
      <c r="R703" s="7" t="n">
        <f aca="false">(R702*13+P703)/14</f>
        <v>55.4183214871998</v>
      </c>
      <c r="S703" s="7" t="n">
        <f aca="false">(S702*13+Q703)/14</f>
        <v>114.839722155636</v>
      </c>
      <c r="T703" s="7" t="n">
        <f aca="false">IF(S703=0,100,100-100/(1+R703/S703))</f>
        <v>32.5496054703034</v>
      </c>
      <c r="U703" s="7" t="n">
        <f aca="false">E703*2/13+U702*11/13</f>
        <v>11187.0140677062</v>
      </c>
      <c r="V703" s="7" t="n">
        <f aca="false">E703*2/27+V702*25/27</f>
        <v>11537.4615393291</v>
      </c>
      <c r="W703" s="7" t="n">
        <f aca="false">U703-V703</f>
        <v>-350.447471622965</v>
      </c>
      <c r="X703" s="7" t="n">
        <f aca="false">W703*2/10+X702*8/10</f>
        <v>-326.009407580246</v>
      </c>
      <c r="Y703" s="7" t="n">
        <f aca="false">W703-X703</f>
        <v>-24.4380640427195</v>
      </c>
      <c r="Z703" s="9" t="s">
        <v>89</v>
      </c>
      <c r="AA703" s="7" t="str">
        <f aca="false">IFERROR(INDEX(02_轉折點45!B:B,MATCH(A703,02_轉折點45!A:A,0)),"")</f>
        <v/>
      </c>
      <c r="AB703" s="7" t="n">
        <f aca="false">COUNTIFS(05_訊號明細!A:A,A703,05_訊號明細!C:C,"TOP")</f>
        <v>0</v>
      </c>
      <c r="AC703" s="7" t="n">
        <f aca="false">COUNTIFS(05_訊號明細!A:A,A703,05_訊號明細!C:C,"BOTTOM")</f>
        <v>1</v>
      </c>
    </row>
    <row r="704" customFormat="false" ht="15" hidden="false" customHeight="false" outlineLevel="0" collapsed="false">
      <c r="A704" s="7" t="s">
        <v>745</v>
      </c>
      <c r="B704" s="7" t="n">
        <v>10481.58</v>
      </c>
      <c r="C704" s="7" t="n">
        <v>11087.66</v>
      </c>
      <c r="D704" s="7" t="n">
        <v>10440.64</v>
      </c>
      <c r="E704" s="7" t="n">
        <v>11033.58</v>
      </c>
      <c r="F704" s="7" t="n">
        <v>5300</v>
      </c>
      <c r="G704" s="7" t="n">
        <f aca="false">AVERAGE(E700:E704)</f>
        <v>10915.398</v>
      </c>
      <c r="H704" s="7" t="n">
        <f aca="false">AVERAGE(E695:E704)</f>
        <v>11141.916</v>
      </c>
      <c r="I704" s="7" t="n">
        <f aca="false">AVERAGE(E685:E704)</f>
        <v>11336.025</v>
      </c>
      <c r="J704" s="7" t="n">
        <f aca="false">AVERAGE(E655:E704)</f>
        <v>12221.8268</v>
      </c>
      <c r="K704" s="7" t="n">
        <f aca="false">AVERAGE(E605:E704)</f>
        <v>12166.3082</v>
      </c>
      <c r="L704" s="7" t="n">
        <f aca="false">AVERAGE(E505:E704)</f>
        <v>13177.3112</v>
      </c>
      <c r="M704" s="7" t="n">
        <f aca="false">I704</f>
        <v>11336.025</v>
      </c>
      <c r="N704" s="7" t="n">
        <f aca="false">I704+2*STDEV(E685:E704)</f>
        <v>12037.4548528757</v>
      </c>
      <c r="O704" s="7" t="n">
        <f aca="false">I704-2*STDEV(E685:E704)</f>
        <v>10634.5951471243</v>
      </c>
      <c r="P704" s="7" t="n">
        <f aca="false">MAX(E704-E703,0)</f>
        <v>247.959999999999</v>
      </c>
      <c r="Q704" s="7" t="n">
        <f aca="false">MAX(E703-E704,0)</f>
        <v>0</v>
      </c>
      <c r="R704" s="7" t="n">
        <f aca="false">(R703*13+P704)/14</f>
        <v>69.1712985238284</v>
      </c>
      <c r="S704" s="7" t="n">
        <f aca="false">(S703*13+Q704)/14</f>
        <v>106.636884858804</v>
      </c>
      <c r="T704" s="7" t="n">
        <f aca="false">IF(S704=0,100,100-100/(1+R704/S704))</f>
        <v>39.3447547167258</v>
      </c>
      <c r="U704" s="7" t="n">
        <f aca="false">E704*2/13+U703*11/13</f>
        <v>11163.4088265206</v>
      </c>
      <c r="V704" s="7" t="n">
        <f aca="false">E704*2/27+V703*25/27</f>
        <v>11500.1369808603</v>
      </c>
      <c r="W704" s="7" t="n">
        <f aca="false">U704-V704</f>
        <v>-336.728154339704</v>
      </c>
      <c r="X704" s="7" t="n">
        <f aca="false">W704*2/10+X703*8/10</f>
        <v>-328.153156932137</v>
      </c>
      <c r="Y704" s="7" t="n">
        <f aca="false">W704-X704</f>
        <v>-8.57499740756657</v>
      </c>
      <c r="Z704" s="9" t="s">
        <v>89</v>
      </c>
      <c r="AA704" s="7" t="str">
        <f aca="false">IFERROR(INDEX(02_轉折點45!B:B,MATCH(A704,02_轉折點45!A:A,0)),"")</f>
        <v/>
      </c>
      <c r="AB704" s="7" t="n">
        <f aca="false">COUNTIFS(05_訊號明細!A:A,A704,05_訊號明細!C:C,"TOP")</f>
        <v>0</v>
      </c>
      <c r="AC704" s="7" t="n">
        <f aca="false">COUNTIFS(05_訊號明細!A:A,A704,05_訊號明細!C:C,"BOTTOM")</f>
        <v>0</v>
      </c>
    </row>
    <row r="705" customFormat="false" ht="15" hidden="false" customHeight="false" outlineLevel="0" collapsed="false">
      <c r="A705" s="7" t="s">
        <v>746</v>
      </c>
      <c r="B705" s="7" t="n">
        <v>11130.08</v>
      </c>
      <c r="C705" s="7" t="n">
        <v>11152.89</v>
      </c>
      <c r="D705" s="7" t="n">
        <v>10677.48</v>
      </c>
      <c r="E705" s="7" t="n">
        <v>10692.06</v>
      </c>
      <c r="F705" s="7" t="n">
        <v>4393</v>
      </c>
      <c r="G705" s="7" t="n">
        <f aca="false">AVERAGE(E701:E705)</f>
        <v>10845.916</v>
      </c>
      <c r="H705" s="7" t="n">
        <f aca="false">AVERAGE(E696:E705)</f>
        <v>11114</v>
      </c>
      <c r="I705" s="7" t="n">
        <f aca="false">AVERAGE(E686:E705)</f>
        <v>11277.559</v>
      </c>
      <c r="J705" s="7" t="n">
        <f aca="false">AVERAGE(E656:E705)</f>
        <v>12169.4472</v>
      </c>
      <c r="K705" s="7" t="n">
        <f aca="false">AVERAGE(E606:E705)</f>
        <v>12152.886</v>
      </c>
      <c r="L705" s="7" t="n">
        <f aca="false">AVERAGE(E506:E705)</f>
        <v>13148.31645</v>
      </c>
      <c r="M705" s="7" t="n">
        <f aca="false">I705</f>
        <v>11277.559</v>
      </c>
      <c r="N705" s="7" t="n">
        <f aca="false">I705+2*STDEV(E686:E705)</f>
        <v>11989.4646435083</v>
      </c>
      <c r="O705" s="7" t="n">
        <f aca="false">I705-2*STDEV(E686:E705)</f>
        <v>10565.6533564917</v>
      </c>
      <c r="P705" s="7" t="n">
        <f aca="false">MAX(E705-E704,0)</f>
        <v>0</v>
      </c>
      <c r="Q705" s="7" t="n">
        <f aca="false">MAX(E704-E705,0)</f>
        <v>341.52</v>
      </c>
      <c r="R705" s="7" t="n">
        <f aca="false">(R704*13+P705)/14</f>
        <v>64.2304914864121</v>
      </c>
      <c r="S705" s="7" t="n">
        <f aca="false">(S704*13+Q705)/14</f>
        <v>123.414250226033</v>
      </c>
      <c r="T705" s="7" t="n">
        <f aca="false">IF(S705=0,100,100-100/(1+R705/S705))</f>
        <v>34.2298382039619</v>
      </c>
      <c r="U705" s="7" t="n">
        <f aca="false">E705*2/13+U704*11/13</f>
        <v>11090.8936224405</v>
      </c>
      <c r="V705" s="7" t="n">
        <f aca="false">E705*2/27+V704*25/27</f>
        <v>11440.2794267225</v>
      </c>
      <c r="W705" s="7" t="n">
        <f aca="false">U705-V705</f>
        <v>-349.385804281996</v>
      </c>
      <c r="X705" s="7" t="n">
        <f aca="false">W705*2/10+X704*8/10</f>
        <v>-332.399686402109</v>
      </c>
      <c r="Y705" s="7" t="n">
        <f aca="false">W705-X705</f>
        <v>-16.9861178798867</v>
      </c>
      <c r="Z705" s="9" t="s">
        <v>89</v>
      </c>
      <c r="AA705" s="7" t="str">
        <f aca="false">IFERROR(INDEX(02_轉折點45!B:B,MATCH(A705,02_轉折點45!A:A,0)),"")</f>
        <v/>
      </c>
      <c r="AB705" s="7" t="n">
        <f aca="false">COUNTIFS(05_訊號明細!A:A,A705,05_訊號明細!C:C,"TOP")</f>
        <v>0</v>
      </c>
      <c r="AC705" s="7" t="n">
        <f aca="false">COUNTIFS(05_訊號明細!A:A,A705,05_訊號明細!C:C,"BOTTOM")</f>
        <v>1</v>
      </c>
    </row>
    <row r="706" customFormat="false" ht="15" hidden="false" customHeight="false" outlineLevel="0" collapsed="false">
      <c r="A706" s="7" t="s">
        <v>747</v>
      </c>
      <c r="B706" s="7" t="n">
        <v>10967.25</v>
      </c>
      <c r="C706" s="7" t="n">
        <v>11090.87</v>
      </c>
      <c r="D706" s="7" t="n">
        <v>10959.74</v>
      </c>
      <c r="E706" s="7" t="n">
        <v>11062.53</v>
      </c>
      <c r="F706" s="7" t="n">
        <v>4439</v>
      </c>
      <c r="G706" s="7" t="n">
        <f aca="false">AVERAGE(E702:E706)</f>
        <v>10873.028</v>
      </c>
      <c r="H706" s="7" t="n">
        <f aca="false">AVERAGE(E697:E706)</f>
        <v>11097.28</v>
      </c>
      <c r="I706" s="7" t="n">
        <f aca="false">AVERAGE(E687:E706)</f>
        <v>11233.022</v>
      </c>
      <c r="J706" s="7" t="n">
        <f aca="false">AVERAGE(E657:E706)</f>
        <v>12126.544</v>
      </c>
      <c r="K706" s="7" t="n">
        <f aca="false">AVERAGE(E607:E706)</f>
        <v>12145.8129</v>
      </c>
      <c r="L706" s="7" t="n">
        <f aca="false">AVERAGE(E507:E706)</f>
        <v>13121.4836</v>
      </c>
      <c r="M706" s="7" t="n">
        <f aca="false">I706</f>
        <v>11233.022</v>
      </c>
      <c r="N706" s="7" t="n">
        <f aca="false">I706+2*STDEV(E687:E706)</f>
        <v>11874.9478922501</v>
      </c>
      <c r="O706" s="7" t="n">
        <f aca="false">I706-2*STDEV(E687:E706)</f>
        <v>10591.0961077499</v>
      </c>
      <c r="P706" s="7" t="n">
        <f aca="false">MAX(E706-E705,0)</f>
        <v>370.470000000001</v>
      </c>
      <c r="Q706" s="7" t="n">
        <f aca="false">MAX(E705-E706,0)</f>
        <v>0</v>
      </c>
      <c r="R706" s="7" t="n">
        <f aca="false">(R705*13+P706)/14</f>
        <v>86.1047420945256</v>
      </c>
      <c r="S706" s="7" t="n">
        <f aca="false">(S705*13+Q706)/14</f>
        <v>114.598946638459</v>
      </c>
      <c r="T706" s="7" t="n">
        <f aca="false">IF(S706=0,100,100-100/(1+R706/S706))</f>
        <v>42.9014248009557</v>
      </c>
      <c r="U706" s="7" t="n">
        <f aca="false">E706*2/13+U705*11/13</f>
        <v>11086.5299882189</v>
      </c>
      <c r="V706" s="7" t="n">
        <f aca="false">E706*2/27+V705*25/27</f>
        <v>11412.297987706</v>
      </c>
      <c r="W706" s="7" t="n">
        <f aca="false">U706-V706</f>
        <v>-325.767999487131</v>
      </c>
      <c r="X706" s="7" t="n">
        <f aca="false">W706*2/10+X705*8/10</f>
        <v>-331.073349019113</v>
      </c>
      <c r="Y706" s="7" t="n">
        <f aca="false">W706-X706</f>
        <v>5.30534953198281</v>
      </c>
      <c r="Z706" s="9" t="s">
        <v>89</v>
      </c>
      <c r="AA706" s="7" t="str">
        <f aca="false">IFERROR(INDEX(02_轉折點45!B:B,MATCH(A706,02_轉折點45!A:A,0)),"")</f>
        <v/>
      </c>
      <c r="AB706" s="7" t="n">
        <f aca="false">COUNTIFS(05_訊號明細!A:A,A706,05_訊號明細!C:C,"TOP")</f>
        <v>0</v>
      </c>
      <c r="AC706" s="7" t="n">
        <f aca="false">COUNTIFS(05_訊號明細!A:A,A706,05_訊號明細!C:C,"BOTTOM")</f>
        <v>0</v>
      </c>
    </row>
    <row r="707" customFormat="false" ht="15" hidden="false" customHeight="false" outlineLevel="0" collapsed="false">
      <c r="A707" s="7" t="s">
        <v>748</v>
      </c>
      <c r="B707" s="7" t="n">
        <v>11368.76</v>
      </c>
      <c r="C707" s="7" t="n">
        <v>11374.38</v>
      </c>
      <c r="D707" s="7" t="n">
        <v>11035.8</v>
      </c>
      <c r="E707" s="7" t="n">
        <v>11147.74</v>
      </c>
      <c r="F707" s="7" t="n">
        <v>5047</v>
      </c>
      <c r="G707" s="7" t="n">
        <f aca="false">AVERAGE(E703:E707)</f>
        <v>10944.306</v>
      </c>
      <c r="H707" s="7" t="n">
        <f aca="false">AVERAGE(E698:E707)</f>
        <v>11053.8</v>
      </c>
      <c r="I707" s="7" t="n">
        <f aca="false">AVERAGE(E688:E707)</f>
        <v>11197.832</v>
      </c>
      <c r="J707" s="7" t="n">
        <f aca="false">AVERAGE(E658:E707)</f>
        <v>12086.3156</v>
      </c>
      <c r="K707" s="7" t="n">
        <f aca="false">AVERAGE(E608:E707)</f>
        <v>12137.851</v>
      </c>
      <c r="L707" s="7" t="n">
        <f aca="false">AVERAGE(E508:E707)</f>
        <v>13095.6219</v>
      </c>
      <c r="M707" s="7" t="n">
        <f aca="false">I707</f>
        <v>11197.832</v>
      </c>
      <c r="N707" s="7" t="n">
        <f aca="false">I707+2*STDEV(E688:E707)</f>
        <v>11770.4104385006</v>
      </c>
      <c r="O707" s="7" t="n">
        <f aca="false">I707-2*STDEV(E688:E707)</f>
        <v>10625.2535614994</v>
      </c>
      <c r="P707" s="7" t="n">
        <f aca="false">MAX(E707-E706,0)</f>
        <v>85.2099999999991</v>
      </c>
      <c r="Q707" s="7" t="n">
        <f aca="false">MAX(E706-E707,0)</f>
        <v>0</v>
      </c>
      <c r="R707" s="7" t="n">
        <f aca="false">(R706*13+P707)/14</f>
        <v>86.0408319449165</v>
      </c>
      <c r="S707" s="7" t="n">
        <f aca="false">(S706*13+Q707)/14</f>
        <v>106.413307592855</v>
      </c>
      <c r="T707" s="7" t="n">
        <f aca="false">IF(S707=0,100,100-100/(1+R707/S707))</f>
        <v>44.7071869441551</v>
      </c>
      <c r="U707" s="7" t="n">
        <f aca="false">E707*2/13+U706*11/13</f>
        <v>11095.9469131083</v>
      </c>
      <c r="V707" s="7" t="n">
        <f aca="false">E707*2/27+V706*25/27</f>
        <v>11392.7010997278</v>
      </c>
      <c r="W707" s="7" t="n">
        <f aca="false">U707-V707</f>
        <v>-296.754186619504</v>
      </c>
      <c r="X707" s="7" t="n">
        <f aca="false">W707*2/10+X706*8/10</f>
        <v>-324.209516539192</v>
      </c>
      <c r="Y707" s="7" t="n">
        <f aca="false">W707-X707</f>
        <v>27.4553299196872</v>
      </c>
      <c r="Z707" s="9" t="s">
        <v>89</v>
      </c>
      <c r="AA707" s="7" t="str">
        <f aca="false">IFERROR(INDEX(02_轉折點45!B:B,MATCH(A707,02_轉折點45!A:A,0)),"")</f>
        <v/>
      </c>
      <c r="AB707" s="7" t="n">
        <f aca="false">COUNTIFS(05_訊號明細!A:A,A707,05_訊號明細!C:C,"TOP")</f>
        <v>0</v>
      </c>
      <c r="AC707" s="7" t="n">
        <f aca="false">COUNTIFS(05_訊號明細!A:A,A707,05_訊號明細!C:C,"BOTTOM")</f>
        <v>0</v>
      </c>
    </row>
    <row r="708" customFormat="false" ht="15" hidden="false" customHeight="false" outlineLevel="0" collapsed="false">
      <c r="A708" s="7" t="s">
        <v>749</v>
      </c>
      <c r="B708" s="7" t="n">
        <v>11081.82</v>
      </c>
      <c r="C708" s="7" t="n">
        <v>11231.46</v>
      </c>
      <c r="D708" s="7" t="n">
        <v>11008.11</v>
      </c>
      <c r="E708" s="7" t="n">
        <v>11103.38</v>
      </c>
      <c r="F708" s="7" t="n">
        <v>4955</v>
      </c>
      <c r="G708" s="7" t="n">
        <f aca="false">AVERAGE(E704:E708)</f>
        <v>11007.858</v>
      </c>
      <c r="H708" s="7" t="n">
        <f aca="false">AVERAGE(E699:E708)</f>
        <v>11006.82</v>
      </c>
      <c r="I708" s="7" t="n">
        <f aca="false">AVERAGE(E689:E708)</f>
        <v>11171.1115</v>
      </c>
      <c r="J708" s="7" t="n">
        <f aca="false">AVERAGE(E659:E708)</f>
        <v>12048.2198</v>
      </c>
      <c r="K708" s="7" t="n">
        <f aca="false">AVERAGE(E609:E708)</f>
        <v>12126.1169</v>
      </c>
      <c r="L708" s="7" t="n">
        <f aca="false">AVERAGE(E509:E708)</f>
        <v>13068.62995</v>
      </c>
      <c r="M708" s="7" t="n">
        <f aca="false">I708</f>
        <v>11171.1115</v>
      </c>
      <c r="N708" s="7" t="n">
        <f aca="false">I708+2*STDEV(E689:E708)</f>
        <v>11705.8711135314</v>
      </c>
      <c r="O708" s="7" t="n">
        <f aca="false">I708-2*STDEV(E689:E708)</f>
        <v>10636.3518864686</v>
      </c>
      <c r="P708" s="7" t="n">
        <f aca="false">MAX(E708-E707,0)</f>
        <v>0</v>
      </c>
      <c r="Q708" s="7" t="n">
        <f aca="false">MAX(E707-E708,0)</f>
        <v>44.3600000000006</v>
      </c>
      <c r="R708" s="7" t="n">
        <f aca="false">(R707*13+P708)/14</f>
        <v>79.8950582345653</v>
      </c>
      <c r="S708" s="7" t="n">
        <f aca="false">(S707*13+Q708)/14</f>
        <v>101.980928479079</v>
      </c>
      <c r="T708" s="7" t="n">
        <f aca="false">IF(S708=0,100,100-100/(1+R708/S708))</f>
        <v>43.9283160345716</v>
      </c>
      <c r="U708" s="7" t="n">
        <f aca="false">E708*2/13+U707*11/13</f>
        <v>11097.0904649378</v>
      </c>
      <c r="V708" s="7" t="n">
        <f aca="false">E708*2/27+V707*25/27</f>
        <v>11371.2699071554</v>
      </c>
      <c r="W708" s="7" t="n">
        <f aca="false">U708-V708</f>
        <v>-274.179442217579</v>
      </c>
      <c r="X708" s="7" t="n">
        <f aca="false">W708*2/10+X707*8/10</f>
        <v>-314.203501674869</v>
      </c>
      <c r="Y708" s="7" t="n">
        <f aca="false">W708-X708</f>
        <v>40.02405945729</v>
      </c>
      <c r="Z708" s="9" t="s">
        <v>89</v>
      </c>
      <c r="AA708" s="7" t="str">
        <f aca="false">IFERROR(INDEX(02_轉折點45!B:B,MATCH(A708,02_轉折點45!A:A,0)),"")</f>
        <v/>
      </c>
      <c r="AB708" s="7" t="n">
        <f aca="false">COUNTIFS(05_訊號明細!A:A,A708,05_訊號明細!C:C,"TOP")</f>
        <v>0</v>
      </c>
      <c r="AC708" s="7" t="n">
        <f aca="false">COUNTIFS(05_訊號明細!A:A,A708,05_訊號明細!C:C,"BOTTOM")</f>
        <v>1</v>
      </c>
    </row>
    <row r="709" customFormat="false" ht="15" hidden="false" customHeight="false" outlineLevel="0" collapsed="false">
      <c r="A709" s="7" t="s">
        <v>750</v>
      </c>
      <c r="B709" s="7" t="n">
        <v>11081.22</v>
      </c>
      <c r="C709" s="7" t="n">
        <v>11279.81</v>
      </c>
      <c r="D709" s="7" t="n">
        <v>11001.28</v>
      </c>
      <c r="E709" s="7" t="n">
        <v>11046.71</v>
      </c>
      <c r="F709" s="7" t="n">
        <v>4628</v>
      </c>
      <c r="G709" s="7" t="n">
        <f aca="false">AVERAGE(E705:E709)</f>
        <v>11010.484</v>
      </c>
      <c r="H709" s="7" t="n">
        <f aca="false">AVERAGE(E700:E709)</f>
        <v>10962.941</v>
      </c>
      <c r="I709" s="7" t="n">
        <f aca="false">AVERAGE(E690:E709)</f>
        <v>11148.3645</v>
      </c>
      <c r="J709" s="7" t="n">
        <f aca="false">AVERAGE(E660:E709)</f>
        <v>12001.5876</v>
      </c>
      <c r="K709" s="7" t="n">
        <f aca="false">AVERAGE(E610:E709)</f>
        <v>12109.7698</v>
      </c>
      <c r="L709" s="7" t="n">
        <f aca="false">AVERAGE(E510:E709)</f>
        <v>13042.46485</v>
      </c>
      <c r="M709" s="7" t="n">
        <f aca="false">I709</f>
        <v>11148.3645</v>
      </c>
      <c r="N709" s="7" t="n">
        <f aca="false">I709+2*STDEV(E690:E709)</f>
        <v>11662.2186208707</v>
      </c>
      <c r="O709" s="7" t="n">
        <f aca="false">I709-2*STDEV(E690:E709)</f>
        <v>10634.5103791293</v>
      </c>
      <c r="P709" s="7" t="n">
        <f aca="false">MAX(E709-E708,0)</f>
        <v>0</v>
      </c>
      <c r="Q709" s="7" t="n">
        <f aca="false">MAX(E708-E709,0)</f>
        <v>56.6700000000001</v>
      </c>
      <c r="R709" s="7" t="n">
        <f aca="false">(R708*13+P709)/14</f>
        <v>74.1882683606678</v>
      </c>
      <c r="S709" s="7" t="n">
        <f aca="false">(S708*13+Q709)/14</f>
        <v>98.7444335877166</v>
      </c>
      <c r="T709" s="7" t="n">
        <f aca="false">IF(S709=0,100,100-100/(1+R709/S709))</f>
        <v>42.9000805080874</v>
      </c>
      <c r="U709" s="7" t="n">
        <f aca="false">E709*2/13+U708*11/13</f>
        <v>11089.3396241781</v>
      </c>
      <c r="V709" s="7" t="n">
        <f aca="false">E709*2/27+V708*25/27</f>
        <v>11347.2284325513</v>
      </c>
      <c r="W709" s="7" t="n">
        <f aca="false">U709-V709</f>
        <v>-257.888808373136</v>
      </c>
      <c r="X709" s="7" t="n">
        <f aca="false">W709*2/10+X708*8/10</f>
        <v>-302.940563014522</v>
      </c>
      <c r="Y709" s="7" t="n">
        <f aca="false">W709-X709</f>
        <v>45.0517546413861</v>
      </c>
      <c r="Z709" s="9" t="s">
        <v>89</v>
      </c>
      <c r="AA709" s="7" t="str">
        <f aca="false">IFERROR(INDEX(02_轉折點45!B:B,MATCH(A709,02_轉折點45!A:A,0)),"")</f>
        <v/>
      </c>
      <c r="AB709" s="7" t="n">
        <f aca="false">COUNTIFS(05_訊號明細!A:A,A709,05_訊號明細!C:C,"TOP")</f>
        <v>0</v>
      </c>
      <c r="AC709" s="7" t="n">
        <f aca="false">COUNTIFS(05_訊號明細!A:A,A709,05_訊號明細!C:C,"BOTTOM")</f>
        <v>0</v>
      </c>
    </row>
    <row r="710" customFormat="false" ht="15" hidden="false" customHeight="false" outlineLevel="0" collapsed="false">
      <c r="A710" s="7" t="s">
        <v>751</v>
      </c>
      <c r="B710" s="7" t="n">
        <v>10998.17</v>
      </c>
      <c r="C710" s="7" t="n">
        <v>11327.77</v>
      </c>
      <c r="D710" s="7" t="n">
        <v>10962.01</v>
      </c>
      <c r="E710" s="7" t="n">
        <v>11310.33</v>
      </c>
      <c r="F710" s="7" t="n">
        <v>4706</v>
      </c>
      <c r="G710" s="7" t="n">
        <f aca="false">AVERAGE(E706:E710)</f>
        <v>11134.138</v>
      </c>
      <c r="H710" s="7" t="n">
        <f aca="false">AVERAGE(E701:E710)</f>
        <v>10990.027</v>
      </c>
      <c r="I710" s="7" t="n">
        <f aca="false">AVERAGE(E691:E710)</f>
        <v>11148.319</v>
      </c>
      <c r="J710" s="7" t="n">
        <f aca="false">AVERAGE(E661:E710)</f>
        <v>11961.9544</v>
      </c>
      <c r="K710" s="7" t="n">
        <f aca="false">AVERAGE(E611:E710)</f>
        <v>12096.4521</v>
      </c>
      <c r="L710" s="7" t="n">
        <f aca="false">AVERAGE(E511:E710)</f>
        <v>13020.1576</v>
      </c>
      <c r="M710" s="7" t="n">
        <f aca="false">I710</f>
        <v>11148.319</v>
      </c>
      <c r="N710" s="7" t="n">
        <f aca="false">I710+2*STDEV(E691:E710)</f>
        <v>11662.1125539904</v>
      </c>
      <c r="O710" s="7" t="n">
        <f aca="false">I710-2*STDEV(E691:E710)</f>
        <v>10634.5254460096</v>
      </c>
      <c r="P710" s="7" t="n">
        <f aca="false">MAX(E710-E709,0)</f>
        <v>263.620000000001</v>
      </c>
      <c r="Q710" s="7" t="n">
        <f aca="false">MAX(E709-E710,0)</f>
        <v>0</v>
      </c>
      <c r="R710" s="7" t="n">
        <f aca="false">(R709*13+P710)/14</f>
        <v>87.7191063349059</v>
      </c>
      <c r="S710" s="7" t="n">
        <f aca="false">(S709*13+Q710)/14</f>
        <v>91.6912597600226</v>
      </c>
      <c r="T710" s="7" t="n">
        <f aca="false">IF(S710=0,100,100-100/(1+R710/S710))</f>
        <v>48.8929977928324</v>
      </c>
      <c r="U710" s="7" t="n">
        <f aca="false">E710*2/13+U709*11/13</f>
        <v>11123.3381435353</v>
      </c>
      <c r="V710" s="7" t="n">
        <f aca="false">E710*2/27+V709*25/27</f>
        <v>11344.4952153252</v>
      </c>
      <c r="W710" s="7" t="n">
        <f aca="false">U710-V710</f>
        <v>-221.157071789905</v>
      </c>
      <c r="X710" s="7" t="n">
        <f aca="false">W710*2/10+X709*8/10</f>
        <v>-286.583864769599</v>
      </c>
      <c r="Y710" s="7" t="n">
        <f aca="false">W710-X710</f>
        <v>65.426792979694</v>
      </c>
      <c r="Z710" s="9" t="s">
        <v>89</v>
      </c>
      <c r="AA710" s="7" t="str">
        <f aca="false">IFERROR(INDEX(02_轉折點45!B:B,MATCH(A710,02_轉折點45!A:A,0)),"")</f>
        <v/>
      </c>
      <c r="AB710" s="7" t="n">
        <f aca="false">COUNTIFS(05_訊號明細!A:A,A710,05_訊號明細!C:C,"TOP")</f>
        <v>0</v>
      </c>
      <c r="AC710" s="7" t="n">
        <f aca="false">COUNTIFS(05_訊號明細!A:A,A710,05_訊號明細!C:C,"BOTTOM")</f>
        <v>0</v>
      </c>
    </row>
    <row r="711" customFormat="false" ht="15" hidden="false" customHeight="false" outlineLevel="0" collapsed="false">
      <c r="A711" s="7" t="s">
        <v>752</v>
      </c>
      <c r="B711" s="7" t="n">
        <v>11321.11</v>
      </c>
      <c r="C711" s="7" t="n">
        <v>11468.18</v>
      </c>
      <c r="D711" s="7" t="n">
        <v>11166.49</v>
      </c>
      <c r="E711" s="7" t="n">
        <v>11430.26</v>
      </c>
      <c r="F711" s="7" t="n">
        <v>4809</v>
      </c>
      <c r="G711" s="7" t="n">
        <f aca="false">AVERAGE(E707:E711)</f>
        <v>11207.684</v>
      </c>
      <c r="H711" s="7" t="n">
        <f aca="false">AVERAGE(E702:E711)</f>
        <v>11040.356</v>
      </c>
      <c r="I711" s="7" t="n">
        <f aca="false">AVERAGE(E692:E711)</f>
        <v>11157.1265</v>
      </c>
      <c r="J711" s="7" t="n">
        <f aca="false">AVERAGE(E662:E711)</f>
        <v>11919.2422</v>
      </c>
      <c r="K711" s="7" t="n">
        <f aca="false">AVERAGE(E612:E711)</f>
        <v>12085.2711</v>
      </c>
      <c r="L711" s="7" t="n">
        <f aca="false">AVERAGE(E512:E711)</f>
        <v>12998.4821</v>
      </c>
      <c r="M711" s="7" t="n">
        <f aca="false">I711</f>
        <v>11157.1265</v>
      </c>
      <c r="N711" s="7" t="n">
        <f aca="false">I711+2*STDEV(E692:E711)</f>
        <v>11684.4176264697</v>
      </c>
      <c r="O711" s="7" t="n">
        <f aca="false">I711-2*STDEV(E692:E711)</f>
        <v>10629.8353735303</v>
      </c>
      <c r="P711" s="7" t="n">
        <f aca="false">MAX(E711-E710,0)</f>
        <v>119.93</v>
      </c>
      <c r="Q711" s="7" t="n">
        <f aca="false">MAX(E710-E711,0)</f>
        <v>0</v>
      </c>
      <c r="R711" s="7" t="n">
        <f aca="false">(R710*13+P711)/14</f>
        <v>90.0198844538412</v>
      </c>
      <c r="S711" s="7" t="n">
        <f aca="false">(S710*13+Q711)/14</f>
        <v>85.1418840628781</v>
      </c>
      <c r="T711" s="7" t="n">
        <f aca="false">IF(S711=0,100,100-100/(1+R711/S711))</f>
        <v>51.3924272494707</v>
      </c>
      <c r="U711" s="7" t="n">
        <f aca="false">E711*2/13+U710*11/13</f>
        <v>11170.5568906837</v>
      </c>
      <c r="V711" s="7" t="n">
        <f aca="false">E711*2/27+V710*25/27</f>
        <v>11350.8481623382</v>
      </c>
      <c r="W711" s="7" t="n">
        <f aca="false">U711-V711</f>
        <v>-180.291271654438</v>
      </c>
      <c r="X711" s="7" t="n">
        <f aca="false">W711*2/10+X710*8/10</f>
        <v>-265.325346146567</v>
      </c>
      <c r="Y711" s="7" t="n">
        <f aca="false">W711-X711</f>
        <v>85.0340744921288</v>
      </c>
      <c r="Z711" s="9" t="s">
        <v>89</v>
      </c>
      <c r="AA711" s="7" t="str">
        <f aca="false">IFERROR(INDEX(02_轉折點45!B:B,MATCH(A711,02_轉折點45!A:A,0)),"")</f>
        <v/>
      </c>
      <c r="AB711" s="7" t="n">
        <f aca="false">COUNTIFS(05_訊號明細!A:A,A711,05_訊號明細!C:C,"TOP")</f>
        <v>0</v>
      </c>
      <c r="AC711" s="7" t="n">
        <f aca="false">COUNTIFS(05_訊號明細!A:A,A711,05_訊號明細!C:C,"BOTTOM")</f>
        <v>0</v>
      </c>
    </row>
    <row r="712" customFormat="false" ht="15" hidden="false" customHeight="false" outlineLevel="0" collapsed="false">
      <c r="A712" s="7" t="s">
        <v>753</v>
      </c>
      <c r="B712" s="7" t="n">
        <v>11482.87</v>
      </c>
      <c r="C712" s="7" t="n">
        <v>11681.85</v>
      </c>
      <c r="D712" s="7" t="n">
        <v>11480.41</v>
      </c>
      <c r="E712" s="7" t="n">
        <v>11669.99</v>
      </c>
      <c r="F712" s="7" t="n">
        <v>5142</v>
      </c>
      <c r="G712" s="7" t="n">
        <f aca="false">AVERAGE(E708:E712)</f>
        <v>11312.134</v>
      </c>
      <c r="H712" s="7" t="n">
        <f aca="false">AVERAGE(E703:E712)</f>
        <v>11128.22</v>
      </c>
      <c r="I712" s="7" t="n">
        <f aca="false">AVERAGE(E693:E712)</f>
        <v>11177.0385</v>
      </c>
      <c r="J712" s="7" t="n">
        <f aca="false">AVERAGE(E663:E712)</f>
        <v>11879.2984</v>
      </c>
      <c r="K712" s="7" t="n">
        <f aca="false">AVERAGE(E613:E712)</f>
        <v>12073.0421</v>
      </c>
      <c r="L712" s="7" t="n">
        <f aca="false">AVERAGE(E513:E712)</f>
        <v>12978.8711</v>
      </c>
      <c r="M712" s="7" t="n">
        <f aca="false">I712</f>
        <v>11177.0385</v>
      </c>
      <c r="N712" s="7" t="n">
        <f aca="false">I712+2*STDEV(E693:E712)</f>
        <v>11750.6019403043</v>
      </c>
      <c r="O712" s="7" t="n">
        <f aca="false">I712-2*STDEV(E693:E712)</f>
        <v>10603.4750596957</v>
      </c>
      <c r="P712" s="7" t="n">
        <f aca="false">MAX(E712-E711,0)</f>
        <v>239.73</v>
      </c>
      <c r="Q712" s="7" t="n">
        <f aca="false">MAX(E711-E712,0)</f>
        <v>0</v>
      </c>
      <c r="R712" s="7" t="n">
        <f aca="false">(R711*13+P712)/14</f>
        <v>100.71346413571</v>
      </c>
      <c r="S712" s="7" t="n">
        <f aca="false">(S711*13+Q712)/14</f>
        <v>79.0603209155297</v>
      </c>
      <c r="T712" s="7" t="n">
        <f aca="false">IF(S712=0,100,100-100/(1+R712/S712))</f>
        <v>56.0223305678323</v>
      </c>
      <c r="U712" s="7" t="n">
        <f aca="false">E712*2/13+U711*11/13</f>
        <v>11247.3927536555</v>
      </c>
      <c r="V712" s="7" t="n">
        <f aca="false">E712*2/27+V711*25/27</f>
        <v>11374.4882984613</v>
      </c>
      <c r="W712" s="7" t="n">
        <f aca="false">U712-V712</f>
        <v>-127.095544805805</v>
      </c>
      <c r="X712" s="7" t="n">
        <f aca="false">W712*2/10+X711*8/10</f>
        <v>-237.679385878414</v>
      </c>
      <c r="Y712" s="7" t="n">
        <f aca="false">W712-X712</f>
        <v>110.583841072609</v>
      </c>
      <c r="Z712" s="9" t="s">
        <v>89</v>
      </c>
      <c r="AA712" s="7" t="str">
        <f aca="false">IFERROR(INDEX(02_轉折點45!B:B,MATCH(A712,02_轉折點45!A:A,0)),"")</f>
        <v/>
      </c>
      <c r="AB712" s="7" t="n">
        <f aca="false">COUNTIFS(05_訊號明細!A:A,A712,05_訊號明細!C:C,"TOP")</f>
        <v>0</v>
      </c>
      <c r="AC712" s="7" t="n">
        <f aca="false">COUNTIFS(05_訊號明細!A:A,A712,05_訊號明細!C:C,"BOTTOM")</f>
        <v>0</v>
      </c>
    </row>
    <row r="713" customFormat="false" ht="15" hidden="false" customHeight="false" outlineLevel="0" collapsed="false">
      <c r="A713" s="7" t="s">
        <v>754</v>
      </c>
      <c r="B713" s="7" t="n">
        <v>11409.79</v>
      </c>
      <c r="C713" s="7" t="n">
        <v>11657.06</v>
      </c>
      <c r="D713" s="7" t="n">
        <v>11388.34</v>
      </c>
      <c r="E713" s="7" t="n">
        <v>11405.9</v>
      </c>
      <c r="F713" s="7" t="n">
        <v>5224</v>
      </c>
      <c r="G713" s="7" t="n">
        <f aca="false">AVERAGE(E709:E713)</f>
        <v>11372.638</v>
      </c>
      <c r="H713" s="7" t="n">
        <f aca="false">AVERAGE(E704:E713)</f>
        <v>11190.248</v>
      </c>
      <c r="I713" s="7" t="n">
        <f aca="false">AVERAGE(E694:E713)</f>
        <v>11172.642</v>
      </c>
      <c r="J713" s="7" t="n">
        <f aca="false">AVERAGE(E664:E713)</f>
        <v>11834.7122</v>
      </c>
      <c r="K713" s="7" t="n">
        <f aca="false">AVERAGE(E614:E713)</f>
        <v>12061.6208</v>
      </c>
      <c r="L713" s="7" t="n">
        <f aca="false">AVERAGE(E514:E713)</f>
        <v>12957.82845</v>
      </c>
      <c r="M713" s="7" t="n">
        <f aca="false">I713</f>
        <v>11172.642</v>
      </c>
      <c r="N713" s="7" t="n">
        <f aca="false">I713+2*STDEV(E694:E713)</f>
        <v>11737.2593352896</v>
      </c>
      <c r="O713" s="7" t="n">
        <f aca="false">I713-2*STDEV(E694:E713)</f>
        <v>10608.0246647104</v>
      </c>
      <c r="P713" s="7" t="n">
        <f aca="false">MAX(E713-E712,0)</f>
        <v>0</v>
      </c>
      <c r="Q713" s="7" t="n">
        <f aca="false">MAX(E712-E713,0)</f>
        <v>264.09</v>
      </c>
      <c r="R713" s="7" t="n">
        <f aca="false">(R712*13+P713)/14</f>
        <v>93.5196452688733</v>
      </c>
      <c r="S713" s="7" t="n">
        <f aca="false">(S712*13+Q713)/14</f>
        <v>92.2767265644204</v>
      </c>
      <c r="T713" s="7" t="n">
        <f aca="false">IF(S713=0,100,100-100/(1+R713/S713))</f>
        <v>50.3344841161829</v>
      </c>
      <c r="U713" s="7" t="n">
        <f aca="false">E713*2/13+U712*11/13</f>
        <v>11271.7784838623</v>
      </c>
      <c r="V713" s="7" t="n">
        <f aca="false">E713*2/27+V712*25/27</f>
        <v>11376.8150911679</v>
      </c>
      <c r="W713" s="7" t="n">
        <f aca="false">U713-V713</f>
        <v>-105.036607305527</v>
      </c>
      <c r="X713" s="7" t="n">
        <f aca="false">W713*2/10+X712*8/10</f>
        <v>-211.150830163837</v>
      </c>
      <c r="Y713" s="7" t="n">
        <f aca="false">W713-X713</f>
        <v>106.11422285831</v>
      </c>
      <c r="Z713" s="9" t="s">
        <v>89</v>
      </c>
      <c r="AA713" s="7" t="str">
        <f aca="false">IFERROR(INDEX(02_轉折點45!B:B,MATCH(A713,02_轉折點45!A:A,0)),"")</f>
        <v/>
      </c>
      <c r="AB713" s="7" t="n">
        <f aca="false">COUNTIFS(05_訊號明細!A:A,A713,05_訊號明細!C:C,"TOP")</f>
        <v>0</v>
      </c>
      <c r="AC713" s="7" t="n">
        <f aca="false">COUNTIFS(05_訊號明細!A:A,A713,05_訊號明細!C:C,"BOTTOM")</f>
        <v>1</v>
      </c>
    </row>
    <row r="714" customFormat="false" ht="15" hidden="false" customHeight="false" outlineLevel="0" collapsed="false">
      <c r="A714" s="7" t="s">
        <v>755</v>
      </c>
      <c r="B714" s="7" t="n">
        <v>11387.71</v>
      </c>
      <c r="C714" s="7" t="n">
        <v>11417.04</v>
      </c>
      <c r="D714" s="7" t="n">
        <v>11179.9</v>
      </c>
      <c r="E714" s="7" t="n">
        <v>11191.63</v>
      </c>
      <c r="F714" s="7" t="n">
        <v>4774</v>
      </c>
      <c r="G714" s="7" t="n">
        <f aca="false">AVERAGE(E710:E714)</f>
        <v>11401.622</v>
      </c>
      <c r="H714" s="7" t="n">
        <f aca="false">AVERAGE(E705:E714)</f>
        <v>11206.053</v>
      </c>
      <c r="I714" s="7" t="n">
        <f aca="false">AVERAGE(E695:E714)</f>
        <v>11173.9845</v>
      </c>
      <c r="J714" s="7" t="n">
        <f aca="false">AVERAGE(E665:E714)</f>
        <v>11789.1276</v>
      </c>
      <c r="K714" s="7" t="n">
        <f aca="false">AVERAGE(E615:E714)</f>
        <v>12047.5408</v>
      </c>
      <c r="L714" s="7" t="n">
        <f aca="false">AVERAGE(E515:E714)</f>
        <v>12934.566</v>
      </c>
      <c r="M714" s="7" t="n">
        <f aca="false">I714</f>
        <v>11173.9845</v>
      </c>
      <c r="N714" s="7" t="n">
        <f aca="false">I714+2*STDEV(E695:E714)</f>
        <v>11738.6508066188</v>
      </c>
      <c r="O714" s="7" t="n">
        <f aca="false">I714-2*STDEV(E695:E714)</f>
        <v>10609.3181933812</v>
      </c>
      <c r="P714" s="7" t="n">
        <f aca="false">MAX(E714-E713,0)</f>
        <v>0</v>
      </c>
      <c r="Q714" s="7" t="n">
        <f aca="false">MAX(E713-E714,0)</f>
        <v>214.27</v>
      </c>
      <c r="R714" s="7" t="n">
        <f aca="false">(R713*13+P714)/14</f>
        <v>86.8396706068109</v>
      </c>
      <c r="S714" s="7" t="n">
        <f aca="false">(S713*13+Q714)/14</f>
        <v>100.990531809819</v>
      </c>
      <c r="T714" s="7" t="n">
        <f aca="false">IF(S714=0,100,100-100/(1+R714/S714))</f>
        <v>46.2330708744008</v>
      </c>
      <c r="U714" s="7" t="n">
        <f aca="false">E714*2/13+U713*11/13</f>
        <v>11259.4479478835</v>
      </c>
      <c r="V714" s="7" t="n">
        <f aca="false">E714*2/27+V713*25/27</f>
        <v>11363.0976770073</v>
      </c>
      <c r="W714" s="7" t="n">
        <f aca="false">U714-V714</f>
        <v>-103.649729123763</v>
      </c>
      <c r="X714" s="7" t="n">
        <f aca="false">W714*2/10+X713*8/10</f>
        <v>-189.650609955822</v>
      </c>
      <c r="Y714" s="7" t="n">
        <f aca="false">W714-X714</f>
        <v>86.0008808320591</v>
      </c>
      <c r="Z714" s="9" t="s">
        <v>89</v>
      </c>
      <c r="AA714" s="7" t="str">
        <f aca="false">IFERROR(INDEX(02_轉折點45!B:B,MATCH(A714,02_轉折點45!A:A,0)),"")</f>
        <v/>
      </c>
      <c r="AB714" s="7" t="n">
        <f aca="false">COUNTIFS(05_訊號明細!A:A,A714,05_訊號明細!C:C,"TOP")</f>
        <v>0</v>
      </c>
      <c r="AC714" s="7" t="n">
        <f aca="false">COUNTIFS(05_訊號明細!A:A,A714,05_訊號明細!C:C,"BOTTOM")</f>
        <v>0</v>
      </c>
    </row>
    <row r="715" customFormat="false" ht="15" hidden="false" customHeight="false" outlineLevel="0" collapsed="false">
      <c r="A715" s="7" t="s">
        <v>756</v>
      </c>
      <c r="B715" s="7" t="n">
        <v>11176.99</v>
      </c>
      <c r="C715" s="7" t="n">
        <v>11563.16</v>
      </c>
      <c r="D715" s="7" t="n">
        <v>11176.99</v>
      </c>
      <c r="E715" s="7" t="n">
        <v>11546.21</v>
      </c>
      <c r="F715" s="7" t="n">
        <v>4732</v>
      </c>
      <c r="G715" s="7" t="n">
        <f aca="false">AVERAGE(E711:E715)</f>
        <v>11448.798</v>
      </c>
      <c r="H715" s="7" t="n">
        <f aca="false">AVERAGE(E706:E715)</f>
        <v>11291.468</v>
      </c>
      <c r="I715" s="7" t="n">
        <f aca="false">AVERAGE(E696:E715)</f>
        <v>11202.734</v>
      </c>
      <c r="J715" s="7" t="n">
        <f aca="false">AVERAGE(E666:E715)</f>
        <v>11749.932</v>
      </c>
      <c r="K715" s="7" t="n">
        <f aca="false">AVERAGE(E616:E715)</f>
        <v>12035.8861</v>
      </c>
      <c r="L715" s="7" t="n">
        <f aca="false">AVERAGE(E516:E715)</f>
        <v>12912.77155</v>
      </c>
      <c r="M715" s="7" t="n">
        <f aca="false">I715</f>
        <v>11202.734</v>
      </c>
      <c r="N715" s="7" t="n">
        <f aca="false">I715+2*STDEV(E696:E715)</f>
        <v>11782.2866196681</v>
      </c>
      <c r="O715" s="7" t="n">
        <f aca="false">I715-2*STDEV(E696:E715)</f>
        <v>10623.1813803319</v>
      </c>
      <c r="P715" s="7" t="n">
        <f aca="false">MAX(E715-E714,0)</f>
        <v>354.58</v>
      </c>
      <c r="Q715" s="7" t="n">
        <f aca="false">MAX(E714-E715,0)</f>
        <v>0</v>
      </c>
      <c r="R715" s="7" t="n">
        <f aca="false">(R714*13+P715)/14</f>
        <v>105.963979849182</v>
      </c>
      <c r="S715" s="7" t="n">
        <f aca="false">(S714*13+Q715)/14</f>
        <v>93.7769223948319</v>
      </c>
      <c r="T715" s="7" t="n">
        <f aca="false">IF(S715=0,100,100-100/(1+R715/S715))</f>
        <v>53.0507165326262</v>
      </c>
      <c r="U715" s="7" t="n">
        <f aca="false">E715*2/13+U714*11/13</f>
        <v>11303.5651866707</v>
      </c>
      <c r="V715" s="7" t="n">
        <f aca="false">E715*2/27+V714*25/27</f>
        <v>11376.6615527845</v>
      </c>
      <c r="W715" s="7" t="n">
        <f aca="false">U715-V715</f>
        <v>-73.0963661138485</v>
      </c>
      <c r="X715" s="7" t="n">
        <f aca="false">W715*2/10+X714*8/10</f>
        <v>-166.339761187427</v>
      </c>
      <c r="Y715" s="7" t="n">
        <f aca="false">W715-X715</f>
        <v>93.2433950735788</v>
      </c>
      <c r="Z715" s="9" t="s">
        <v>89</v>
      </c>
      <c r="AA715" s="7" t="str">
        <f aca="false">IFERROR(INDEX(02_轉折點45!B:B,MATCH(A715,02_轉折點45!A:A,0)),"")</f>
        <v/>
      </c>
      <c r="AB715" s="7" t="n">
        <f aca="false">COUNTIFS(05_訊號明細!A:A,A715,05_訊號明細!C:C,"TOP")</f>
        <v>0</v>
      </c>
      <c r="AC715" s="7" t="n">
        <f aca="false">COUNTIFS(05_訊號明細!A:A,A715,05_訊號明細!C:C,"BOTTOM")</f>
        <v>0</v>
      </c>
    </row>
    <row r="716" customFormat="false" ht="15" hidden="false" customHeight="false" outlineLevel="0" collapsed="false">
      <c r="A716" s="7" t="s">
        <v>757</v>
      </c>
      <c r="B716" s="7" t="n">
        <v>11465.21</v>
      </c>
      <c r="C716" s="7" t="n">
        <v>11482.99</v>
      </c>
      <c r="D716" s="7" t="n">
        <v>11331.26</v>
      </c>
      <c r="E716" s="7" t="n">
        <v>11405.57</v>
      </c>
      <c r="F716" s="7" t="n">
        <v>4754</v>
      </c>
      <c r="G716" s="7" t="n">
        <f aca="false">AVERAGE(E712:E716)</f>
        <v>11443.86</v>
      </c>
      <c r="H716" s="7" t="n">
        <f aca="false">AVERAGE(E707:E716)</f>
        <v>11325.772</v>
      </c>
      <c r="I716" s="7" t="n">
        <f aca="false">AVERAGE(E697:E716)</f>
        <v>11211.526</v>
      </c>
      <c r="J716" s="7" t="n">
        <f aca="false">AVERAGE(E667:E716)</f>
        <v>11713.1854</v>
      </c>
      <c r="K716" s="7" t="n">
        <f aca="false">AVERAGE(E617:E716)</f>
        <v>12023.7905</v>
      </c>
      <c r="L716" s="7" t="n">
        <f aca="false">AVERAGE(E517:E716)</f>
        <v>12892.3213</v>
      </c>
      <c r="M716" s="7" t="n">
        <f aca="false">I716</f>
        <v>11211.526</v>
      </c>
      <c r="N716" s="7" t="n">
        <f aca="false">I716+2*STDEV(E697:E716)</f>
        <v>11798.095609757</v>
      </c>
      <c r="O716" s="7" t="n">
        <f aca="false">I716-2*STDEV(E697:E716)</f>
        <v>10624.956390243</v>
      </c>
      <c r="P716" s="7" t="n">
        <f aca="false">MAX(E716-E715,0)</f>
        <v>0</v>
      </c>
      <c r="Q716" s="7" t="n">
        <f aca="false">MAX(E715-E716,0)</f>
        <v>140.639999999999</v>
      </c>
      <c r="R716" s="7" t="n">
        <f aca="false">(R715*13+P716)/14</f>
        <v>98.3951241456686</v>
      </c>
      <c r="S716" s="7" t="n">
        <f aca="false">(S715*13+Q716)/14</f>
        <v>97.1242850809153</v>
      </c>
      <c r="T716" s="7" t="n">
        <f aca="false">IF(S716=0,100,100-100/(1+R716/S716))</f>
        <v>50.3249905136734</v>
      </c>
      <c r="U716" s="7" t="n">
        <f aca="false">E716*2/13+U715*11/13</f>
        <v>11319.2582348752</v>
      </c>
      <c r="V716" s="7" t="n">
        <f aca="false">E716*2/27+V715*25/27</f>
        <v>11378.8029192449</v>
      </c>
      <c r="W716" s="7" t="n">
        <f aca="false">U716-V716</f>
        <v>-59.5446843697409</v>
      </c>
      <c r="X716" s="7" t="n">
        <f aca="false">W716*2/10+X715*8/10</f>
        <v>-144.98074582389</v>
      </c>
      <c r="Y716" s="7" t="n">
        <f aca="false">W716-X716</f>
        <v>85.4360614541491</v>
      </c>
      <c r="Z716" s="9" t="s">
        <v>89</v>
      </c>
      <c r="AA716" s="7" t="str">
        <f aca="false">IFERROR(INDEX(02_轉折點45!B:B,MATCH(A716,02_轉折點45!A:A,0)),"")</f>
        <v/>
      </c>
      <c r="AB716" s="7" t="n">
        <f aca="false">COUNTIFS(05_訊號明細!A:A,A716,05_訊號明細!C:C,"TOP")</f>
        <v>2</v>
      </c>
      <c r="AC716" s="7" t="n">
        <f aca="false">COUNTIFS(05_訊號明細!A:A,A716,05_訊號明細!C:C,"BOTTOM")</f>
        <v>0</v>
      </c>
    </row>
    <row r="717" customFormat="false" ht="15" hidden="false" customHeight="false" outlineLevel="0" collapsed="false">
      <c r="A717" s="7" t="s">
        <v>758</v>
      </c>
      <c r="B717" s="7" t="n">
        <v>11571.53</v>
      </c>
      <c r="C717" s="7" t="n">
        <v>11574.39</v>
      </c>
      <c r="D717" s="7" t="n">
        <v>11278.28</v>
      </c>
      <c r="E717" s="7" t="n">
        <v>11288.95</v>
      </c>
      <c r="F717" s="7" t="n">
        <v>4678</v>
      </c>
      <c r="G717" s="7" t="n">
        <f aca="false">AVERAGE(E713:E717)</f>
        <v>11367.652</v>
      </c>
      <c r="H717" s="7" t="n">
        <f aca="false">AVERAGE(E708:E717)</f>
        <v>11339.893</v>
      </c>
      <c r="I717" s="7" t="n">
        <f aca="false">AVERAGE(E698:E717)</f>
        <v>11196.8465</v>
      </c>
      <c r="J717" s="7" t="n">
        <f aca="false">AVERAGE(E668:E717)</f>
        <v>11681.1536</v>
      </c>
      <c r="K717" s="7" t="n">
        <f aca="false">AVERAGE(E618:E717)</f>
        <v>12013.9822</v>
      </c>
      <c r="L717" s="7" t="n">
        <f aca="false">AVERAGE(E518:E717)</f>
        <v>12870.7081</v>
      </c>
      <c r="M717" s="7" t="n">
        <f aca="false">I717</f>
        <v>11196.8465</v>
      </c>
      <c r="N717" s="7" t="n">
        <f aca="false">I717+2*STDEV(E698:E717)</f>
        <v>11758.4863718518</v>
      </c>
      <c r="O717" s="7" t="n">
        <f aca="false">I717-2*STDEV(E698:E717)</f>
        <v>10635.2066281482</v>
      </c>
      <c r="P717" s="7" t="n">
        <f aca="false">MAX(E717-E716,0)</f>
        <v>0</v>
      </c>
      <c r="Q717" s="7" t="n">
        <f aca="false">MAX(E716-E717,0)</f>
        <v>116.619999999999</v>
      </c>
      <c r="R717" s="7" t="n">
        <f aca="false">(R716*13+P717)/14</f>
        <v>91.3669009924065</v>
      </c>
      <c r="S717" s="7" t="n">
        <f aca="false">(S716*13+Q717)/14</f>
        <v>98.5168361465642</v>
      </c>
      <c r="T717" s="7" t="n">
        <f aca="false">IF(S717=0,100,100-100/(1+R717/S717))</f>
        <v>48.1172860662299</v>
      </c>
      <c r="U717" s="7" t="n">
        <f aca="false">E717*2/13+U716*11/13</f>
        <v>11314.5954295098</v>
      </c>
      <c r="V717" s="7" t="n">
        <f aca="false">E717*2/27+V716*25/27</f>
        <v>11372.147147449</v>
      </c>
      <c r="W717" s="7" t="n">
        <f aca="false">U717-V717</f>
        <v>-57.5517179392318</v>
      </c>
      <c r="X717" s="7" t="n">
        <f aca="false">W717*2/10+X716*8/10</f>
        <v>-127.494940246958</v>
      </c>
      <c r="Y717" s="7" t="n">
        <f aca="false">W717-X717</f>
        <v>69.9432223077266</v>
      </c>
      <c r="Z717" s="9" t="s">
        <v>89</v>
      </c>
      <c r="AA717" s="7" t="str">
        <f aca="false">IFERROR(INDEX(02_轉折點45!B:B,MATCH(A717,02_轉折點45!A:A,0)),"")</f>
        <v/>
      </c>
      <c r="AB717" s="7" t="n">
        <f aca="false">COUNTIFS(05_訊號明細!A:A,A717,05_訊號明細!C:C,"TOP")</f>
        <v>0</v>
      </c>
      <c r="AC717" s="7" t="n">
        <f aca="false">COUNTIFS(05_訊號明細!A:A,A717,05_訊號明細!C:C,"BOTTOM")</f>
        <v>0</v>
      </c>
    </row>
    <row r="718" customFormat="false" ht="15" hidden="false" customHeight="false" outlineLevel="0" collapsed="false">
      <c r="A718" s="7" t="s">
        <v>759</v>
      </c>
      <c r="B718" s="7" t="n">
        <v>11300.27</v>
      </c>
      <c r="C718" s="7" t="n">
        <v>11410.91</v>
      </c>
      <c r="D718" s="7" t="n">
        <v>10903.48</v>
      </c>
      <c r="E718" s="7" t="n">
        <v>10906.34</v>
      </c>
      <c r="F718" s="7" t="n">
        <v>5436</v>
      </c>
      <c r="G718" s="7" t="n">
        <f aca="false">AVERAGE(E714:E718)</f>
        <v>11267.74</v>
      </c>
      <c r="H718" s="7" t="n">
        <f aca="false">AVERAGE(E709:E718)</f>
        <v>11320.189</v>
      </c>
      <c r="I718" s="7" t="n">
        <f aca="false">AVERAGE(E699:E718)</f>
        <v>11163.5045</v>
      </c>
      <c r="J718" s="7" t="n">
        <f aca="false">AVERAGE(E669:E718)</f>
        <v>11641.6446</v>
      </c>
      <c r="K718" s="7" t="n">
        <f aca="false">AVERAGE(E619:E718)</f>
        <v>12004.7174</v>
      </c>
      <c r="L718" s="7" t="n">
        <f aca="false">AVERAGE(E519:E718)</f>
        <v>12849.186</v>
      </c>
      <c r="M718" s="7" t="n">
        <f aca="false">I718</f>
        <v>11163.5045</v>
      </c>
      <c r="N718" s="7" t="n">
        <f aca="false">I718+2*STDEV(E699:E718)</f>
        <v>11710.0477492917</v>
      </c>
      <c r="O718" s="7" t="n">
        <f aca="false">I718-2*STDEV(E699:E718)</f>
        <v>10616.9612507083</v>
      </c>
      <c r="P718" s="7" t="n">
        <f aca="false">MAX(E718-E717,0)</f>
        <v>0</v>
      </c>
      <c r="Q718" s="7" t="n">
        <f aca="false">MAX(E717-E718,0)</f>
        <v>382.610000000001</v>
      </c>
      <c r="R718" s="7" t="n">
        <f aca="false">(R717*13+P718)/14</f>
        <v>84.8406937786632</v>
      </c>
      <c r="S718" s="7" t="n">
        <f aca="false">(S717*13+Q718)/14</f>
        <v>118.809204993238</v>
      </c>
      <c r="T718" s="7" t="n">
        <f aca="false">IF(S718=0,100,100-100/(1+R718/S718))</f>
        <v>41.6600716672534</v>
      </c>
      <c r="U718" s="7" t="n">
        <f aca="false">E718*2/13+U717*11/13</f>
        <v>11251.7869018929</v>
      </c>
      <c r="V718" s="7" t="n">
        <f aca="false">E718*2/27+V717*25/27</f>
        <v>11337.6429143046</v>
      </c>
      <c r="W718" s="7" t="n">
        <f aca="false">U718-V718</f>
        <v>-85.8560124117485</v>
      </c>
      <c r="X718" s="7" t="n">
        <f aca="false">W718*2/10+X717*8/10</f>
        <v>-119.167154679916</v>
      </c>
      <c r="Y718" s="7" t="n">
        <f aca="false">W718-X718</f>
        <v>33.3111422681679</v>
      </c>
      <c r="Z718" s="9" t="s">
        <v>89</v>
      </c>
      <c r="AA718" s="7" t="str">
        <f aca="false">IFERROR(INDEX(02_轉折點45!B:B,MATCH(A718,02_轉折點45!A:A,0)),"")</f>
        <v/>
      </c>
      <c r="AB718" s="7" t="n">
        <f aca="false">COUNTIFS(05_訊號明細!A:A,A718,05_訊號明細!C:C,"TOP")</f>
        <v>0</v>
      </c>
      <c r="AC718" s="7" t="n">
        <f aca="false">COUNTIFS(05_訊號明細!A:A,A718,05_訊號明細!C:C,"BOTTOM")</f>
        <v>0</v>
      </c>
    </row>
    <row r="719" customFormat="false" ht="15" hidden="false" customHeight="false" outlineLevel="0" collapsed="false">
      <c r="A719" s="7" t="s">
        <v>760</v>
      </c>
      <c r="B719" s="7" t="n">
        <v>10769.43</v>
      </c>
      <c r="C719" s="7" t="n">
        <v>10852.18</v>
      </c>
      <c r="D719" s="7" t="n">
        <v>10680.83</v>
      </c>
      <c r="E719" s="7" t="n">
        <v>10690.6</v>
      </c>
      <c r="F719" s="7" t="n">
        <v>5102</v>
      </c>
      <c r="G719" s="7" t="n">
        <f aca="false">AVERAGE(E715:E719)</f>
        <v>11167.534</v>
      </c>
      <c r="H719" s="7" t="n">
        <f aca="false">AVERAGE(E710:E719)</f>
        <v>11284.578</v>
      </c>
      <c r="I719" s="7" t="n">
        <f aca="false">AVERAGE(E700:E719)</f>
        <v>11123.7595</v>
      </c>
      <c r="J719" s="7" t="n">
        <f aca="false">AVERAGE(E670:E719)</f>
        <v>11597.0994</v>
      </c>
      <c r="K719" s="7" t="n">
        <f aca="false">AVERAGE(E620:E719)</f>
        <v>11998.7402</v>
      </c>
      <c r="L719" s="7" t="n">
        <f aca="false">AVERAGE(E520:E719)</f>
        <v>12827.3998</v>
      </c>
      <c r="M719" s="7" t="n">
        <f aca="false">I719</f>
        <v>11123.7595</v>
      </c>
      <c r="N719" s="7" t="n">
        <f aca="false">I719+2*STDEV(E700:E719)</f>
        <v>11687.0645028266</v>
      </c>
      <c r="O719" s="7" t="n">
        <f aca="false">I719-2*STDEV(E700:E719)</f>
        <v>10560.4544971734</v>
      </c>
      <c r="P719" s="7" t="n">
        <f aca="false">MAX(E719-E718,0)</f>
        <v>0</v>
      </c>
      <c r="Q719" s="7" t="n">
        <f aca="false">MAX(E718-E719,0)</f>
        <v>215.74</v>
      </c>
      <c r="R719" s="7" t="n">
        <f aca="false">(R718*13+P719)/14</f>
        <v>78.7806442230444</v>
      </c>
      <c r="S719" s="7" t="n">
        <f aca="false">(S718*13+Q719)/14</f>
        <v>125.732833208007</v>
      </c>
      <c r="T719" s="7" t="n">
        <f aca="false">IF(S719=0,100,100-100/(1+R719/S719))</f>
        <v>38.5210037072516</v>
      </c>
      <c r="U719" s="7" t="n">
        <f aca="false">E719*2/13+U718*11/13</f>
        <v>11165.4504554478</v>
      </c>
      <c r="V719" s="7" t="n">
        <f aca="false">E719*2/27+V718*25/27</f>
        <v>11289.7138095413</v>
      </c>
      <c r="W719" s="7" t="n">
        <f aca="false">U719-V719</f>
        <v>-124.263354093498</v>
      </c>
      <c r="X719" s="7" t="n">
        <f aca="false">W719*2/10+X718*8/10</f>
        <v>-120.186394562633</v>
      </c>
      <c r="Y719" s="7" t="n">
        <f aca="false">W719-X719</f>
        <v>-4.07695953086568</v>
      </c>
      <c r="Z719" s="9" t="s">
        <v>89</v>
      </c>
      <c r="AA719" s="7" t="str">
        <f aca="false">IFERROR(INDEX(02_轉折點45!B:B,MATCH(A719,02_轉折點45!A:A,0)),"")</f>
        <v/>
      </c>
      <c r="AB719" s="7" t="n">
        <f aca="false">COUNTIFS(05_訊號明細!A:A,A719,05_訊號明細!C:C,"TOP")</f>
        <v>0</v>
      </c>
      <c r="AC719" s="7" t="n">
        <f aca="false">COUNTIFS(05_訊號明細!A:A,A719,05_訊號明細!C:C,"BOTTOM")</f>
        <v>1</v>
      </c>
    </row>
    <row r="720" customFormat="false" ht="15" hidden="false" customHeight="false" outlineLevel="0" collapsed="false">
      <c r="A720" s="7" t="s">
        <v>761</v>
      </c>
      <c r="B720" s="7" t="n">
        <v>10911.98</v>
      </c>
      <c r="C720" s="7" t="n">
        <v>10934.62</v>
      </c>
      <c r="D720" s="7" t="n">
        <v>10632.39</v>
      </c>
      <c r="E720" s="7" t="n">
        <v>10857.03</v>
      </c>
      <c r="F720" s="7" t="n">
        <v>5454</v>
      </c>
      <c r="G720" s="7" t="n">
        <f aca="false">AVERAGE(E716:E720)</f>
        <v>11029.698</v>
      </c>
      <c r="H720" s="7" t="n">
        <f aca="false">AVERAGE(E711:E720)</f>
        <v>11239.248</v>
      </c>
      <c r="I720" s="7" t="n">
        <f aca="false">AVERAGE(E701:E720)</f>
        <v>11114.6375</v>
      </c>
      <c r="J720" s="7" t="n">
        <f aca="false">AVERAGE(E671:E720)</f>
        <v>11551.3684</v>
      </c>
      <c r="K720" s="7" t="n">
        <f aca="false">AVERAGE(E621:E720)</f>
        <v>11994.1936</v>
      </c>
      <c r="L720" s="7" t="n">
        <f aca="false">AVERAGE(E521:E720)</f>
        <v>12807.45265</v>
      </c>
      <c r="M720" s="7" t="n">
        <f aca="false">I720</f>
        <v>11114.6375</v>
      </c>
      <c r="N720" s="7" t="n">
        <f aca="false">I720+2*STDEV(E701:E720)</f>
        <v>11689.4803047233</v>
      </c>
      <c r="O720" s="7" t="n">
        <f aca="false">I720-2*STDEV(E701:E720)</f>
        <v>10539.7946952767</v>
      </c>
      <c r="P720" s="7" t="n">
        <f aca="false">MAX(E720-E719,0)</f>
        <v>166.43</v>
      </c>
      <c r="Q720" s="7" t="n">
        <f aca="false">MAX(E719-E720,0)</f>
        <v>0</v>
      </c>
      <c r="R720" s="7" t="n">
        <f aca="false">(R719*13+P720)/14</f>
        <v>85.041312492827</v>
      </c>
      <c r="S720" s="7" t="n">
        <f aca="false">(S719*13+Q720)/14</f>
        <v>116.751916550292</v>
      </c>
      <c r="T720" s="7" t="n">
        <f aca="false">IF(S720=0,100,100-100/(1+R720/S720))</f>
        <v>42.1427978015335</v>
      </c>
      <c r="U720" s="7" t="n">
        <f aca="false">E720*2/13+U719*11/13</f>
        <v>11118.0011546097</v>
      </c>
      <c r="V720" s="7" t="n">
        <f aca="false">E720*2/27+V719*25/27</f>
        <v>11257.6631569827</v>
      </c>
      <c r="W720" s="7" t="n">
        <f aca="false">U720-V720</f>
        <v>-139.662002373008</v>
      </c>
      <c r="X720" s="7" t="n">
        <f aca="false">W720*2/10+X719*8/10</f>
        <v>-124.081516124708</v>
      </c>
      <c r="Y720" s="7" t="n">
        <f aca="false">W720-X720</f>
        <v>-15.5804862483004</v>
      </c>
      <c r="Z720" s="9" t="s">
        <v>89</v>
      </c>
      <c r="AA720" s="7" t="str">
        <f aca="false">IFERROR(INDEX(02_轉折點45!B:B,MATCH(A720,02_轉折點45!A:A,0)),"")</f>
        <v/>
      </c>
      <c r="AB720" s="7" t="n">
        <f aca="false">COUNTIFS(05_訊號明細!A:A,A720,05_訊號明細!C:C,"TOP")</f>
        <v>0</v>
      </c>
      <c r="AC720" s="7" t="n">
        <f aca="false">COUNTIFS(05_訊號明細!A:A,A720,05_訊號明細!C:C,"BOTTOM")</f>
        <v>0</v>
      </c>
    </row>
    <row r="721" customFormat="false" ht="15" hidden="false" customHeight="false" outlineLevel="0" collapsed="false">
      <c r="A721" s="7" t="s">
        <v>762</v>
      </c>
      <c r="B721" s="7" t="n">
        <v>10900.83</v>
      </c>
      <c r="C721" s="7" t="n">
        <v>11001.16</v>
      </c>
      <c r="D721" s="7" t="n">
        <v>10817.59</v>
      </c>
      <c r="E721" s="7" t="n">
        <v>10977</v>
      </c>
      <c r="F721" s="7" t="n">
        <v>4457</v>
      </c>
      <c r="G721" s="7" t="n">
        <f aca="false">AVERAGE(E717:E721)</f>
        <v>10943.984</v>
      </c>
      <c r="H721" s="7" t="n">
        <f aca="false">AVERAGE(E712:E721)</f>
        <v>11193.922</v>
      </c>
      <c r="I721" s="7" t="n">
        <f aca="false">AVERAGE(E702:E721)</f>
        <v>11117.139</v>
      </c>
      <c r="J721" s="7" t="n">
        <f aca="false">AVERAGE(E672:E721)</f>
        <v>11518.805</v>
      </c>
      <c r="K721" s="7" t="n">
        <f aca="false">AVERAGE(E622:E721)</f>
        <v>11988.0259</v>
      </c>
      <c r="L721" s="7" t="n">
        <f aca="false">AVERAGE(E522:E721)</f>
        <v>12790.14565</v>
      </c>
      <c r="M721" s="7" t="n">
        <f aca="false">I721</f>
        <v>11117.139</v>
      </c>
      <c r="N721" s="7" t="n">
        <f aca="false">I721+2*STDEV(E702:E721)</f>
        <v>11688.9707803764</v>
      </c>
      <c r="O721" s="7" t="n">
        <f aca="false">I721-2*STDEV(E702:E721)</f>
        <v>10545.3072196236</v>
      </c>
      <c r="P721" s="7" t="n">
        <f aca="false">MAX(E721-E720,0)</f>
        <v>119.969999999999</v>
      </c>
      <c r="Q721" s="7" t="n">
        <f aca="false">MAX(E720-E721,0)</f>
        <v>0</v>
      </c>
      <c r="R721" s="7" t="n">
        <f aca="false">(R720*13+P721)/14</f>
        <v>87.5362187433393</v>
      </c>
      <c r="S721" s="7" t="n">
        <f aca="false">(S720*13+Q721)/14</f>
        <v>108.412493939557</v>
      </c>
      <c r="T721" s="7" t="n">
        <f aca="false">IF(S721=0,100,100-100/(1+R721/S721))</f>
        <v>44.6730256835109</v>
      </c>
      <c r="U721" s="7" t="n">
        <f aca="false">E721*2/13+U720*11/13</f>
        <v>11096.3086692851</v>
      </c>
      <c r="V721" s="7" t="n">
        <f aca="false">E721*2/27+V720*25/27</f>
        <v>11236.8732935025</v>
      </c>
      <c r="W721" s="7" t="n">
        <f aca="false">U721-V721</f>
        <v>-140.564624217375</v>
      </c>
      <c r="X721" s="7" t="n">
        <f aca="false">W721*2/10+X720*8/10</f>
        <v>-127.378137743241</v>
      </c>
      <c r="Y721" s="7" t="n">
        <f aca="false">W721-X721</f>
        <v>-13.1864864741339</v>
      </c>
      <c r="Z721" s="9" t="s">
        <v>89</v>
      </c>
      <c r="AA721" s="7" t="str">
        <f aca="false">IFERROR(INDEX(02_轉折點45!B:B,MATCH(A721,02_轉折點45!A:A,0)),"")</f>
        <v/>
      </c>
      <c r="AB721" s="7" t="n">
        <f aca="false">COUNTIFS(05_訊號明細!A:A,A721,05_訊號明細!C:C,"TOP")</f>
        <v>0</v>
      </c>
      <c r="AC721" s="7" t="n">
        <f aca="false">COUNTIFS(05_訊號明細!A:A,A721,05_訊號明細!C:C,"BOTTOM")</f>
        <v>0</v>
      </c>
    </row>
    <row r="722" customFormat="false" ht="15" hidden="false" customHeight="false" outlineLevel="0" collapsed="false">
      <c r="A722" s="7" t="s">
        <v>763</v>
      </c>
      <c r="B722" s="7" t="n">
        <v>11039.58</v>
      </c>
      <c r="C722" s="7" t="n">
        <v>11191.9</v>
      </c>
      <c r="D722" s="7" t="n">
        <v>10897.53</v>
      </c>
      <c r="E722" s="7" t="n">
        <v>11059.5</v>
      </c>
      <c r="F722" s="7" t="n">
        <v>5135</v>
      </c>
      <c r="G722" s="7" t="n">
        <f aca="false">AVERAGE(E718:E722)</f>
        <v>10898.094</v>
      </c>
      <c r="H722" s="7" t="n">
        <f aca="false">AVERAGE(E713:E722)</f>
        <v>11132.873</v>
      </c>
      <c r="I722" s="7" t="n">
        <f aca="false">AVERAGE(E703:E722)</f>
        <v>11130.5465</v>
      </c>
      <c r="J722" s="7" t="n">
        <f aca="false">AVERAGE(E673:E722)</f>
        <v>11490.3086</v>
      </c>
      <c r="K722" s="7" t="n">
        <f aca="false">AVERAGE(E623:E722)</f>
        <v>11987.3452</v>
      </c>
      <c r="L722" s="7" t="n">
        <f aca="false">AVERAGE(E523:E722)</f>
        <v>12772.89525</v>
      </c>
      <c r="M722" s="7" t="n">
        <f aca="false">I722</f>
        <v>11130.5465</v>
      </c>
      <c r="N722" s="7" t="n">
        <f aca="false">I722+2*STDEV(E703:E722)</f>
        <v>11682.4424836504</v>
      </c>
      <c r="O722" s="7" t="n">
        <f aca="false">I722-2*STDEV(E703:E722)</f>
        <v>10578.6505163496</v>
      </c>
      <c r="P722" s="7" t="n">
        <f aca="false">MAX(E722-E721,0)</f>
        <v>82.5</v>
      </c>
      <c r="Q722" s="7" t="n">
        <f aca="false">MAX(E721-E722,0)</f>
        <v>0</v>
      </c>
      <c r="R722" s="7" t="n">
        <f aca="false">(R721*13+P722)/14</f>
        <v>87.1764888331008</v>
      </c>
      <c r="S722" s="7" t="n">
        <f aca="false">(S721*13+Q722)/14</f>
        <v>100.668744372446</v>
      </c>
      <c r="T722" s="7" t="n">
        <f aca="false">IF(S722=0,100,100-100/(1+R722/S722))</f>
        <v>46.4086776893132</v>
      </c>
      <c r="U722" s="7" t="n">
        <f aca="false">E722*2/13+U721*11/13</f>
        <v>11090.6457970874</v>
      </c>
      <c r="V722" s="7" t="n">
        <f aca="false">E722*2/27+V721*25/27</f>
        <v>11223.7345310208</v>
      </c>
      <c r="W722" s="7" t="n">
        <f aca="false">U722-V722</f>
        <v>-133.08873393342</v>
      </c>
      <c r="X722" s="7" t="n">
        <f aca="false">W722*2/10+X721*8/10</f>
        <v>-128.520256981277</v>
      </c>
      <c r="Y722" s="7" t="n">
        <f aca="false">W722-X722</f>
        <v>-4.56847695214319</v>
      </c>
      <c r="Z722" s="9" t="s">
        <v>89</v>
      </c>
      <c r="AA722" s="7" t="str">
        <f aca="false">IFERROR(INDEX(02_轉折點45!B:B,MATCH(A722,02_轉折點45!A:A,0)),"")</f>
        <v/>
      </c>
      <c r="AB722" s="7" t="n">
        <f aca="false">COUNTIFS(05_訊號明細!A:A,A722,05_訊號明細!C:C,"TOP")</f>
        <v>0</v>
      </c>
      <c r="AC722" s="7" t="n">
        <f aca="false">COUNTIFS(05_訊號明細!A:A,A722,05_訊號明細!C:C,"BOTTOM")</f>
        <v>0</v>
      </c>
    </row>
    <row r="723" customFormat="false" ht="15" hidden="false" customHeight="false" outlineLevel="0" collapsed="false">
      <c r="A723" s="7" t="s">
        <v>764</v>
      </c>
      <c r="B723" s="7" t="n">
        <v>10971.43</v>
      </c>
      <c r="C723" s="7" t="n">
        <v>11012.66</v>
      </c>
      <c r="D723" s="7" t="n">
        <v>10790.35</v>
      </c>
      <c r="E723" s="7" t="n">
        <v>10797.55</v>
      </c>
      <c r="F723" s="7" t="n">
        <v>4977</v>
      </c>
      <c r="G723" s="7" t="n">
        <f aca="false">AVERAGE(E719:E723)</f>
        <v>10876.336</v>
      </c>
      <c r="H723" s="7" t="n">
        <f aca="false">AVERAGE(E714:E723)</f>
        <v>11072.038</v>
      </c>
      <c r="I723" s="7" t="n">
        <f aca="false">AVERAGE(E704:E723)</f>
        <v>11131.143</v>
      </c>
      <c r="J723" s="7" t="n">
        <f aca="false">AVERAGE(E674:E723)</f>
        <v>11459.4056</v>
      </c>
      <c r="K723" s="7" t="n">
        <f aca="false">AVERAGE(E624:E723)</f>
        <v>11982.6608</v>
      </c>
      <c r="L723" s="7" t="n">
        <f aca="false">AVERAGE(E524:E723)</f>
        <v>12756.1374</v>
      </c>
      <c r="M723" s="7" t="n">
        <f aca="false">I723</f>
        <v>11131.143</v>
      </c>
      <c r="N723" s="7" t="n">
        <f aca="false">I723+2*STDEV(E704:E723)</f>
        <v>11681.4929082201</v>
      </c>
      <c r="O723" s="7" t="n">
        <f aca="false">I723-2*STDEV(E704:E723)</f>
        <v>10580.7930917799</v>
      </c>
      <c r="P723" s="7" t="n">
        <f aca="false">MAX(E723-E722,0)</f>
        <v>0</v>
      </c>
      <c r="Q723" s="7" t="n">
        <f aca="false">MAX(E722-E723,0)</f>
        <v>261.950000000001</v>
      </c>
      <c r="R723" s="7" t="n">
        <f aca="false">(R722*13+P723)/14</f>
        <v>80.9495967735935</v>
      </c>
      <c r="S723" s="7" t="n">
        <f aca="false">(S722*13+Q723)/14</f>
        <v>112.188834060128</v>
      </c>
      <c r="T723" s="7" t="n">
        <f aca="false">IF(S723=0,100,100-100/(1+R723/S723))</f>
        <v>41.912734003356</v>
      </c>
      <c r="U723" s="7" t="n">
        <f aca="false">E723*2/13+U722*11/13</f>
        <v>11045.554135997</v>
      </c>
      <c r="V723" s="7" t="n">
        <f aca="false">E723*2/27+V722*25/27</f>
        <v>11192.1653065008</v>
      </c>
      <c r="W723" s="7" t="n">
        <f aca="false">U723-V723</f>
        <v>-146.611170503731</v>
      </c>
      <c r="X723" s="7" t="n">
        <f aca="false">W723*2/10+X722*8/10</f>
        <v>-132.138439685768</v>
      </c>
      <c r="Y723" s="7" t="n">
        <f aca="false">W723-X723</f>
        <v>-14.4727308179631</v>
      </c>
      <c r="Z723" s="9" t="s">
        <v>89</v>
      </c>
      <c r="AA723" s="7" t="str">
        <f aca="false">IFERROR(INDEX(02_轉折點45!B:B,MATCH(A723,02_轉折點45!A:A,0)),"")</f>
        <v/>
      </c>
      <c r="AB723" s="7" t="n">
        <f aca="false">COUNTIFS(05_訊號明細!A:A,A723,05_訊號明細!C:C,"TOP")</f>
        <v>0</v>
      </c>
      <c r="AC723" s="7" t="n">
        <f aca="false">COUNTIFS(05_訊號明細!A:A,A723,05_訊號明細!C:C,"BOTTOM")</f>
        <v>0</v>
      </c>
    </row>
    <row r="724" customFormat="false" ht="15" hidden="false" customHeight="false" outlineLevel="0" collapsed="false">
      <c r="A724" s="7" t="s">
        <v>765</v>
      </c>
      <c r="B724" s="7" t="n">
        <v>11350.42</v>
      </c>
      <c r="C724" s="7" t="n">
        <v>11612.2</v>
      </c>
      <c r="D724" s="7" t="n">
        <v>11235.74</v>
      </c>
      <c r="E724" s="7" t="n">
        <v>11605.96</v>
      </c>
      <c r="F724" s="7" t="n">
        <v>6433</v>
      </c>
      <c r="G724" s="7" t="n">
        <f aca="false">AVERAGE(E720:E724)</f>
        <v>11059.408</v>
      </c>
      <c r="H724" s="7" t="n">
        <f aca="false">AVERAGE(E715:E724)</f>
        <v>11113.471</v>
      </c>
      <c r="I724" s="7" t="n">
        <f aca="false">AVERAGE(E705:E724)</f>
        <v>11159.762</v>
      </c>
      <c r="J724" s="7" t="n">
        <f aca="false">AVERAGE(E675:E724)</f>
        <v>11446.0842</v>
      </c>
      <c r="K724" s="7" t="n">
        <f aca="false">AVERAGE(E625:E724)</f>
        <v>11983.2528</v>
      </c>
      <c r="L724" s="7" t="n">
        <f aca="false">AVERAGE(E525:E724)</f>
        <v>12743.3034</v>
      </c>
      <c r="M724" s="7" t="n">
        <f aca="false">I724</f>
        <v>11159.762</v>
      </c>
      <c r="N724" s="7" t="n">
        <f aca="false">I724+2*STDEV(E705:E724)</f>
        <v>11747.040388809</v>
      </c>
      <c r="O724" s="7" t="n">
        <f aca="false">I724-2*STDEV(E705:E724)</f>
        <v>10572.483611191</v>
      </c>
      <c r="P724" s="7" t="n">
        <f aca="false">MAX(E724-E723,0)</f>
        <v>808.41</v>
      </c>
      <c r="Q724" s="7" t="n">
        <f aca="false">MAX(E723-E724,0)</f>
        <v>0</v>
      </c>
      <c r="R724" s="7" t="n">
        <f aca="false">(R723*13+P724)/14</f>
        <v>132.911054146908</v>
      </c>
      <c r="S724" s="7" t="n">
        <f aca="false">(S723*13+Q724)/14</f>
        <v>104.175345912976</v>
      </c>
      <c r="T724" s="7" t="n">
        <f aca="false">IF(S724=0,100,100-100/(1+R724/S724))</f>
        <v>56.0601764223241</v>
      </c>
      <c r="U724" s="7" t="n">
        <f aca="false">E724*2/13+U723*11/13</f>
        <v>11131.7704227667</v>
      </c>
      <c r="V724" s="7" t="n">
        <f aca="false">E724*2/27+V723*25/27</f>
        <v>11222.8167652785</v>
      </c>
      <c r="W724" s="7" t="n">
        <f aca="false">U724-V724</f>
        <v>-91.0463425117669</v>
      </c>
      <c r="X724" s="7" t="n">
        <f aca="false">W724*2/10+X723*8/10</f>
        <v>-123.920020250968</v>
      </c>
      <c r="Y724" s="7" t="n">
        <f aca="false">W724-X724</f>
        <v>32.8736777392009</v>
      </c>
      <c r="Z724" s="9" t="s">
        <v>89</v>
      </c>
      <c r="AA724" s="7" t="str">
        <f aca="false">IFERROR(INDEX(02_轉折點45!B:B,MATCH(A724,02_轉折點45!A:A,0)),"")</f>
        <v/>
      </c>
      <c r="AB724" s="7" t="n">
        <f aca="false">COUNTIFS(05_訊號明細!A:A,A724,05_訊號明細!C:C,"TOP")</f>
        <v>0</v>
      </c>
      <c r="AC724" s="7" t="n">
        <f aca="false">COUNTIFS(05_訊號明細!A:A,A724,05_訊號明細!C:C,"BOTTOM")</f>
        <v>1</v>
      </c>
    </row>
    <row r="725" customFormat="false" ht="15" hidden="false" customHeight="false" outlineLevel="0" collapsed="false">
      <c r="A725" s="7" t="s">
        <v>766</v>
      </c>
      <c r="B725" s="7" t="n">
        <v>11604.36</v>
      </c>
      <c r="C725" s="7" t="n">
        <v>11840.07</v>
      </c>
      <c r="D725" s="7" t="n">
        <v>11535.56</v>
      </c>
      <c r="E725" s="7" t="n">
        <v>11817.01</v>
      </c>
      <c r="F725" s="7" t="n">
        <v>5868</v>
      </c>
      <c r="G725" s="7" t="n">
        <f aca="false">AVERAGE(E721:E725)</f>
        <v>11251.404</v>
      </c>
      <c r="H725" s="7" t="n">
        <f aca="false">AVERAGE(E716:E725)</f>
        <v>11140.551</v>
      </c>
      <c r="I725" s="7" t="n">
        <f aca="false">AVERAGE(E706:E725)</f>
        <v>11216.0095</v>
      </c>
      <c r="J725" s="7" t="n">
        <f aca="false">AVERAGE(E676:E725)</f>
        <v>11436.932</v>
      </c>
      <c r="K725" s="7" t="n">
        <f aca="false">AVERAGE(E626:E725)</f>
        <v>11986.1458</v>
      </c>
      <c r="L725" s="7" t="n">
        <f aca="false">AVERAGE(E526:E725)</f>
        <v>12732.3729</v>
      </c>
      <c r="M725" s="7" t="n">
        <f aca="false">I725</f>
        <v>11216.0095</v>
      </c>
      <c r="N725" s="7" t="n">
        <f aca="false">I725+2*STDEV(E706:E725)</f>
        <v>11829.5771003412</v>
      </c>
      <c r="O725" s="7" t="n">
        <f aca="false">I725-2*STDEV(E706:E725)</f>
        <v>10602.4418996588</v>
      </c>
      <c r="P725" s="7" t="n">
        <f aca="false">MAX(E725-E724,0)</f>
        <v>211.050000000001</v>
      </c>
      <c r="Q725" s="7" t="n">
        <f aca="false">MAX(E724-E725,0)</f>
        <v>0</v>
      </c>
      <c r="R725" s="7" t="n">
        <f aca="false">(R724*13+P725)/14</f>
        <v>138.492407422129</v>
      </c>
      <c r="S725" s="7" t="n">
        <f aca="false">(S724*13+Q725)/14</f>
        <v>96.7342497763351</v>
      </c>
      <c r="T725" s="7" t="n">
        <f aca="false">IF(S725=0,100,100-100/(1+R725/S725))</f>
        <v>58.8761533542013</v>
      </c>
      <c r="U725" s="7" t="n">
        <f aca="false">E725*2/13+U724*11/13</f>
        <v>11237.1918961872</v>
      </c>
      <c r="V725" s="7" t="n">
        <f aca="false">E725*2/27+V724*25/27</f>
        <v>11266.8310789616</v>
      </c>
      <c r="W725" s="7" t="n">
        <f aca="false">U725-V725</f>
        <v>-29.6391827743373</v>
      </c>
      <c r="X725" s="7" t="n">
        <f aca="false">W725*2/10+X724*8/10</f>
        <v>-105.063852755642</v>
      </c>
      <c r="Y725" s="7" t="n">
        <f aca="false">W725-X725</f>
        <v>75.4246699813044</v>
      </c>
      <c r="Z725" s="9" t="s">
        <v>89</v>
      </c>
      <c r="AA725" s="7" t="str">
        <f aca="false">IFERROR(INDEX(02_轉折點45!B:B,MATCH(A725,02_轉折點45!A:A,0)),"")</f>
        <v/>
      </c>
      <c r="AB725" s="7" t="n">
        <f aca="false">COUNTIFS(05_訊號明細!A:A,A725,05_訊號明細!C:C,"TOP")</f>
        <v>0</v>
      </c>
      <c r="AC725" s="7" t="n">
        <f aca="false">COUNTIFS(05_訊號明細!A:A,A725,05_訊號明細!C:C,"BOTTOM")</f>
        <v>2</v>
      </c>
    </row>
    <row r="726" customFormat="false" ht="15" hidden="false" customHeight="false" outlineLevel="0" collapsed="false">
      <c r="A726" s="7" t="s">
        <v>767</v>
      </c>
      <c r="B726" s="7" t="n">
        <v>11728.11</v>
      </c>
      <c r="C726" s="7" t="n">
        <v>11863.82</v>
      </c>
      <c r="D726" s="7" t="n">
        <v>11669.1</v>
      </c>
      <c r="E726" s="7" t="n">
        <v>11700.94</v>
      </c>
      <c r="F726" s="7" t="n">
        <v>5004</v>
      </c>
      <c r="G726" s="7" t="n">
        <f aca="false">AVERAGE(E722:E726)</f>
        <v>11396.192</v>
      </c>
      <c r="H726" s="7" t="n">
        <f aca="false">AVERAGE(E717:E726)</f>
        <v>11170.088</v>
      </c>
      <c r="I726" s="7" t="n">
        <f aca="false">AVERAGE(E707:E726)</f>
        <v>11247.93</v>
      </c>
      <c r="J726" s="7" t="n">
        <f aca="false">AVERAGE(E677:E726)</f>
        <v>11428.982</v>
      </c>
      <c r="K726" s="7" t="n">
        <f aca="false">AVERAGE(E627:E726)</f>
        <v>11986.1784</v>
      </c>
      <c r="L726" s="7" t="n">
        <f aca="false">AVERAGE(E527:E726)</f>
        <v>12718.60455</v>
      </c>
      <c r="M726" s="7" t="n">
        <f aca="false">I726</f>
        <v>11247.93</v>
      </c>
      <c r="N726" s="7" t="n">
        <f aca="false">I726+2*STDEV(E707:E726)</f>
        <v>11893.4706493622</v>
      </c>
      <c r="O726" s="7" t="n">
        <f aca="false">I726-2*STDEV(E707:E726)</f>
        <v>10602.3893506378</v>
      </c>
      <c r="P726" s="7" t="n">
        <f aca="false">MAX(E726-E725,0)</f>
        <v>0</v>
      </c>
      <c r="Q726" s="7" t="n">
        <f aca="false">MAX(E725-E726,0)</f>
        <v>116.07</v>
      </c>
      <c r="R726" s="7" t="n">
        <f aca="false">(R725*13+P726)/14</f>
        <v>128.600092606263</v>
      </c>
      <c r="S726" s="7" t="n">
        <f aca="false">(S725*13+Q726)/14</f>
        <v>98.1153747923111</v>
      </c>
      <c r="T726" s="7" t="n">
        <f aca="false">IF(S726=0,100,100-100/(1+R726/S726))</f>
        <v>56.7231226355541</v>
      </c>
      <c r="U726" s="7" t="n">
        <f aca="false">E726*2/13+U725*11/13</f>
        <v>11308.5377583123</v>
      </c>
      <c r="V726" s="7" t="n">
        <f aca="false">E726*2/27+V725*25/27</f>
        <v>11298.9872953348</v>
      </c>
      <c r="W726" s="7" t="n">
        <f aca="false">U726-V726</f>
        <v>9.55046297748595</v>
      </c>
      <c r="X726" s="7" t="n">
        <f aca="false">W726*2/10+X725*8/10</f>
        <v>-82.1409896090162</v>
      </c>
      <c r="Y726" s="7" t="n">
        <f aca="false">W726-X726</f>
        <v>91.6914525865021</v>
      </c>
      <c r="Z726" s="9" t="s">
        <v>89</v>
      </c>
      <c r="AA726" s="7" t="str">
        <f aca="false">IFERROR(INDEX(02_轉折點45!B:B,MATCH(A726,02_轉折點45!A:A,0)),"")</f>
        <v/>
      </c>
      <c r="AB726" s="7" t="n">
        <f aca="false">COUNTIFS(05_訊號明細!A:A,A726,05_訊號明細!C:C,"TOP")</f>
        <v>0</v>
      </c>
      <c r="AC726" s="7" t="n">
        <f aca="false">COUNTIFS(05_訊號明細!A:A,A726,05_訊號明細!C:C,"BOTTOM")</f>
        <v>0</v>
      </c>
    </row>
    <row r="727" customFormat="false" ht="15" hidden="false" customHeight="false" outlineLevel="0" collapsed="false">
      <c r="A727" s="7" t="s">
        <v>768</v>
      </c>
      <c r="B727" s="7" t="n">
        <v>12006.45</v>
      </c>
      <c r="C727" s="7" t="n">
        <v>12024.95</v>
      </c>
      <c r="D727" s="7" t="n">
        <v>11735.4</v>
      </c>
      <c r="E727" s="7" t="n">
        <v>11871.15</v>
      </c>
      <c r="F727" s="7" t="n">
        <v>5617</v>
      </c>
      <c r="G727" s="7" t="n">
        <f aca="false">AVERAGE(E723:E727)</f>
        <v>11558.522</v>
      </c>
      <c r="H727" s="7" t="n">
        <f aca="false">AVERAGE(E718:E727)</f>
        <v>11228.308</v>
      </c>
      <c r="I727" s="7" t="n">
        <f aca="false">AVERAGE(E708:E727)</f>
        <v>11284.1005</v>
      </c>
      <c r="J727" s="7" t="n">
        <f aca="false">AVERAGE(E678:E727)</f>
        <v>11426.1788</v>
      </c>
      <c r="K727" s="7" t="n">
        <f aca="false">AVERAGE(E628:E727)</f>
        <v>11983.8314</v>
      </c>
      <c r="L727" s="7" t="n">
        <f aca="false">AVERAGE(E528:E727)</f>
        <v>12703.31005</v>
      </c>
      <c r="M727" s="7" t="n">
        <f aca="false">I727</f>
        <v>11284.1005</v>
      </c>
      <c r="N727" s="7" t="n">
        <f aca="false">I727+2*STDEV(E708:E727)</f>
        <v>11984.7215776004</v>
      </c>
      <c r="O727" s="7" t="n">
        <f aca="false">I727-2*STDEV(E708:E727)</f>
        <v>10583.4794223996</v>
      </c>
      <c r="P727" s="7" t="n">
        <f aca="false">MAX(E727-E726,0)</f>
        <v>170.209999999999</v>
      </c>
      <c r="Q727" s="7" t="n">
        <f aca="false">MAX(E726-E727,0)</f>
        <v>0</v>
      </c>
      <c r="R727" s="7" t="n">
        <f aca="false">(R726*13+P727)/14</f>
        <v>131.572228848673</v>
      </c>
      <c r="S727" s="7" t="n">
        <f aca="false">(S726*13+Q727)/14</f>
        <v>91.1071337357174</v>
      </c>
      <c r="T727" s="7" t="n">
        <f aca="false">IF(S727=0,100,100-100/(1+R727/S727))</f>
        <v>59.085955394187</v>
      </c>
      <c r="U727" s="7" t="n">
        <f aca="false">E727*2/13+U726*11/13</f>
        <v>11395.0934878027</v>
      </c>
      <c r="V727" s="7" t="n">
        <f aca="false">E727*2/27+V726*25/27</f>
        <v>11341.3697179026</v>
      </c>
      <c r="W727" s="7" t="n">
        <f aca="false">U727-V727</f>
        <v>53.7237699001107</v>
      </c>
      <c r="X727" s="7" t="n">
        <f aca="false">W727*2/10+X726*8/10</f>
        <v>-54.9680377071908</v>
      </c>
      <c r="Y727" s="7" t="n">
        <f aca="false">W727-X727</f>
        <v>108.691807607301</v>
      </c>
      <c r="Z727" s="9" t="s">
        <v>89</v>
      </c>
      <c r="AA727" s="7" t="str">
        <f aca="false">IFERROR(INDEX(02_轉折點45!B:B,MATCH(A727,02_轉折點45!A:A,0)),"")</f>
        <v/>
      </c>
      <c r="AB727" s="7" t="n">
        <f aca="false">COUNTIFS(05_訊號明細!A:A,A727,05_訊號明細!C:C,"TOP")</f>
        <v>0</v>
      </c>
      <c r="AC727" s="7" t="n">
        <f aca="false">COUNTIFS(05_訊號明細!A:A,A727,05_訊號明細!C:C,"BOTTOM")</f>
        <v>0</v>
      </c>
    </row>
    <row r="728" customFormat="false" ht="15" hidden="false" customHeight="false" outlineLevel="0" collapsed="false">
      <c r="A728" s="7" t="s">
        <v>769</v>
      </c>
      <c r="B728" s="7" t="n">
        <v>11767.42</v>
      </c>
      <c r="C728" s="7" t="n">
        <v>11796.99</v>
      </c>
      <c r="D728" s="7" t="n">
        <v>11673.14</v>
      </c>
      <c r="E728" s="7" t="n">
        <v>11699.09</v>
      </c>
      <c r="F728" s="7" t="n">
        <v>4585</v>
      </c>
      <c r="G728" s="7" t="n">
        <f aca="false">AVERAGE(E724:E728)</f>
        <v>11738.83</v>
      </c>
      <c r="H728" s="7" t="n">
        <f aca="false">AVERAGE(E719:E728)</f>
        <v>11307.583</v>
      </c>
      <c r="I728" s="7" t="n">
        <f aca="false">AVERAGE(E709:E728)</f>
        <v>11313.886</v>
      </c>
      <c r="J728" s="7" t="n">
        <f aca="false">AVERAGE(E679:E728)</f>
        <v>11414.9728</v>
      </c>
      <c r="K728" s="7" t="n">
        <f aca="false">AVERAGE(E629:E728)</f>
        <v>11980.7399</v>
      </c>
      <c r="L728" s="7" t="n">
        <f aca="false">AVERAGE(E529:E728)</f>
        <v>12686.7071</v>
      </c>
      <c r="M728" s="7" t="n">
        <f aca="false">I728</f>
        <v>11313.886</v>
      </c>
      <c r="N728" s="7" t="n">
        <f aca="false">I728+2*STDEV(E709:E728)</f>
        <v>12032.5755770967</v>
      </c>
      <c r="O728" s="7" t="n">
        <f aca="false">I728-2*STDEV(E709:E728)</f>
        <v>10595.1964229033</v>
      </c>
      <c r="P728" s="7" t="n">
        <f aca="false">MAX(E728-E727,0)</f>
        <v>0</v>
      </c>
      <c r="Q728" s="7" t="n">
        <f aca="false">MAX(E727-E728,0)</f>
        <v>172.06</v>
      </c>
      <c r="R728" s="7" t="n">
        <f aca="false">(R727*13+P728)/14</f>
        <v>122.174212502339</v>
      </c>
      <c r="S728" s="7" t="n">
        <f aca="false">(S727*13+Q728)/14</f>
        <v>96.8894813260233</v>
      </c>
      <c r="T728" s="7" t="n">
        <f aca="false">IF(S728=0,100,100-100/(1+R728/S728))</f>
        <v>55.7710912142581</v>
      </c>
      <c r="U728" s="7" t="n">
        <f aca="false">E728*2/13+U727*11/13</f>
        <v>11441.8621819869</v>
      </c>
      <c r="V728" s="7" t="n">
        <f aca="false">E728*2/27+V727*25/27</f>
        <v>11367.8675165765</v>
      </c>
      <c r="W728" s="7" t="n">
        <f aca="false">U728-V728</f>
        <v>73.9946654104297</v>
      </c>
      <c r="X728" s="7" t="n">
        <f aca="false">W728*2/10+X727*8/10</f>
        <v>-29.1754970836667</v>
      </c>
      <c r="Y728" s="7" t="n">
        <f aca="false">W728-X728</f>
        <v>103.170162494096</v>
      </c>
      <c r="Z728" s="9" t="s">
        <v>89</v>
      </c>
      <c r="AA728" s="7" t="str">
        <f aca="false">IFERROR(INDEX(02_轉折點45!B:B,MATCH(A728,02_轉折點45!A:A,0)),"")</f>
        <v/>
      </c>
      <c r="AB728" s="7" t="n">
        <f aca="false">COUNTIFS(05_訊號明細!A:A,A728,05_訊號明細!C:C,"TOP")</f>
        <v>0</v>
      </c>
      <c r="AC728" s="7" t="n">
        <f aca="false">COUNTIFS(05_訊號明細!A:A,A728,05_訊號明細!C:C,"BOTTOM")</f>
        <v>0</v>
      </c>
    </row>
    <row r="729" customFormat="false" ht="15" hidden="false" customHeight="false" outlineLevel="0" collapsed="false">
      <c r="A729" s="7" t="s">
        <v>770</v>
      </c>
      <c r="B729" s="7" t="n">
        <v>11521.64</v>
      </c>
      <c r="C729" s="7" t="n">
        <v>11737.61</v>
      </c>
      <c r="D729" s="7" t="n">
        <v>11519.38</v>
      </c>
      <c r="E729" s="7" t="n">
        <v>11676.86</v>
      </c>
      <c r="F729" s="7" t="n">
        <v>4354</v>
      </c>
      <c r="G729" s="7" t="n">
        <f aca="false">AVERAGE(E725:E729)</f>
        <v>11753.01</v>
      </c>
      <c r="H729" s="7" t="n">
        <f aca="false">AVERAGE(E720:E729)</f>
        <v>11406.209</v>
      </c>
      <c r="I729" s="7" t="n">
        <f aca="false">AVERAGE(E710:E729)</f>
        <v>11345.3935</v>
      </c>
      <c r="J729" s="7" t="n">
        <f aca="false">AVERAGE(E680:E729)</f>
        <v>11402.0862</v>
      </c>
      <c r="K729" s="7" t="n">
        <f aca="false">AVERAGE(E630:E729)</f>
        <v>11981.1308</v>
      </c>
      <c r="L729" s="7" t="n">
        <f aca="false">AVERAGE(E530:E729)</f>
        <v>12669.3927</v>
      </c>
      <c r="M729" s="7" t="n">
        <f aca="false">I729</f>
        <v>11345.3935</v>
      </c>
      <c r="N729" s="7" t="n">
        <f aca="false">I729+2*STDEV(E710:E729)</f>
        <v>12069.9924849427</v>
      </c>
      <c r="O729" s="7" t="n">
        <f aca="false">I729-2*STDEV(E710:E729)</f>
        <v>10620.7945150573</v>
      </c>
      <c r="P729" s="7" t="n">
        <f aca="false">MAX(E729-E728,0)</f>
        <v>0</v>
      </c>
      <c r="Q729" s="7" t="n">
        <f aca="false">MAX(E728-E729,0)</f>
        <v>22.2299999999996</v>
      </c>
      <c r="R729" s="7" t="n">
        <f aca="false">(R728*13+P729)/14</f>
        <v>113.447483037886</v>
      </c>
      <c r="S729" s="7" t="n">
        <f aca="false">(S728*13+Q729)/14</f>
        <v>91.5566612313073</v>
      </c>
      <c r="T729" s="7" t="n">
        <f aca="false">IF(S729=0,100,100-100/(1+R729/S729))</f>
        <v>55.3391168955672</v>
      </c>
      <c r="U729" s="7" t="n">
        <f aca="false">E729*2/13+U728*11/13</f>
        <v>11478.0156924505</v>
      </c>
      <c r="V729" s="7" t="n">
        <f aca="false">E729*2/27+V728*25/27</f>
        <v>11390.7558486819</v>
      </c>
      <c r="W729" s="7" t="n">
        <f aca="false">U729-V729</f>
        <v>87.2598437685392</v>
      </c>
      <c r="X729" s="7" t="n">
        <f aca="false">W729*2/10+X728*8/10</f>
        <v>-5.88842891322551</v>
      </c>
      <c r="Y729" s="7" t="n">
        <f aca="false">W729-X729</f>
        <v>93.1482726817647</v>
      </c>
      <c r="Z729" s="9" t="s">
        <v>89</v>
      </c>
      <c r="AA729" s="7" t="str">
        <f aca="false">IFERROR(INDEX(02_轉折點45!B:B,MATCH(A729,02_轉折點45!A:A,0)),"")</f>
        <v/>
      </c>
      <c r="AB729" s="7" t="n">
        <f aca="false">COUNTIFS(05_訊號明細!A:A,A729,05_訊號明細!C:C,"TOP")</f>
        <v>0</v>
      </c>
      <c r="AC729" s="7" t="n">
        <f aca="false">COUNTIFS(05_訊號明細!A:A,A729,05_訊號明細!C:C,"BOTTOM")</f>
        <v>0</v>
      </c>
    </row>
    <row r="730" customFormat="false" ht="15" hidden="false" customHeight="false" outlineLevel="0" collapsed="false">
      <c r="A730" s="7" t="s">
        <v>771</v>
      </c>
      <c r="B730" s="7" t="n">
        <v>11791.85</v>
      </c>
      <c r="C730" s="7" t="n">
        <v>11794.68</v>
      </c>
      <c r="D730" s="7" t="n">
        <v>11579.64</v>
      </c>
      <c r="E730" s="7" t="n">
        <v>11677.02</v>
      </c>
      <c r="F730" s="7" t="n">
        <v>4175</v>
      </c>
      <c r="G730" s="7" t="n">
        <f aca="false">AVERAGE(E726:E730)</f>
        <v>11725.012</v>
      </c>
      <c r="H730" s="7" t="n">
        <f aca="false">AVERAGE(E721:E730)</f>
        <v>11488.208</v>
      </c>
      <c r="I730" s="7" t="n">
        <f aca="false">AVERAGE(E711:E730)</f>
        <v>11363.728</v>
      </c>
      <c r="J730" s="7" t="n">
        <f aca="false">AVERAGE(E681:E730)</f>
        <v>11383.8608</v>
      </c>
      <c r="K730" s="7" t="n">
        <f aca="false">AVERAGE(E631:E730)</f>
        <v>11981.3184</v>
      </c>
      <c r="L730" s="7" t="n">
        <f aca="false">AVERAGE(E531:E730)</f>
        <v>12655.27225</v>
      </c>
      <c r="M730" s="7" t="n">
        <f aca="false">I730</f>
        <v>11363.728</v>
      </c>
      <c r="N730" s="7" t="n">
        <f aca="false">I730+2*STDEV(E711:E730)</f>
        <v>12102.9994950786</v>
      </c>
      <c r="O730" s="7" t="n">
        <f aca="false">I730-2*STDEV(E711:E730)</f>
        <v>10624.4565049214</v>
      </c>
      <c r="P730" s="7" t="n">
        <f aca="false">MAX(E730-E729,0)</f>
        <v>0.159999999999854</v>
      </c>
      <c r="Q730" s="7" t="n">
        <f aca="false">MAX(E729-E730,0)</f>
        <v>0</v>
      </c>
      <c r="R730" s="7" t="n">
        <f aca="false">(R729*13+P730)/14</f>
        <v>105.355519963751</v>
      </c>
      <c r="S730" s="7" t="n">
        <f aca="false">(S729*13+Q730)/14</f>
        <v>85.0168997147854</v>
      </c>
      <c r="T730" s="7" t="n">
        <f aca="false">IF(S730=0,100,100-100/(1+R730/S730))</f>
        <v>55.3417980092152</v>
      </c>
      <c r="U730" s="7" t="n">
        <f aca="false">E730*2/13+U729*11/13</f>
        <v>11508.6317397658</v>
      </c>
      <c r="V730" s="7" t="n">
        <f aca="false">E730*2/27+V729*25/27</f>
        <v>11411.9606006314</v>
      </c>
      <c r="W730" s="7" t="n">
        <f aca="false">U730-V730</f>
        <v>96.671139134367</v>
      </c>
      <c r="X730" s="7" t="n">
        <f aca="false">W730*2/10+X729*8/10</f>
        <v>14.623484696293</v>
      </c>
      <c r="Y730" s="7" t="n">
        <f aca="false">W730-X730</f>
        <v>82.047654438074</v>
      </c>
      <c r="Z730" s="9" t="s">
        <v>89</v>
      </c>
      <c r="AA730" s="7" t="str">
        <f aca="false">IFERROR(INDEX(02_轉折點45!B:B,MATCH(A730,02_轉折點45!A:A,0)),"")</f>
        <v/>
      </c>
      <c r="AB730" s="7" t="n">
        <f aca="false">COUNTIFS(05_訊號明細!A:A,A730,05_訊號明細!C:C,"TOP")</f>
        <v>0</v>
      </c>
      <c r="AC730" s="7" t="n">
        <f aca="false">COUNTIFS(05_訊號明細!A:A,A730,05_訊號明細!C:C,"BOTTOM")</f>
        <v>0</v>
      </c>
    </row>
    <row r="731" customFormat="false" ht="15" hidden="false" customHeight="false" outlineLevel="0" collapsed="false">
      <c r="A731" s="7" t="s">
        <v>772</v>
      </c>
      <c r="B731" s="7" t="n">
        <v>11623.35</v>
      </c>
      <c r="C731" s="7" t="n">
        <v>11664.94</v>
      </c>
      <c r="D731" s="7" t="n">
        <v>11524.44</v>
      </c>
      <c r="E731" s="7" t="n">
        <v>11553.45</v>
      </c>
      <c r="F731" s="7" t="n">
        <v>3977</v>
      </c>
      <c r="G731" s="7" t="n">
        <f aca="false">AVERAGE(E727:E731)</f>
        <v>11695.514</v>
      </c>
      <c r="H731" s="7" t="n">
        <f aca="false">AVERAGE(E722:E731)</f>
        <v>11545.853</v>
      </c>
      <c r="I731" s="7" t="n">
        <f aca="false">AVERAGE(E712:E731)</f>
        <v>11369.8875</v>
      </c>
      <c r="J731" s="7" t="n">
        <f aca="false">AVERAGE(E682:E731)</f>
        <v>11360.1354</v>
      </c>
      <c r="K731" s="7" t="n">
        <f aca="false">AVERAGE(E632:E731)</f>
        <v>11981.8157</v>
      </c>
      <c r="L731" s="7" t="n">
        <f aca="false">AVERAGE(E532:E731)</f>
        <v>12639.56775</v>
      </c>
      <c r="M731" s="7" t="n">
        <f aca="false">I731</f>
        <v>11369.8875</v>
      </c>
      <c r="N731" s="7" t="n">
        <f aca="false">I731+2*STDEV(E712:E731)</f>
        <v>12113.5328983445</v>
      </c>
      <c r="O731" s="7" t="n">
        <f aca="false">I731-2*STDEV(E712:E731)</f>
        <v>10626.2421016555</v>
      </c>
      <c r="P731" s="7" t="n">
        <f aca="false">MAX(E731-E730,0)</f>
        <v>0</v>
      </c>
      <c r="Q731" s="7" t="n">
        <f aca="false">MAX(E730-E731,0)</f>
        <v>123.57</v>
      </c>
      <c r="R731" s="7" t="n">
        <f aca="false">(R730*13+P731)/14</f>
        <v>97.8301256806262</v>
      </c>
      <c r="S731" s="7" t="n">
        <f aca="false">(S730*13+Q731)/14</f>
        <v>87.7706925923007</v>
      </c>
      <c r="T731" s="7" t="n">
        <f aca="false">IF(S731=0,100,100-100/(1+R731/S731))</f>
        <v>52.7099646386077</v>
      </c>
      <c r="U731" s="7" t="n">
        <f aca="false">E731*2/13+U730*11/13</f>
        <v>11515.5268567249</v>
      </c>
      <c r="V731" s="7" t="n">
        <f aca="false">E731*2/27+V730*25/27</f>
        <v>11422.4412968809</v>
      </c>
      <c r="W731" s="7" t="n">
        <f aca="false">U731-V731</f>
        <v>93.0855598439521</v>
      </c>
      <c r="X731" s="7" t="n">
        <f aca="false">W731*2/10+X730*8/10</f>
        <v>30.3158997258248</v>
      </c>
      <c r="Y731" s="7" t="n">
        <f aca="false">W731-X731</f>
        <v>62.7696601181273</v>
      </c>
      <c r="Z731" s="9" t="s">
        <v>89</v>
      </c>
      <c r="AA731" s="7" t="str">
        <f aca="false">IFERROR(INDEX(02_轉折點45!B:B,MATCH(A731,02_轉折點45!A:A,0)),"")</f>
        <v/>
      </c>
      <c r="AB731" s="7" t="n">
        <f aca="false">COUNTIFS(05_訊號明細!A:A,A731,05_訊號明細!C:C,"TOP")</f>
        <v>0</v>
      </c>
      <c r="AC731" s="7" t="n">
        <f aca="false">COUNTIFS(05_訊號明細!A:A,A731,05_訊號明細!C:C,"BOTTOM")</f>
        <v>0</v>
      </c>
    </row>
    <row r="732" customFormat="false" ht="15" hidden="false" customHeight="false" outlineLevel="0" collapsed="false">
      <c r="A732" s="7" t="s">
        <v>773</v>
      </c>
      <c r="B732" s="7" t="n">
        <v>11590.83</v>
      </c>
      <c r="C732" s="7" t="n">
        <v>11731.76</v>
      </c>
      <c r="D732" s="7" t="n">
        <v>11503.34</v>
      </c>
      <c r="E732" s="7" t="n">
        <v>11724.84</v>
      </c>
      <c r="F732" s="7" t="n">
        <v>4186</v>
      </c>
      <c r="G732" s="7" t="n">
        <f aca="false">AVERAGE(E728:E732)</f>
        <v>11666.252</v>
      </c>
      <c r="H732" s="7" t="n">
        <f aca="false">AVERAGE(E723:E732)</f>
        <v>11612.387</v>
      </c>
      <c r="I732" s="7" t="n">
        <f aca="false">AVERAGE(E713:E732)</f>
        <v>11372.63</v>
      </c>
      <c r="J732" s="7" t="n">
        <f aca="false">AVERAGE(E683:E732)</f>
        <v>11353.9598</v>
      </c>
      <c r="K732" s="7" t="n">
        <f aca="false">AVERAGE(E633:E732)</f>
        <v>11983.2073</v>
      </c>
      <c r="L732" s="7" t="n">
        <f aca="false">AVERAGE(E533:E732)</f>
        <v>12625.3357</v>
      </c>
      <c r="M732" s="7" t="n">
        <f aca="false">I732</f>
        <v>11372.63</v>
      </c>
      <c r="N732" s="7" t="n">
        <f aca="false">I732+2*STDEV(E713:E732)</f>
        <v>12121.3228417196</v>
      </c>
      <c r="O732" s="7" t="n">
        <f aca="false">I732-2*STDEV(E713:E732)</f>
        <v>10623.9371582804</v>
      </c>
      <c r="P732" s="7" t="n">
        <f aca="false">MAX(E732-E731,0)</f>
        <v>171.389999999999</v>
      </c>
      <c r="Q732" s="7" t="n">
        <f aca="false">MAX(E731-E732,0)</f>
        <v>0</v>
      </c>
      <c r="R732" s="7" t="n">
        <f aca="false">(R731*13+P732)/14</f>
        <v>103.084402417724</v>
      </c>
      <c r="S732" s="7" t="n">
        <f aca="false">(S731*13+Q732)/14</f>
        <v>81.5013574071363</v>
      </c>
      <c r="T732" s="7" t="n">
        <f aca="false">IF(S732=0,100,100-100/(1+R732/S732))</f>
        <v>55.8463461729297</v>
      </c>
      <c r="U732" s="7" t="n">
        <f aca="false">E732*2/13+U731*11/13</f>
        <v>11547.7288787672</v>
      </c>
      <c r="V732" s="7" t="n">
        <f aca="false">E732*2/27+V731*25/27</f>
        <v>11444.8412008157</v>
      </c>
      <c r="W732" s="7" t="n">
        <f aca="false">U732-V732</f>
        <v>102.88767795153</v>
      </c>
      <c r="X732" s="7" t="n">
        <f aca="false">W732*2/10+X731*8/10</f>
        <v>44.8302553709659</v>
      </c>
      <c r="Y732" s="7" t="n">
        <f aca="false">W732-X732</f>
        <v>58.0574225805644</v>
      </c>
      <c r="Z732" s="9" t="s">
        <v>89</v>
      </c>
      <c r="AA732" s="7" t="str">
        <f aca="false">IFERROR(INDEX(02_轉折點45!B:B,MATCH(A732,02_轉折點45!A:A,0)),"")</f>
        <v/>
      </c>
      <c r="AB732" s="7" t="n">
        <f aca="false">COUNTIFS(05_訊號明細!A:A,A732,05_訊號明細!C:C,"TOP")</f>
        <v>0</v>
      </c>
      <c r="AC732" s="7" t="n">
        <f aca="false">COUNTIFS(05_訊號明細!A:A,A732,05_訊號明細!C:C,"BOTTOM")</f>
        <v>0</v>
      </c>
    </row>
    <row r="733" customFormat="false" ht="15" hidden="false" customHeight="false" outlineLevel="0" collapsed="false">
      <c r="A733" s="7" t="s">
        <v>774</v>
      </c>
      <c r="B733" s="7" t="n">
        <v>11725.08</v>
      </c>
      <c r="C733" s="7" t="n">
        <v>11866.42</v>
      </c>
      <c r="D733" s="7" t="n">
        <v>11722.01</v>
      </c>
      <c r="E733" s="7" t="n">
        <v>11838.72</v>
      </c>
      <c r="F733" s="7" t="n">
        <v>4432</v>
      </c>
      <c r="G733" s="7" t="n">
        <f aca="false">AVERAGE(E729:E733)</f>
        <v>11694.178</v>
      </c>
      <c r="H733" s="7" t="n">
        <f aca="false">AVERAGE(E724:E733)</f>
        <v>11716.504</v>
      </c>
      <c r="I733" s="7" t="n">
        <f aca="false">AVERAGE(E714:E733)</f>
        <v>11394.271</v>
      </c>
      <c r="J733" s="7" t="n">
        <f aca="false">AVERAGE(E684:E733)</f>
        <v>11348.0462</v>
      </c>
      <c r="K733" s="7" t="n">
        <f aca="false">AVERAGE(E634:E733)</f>
        <v>11983.7955</v>
      </c>
      <c r="L733" s="7" t="n">
        <f aca="false">AVERAGE(E534:E733)</f>
        <v>12610.79415</v>
      </c>
      <c r="M733" s="7" t="n">
        <f aca="false">I733</f>
        <v>11394.271</v>
      </c>
      <c r="N733" s="7" t="n">
        <f aca="false">I733+2*STDEV(E714:E733)</f>
        <v>12171.4908701282</v>
      </c>
      <c r="O733" s="7" t="n">
        <f aca="false">I733-2*STDEV(E714:E733)</f>
        <v>10617.0511298718</v>
      </c>
      <c r="P733" s="7" t="n">
        <f aca="false">MAX(E733-E732,0)</f>
        <v>113.879999999999</v>
      </c>
      <c r="Q733" s="7" t="n">
        <f aca="false">MAX(E732-E733,0)</f>
        <v>0</v>
      </c>
      <c r="R733" s="7" t="n">
        <f aca="false">(R732*13+P733)/14</f>
        <v>103.855516530744</v>
      </c>
      <c r="S733" s="7" t="n">
        <f aca="false">(S732*13+Q733)/14</f>
        <v>75.6798318780552</v>
      </c>
      <c r="T733" s="7" t="n">
        <f aca="false">IF(S733=0,100,100-100/(1+R733/S733))</f>
        <v>57.8468348719087</v>
      </c>
      <c r="U733" s="7" t="n">
        <f aca="false">E733*2/13+U732*11/13</f>
        <v>11592.4967435723</v>
      </c>
      <c r="V733" s="7" t="n">
        <f aca="false">E733*2/27+V732*25/27</f>
        <v>11474.0174081627</v>
      </c>
      <c r="W733" s="7" t="n">
        <f aca="false">U733-V733</f>
        <v>118.479335409589</v>
      </c>
      <c r="X733" s="7" t="n">
        <f aca="false">W733*2/10+X732*8/10</f>
        <v>59.5600713786906</v>
      </c>
      <c r="Y733" s="7" t="n">
        <f aca="false">W733-X733</f>
        <v>58.9192640308986</v>
      </c>
      <c r="Z733" s="9" t="s">
        <v>89</v>
      </c>
      <c r="AA733" s="7" t="str">
        <f aca="false">IFERROR(INDEX(02_轉折點45!B:B,MATCH(A733,02_轉折點45!A:A,0)),"")</f>
        <v/>
      </c>
      <c r="AB733" s="7" t="n">
        <f aca="false">COUNTIFS(05_訊號明細!A:A,A733,05_訊號明細!C:C,"TOP")</f>
        <v>0</v>
      </c>
      <c r="AC733" s="7" t="n">
        <f aca="false">COUNTIFS(05_訊號明細!A:A,A733,05_訊號明細!C:C,"BOTTOM")</f>
        <v>0</v>
      </c>
    </row>
    <row r="734" customFormat="false" ht="15" hidden="false" customHeight="false" outlineLevel="0" collapsed="false">
      <c r="A734" s="7" t="s">
        <v>775</v>
      </c>
      <c r="B734" s="7" t="n">
        <v>11777.33</v>
      </c>
      <c r="C734" s="7" t="n">
        <v>11803.91</v>
      </c>
      <c r="D734" s="7" t="n">
        <v>11748.79</v>
      </c>
      <c r="E734" s="7" t="n">
        <v>11756.03</v>
      </c>
      <c r="F734" s="7" t="n">
        <v>2184</v>
      </c>
      <c r="G734" s="7" t="n">
        <f aca="false">AVERAGE(E730:E734)</f>
        <v>11710.012</v>
      </c>
      <c r="H734" s="7" t="n">
        <f aca="false">AVERAGE(E725:E734)</f>
        <v>11731.511</v>
      </c>
      <c r="I734" s="7" t="n">
        <f aca="false">AVERAGE(E715:E734)</f>
        <v>11422.491</v>
      </c>
      <c r="J734" s="7" t="n">
        <f aca="false">AVERAGE(E685:E734)</f>
        <v>11344.617</v>
      </c>
      <c r="K734" s="7" t="n">
        <f aca="false">AVERAGE(E635:E734)</f>
        <v>11982.8299</v>
      </c>
      <c r="L734" s="7" t="n">
        <f aca="false">AVERAGE(E535:E734)</f>
        <v>12594.2895</v>
      </c>
      <c r="M734" s="7" t="n">
        <f aca="false">I734</f>
        <v>11422.491</v>
      </c>
      <c r="N734" s="7" t="n">
        <f aca="false">I734+2*STDEV(E715:E734)</f>
        <v>12209.6530955492</v>
      </c>
      <c r="O734" s="7" t="n">
        <f aca="false">I734-2*STDEV(E715:E734)</f>
        <v>10635.3289044508</v>
      </c>
      <c r="P734" s="7" t="n">
        <f aca="false">MAX(E734-E733,0)</f>
        <v>0</v>
      </c>
      <c r="Q734" s="7" t="n">
        <f aca="false">MAX(E733-E734,0)</f>
        <v>82.6899999999987</v>
      </c>
      <c r="R734" s="7" t="n">
        <f aca="false">(R733*13+P734)/14</f>
        <v>96.4372653499765</v>
      </c>
      <c r="S734" s="7" t="n">
        <f aca="false">(S733*13+Q734)/14</f>
        <v>76.1805581724797</v>
      </c>
      <c r="T734" s="7" t="n">
        <f aca="false">IF(S734=0,100,100-100/(1+R734/S734))</f>
        <v>55.8675016183545</v>
      </c>
      <c r="U734" s="7" t="n">
        <f aca="false">E734*2/13+U733*11/13</f>
        <v>11617.6557060996</v>
      </c>
      <c r="V734" s="7" t="n">
        <f aca="false">E734*2/27+V733*25/27</f>
        <v>11494.9072297802</v>
      </c>
      <c r="W734" s="7" t="n">
        <f aca="false">U734-V734</f>
        <v>122.748476319355</v>
      </c>
      <c r="X734" s="7" t="n">
        <f aca="false">W734*2/10+X733*8/10</f>
        <v>72.1977523668235</v>
      </c>
      <c r="Y734" s="7" t="n">
        <f aca="false">W734-X734</f>
        <v>50.5507239525317</v>
      </c>
      <c r="Z734" s="9" t="s">
        <v>89</v>
      </c>
      <c r="AA734" s="7" t="str">
        <f aca="false">IFERROR(INDEX(02_轉折點45!B:B,MATCH(A734,02_轉折點45!A:A,0)),"")</f>
        <v/>
      </c>
      <c r="AB734" s="7" t="n">
        <f aca="false">COUNTIFS(05_訊號明細!A:A,A734,05_訊號明細!C:C,"TOP")</f>
        <v>0</v>
      </c>
      <c r="AC734" s="7" t="n">
        <f aca="false">COUNTIFS(05_訊號明細!A:A,A734,05_訊號明細!C:C,"BOTTOM")</f>
        <v>0</v>
      </c>
    </row>
    <row r="735" customFormat="false" ht="15" hidden="false" customHeight="false" outlineLevel="0" collapsed="false">
      <c r="A735" s="7" t="s">
        <v>776</v>
      </c>
      <c r="B735" s="7" t="n">
        <v>11684.07</v>
      </c>
      <c r="C735" s="7" t="n">
        <v>11764.83</v>
      </c>
      <c r="D735" s="7" t="n">
        <v>11555.26</v>
      </c>
      <c r="E735" s="7" t="n">
        <v>11587.75</v>
      </c>
      <c r="F735" s="7" t="n">
        <v>4271</v>
      </c>
      <c r="G735" s="7" t="n">
        <f aca="false">AVERAGE(E731:E735)</f>
        <v>11692.158</v>
      </c>
      <c r="H735" s="7" t="n">
        <f aca="false">AVERAGE(E726:E735)</f>
        <v>11708.585</v>
      </c>
      <c r="I735" s="7" t="n">
        <f aca="false">AVERAGE(E716:E735)</f>
        <v>11424.568</v>
      </c>
      <c r="J735" s="7" t="n">
        <f aca="false">AVERAGE(E686:E735)</f>
        <v>11339.1444</v>
      </c>
      <c r="K735" s="7" t="n">
        <f aca="false">AVERAGE(E636:E735)</f>
        <v>11977.6169</v>
      </c>
      <c r="L735" s="7" t="n">
        <f aca="false">AVERAGE(E536:E735)</f>
        <v>12578.70005</v>
      </c>
      <c r="M735" s="7" t="n">
        <f aca="false">I735</f>
        <v>11424.568</v>
      </c>
      <c r="N735" s="7" t="n">
        <f aca="false">I735+2*STDEV(E716:E735)</f>
        <v>12213.3222008856</v>
      </c>
      <c r="O735" s="7" t="n">
        <f aca="false">I735-2*STDEV(E716:E735)</f>
        <v>10635.8137991144</v>
      </c>
      <c r="P735" s="7" t="n">
        <f aca="false">MAX(E735-E734,0)</f>
        <v>0</v>
      </c>
      <c r="Q735" s="7" t="n">
        <f aca="false">MAX(E734-E735,0)</f>
        <v>168.280000000001</v>
      </c>
      <c r="R735" s="7" t="n">
        <f aca="false">(R734*13+P735)/14</f>
        <v>89.5488892535496</v>
      </c>
      <c r="S735" s="7" t="n">
        <f aca="false">(S734*13+Q735)/14</f>
        <v>82.7590897315884</v>
      </c>
      <c r="T735" s="7" t="n">
        <f aca="false">IF(S735=0,100,100-100/(1+R735/S735))</f>
        <v>51.970251047558</v>
      </c>
      <c r="U735" s="7" t="n">
        <f aca="false">E735*2/13+U734*11/13</f>
        <v>11613.0548282381</v>
      </c>
      <c r="V735" s="7" t="n">
        <f aca="false">E735*2/27+V734*25/27</f>
        <v>11501.7844720187</v>
      </c>
      <c r="W735" s="7" t="n">
        <f aca="false">U735-V735</f>
        <v>111.270356219378</v>
      </c>
      <c r="X735" s="7" t="n">
        <f aca="false">W735*2/10+X734*8/10</f>
        <v>80.0122731373345</v>
      </c>
      <c r="Y735" s="7" t="n">
        <f aca="false">W735-X735</f>
        <v>31.2580830820439</v>
      </c>
      <c r="Z735" s="9" t="s">
        <v>89</v>
      </c>
      <c r="AA735" s="7" t="str">
        <f aca="false">IFERROR(INDEX(02_轉折點45!B:B,MATCH(A735,02_轉折點45!A:A,0)),"")</f>
        <v/>
      </c>
      <c r="AB735" s="7" t="n">
        <f aca="false">COUNTIFS(05_訊號明細!A:A,A735,05_訊號明細!C:C,"TOP")</f>
        <v>0</v>
      </c>
      <c r="AC735" s="7" t="n">
        <f aca="false">COUNTIFS(05_訊號明細!A:A,A735,05_訊號明細!C:C,"BOTTOM")</f>
        <v>0</v>
      </c>
    </row>
    <row r="736" customFormat="false" ht="15" hidden="false" customHeight="false" outlineLevel="0" collapsed="false">
      <c r="A736" s="7" t="s">
        <v>777</v>
      </c>
      <c r="B736" s="7" t="n">
        <v>11590.3</v>
      </c>
      <c r="C736" s="7" t="n">
        <v>11613.33</v>
      </c>
      <c r="D736" s="7" t="n">
        <v>11450.34</v>
      </c>
      <c r="E736" s="7" t="n">
        <v>11503.45</v>
      </c>
      <c r="F736" s="7" t="n">
        <v>4593</v>
      </c>
      <c r="G736" s="7" t="n">
        <f aca="false">AVERAGE(E732:E736)</f>
        <v>11682.158</v>
      </c>
      <c r="H736" s="7" t="n">
        <f aca="false">AVERAGE(E727:E736)</f>
        <v>11688.836</v>
      </c>
      <c r="I736" s="7" t="n">
        <f aca="false">AVERAGE(E717:E736)</f>
        <v>11429.462</v>
      </c>
      <c r="J736" s="7" t="n">
        <f aca="false">AVERAGE(E687:E736)</f>
        <v>11330.148</v>
      </c>
      <c r="K736" s="7" t="n">
        <f aca="false">AVERAGE(E637:E736)</f>
        <v>11971.3945</v>
      </c>
      <c r="L736" s="7" t="n">
        <f aca="false">AVERAGE(E537:E736)</f>
        <v>12564.9481</v>
      </c>
      <c r="M736" s="7" t="n">
        <f aca="false">I736</f>
        <v>11429.462</v>
      </c>
      <c r="N736" s="7" t="n">
        <f aca="false">I736+2*STDEV(E717:E736)</f>
        <v>12218.9341848932</v>
      </c>
      <c r="O736" s="7" t="n">
        <f aca="false">I736-2*STDEV(E717:E736)</f>
        <v>10639.9898151068</v>
      </c>
      <c r="P736" s="7" t="n">
        <f aca="false">MAX(E736-E735,0)</f>
        <v>0</v>
      </c>
      <c r="Q736" s="7" t="n">
        <f aca="false">MAX(E735-E736,0)</f>
        <v>84.2999999999993</v>
      </c>
      <c r="R736" s="7" t="n">
        <f aca="false">(R735*13+P736)/14</f>
        <v>83.1525400211532</v>
      </c>
      <c r="S736" s="7" t="n">
        <f aca="false">(S735*13+Q736)/14</f>
        <v>82.8691547507606</v>
      </c>
      <c r="T736" s="7" t="n">
        <f aca="false">IF(S736=0,100,100-100/(1+R736/S736))</f>
        <v>50.0853458551854</v>
      </c>
      <c r="U736" s="7" t="n">
        <f aca="false">E736*2/13+U735*11/13</f>
        <v>11596.1925469707</v>
      </c>
      <c r="V736" s="7" t="n">
        <f aca="false">E736*2/27+V735*25/27</f>
        <v>11501.9078444618</v>
      </c>
      <c r="W736" s="7" t="n">
        <f aca="false">U736-V736</f>
        <v>94.2847025089195</v>
      </c>
      <c r="X736" s="7" t="n">
        <f aca="false">W736*2/10+X735*8/10</f>
        <v>82.8667590116515</v>
      </c>
      <c r="Y736" s="7" t="n">
        <f aca="false">W736-X736</f>
        <v>11.4179434972681</v>
      </c>
      <c r="Z736" s="9" t="s">
        <v>89</v>
      </c>
      <c r="AA736" s="7" t="str">
        <f aca="false">IFERROR(INDEX(02_轉折點45!B:B,MATCH(A736,02_轉折點45!A:A,0)),"")</f>
        <v/>
      </c>
      <c r="AB736" s="7" t="n">
        <f aca="false">COUNTIFS(05_訊號明細!A:A,A736,05_訊號明細!C:C,"TOP")</f>
        <v>0</v>
      </c>
      <c r="AC736" s="7" t="n">
        <f aca="false">COUNTIFS(05_訊號明細!A:A,A736,05_訊號明細!C:C,"BOTTOM")</f>
        <v>0</v>
      </c>
    </row>
    <row r="737" customFormat="false" ht="15" hidden="false" customHeight="false" outlineLevel="0" collapsed="false">
      <c r="A737" s="7" t="s">
        <v>778</v>
      </c>
      <c r="B737" s="7" t="n">
        <v>11505.74</v>
      </c>
      <c r="C737" s="7" t="n">
        <v>12031.34</v>
      </c>
      <c r="D737" s="7" t="n">
        <v>11481.89</v>
      </c>
      <c r="E737" s="7" t="n">
        <v>12030.06</v>
      </c>
      <c r="F737" s="7" t="n">
        <v>6653</v>
      </c>
      <c r="G737" s="7" t="n">
        <f aca="false">AVERAGE(E733:E737)</f>
        <v>11743.202</v>
      </c>
      <c r="H737" s="7" t="n">
        <f aca="false">AVERAGE(E728:E737)</f>
        <v>11704.727</v>
      </c>
      <c r="I737" s="7" t="n">
        <f aca="false">AVERAGE(E718:E737)</f>
        <v>11466.5175</v>
      </c>
      <c r="J737" s="7" t="n">
        <f aca="false">AVERAGE(E688:E737)</f>
        <v>11333.7184</v>
      </c>
      <c r="K737" s="7" t="n">
        <f aca="false">AVERAGE(E638:E737)</f>
        <v>11973.0923</v>
      </c>
      <c r="L737" s="7" t="n">
        <f aca="false">AVERAGE(E538:E737)</f>
        <v>12553.75545</v>
      </c>
      <c r="M737" s="7" t="n">
        <f aca="false">I737</f>
        <v>11466.5175</v>
      </c>
      <c r="N737" s="7" t="n">
        <f aca="false">I737+2*STDEV(E718:E737)</f>
        <v>12296.7396902694</v>
      </c>
      <c r="O737" s="7" t="n">
        <f aca="false">I737-2*STDEV(E718:E737)</f>
        <v>10636.2953097306</v>
      </c>
      <c r="P737" s="7" t="n">
        <f aca="false">MAX(E737-E736,0)</f>
        <v>526.609999999999</v>
      </c>
      <c r="Q737" s="7" t="n">
        <f aca="false">MAX(E736-E737,0)</f>
        <v>0</v>
      </c>
      <c r="R737" s="7" t="n">
        <f aca="false">(R736*13+P737)/14</f>
        <v>114.828072876785</v>
      </c>
      <c r="S737" s="7" t="n">
        <f aca="false">(S736*13+Q737)/14</f>
        <v>76.9499294114205</v>
      </c>
      <c r="T737" s="7" t="n">
        <f aca="false">IF(S737=0,100,100-100/(1+R737/S737))</f>
        <v>59.8755183111254</v>
      </c>
      <c r="U737" s="7" t="n">
        <f aca="false">E737*2/13+U736*11/13</f>
        <v>11662.9413858983</v>
      </c>
      <c r="V737" s="7" t="n">
        <f aca="false">E737*2/27+V736*25/27</f>
        <v>11541.0302263535</v>
      </c>
      <c r="W737" s="7" t="n">
        <f aca="false">U737-V737</f>
        <v>121.911159544781</v>
      </c>
      <c r="X737" s="7" t="n">
        <f aca="false">W737*2/10+X736*8/10</f>
        <v>90.6756391182774</v>
      </c>
      <c r="Y737" s="7" t="n">
        <f aca="false">W737-X737</f>
        <v>31.2355204265038</v>
      </c>
      <c r="Z737" s="9" t="s">
        <v>89</v>
      </c>
      <c r="AA737" s="7" t="str">
        <f aca="false">IFERROR(INDEX(02_轉折點45!B:B,MATCH(A737,02_轉折點45!A:A,0)),"")</f>
        <v/>
      </c>
      <c r="AB737" s="7" t="n">
        <f aca="false">COUNTIFS(05_訊號明細!A:A,A737,05_訊號明細!C:C,"TOP")</f>
        <v>0</v>
      </c>
      <c r="AC737" s="7" t="n">
        <f aca="false">COUNTIFS(05_訊號明細!A:A,A737,05_訊號明細!C:C,"BOTTOM")</f>
        <v>2</v>
      </c>
    </row>
    <row r="738" customFormat="false" ht="15" hidden="false" customHeight="false" outlineLevel="0" collapsed="false">
      <c r="A738" s="7" t="s">
        <v>779</v>
      </c>
      <c r="B738" s="7" t="n">
        <v>12030.24</v>
      </c>
      <c r="C738" s="7" t="n">
        <v>12115.34</v>
      </c>
      <c r="D738" s="7" t="n">
        <v>11928.66</v>
      </c>
      <c r="E738" s="7" t="n">
        <v>12041.89</v>
      </c>
      <c r="F738" s="7" t="n">
        <v>5158</v>
      </c>
      <c r="G738" s="7" t="n">
        <f aca="false">AVERAGE(E734:E738)</f>
        <v>11783.836</v>
      </c>
      <c r="H738" s="7" t="n">
        <f aca="false">AVERAGE(E729:E738)</f>
        <v>11739.007</v>
      </c>
      <c r="I738" s="7" t="n">
        <f aca="false">AVERAGE(E719:E738)</f>
        <v>11523.295</v>
      </c>
      <c r="J738" s="7" t="n">
        <f aca="false">AVERAGE(E689:E738)</f>
        <v>11341.8004</v>
      </c>
      <c r="K738" s="7" t="n">
        <f aca="false">AVERAGE(E639:E738)</f>
        <v>11976.0613</v>
      </c>
      <c r="L738" s="7" t="n">
        <f aca="false">AVERAGE(E539:E738)</f>
        <v>12540.8608</v>
      </c>
      <c r="M738" s="7" t="n">
        <f aca="false">I738</f>
        <v>11523.295</v>
      </c>
      <c r="N738" s="7" t="n">
        <f aca="false">I738+2*STDEV(E719:E738)</f>
        <v>12347.5085897039</v>
      </c>
      <c r="O738" s="7" t="n">
        <f aca="false">I738-2*STDEV(E719:E738)</f>
        <v>10699.0814102961</v>
      </c>
      <c r="P738" s="7" t="n">
        <f aca="false">MAX(E738-E737,0)</f>
        <v>11.8299999999999</v>
      </c>
      <c r="Q738" s="7" t="n">
        <f aca="false">MAX(E737-E738,0)</f>
        <v>0</v>
      </c>
      <c r="R738" s="7" t="n">
        <f aca="false">(R737*13+P738)/14</f>
        <v>107.4710676713</v>
      </c>
      <c r="S738" s="7" t="n">
        <f aca="false">(S737*13+Q738)/14</f>
        <v>71.4535058820333</v>
      </c>
      <c r="T738" s="7" t="n">
        <f aca="false">IF(S738=0,100,100-100/(1+R738/S738))</f>
        <v>60.0650126122925</v>
      </c>
      <c r="U738" s="7" t="n">
        <f aca="false">E738*2/13+U737*11/13</f>
        <v>11721.2411726832</v>
      </c>
      <c r="V738" s="7" t="n">
        <f aca="false">E738*2/27+V737*25/27</f>
        <v>11578.1309503273</v>
      </c>
      <c r="W738" s="7" t="n">
        <f aca="false">U738-V738</f>
        <v>143.110222355845</v>
      </c>
      <c r="X738" s="7" t="n">
        <f aca="false">W738*2/10+X737*8/10</f>
        <v>101.162555765791</v>
      </c>
      <c r="Y738" s="7" t="n">
        <f aca="false">W738-X738</f>
        <v>41.9476665900538</v>
      </c>
      <c r="Z738" s="7" t="s">
        <v>78</v>
      </c>
      <c r="AA738" s="7" t="str">
        <f aca="false">IFERROR(INDEX(02_轉折點45!B:B,MATCH(A738,02_轉折點45!A:A,0)),"")</f>
        <v/>
      </c>
      <c r="AB738" s="7" t="n">
        <f aca="false">COUNTIFS(05_訊號明細!A:A,A738,05_訊號明細!C:C,"TOP")</f>
        <v>0</v>
      </c>
      <c r="AC738" s="7" t="n">
        <f aca="false">COUNTIFS(05_訊號明細!A:A,A738,05_訊號明細!C:C,"BOTTOM")</f>
        <v>0</v>
      </c>
    </row>
    <row r="739" customFormat="false" ht="15" hidden="false" customHeight="false" outlineLevel="0" collapsed="false">
      <c r="A739" s="7" t="s">
        <v>780</v>
      </c>
      <c r="B739" s="7" t="n">
        <v>11845.53</v>
      </c>
      <c r="C739" s="7" t="n">
        <v>12027.62</v>
      </c>
      <c r="D739" s="7" t="n">
        <v>11825.53</v>
      </c>
      <c r="E739" s="7" t="n">
        <v>11994.26</v>
      </c>
      <c r="F739" s="7" t="n">
        <v>4523</v>
      </c>
      <c r="G739" s="7" t="n">
        <f aca="false">AVERAGE(E735:E739)</f>
        <v>11831.482</v>
      </c>
      <c r="H739" s="7" t="n">
        <f aca="false">AVERAGE(E730:E739)</f>
        <v>11770.747</v>
      </c>
      <c r="I739" s="7" t="n">
        <f aca="false">AVERAGE(E720:E739)</f>
        <v>11588.478</v>
      </c>
      <c r="J739" s="7" t="n">
        <f aca="false">AVERAGE(E690:E739)</f>
        <v>11351.6526</v>
      </c>
      <c r="K739" s="7" t="n">
        <f aca="false">AVERAGE(E640:E739)</f>
        <v>11978.7186</v>
      </c>
      <c r="L739" s="7" t="n">
        <f aca="false">AVERAGE(E540:E739)</f>
        <v>12527.8139</v>
      </c>
      <c r="M739" s="7" t="n">
        <f aca="false">I739</f>
        <v>11588.478</v>
      </c>
      <c r="N739" s="7" t="n">
        <f aca="false">I739+2*STDEV(E720:E739)</f>
        <v>12338.2511299421</v>
      </c>
      <c r="O739" s="7" t="n">
        <f aca="false">I739-2*STDEV(E720:E739)</f>
        <v>10838.7048700579</v>
      </c>
      <c r="P739" s="7" t="n">
        <f aca="false">MAX(E739-E738,0)</f>
        <v>0</v>
      </c>
      <c r="Q739" s="7" t="n">
        <f aca="false">MAX(E738-E739,0)</f>
        <v>47.6299999999992</v>
      </c>
      <c r="R739" s="7" t="n">
        <f aca="false">(R738*13+P739)/14</f>
        <v>99.7945628376361</v>
      </c>
      <c r="S739" s="7" t="n">
        <f aca="false">(S738*13+Q739)/14</f>
        <v>69.7518268904595</v>
      </c>
      <c r="T739" s="7" t="n">
        <f aca="false">IF(S739=0,100,100-100/(1+R739/S739))</f>
        <v>58.8597392121875</v>
      </c>
      <c r="U739" s="7" t="n">
        <f aca="false">E739*2/13+U738*11/13</f>
        <v>11763.2440691935</v>
      </c>
      <c r="V739" s="7" t="n">
        <f aca="false">E739*2/27+V738*25/27</f>
        <v>11608.9553243772</v>
      </c>
      <c r="W739" s="7" t="n">
        <f aca="false">U739-V739</f>
        <v>154.288744816298</v>
      </c>
      <c r="X739" s="7" t="n">
        <f aca="false">W739*2/10+X738*8/10</f>
        <v>111.787793575892</v>
      </c>
      <c r="Y739" s="7" t="n">
        <f aca="false">W739-X739</f>
        <v>42.500951240406</v>
      </c>
      <c r="Z739" s="7" t="s">
        <v>78</v>
      </c>
      <c r="AA739" s="7" t="str">
        <f aca="false">IFERROR(INDEX(02_轉折點45!B:B,MATCH(A739,02_轉折點45!A:A,0)),"")</f>
        <v/>
      </c>
      <c r="AB739" s="7" t="n">
        <f aca="false">COUNTIFS(05_訊號明細!A:A,A739,05_訊號明細!C:C,"TOP")</f>
        <v>0</v>
      </c>
      <c r="AC739" s="7" t="n">
        <f aca="false">COUNTIFS(05_訊號明細!A:A,A739,05_訊號明細!C:C,"BOTTOM")</f>
        <v>0</v>
      </c>
    </row>
    <row r="740" customFormat="false" ht="15" hidden="false" customHeight="false" outlineLevel="0" collapsed="false">
      <c r="A740" s="7" t="s">
        <v>781</v>
      </c>
      <c r="B740" s="7" t="n">
        <v>11899.54</v>
      </c>
      <c r="C740" s="7" t="n">
        <v>11957.36</v>
      </c>
      <c r="D740" s="7" t="n">
        <v>11732.15</v>
      </c>
      <c r="E740" s="7" t="n">
        <v>11786.8</v>
      </c>
      <c r="F740" s="7" t="n">
        <v>4510</v>
      </c>
      <c r="G740" s="7" t="n">
        <f aca="false">AVERAGE(E736:E740)</f>
        <v>11871.292</v>
      </c>
      <c r="H740" s="7" t="n">
        <f aca="false">AVERAGE(E731:E740)</f>
        <v>11781.725</v>
      </c>
      <c r="I740" s="7" t="n">
        <f aca="false">AVERAGE(E721:E740)</f>
        <v>11634.9665</v>
      </c>
      <c r="J740" s="7" t="n">
        <f aca="false">AVERAGE(E691:E740)</f>
        <v>11361.1638</v>
      </c>
      <c r="K740" s="7" t="n">
        <f aca="false">AVERAGE(E641:E740)</f>
        <v>11978.9026</v>
      </c>
      <c r="L740" s="7" t="n">
        <f aca="false">AVERAGE(E541:E740)</f>
        <v>12515.8892</v>
      </c>
      <c r="M740" s="7" t="n">
        <f aca="false">I740</f>
        <v>11634.9665</v>
      </c>
      <c r="N740" s="7" t="n">
        <f aca="false">I740+2*STDEV(E721:E740)</f>
        <v>12304.821255923</v>
      </c>
      <c r="O740" s="7" t="n">
        <f aca="false">I740-2*STDEV(E721:E740)</f>
        <v>10965.111744077</v>
      </c>
      <c r="P740" s="7" t="n">
        <f aca="false">MAX(E740-E739,0)</f>
        <v>0</v>
      </c>
      <c r="Q740" s="7" t="n">
        <f aca="false">MAX(E739-E740,0)</f>
        <v>207.460000000001</v>
      </c>
      <c r="R740" s="7" t="n">
        <f aca="false">(R739*13+P740)/14</f>
        <v>92.6663797778049</v>
      </c>
      <c r="S740" s="7" t="n">
        <f aca="false">(S739*13+Q740)/14</f>
        <v>79.5881249697124</v>
      </c>
      <c r="T740" s="7" t="n">
        <f aca="false">IF(S740=0,100,100-100/(1+R740/S740))</f>
        <v>53.7962011000124</v>
      </c>
      <c r="U740" s="7" t="n">
        <f aca="false">E740*2/13+U739*11/13</f>
        <v>11766.8680585483</v>
      </c>
      <c r="V740" s="7" t="n">
        <f aca="false">E740*2/27+V739*25/27</f>
        <v>11622.1290040529</v>
      </c>
      <c r="W740" s="7" t="n">
        <f aca="false">U740-V740</f>
        <v>144.739054495385</v>
      </c>
      <c r="X740" s="7" t="n">
        <f aca="false">W740*2/10+X739*8/10</f>
        <v>118.378045759791</v>
      </c>
      <c r="Y740" s="7" t="n">
        <f aca="false">W740-X740</f>
        <v>26.3610087355942</v>
      </c>
      <c r="Z740" s="9" t="s">
        <v>89</v>
      </c>
      <c r="AA740" s="7" t="str">
        <f aca="false">IFERROR(INDEX(02_轉折點45!B:B,MATCH(A740,02_轉折點45!A:A,0)),"")</f>
        <v/>
      </c>
      <c r="AB740" s="7" t="n">
        <f aca="false">COUNTIFS(05_訊號明細!A:A,A740,05_訊號明細!C:C,"TOP")</f>
        <v>0</v>
      </c>
      <c r="AC740" s="7" t="n">
        <f aca="false">COUNTIFS(05_訊號明細!A:A,A740,05_訊號明細!C:C,"BOTTOM")</f>
        <v>0</v>
      </c>
    </row>
    <row r="741" customFormat="false" ht="15" hidden="false" customHeight="false" outlineLevel="0" collapsed="false">
      <c r="A741" s="7" t="s">
        <v>782</v>
      </c>
      <c r="B741" s="7" t="n">
        <v>11775.2</v>
      </c>
      <c r="C741" s="7" t="n">
        <v>11790.93</v>
      </c>
      <c r="D741" s="7" t="n">
        <v>11488.6</v>
      </c>
      <c r="E741" s="7" t="n">
        <v>11549.69</v>
      </c>
      <c r="F741" s="7" t="n">
        <v>4713</v>
      </c>
      <c r="G741" s="7" t="n">
        <f aca="false">AVERAGE(E737:E741)</f>
        <v>11880.54</v>
      </c>
      <c r="H741" s="7" t="n">
        <f aca="false">AVERAGE(E732:E741)</f>
        <v>11781.349</v>
      </c>
      <c r="I741" s="7" t="n">
        <f aca="false">AVERAGE(E722:E741)</f>
        <v>11663.601</v>
      </c>
      <c r="J741" s="7" t="n">
        <f aca="false">AVERAGE(E692:E741)</f>
        <v>11367.0754</v>
      </c>
      <c r="K741" s="7" t="n">
        <f aca="false">AVERAGE(E642:E741)</f>
        <v>11974.5633</v>
      </c>
      <c r="L741" s="7" t="n">
        <f aca="false">AVERAGE(E542:E741)</f>
        <v>12503.58995</v>
      </c>
      <c r="M741" s="7" t="n">
        <f aca="false">I741</f>
        <v>11663.601</v>
      </c>
      <c r="N741" s="7" t="n">
        <f aca="false">I741+2*STDEV(E722:E741)</f>
        <v>12259.9590867372</v>
      </c>
      <c r="O741" s="7" t="n">
        <f aca="false">I741-2*STDEV(E722:E741)</f>
        <v>11067.2429132628</v>
      </c>
      <c r="P741" s="7" t="n">
        <f aca="false">MAX(E741-E740,0)</f>
        <v>0</v>
      </c>
      <c r="Q741" s="7" t="n">
        <f aca="false">MAX(E740-E741,0)</f>
        <v>237.109999999999</v>
      </c>
      <c r="R741" s="7" t="n">
        <f aca="false">(R740*13+P741)/14</f>
        <v>86.0473526508189</v>
      </c>
      <c r="S741" s="7" t="n">
        <f aca="false">(S740*13+Q741)/14</f>
        <v>90.8396874718757</v>
      </c>
      <c r="T741" s="7" t="n">
        <f aca="false">IF(S741=0,100,100-100/(1+R741/S741))</f>
        <v>48.6453685872824</v>
      </c>
      <c r="U741" s="7" t="n">
        <f aca="false">E741*2/13+U740*11/13</f>
        <v>11733.4560495409</v>
      </c>
      <c r="V741" s="7" t="n">
        <f aca="false">E741*2/27+V740*25/27</f>
        <v>11616.7631519009</v>
      </c>
      <c r="W741" s="7" t="n">
        <f aca="false">U741-V741</f>
        <v>116.692897640023</v>
      </c>
      <c r="X741" s="7" t="n">
        <f aca="false">W741*2/10+X740*8/10</f>
        <v>118.041016135837</v>
      </c>
      <c r="Y741" s="7" t="n">
        <f aca="false">W741-X741</f>
        <v>-1.34811849581418</v>
      </c>
      <c r="Z741" s="9" t="s">
        <v>89</v>
      </c>
      <c r="AA741" s="7" t="str">
        <f aca="false">IFERROR(INDEX(02_轉折點45!B:B,MATCH(A741,02_轉折點45!A:A,0)),"")</f>
        <v/>
      </c>
      <c r="AB741" s="7" t="n">
        <f aca="false">COUNTIFS(05_訊號明細!A:A,A741,05_訊號明細!C:C,"TOP")</f>
        <v>0</v>
      </c>
      <c r="AC741" s="7" t="n">
        <f aca="false">COUNTIFS(05_訊號明細!A:A,A741,05_訊號明細!C:C,"BOTTOM")</f>
        <v>0</v>
      </c>
    </row>
    <row r="742" customFormat="false" ht="15" hidden="false" customHeight="false" outlineLevel="0" collapsed="false">
      <c r="A742" s="7" t="s">
        <v>783</v>
      </c>
      <c r="B742" s="7" t="n">
        <v>11490.99</v>
      </c>
      <c r="C742" s="7" t="n">
        <v>11577.69</v>
      </c>
      <c r="D742" s="7" t="n">
        <v>11431.96</v>
      </c>
      <c r="E742" s="7" t="n">
        <v>11497.39</v>
      </c>
      <c r="F742" s="7" t="n">
        <v>4344</v>
      </c>
      <c r="G742" s="7" t="n">
        <f aca="false">AVERAGE(E738:E742)</f>
        <v>11774.006</v>
      </c>
      <c r="H742" s="7" t="n">
        <f aca="false">AVERAGE(E733:E742)</f>
        <v>11758.604</v>
      </c>
      <c r="I742" s="7" t="n">
        <f aca="false">AVERAGE(E723:E742)</f>
        <v>11685.4955</v>
      </c>
      <c r="J742" s="7" t="n">
        <f aca="false">AVERAGE(E693:E742)</f>
        <v>11371.5882</v>
      </c>
      <c r="K742" s="7" t="n">
        <f aca="false">AVERAGE(E643:E742)</f>
        <v>11970.7622</v>
      </c>
      <c r="L742" s="7" t="n">
        <f aca="false">AVERAGE(E543:E742)</f>
        <v>12491.72425</v>
      </c>
      <c r="M742" s="7" t="n">
        <f aca="false">I742</f>
        <v>11685.4955</v>
      </c>
      <c r="N742" s="7" t="n">
        <f aca="false">I742+2*STDEV(E723:E742)</f>
        <v>12217.1077037122</v>
      </c>
      <c r="O742" s="7" t="n">
        <f aca="false">I742-2*STDEV(E723:E742)</f>
        <v>11153.8832962878</v>
      </c>
      <c r="P742" s="7" t="n">
        <f aca="false">MAX(E742-E741,0)</f>
        <v>0</v>
      </c>
      <c r="Q742" s="7" t="n">
        <f aca="false">MAX(E741-E742,0)</f>
        <v>52.3000000000011</v>
      </c>
      <c r="R742" s="7" t="n">
        <f aca="false">(R741*13+P742)/14</f>
        <v>79.9011131757604</v>
      </c>
      <c r="S742" s="7" t="n">
        <f aca="false">(S741*13+Q742)/14</f>
        <v>88.0868526524561</v>
      </c>
      <c r="T742" s="7" t="n">
        <f aca="false">IF(S742=0,100,100-100/(1+R742/S742))</f>
        <v>47.5635934882781</v>
      </c>
      <c r="U742" s="7" t="n">
        <f aca="false">E742*2/13+U741*11/13</f>
        <v>11697.1381957654</v>
      </c>
      <c r="V742" s="7" t="n">
        <f aca="false">E742*2/27+V741*25/27</f>
        <v>11607.9206962045</v>
      </c>
      <c r="W742" s="7" t="n">
        <f aca="false">U742-V742</f>
        <v>89.2174995608621</v>
      </c>
      <c r="X742" s="7" t="n">
        <f aca="false">W742*2/10+X741*8/10</f>
        <v>112.276312820842</v>
      </c>
      <c r="Y742" s="7" t="n">
        <f aca="false">W742-X742</f>
        <v>-23.0588132599802</v>
      </c>
      <c r="Z742" s="9" t="s">
        <v>89</v>
      </c>
      <c r="AA742" s="7" t="str">
        <f aca="false">IFERROR(INDEX(02_轉折點45!B:B,MATCH(A742,02_轉折點45!A:A,0)),"")</f>
        <v/>
      </c>
      <c r="AB742" s="7" t="n">
        <f aca="false">COUNTIFS(05_訊號明細!A:A,A742,05_訊號明細!C:C,"TOP")</f>
        <v>0</v>
      </c>
      <c r="AC742" s="7" t="n">
        <f aca="false">COUNTIFS(05_訊號明細!A:A,A742,05_訊號明細!C:C,"BOTTOM")</f>
        <v>0</v>
      </c>
    </row>
    <row r="743" customFormat="false" ht="15" hidden="false" customHeight="false" outlineLevel="0" collapsed="false">
      <c r="A743" s="7" t="s">
        <v>784</v>
      </c>
      <c r="B743" s="7" t="n">
        <v>11543.68</v>
      </c>
      <c r="C743" s="7" t="n">
        <v>11672.14</v>
      </c>
      <c r="D743" s="7" t="n">
        <v>11470.68</v>
      </c>
      <c r="E743" s="7" t="n">
        <v>11637.5</v>
      </c>
      <c r="F743" s="7" t="n">
        <v>4282</v>
      </c>
      <c r="G743" s="7" t="n">
        <f aca="false">AVERAGE(E739:E743)</f>
        <v>11693.128</v>
      </c>
      <c r="H743" s="7" t="n">
        <f aca="false">AVERAGE(E734:E743)</f>
        <v>11738.482</v>
      </c>
      <c r="I743" s="7" t="n">
        <f aca="false">AVERAGE(E724:E743)</f>
        <v>11727.493</v>
      </c>
      <c r="J743" s="7" t="n">
        <f aca="false">AVERAGE(E694:E743)</f>
        <v>11374.4616</v>
      </c>
      <c r="K743" s="7" t="n">
        <f aca="false">AVERAGE(E644:E743)</f>
        <v>11964.643</v>
      </c>
      <c r="L743" s="7" t="n">
        <f aca="false">AVERAGE(E544:E743)</f>
        <v>12482.3646</v>
      </c>
      <c r="M743" s="7" t="n">
        <f aca="false">I743</f>
        <v>11727.493</v>
      </c>
      <c r="N743" s="7" t="n">
        <f aca="false">I743+2*STDEV(E724:E743)</f>
        <v>12058.6744096041</v>
      </c>
      <c r="O743" s="7" t="n">
        <f aca="false">I743-2*STDEV(E724:E743)</f>
        <v>11396.3115903959</v>
      </c>
      <c r="P743" s="7" t="n">
        <f aca="false">MAX(E743-E742,0)</f>
        <v>140.110000000001</v>
      </c>
      <c r="Q743" s="7" t="n">
        <f aca="false">MAX(E742-E743,0)</f>
        <v>0</v>
      </c>
      <c r="R743" s="7" t="n">
        <f aca="false">(R742*13+P743)/14</f>
        <v>84.2017479489204</v>
      </c>
      <c r="S743" s="7" t="n">
        <f aca="false">(S742*13+Q743)/14</f>
        <v>81.7949346058521</v>
      </c>
      <c r="T743" s="7" t="n">
        <f aca="false">IF(S743=0,100,100-100/(1+R743/S743))</f>
        <v>50.7249582660407</v>
      </c>
      <c r="U743" s="7" t="n">
        <f aca="false">E743*2/13+U742*11/13</f>
        <v>11687.9630887245</v>
      </c>
      <c r="V743" s="7" t="n">
        <f aca="false">E743*2/27+V742*25/27</f>
        <v>11610.1117557449</v>
      </c>
      <c r="W743" s="7" t="n">
        <f aca="false">U743-V743</f>
        <v>77.8513329796297</v>
      </c>
      <c r="X743" s="7" t="n">
        <f aca="false">W743*2/10+X742*8/10</f>
        <v>105.3913168526</v>
      </c>
      <c r="Y743" s="7" t="n">
        <f aca="false">W743-X743</f>
        <v>-27.5399838729701</v>
      </c>
      <c r="Z743" s="9" t="s">
        <v>89</v>
      </c>
      <c r="AA743" s="7" t="str">
        <f aca="false">IFERROR(INDEX(02_轉折點45!B:B,MATCH(A743,02_轉折點45!A:A,0)),"")</f>
        <v/>
      </c>
      <c r="AB743" s="7" t="n">
        <f aca="false">COUNTIFS(05_訊號明細!A:A,A743,05_訊號明細!C:C,"TOP")</f>
        <v>0</v>
      </c>
      <c r="AC743" s="7" t="n">
        <f aca="false">COUNTIFS(05_訊號明細!A:A,A743,05_訊號明細!C:C,"BOTTOM")</f>
        <v>0</v>
      </c>
    </row>
    <row r="744" customFormat="false" ht="15" hidden="false" customHeight="false" outlineLevel="0" collapsed="false">
      <c r="A744" s="7" t="s">
        <v>785</v>
      </c>
      <c r="B744" s="7" t="n">
        <v>11594.38</v>
      </c>
      <c r="C744" s="7" t="n">
        <v>11707.09</v>
      </c>
      <c r="D744" s="7" t="n">
        <v>11550.31</v>
      </c>
      <c r="E744" s="7" t="n">
        <v>11563.33</v>
      </c>
      <c r="F744" s="7" t="n">
        <v>4337</v>
      </c>
      <c r="G744" s="7" t="n">
        <f aca="false">AVERAGE(E740:E744)</f>
        <v>11606.942</v>
      </c>
      <c r="H744" s="7" t="n">
        <f aca="false">AVERAGE(E735:E744)</f>
        <v>11719.212</v>
      </c>
      <c r="I744" s="7" t="n">
        <f aca="false">AVERAGE(E725:E744)</f>
        <v>11725.3615</v>
      </c>
      <c r="J744" s="7" t="n">
        <f aca="false">AVERAGE(E695:E744)</f>
        <v>11382.4326</v>
      </c>
      <c r="K744" s="7" t="n">
        <f aca="false">AVERAGE(E645:E744)</f>
        <v>11955.8795</v>
      </c>
      <c r="L744" s="7" t="n">
        <f aca="false">AVERAGE(E545:E744)</f>
        <v>12470.3079</v>
      </c>
      <c r="M744" s="7" t="n">
        <f aca="false">I744</f>
        <v>11725.3615</v>
      </c>
      <c r="N744" s="7" t="n">
        <f aca="false">I744+2*STDEV(E725:E744)</f>
        <v>12060.363056463</v>
      </c>
      <c r="O744" s="7" t="n">
        <f aca="false">I744-2*STDEV(E725:E744)</f>
        <v>11390.359943537</v>
      </c>
      <c r="P744" s="7" t="n">
        <f aca="false">MAX(E744-E743,0)</f>
        <v>0</v>
      </c>
      <c r="Q744" s="7" t="n">
        <f aca="false">MAX(E743-E744,0)</f>
        <v>74.1700000000001</v>
      </c>
      <c r="R744" s="7" t="n">
        <f aca="false">(R743*13+P744)/14</f>
        <v>78.1873373811403</v>
      </c>
      <c r="S744" s="7" t="n">
        <f aca="false">(S743*13+Q744)/14</f>
        <v>81.2502964197199</v>
      </c>
      <c r="T744" s="7" t="n">
        <f aca="false">IF(S744=0,100,100-100/(1+R744/S744))</f>
        <v>49.0394491671881</v>
      </c>
      <c r="U744" s="7" t="n">
        <f aca="false">E744*2/13+U743*11/13</f>
        <v>11668.7887673823</v>
      </c>
      <c r="V744" s="7" t="n">
        <f aca="false">E744*2/27+V743*25/27</f>
        <v>11606.6464405045</v>
      </c>
      <c r="W744" s="7" t="n">
        <f aca="false">U744-V744</f>
        <v>62.1423268777562</v>
      </c>
      <c r="X744" s="7" t="n">
        <f aca="false">W744*2/10+X743*8/10</f>
        <v>96.741518857631</v>
      </c>
      <c r="Y744" s="7" t="n">
        <f aca="false">W744-X744</f>
        <v>-34.5991919798748</v>
      </c>
      <c r="Z744" s="9" t="s">
        <v>89</v>
      </c>
      <c r="AA744" s="7" t="str">
        <f aca="false">IFERROR(INDEX(02_轉折點45!B:B,MATCH(A744,02_轉折點45!A:A,0)),"")</f>
        <v/>
      </c>
      <c r="AB744" s="7" t="n">
        <f aca="false">COUNTIFS(05_訊號明細!A:A,A744,05_訊號明細!C:C,"TOP")</f>
        <v>0</v>
      </c>
      <c r="AC744" s="7" t="n">
        <f aca="false">COUNTIFS(05_訊號明細!A:A,A744,05_訊號明細!C:C,"BOTTOM")</f>
        <v>0</v>
      </c>
    </row>
    <row r="745" customFormat="false" ht="15" hidden="false" customHeight="false" outlineLevel="0" collapsed="false">
      <c r="A745" s="7" t="s">
        <v>786</v>
      </c>
      <c r="B745" s="7" t="n">
        <v>11572.26</v>
      </c>
      <c r="C745" s="7" t="n">
        <v>11707.71</v>
      </c>
      <c r="D745" s="7" t="n">
        <v>11529.41</v>
      </c>
      <c r="E745" s="7" t="n">
        <v>11706.44</v>
      </c>
      <c r="F745" s="7" t="n">
        <v>4830</v>
      </c>
      <c r="G745" s="7" t="n">
        <f aca="false">AVERAGE(E741:E745)</f>
        <v>11590.87</v>
      </c>
      <c r="H745" s="7" t="n">
        <f aca="false">AVERAGE(E736:E745)</f>
        <v>11731.081</v>
      </c>
      <c r="I745" s="7" t="n">
        <f aca="false">AVERAGE(E726:E745)</f>
        <v>11719.833</v>
      </c>
      <c r="J745" s="7" t="n">
        <f aca="false">AVERAGE(E696:E745)</f>
        <v>11397.137</v>
      </c>
      <c r="K745" s="7" t="n">
        <f aca="false">AVERAGE(E646:E745)</f>
        <v>11946.7498</v>
      </c>
      <c r="L745" s="7" t="n">
        <f aca="false">AVERAGE(E546:E745)</f>
        <v>12457.8943</v>
      </c>
      <c r="M745" s="7" t="n">
        <f aca="false">I745</f>
        <v>11719.833</v>
      </c>
      <c r="N745" s="7" t="n">
        <f aca="false">I745+2*STDEV(E726:E745)</f>
        <v>12052.1046050779</v>
      </c>
      <c r="O745" s="7" t="n">
        <f aca="false">I745-2*STDEV(E726:E745)</f>
        <v>11387.5613949221</v>
      </c>
      <c r="P745" s="7" t="n">
        <f aca="false">MAX(E745-E744,0)</f>
        <v>143.110000000001</v>
      </c>
      <c r="Q745" s="7" t="n">
        <f aca="false">MAX(E744-E745,0)</f>
        <v>0</v>
      </c>
      <c r="R745" s="7" t="n">
        <f aca="false">(R744*13+P745)/14</f>
        <v>82.8246704253446</v>
      </c>
      <c r="S745" s="7" t="n">
        <f aca="false">(S744*13+Q745)/14</f>
        <v>75.4467038183113</v>
      </c>
      <c r="T745" s="7" t="n">
        <f aca="false">IF(S745=0,100,100-100/(1+R745/S745))</f>
        <v>52.3307962802152</v>
      </c>
      <c r="U745" s="7" t="n">
        <f aca="false">E745*2/13+U744*11/13</f>
        <v>11674.5812647081</v>
      </c>
      <c r="V745" s="7" t="n">
        <f aca="false">E745*2/27+V744*25/27</f>
        <v>11614.0385560227</v>
      </c>
      <c r="W745" s="7" t="n">
        <f aca="false">U745-V745</f>
        <v>60.5427086853761</v>
      </c>
      <c r="X745" s="7" t="n">
        <f aca="false">W745*2/10+X744*8/10</f>
        <v>89.5017568231801</v>
      </c>
      <c r="Y745" s="7" t="n">
        <f aca="false">W745-X745</f>
        <v>-28.959048137804</v>
      </c>
      <c r="Z745" s="9" t="s">
        <v>89</v>
      </c>
      <c r="AA745" s="7" t="str">
        <f aca="false">IFERROR(INDEX(02_轉折點45!B:B,MATCH(A745,02_轉折點45!A:A,0)),"")</f>
        <v/>
      </c>
      <c r="AB745" s="7" t="n">
        <f aca="false">COUNTIFS(05_訊號明細!A:A,A745,05_訊號明細!C:C,"TOP")</f>
        <v>0</v>
      </c>
      <c r="AC745" s="7" t="n">
        <f aca="false">COUNTIFS(05_訊號明細!A:A,A745,05_訊號明細!C:C,"BOTTOM")</f>
        <v>0</v>
      </c>
    </row>
    <row r="746" customFormat="false" ht="15" hidden="false" customHeight="false" outlineLevel="0" collapsed="false">
      <c r="A746" s="7" t="s">
        <v>787</v>
      </c>
      <c r="B746" s="7" t="n">
        <v>12141.24</v>
      </c>
      <c r="C746" s="7" t="n">
        <v>12166.41</v>
      </c>
      <c r="D746" s="7" t="n">
        <v>11724.9</v>
      </c>
      <c r="E746" s="7" t="n">
        <v>11834.21</v>
      </c>
      <c r="F746" s="7" t="n">
        <v>6127</v>
      </c>
      <c r="G746" s="7" t="n">
        <f aca="false">AVERAGE(E742:E746)</f>
        <v>11647.774</v>
      </c>
      <c r="H746" s="7" t="n">
        <f aca="false">AVERAGE(E737:E746)</f>
        <v>11764.157</v>
      </c>
      <c r="I746" s="7" t="n">
        <f aca="false">AVERAGE(E727:E746)</f>
        <v>11726.4965</v>
      </c>
      <c r="J746" s="7" t="n">
        <f aca="false">AVERAGE(E697:E746)</f>
        <v>11409.2266</v>
      </c>
      <c r="K746" s="7" t="n">
        <f aca="false">AVERAGE(E647:E746)</f>
        <v>11941.1272</v>
      </c>
      <c r="L746" s="7" t="n">
        <f aca="false">AVERAGE(E547:E746)</f>
        <v>12445.8763</v>
      </c>
      <c r="M746" s="7" t="n">
        <f aca="false">I746</f>
        <v>11726.4965</v>
      </c>
      <c r="N746" s="7" t="n">
        <f aca="false">I746+2*STDEV(E727:E746)</f>
        <v>12062.4971581619</v>
      </c>
      <c r="O746" s="7" t="n">
        <f aca="false">I746-2*STDEV(E727:E746)</f>
        <v>11390.4958418381</v>
      </c>
      <c r="P746" s="7" t="n">
        <f aca="false">MAX(E746-E745,0)</f>
        <v>127.769999999999</v>
      </c>
      <c r="Q746" s="7" t="n">
        <f aca="false">MAX(E745-E746,0)</f>
        <v>0</v>
      </c>
      <c r="R746" s="7" t="n">
        <f aca="false">(R745*13+P746)/14</f>
        <v>86.0350511092485</v>
      </c>
      <c r="S746" s="7" t="n">
        <f aca="false">(S745*13+Q746)/14</f>
        <v>70.0576535455748</v>
      </c>
      <c r="T746" s="7" t="n">
        <f aca="false">IF(S746=0,100,100-100/(1+R746/S746))</f>
        <v>55.1179193797063</v>
      </c>
      <c r="U746" s="7" t="n">
        <f aca="false">E746*2/13+U745*11/13</f>
        <v>11699.1395316761</v>
      </c>
      <c r="V746" s="7" t="n">
        <f aca="false">E746*2/27+V745*25/27</f>
        <v>11630.3475518729</v>
      </c>
      <c r="W746" s="7" t="n">
        <f aca="false">U746-V746</f>
        <v>68.7919798031908</v>
      </c>
      <c r="X746" s="7" t="n">
        <f aca="false">W746*2/10+X745*8/10</f>
        <v>85.3598014191822</v>
      </c>
      <c r="Y746" s="7" t="n">
        <f aca="false">W746-X746</f>
        <v>-16.5678216159914</v>
      </c>
      <c r="Z746" s="9" t="s">
        <v>89</v>
      </c>
      <c r="AA746" s="7" t="str">
        <f aca="false">IFERROR(INDEX(02_轉折點45!B:B,MATCH(A746,02_轉折點45!A:A,0)),"")</f>
        <v/>
      </c>
      <c r="AB746" s="7" t="n">
        <f aca="false">COUNTIFS(05_訊號明細!A:A,A746,05_訊號明細!C:C,"TOP")</f>
        <v>0</v>
      </c>
      <c r="AC746" s="7" t="n">
        <f aca="false">COUNTIFS(05_訊號明細!A:A,A746,05_訊號明細!C:C,"BOTTOM")</f>
        <v>0</v>
      </c>
    </row>
    <row r="747" customFormat="false" ht="15" hidden="false" customHeight="false" outlineLevel="0" collapsed="false">
      <c r="A747" s="7" t="s">
        <v>788</v>
      </c>
      <c r="B747" s="7" t="n">
        <v>11824.54</v>
      </c>
      <c r="C747" s="7" t="n">
        <v>11941.28</v>
      </c>
      <c r="D747" s="7" t="n">
        <v>11617.41</v>
      </c>
      <c r="E747" s="7" t="n">
        <v>11740.92</v>
      </c>
      <c r="F747" s="7" t="n">
        <v>5485</v>
      </c>
      <c r="G747" s="7" t="n">
        <f aca="false">AVERAGE(E743:E747)</f>
        <v>11696.48</v>
      </c>
      <c r="H747" s="7" t="n">
        <f aca="false">AVERAGE(E738:E747)</f>
        <v>11735.243</v>
      </c>
      <c r="I747" s="7" t="n">
        <f aca="false">AVERAGE(E728:E747)</f>
        <v>11719.985</v>
      </c>
      <c r="J747" s="7" t="n">
        <f aca="false">AVERAGE(E698:E747)</f>
        <v>11412.3942</v>
      </c>
      <c r="K747" s="7" t="n">
        <f aca="false">AVERAGE(E648:E747)</f>
        <v>11935.2523</v>
      </c>
      <c r="L747" s="7" t="n">
        <f aca="false">AVERAGE(E548:E747)</f>
        <v>12434.55095</v>
      </c>
      <c r="M747" s="7" t="n">
        <f aca="false">I747</f>
        <v>11719.985</v>
      </c>
      <c r="N747" s="7" t="n">
        <f aca="false">I747+2*STDEV(E728:E747)</f>
        <v>12049.1605284439</v>
      </c>
      <c r="O747" s="7" t="n">
        <f aca="false">I747-2*STDEV(E728:E747)</f>
        <v>11390.8094715561</v>
      </c>
      <c r="P747" s="7" t="n">
        <f aca="false">MAX(E747-E746,0)</f>
        <v>0</v>
      </c>
      <c r="Q747" s="7" t="n">
        <f aca="false">MAX(E746-E747,0)</f>
        <v>93.2899999999991</v>
      </c>
      <c r="R747" s="7" t="n">
        <f aca="false">(R746*13+P747)/14</f>
        <v>79.8896903157307</v>
      </c>
      <c r="S747" s="7" t="n">
        <f aca="false">(S746*13+Q747)/14</f>
        <v>71.7171068637479</v>
      </c>
      <c r="T747" s="7" t="n">
        <f aca="false">IF(S747=0,100,100-100/(1+R747/S747))</f>
        <v>52.6953222428107</v>
      </c>
      <c r="U747" s="7" t="n">
        <f aca="false">E747*2/13+U746*11/13</f>
        <v>11705.5672960336</v>
      </c>
      <c r="V747" s="7" t="n">
        <f aca="false">E747*2/27+V746*25/27</f>
        <v>11638.538103586</v>
      </c>
      <c r="W747" s="7" t="n">
        <f aca="false">U747-V747</f>
        <v>67.0291924475969</v>
      </c>
      <c r="X747" s="7" t="n">
        <f aca="false">W747*2/10+X746*8/10</f>
        <v>81.6936796248651</v>
      </c>
      <c r="Y747" s="7" t="n">
        <f aca="false">W747-X747</f>
        <v>-14.6644871772683</v>
      </c>
      <c r="Z747" s="9" t="s">
        <v>89</v>
      </c>
      <c r="AA747" s="7" t="str">
        <f aca="false">IFERROR(INDEX(02_轉折點45!B:B,MATCH(A747,02_轉折點45!A:A,0)),"")</f>
        <v/>
      </c>
      <c r="AB747" s="7" t="n">
        <f aca="false">COUNTIFS(05_訊號明細!A:A,A747,05_訊號明細!C:C,"TOP")</f>
        <v>0</v>
      </c>
      <c r="AC747" s="7" t="n">
        <f aca="false">COUNTIFS(05_訊號明細!A:A,A747,05_訊號明細!C:C,"BOTTOM")</f>
        <v>0</v>
      </c>
    </row>
    <row r="748" customFormat="false" ht="15" hidden="false" customHeight="false" outlineLevel="0" collapsed="false">
      <c r="A748" s="7" t="s">
        <v>789</v>
      </c>
      <c r="B748" s="7" t="n">
        <v>11573.38</v>
      </c>
      <c r="C748" s="7" t="n">
        <v>11591.33</v>
      </c>
      <c r="D748" s="7" t="n">
        <v>11300.35</v>
      </c>
      <c r="E748" s="7" t="n">
        <v>11345.22</v>
      </c>
      <c r="F748" s="7" t="n">
        <v>5536</v>
      </c>
      <c r="G748" s="7" t="n">
        <f aca="false">AVERAGE(E744:E748)</f>
        <v>11638.024</v>
      </c>
      <c r="H748" s="7" t="n">
        <f aca="false">AVERAGE(E739:E748)</f>
        <v>11665.576</v>
      </c>
      <c r="I748" s="7" t="n">
        <f aca="false">AVERAGE(E729:E748)</f>
        <v>11702.2915</v>
      </c>
      <c r="J748" s="7" t="n">
        <f aca="false">AVERAGE(E699:E748)</f>
        <v>11407.835</v>
      </c>
      <c r="K748" s="7" t="n">
        <f aca="false">AVERAGE(E649:E748)</f>
        <v>11927.8355</v>
      </c>
      <c r="L748" s="7" t="n">
        <f aca="false">AVERAGE(E549:E748)</f>
        <v>12420.0586</v>
      </c>
      <c r="M748" s="7" t="n">
        <f aca="false">I748</f>
        <v>11702.2915</v>
      </c>
      <c r="N748" s="7" t="n">
        <f aca="false">I748+2*STDEV(E729:E748)</f>
        <v>12071.770369378</v>
      </c>
      <c r="O748" s="7" t="n">
        <f aca="false">I748-2*STDEV(E729:E748)</f>
        <v>11332.812630622</v>
      </c>
      <c r="P748" s="7" t="n">
        <f aca="false">MAX(E748-E747,0)</f>
        <v>0</v>
      </c>
      <c r="Q748" s="7" t="n">
        <f aca="false">MAX(E747-E748,0)</f>
        <v>395.700000000001</v>
      </c>
      <c r="R748" s="7" t="n">
        <f aca="false">(R747*13+P748)/14</f>
        <v>74.1832838646071</v>
      </c>
      <c r="S748" s="7" t="n">
        <f aca="false">(S747*13+Q748)/14</f>
        <v>94.858742087766</v>
      </c>
      <c r="T748" s="7" t="n">
        <f aca="false">IF(S748=0,100,100-100/(1+R748/S748))</f>
        <v>43.884521287924</v>
      </c>
      <c r="U748" s="7" t="n">
        <f aca="false">E748*2/13+U747*11/13</f>
        <v>11650.12925049</v>
      </c>
      <c r="V748" s="7" t="n">
        <f aca="false">E748*2/27+V747*25/27</f>
        <v>11616.8108366537</v>
      </c>
      <c r="W748" s="7" t="n">
        <f aca="false">U748-V748</f>
        <v>33.3184138362631</v>
      </c>
      <c r="X748" s="7" t="n">
        <f aca="false">W748*2/10+X747*8/10</f>
        <v>72.0186264671447</v>
      </c>
      <c r="Y748" s="7" t="n">
        <f aca="false">W748-X748</f>
        <v>-38.7002126308817</v>
      </c>
      <c r="Z748" s="9" t="s">
        <v>89</v>
      </c>
      <c r="AA748" s="7" t="str">
        <f aca="false">IFERROR(INDEX(02_轉折點45!B:B,MATCH(A748,02_轉折點45!A:A,0)),"")</f>
        <v/>
      </c>
      <c r="AB748" s="7" t="n">
        <f aca="false">COUNTIFS(05_訊號明細!A:A,A748,05_訊號明細!C:C,"TOP")</f>
        <v>0</v>
      </c>
      <c r="AC748" s="7" t="n">
        <f aca="false">COUNTIFS(05_訊號明細!A:A,A748,05_訊號明細!C:C,"BOTTOM")</f>
        <v>0</v>
      </c>
    </row>
    <row r="749" customFormat="false" ht="15" hidden="false" customHeight="false" outlineLevel="0" collapsed="false">
      <c r="A749" s="7" t="s">
        <v>790</v>
      </c>
      <c r="B749" s="7" t="n">
        <v>11313.64</v>
      </c>
      <c r="C749" s="7" t="n">
        <v>11383.39</v>
      </c>
      <c r="D749" s="7" t="n">
        <v>11175.54</v>
      </c>
      <c r="E749" s="7" t="n">
        <v>11243.72</v>
      </c>
      <c r="F749" s="7" t="n">
        <v>7968</v>
      </c>
      <c r="G749" s="7" t="n">
        <f aca="false">AVERAGE(E745:E749)</f>
        <v>11574.102</v>
      </c>
      <c r="H749" s="7" t="n">
        <f aca="false">AVERAGE(E740:E749)</f>
        <v>11590.522</v>
      </c>
      <c r="I749" s="7" t="n">
        <f aca="false">AVERAGE(E730:E749)</f>
        <v>11680.6345</v>
      </c>
      <c r="J749" s="7" t="n">
        <f aca="false">AVERAGE(E700:E749)</f>
        <v>11402.9994</v>
      </c>
      <c r="K749" s="7" t="n">
        <f aca="false">AVERAGE(E650:E749)</f>
        <v>11914.258</v>
      </c>
      <c r="L749" s="7" t="n">
        <f aca="false">AVERAGE(E550:E749)</f>
        <v>12406.10115</v>
      </c>
      <c r="M749" s="7" t="n">
        <f aca="false">I749</f>
        <v>11680.6345</v>
      </c>
      <c r="N749" s="7" t="n">
        <f aca="false">I749+2*STDEV(E730:E749)</f>
        <v>12103.3338611976</v>
      </c>
      <c r="O749" s="7" t="n">
        <f aca="false">I749-2*STDEV(E730:E749)</f>
        <v>11257.9351388024</v>
      </c>
      <c r="P749" s="7" t="n">
        <f aca="false">MAX(E749-E748,0)</f>
        <v>0</v>
      </c>
      <c r="Q749" s="7" t="n">
        <f aca="false">MAX(E748-E749,0)</f>
        <v>101.5</v>
      </c>
      <c r="R749" s="7" t="n">
        <f aca="false">(R748*13+P749)/14</f>
        <v>68.884477874278</v>
      </c>
      <c r="S749" s="7" t="n">
        <f aca="false">(S748*13+Q749)/14</f>
        <v>95.3331176529256</v>
      </c>
      <c r="T749" s="7" t="n">
        <f aca="false">IF(S749=0,100,100-100/(1+R749/S749))</f>
        <v>41.9470749484131</v>
      </c>
      <c r="U749" s="7" t="n">
        <f aca="false">E749*2/13+U748*11/13</f>
        <v>11587.6047504146</v>
      </c>
      <c r="V749" s="7" t="n">
        <f aca="false">E749*2/27+V748*25/27</f>
        <v>11589.1744783831</v>
      </c>
      <c r="W749" s="7" t="n">
        <f aca="false">U749-V749</f>
        <v>-1.56972796847003</v>
      </c>
      <c r="X749" s="7" t="n">
        <f aca="false">W749*2/10+X748*8/10</f>
        <v>57.3009555800218</v>
      </c>
      <c r="Y749" s="7" t="n">
        <f aca="false">W749-X749</f>
        <v>-58.8706835484918</v>
      </c>
      <c r="Z749" s="9" t="s">
        <v>89</v>
      </c>
      <c r="AA749" s="7" t="str">
        <f aca="false">IFERROR(INDEX(02_轉折點45!B:B,MATCH(A749,02_轉折點45!A:A,0)),"")</f>
        <v/>
      </c>
      <c r="AB749" s="7" t="n">
        <f aca="false">COUNTIFS(05_訊號明細!A:A,A749,05_訊號明細!C:C,"TOP")</f>
        <v>0</v>
      </c>
      <c r="AC749" s="7" t="n">
        <f aca="false">COUNTIFS(05_訊號明細!A:A,A749,05_訊號明細!C:C,"BOTTOM")</f>
        <v>0</v>
      </c>
    </row>
    <row r="750" customFormat="false" ht="15" hidden="false" customHeight="false" outlineLevel="0" collapsed="false">
      <c r="A750" s="7" t="s">
        <v>791</v>
      </c>
      <c r="B750" s="7" t="n">
        <v>11243</v>
      </c>
      <c r="C750" s="7" t="n">
        <v>11251.57</v>
      </c>
      <c r="D750" s="7" t="n">
        <v>11029.77</v>
      </c>
      <c r="E750" s="7" t="n">
        <v>11084.59</v>
      </c>
      <c r="F750" s="7" t="n">
        <v>4632</v>
      </c>
      <c r="G750" s="7" t="n">
        <f aca="false">AVERAGE(E746:E750)</f>
        <v>11449.732</v>
      </c>
      <c r="H750" s="7" t="n">
        <f aca="false">AVERAGE(E741:E750)</f>
        <v>11520.301</v>
      </c>
      <c r="I750" s="7" t="n">
        <f aca="false">AVERAGE(E731:E750)</f>
        <v>11651.013</v>
      </c>
      <c r="J750" s="7" t="n">
        <f aca="false">AVERAGE(E701:E750)</f>
        <v>11403.9018</v>
      </c>
      <c r="K750" s="7" t="n">
        <f aca="false">AVERAGE(E651:E750)</f>
        <v>11897.9252</v>
      </c>
      <c r="L750" s="7" t="n">
        <f aca="false">AVERAGE(E551:E750)</f>
        <v>12392.33495</v>
      </c>
      <c r="M750" s="7" t="n">
        <f aca="false">I750</f>
        <v>11651.013</v>
      </c>
      <c r="N750" s="7" t="n">
        <f aca="false">I750+2*STDEV(E731:E750)</f>
        <v>12150.7839745831</v>
      </c>
      <c r="O750" s="7" t="n">
        <f aca="false">I750-2*STDEV(E731:E750)</f>
        <v>11151.2420254169</v>
      </c>
      <c r="P750" s="7" t="n">
        <f aca="false">MAX(E750-E749,0)</f>
        <v>0</v>
      </c>
      <c r="Q750" s="7" t="n">
        <f aca="false">MAX(E749-E750,0)</f>
        <v>159.129999999999</v>
      </c>
      <c r="R750" s="7" t="n">
        <f aca="false">(R749*13+P750)/14</f>
        <v>63.9641580261153</v>
      </c>
      <c r="S750" s="7" t="n">
        <f aca="false">(S749*13+Q750)/14</f>
        <v>99.8900378205737</v>
      </c>
      <c r="T750" s="7" t="n">
        <f aca="false">IF(S750=0,100,100-100/(1+R750/S750))</f>
        <v>39.0372414301576</v>
      </c>
      <c r="U750" s="7" t="n">
        <f aca="false">E750*2/13+U749*11/13</f>
        <v>11510.2178657354</v>
      </c>
      <c r="V750" s="7" t="n">
        <f aca="false">E750*2/27+V749*25/27</f>
        <v>11551.7978503547</v>
      </c>
      <c r="W750" s="7" t="n">
        <f aca="false">U750-V750</f>
        <v>-41.5799846192622</v>
      </c>
      <c r="X750" s="7" t="n">
        <f aca="false">W750*2/10+X749*8/10</f>
        <v>37.524767540165</v>
      </c>
      <c r="Y750" s="7" t="n">
        <f aca="false">W750-X750</f>
        <v>-79.1047521594272</v>
      </c>
      <c r="Z750" s="9" t="s">
        <v>89</v>
      </c>
      <c r="AA750" s="7" t="str">
        <f aca="false">IFERROR(INDEX(02_轉折點45!B:B,MATCH(A750,02_轉折點45!A:A,0)),"")</f>
        <v/>
      </c>
      <c r="AB750" s="7" t="n">
        <f aca="false">COUNTIFS(05_訊號明細!A:A,A750,05_訊號明細!C:C,"TOP")</f>
        <v>0</v>
      </c>
      <c r="AC750" s="7" t="n">
        <f aca="false">COUNTIFS(05_訊號明細!A:A,A750,05_訊號明細!C:C,"BOTTOM")</f>
        <v>0</v>
      </c>
    </row>
    <row r="751" customFormat="false" ht="15" hidden="false" customHeight="false" outlineLevel="0" collapsed="false">
      <c r="A751" s="7" t="s">
        <v>792</v>
      </c>
      <c r="B751" s="7" t="n">
        <v>11023.47</v>
      </c>
      <c r="C751" s="7" t="n">
        <v>11143.62</v>
      </c>
      <c r="D751" s="7" t="n">
        <v>10967.07</v>
      </c>
      <c r="E751" s="7" t="n">
        <v>11072.42</v>
      </c>
      <c r="F751" s="7" t="n">
        <v>4707</v>
      </c>
      <c r="G751" s="7" t="n">
        <f aca="false">AVERAGE(E747:E751)</f>
        <v>11297.374</v>
      </c>
      <c r="H751" s="7" t="n">
        <f aca="false">AVERAGE(E742:E751)</f>
        <v>11472.574</v>
      </c>
      <c r="I751" s="7" t="n">
        <f aca="false">AVERAGE(E732:E751)</f>
        <v>11626.9615</v>
      </c>
      <c r="J751" s="7" t="n">
        <f aca="false">AVERAGE(E702:E751)</f>
        <v>11406.8108</v>
      </c>
      <c r="K751" s="7" t="n">
        <f aca="false">AVERAGE(E652:E751)</f>
        <v>11879.1697</v>
      </c>
      <c r="L751" s="7" t="n">
        <f aca="false">AVERAGE(E552:E751)</f>
        <v>12381.10015</v>
      </c>
      <c r="M751" s="7" t="n">
        <f aca="false">I751</f>
        <v>11626.9615</v>
      </c>
      <c r="N751" s="7" t="n">
        <f aca="false">I751+2*STDEV(E732:E751)</f>
        <v>12188.9306330829</v>
      </c>
      <c r="O751" s="7" t="n">
        <f aca="false">I751-2*STDEV(E732:E751)</f>
        <v>11064.9923669171</v>
      </c>
      <c r="P751" s="7" t="n">
        <f aca="false">MAX(E751-E750,0)</f>
        <v>0</v>
      </c>
      <c r="Q751" s="7" t="n">
        <f aca="false">MAX(E750-E751,0)</f>
        <v>12.1700000000001</v>
      </c>
      <c r="R751" s="7" t="n">
        <f aca="false">(R750*13+P751)/14</f>
        <v>59.3952895956785</v>
      </c>
      <c r="S751" s="7" t="n">
        <f aca="false">(S750*13+Q751)/14</f>
        <v>93.6243208333899</v>
      </c>
      <c r="T751" s="7" t="n">
        <f aca="false">IF(S751=0,100,100-100/(1+R751/S751))</f>
        <v>38.8154756303023</v>
      </c>
      <c r="U751" s="7" t="n">
        <f aca="false">E751*2/13+U750*11/13</f>
        <v>11442.86434793</v>
      </c>
      <c r="V751" s="7" t="n">
        <f aca="false">E751*2/27+V750*25/27</f>
        <v>11516.288379958</v>
      </c>
      <c r="W751" s="7" t="n">
        <f aca="false">U751-V751</f>
        <v>-73.4240320280678</v>
      </c>
      <c r="X751" s="7" t="n">
        <f aca="false">W751*2/10+X750*8/10</f>
        <v>15.3350076265184</v>
      </c>
      <c r="Y751" s="7" t="n">
        <f aca="false">W751-X751</f>
        <v>-88.7590396545862</v>
      </c>
      <c r="Z751" s="9" t="s">
        <v>89</v>
      </c>
      <c r="AA751" s="7" t="str">
        <f aca="false">IFERROR(INDEX(02_轉折點45!B:B,MATCH(A751,02_轉折點45!A:A,0)),"")</f>
        <v/>
      </c>
      <c r="AB751" s="7" t="n">
        <f aca="false">COUNTIFS(05_訊號明細!A:A,A751,05_訊號明細!C:C,"TOP")</f>
        <v>0</v>
      </c>
      <c r="AC751" s="7" t="n">
        <f aca="false">COUNTIFS(05_訊號明細!A:A,A751,05_訊號明細!C:C,"BOTTOM")</f>
        <v>0</v>
      </c>
    </row>
    <row r="752" customFormat="false" ht="15" hidden="false" customHeight="false" outlineLevel="0" collapsed="false">
      <c r="A752" s="7" t="s">
        <v>793</v>
      </c>
      <c r="B752" s="7" t="n">
        <v>11110.65</v>
      </c>
      <c r="C752" s="7" t="n">
        <v>11285.78</v>
      </c>
      <c r="D752" s="7" t="n">
        <v>11083.36</v>
      </c>
      <c r="E752" s="7" t="n">
        <v>11235.88</v>
      </c>
      <c r="F752" s="7" t="n">
        <v>4401</v>
      </c>
      <c r="G752" s="7" t="n">
        <f aca="false">AVERAGE(E748:E752)</f>
        <v>11196.366</v>
      </c>
      <c r="H752" s="7" t="n">
        <f aca="false">AVERAGE(E743:E752)</f>
        <v>11446.423</v>
      </c>
      <c r="I752" s="7" t="n">
        <f aca="false">AVERAGE(E733:E752)</f>
        <v>11602.5135</v>
      </c>
      <c r="J752" s="7" t="n">
        <f aca="false">AVERAGE(E703:E752)</f>
        <v>11415.7014</v>
      </c>
      <c r="K752" s="7" t="n">
        <f aca="false">AVERAGE(E653:E752)</f>
        <v>11862.1207</v>
      </c>
      <c r="L752" s="7" t="n">
        <f aca="false">AVERAGE(E553:E752)</f>
        <v>12370.9415</v>
      </c>
      <c r="M752" s="7" t="n">
        <f aca="false">I752</f>
        <v>11602.5135</v>
      </c>
      <c r="N752" s="7" t="n">
        <f aca="false">I752+2*STDEV(E733:E752)</f>
        <v>12188.5806150456</v>
      </c>
      <c r="O752" s="7" t="n">
        <f aca="false">I752-2*STDEV(E733:E752)</f>
        <v>11016.4463849544</v>
      </c>
      <c r="P752" s="7" t="n">
        <f aca="false">MAX(E752-E751,0)</f>
        <v>163.459999999999</v>
      </c>
      <c r="Q752" s="7" t="n">
        <f aca="false">MAX(E751-E752,0)</f>
        <v>0</v>
      </c>
      <c r="R752" s="7" t="n">
        <f aca="false">(R751*13+P752)/14</f>
        <v>66.8284831959871</v>
      </c>
      <c r="S752" s="7" t="n">
        <f aca="false">(S751*13+Q752)/14</f>
        <v>86.9368693452906</v>
      </c>
      <c r="T752" s="7" t="n">
        <f aca="false">IF(S752=0,100,100-100/(1+R752/S752))</f>
        <v>43.4613403419651</v>
      </c>
      <c r="U752" s="7" t="n">
        <f aca="false">E752*2/13+U751*11/13</f>
        <v>11411.0206020946</v>
      </c>
      <c r="V752" s="7" t="n">
        <f aca="false">E752*2/27+V751*25/27</f>
        <v>11495.51738885</v>
      </c>
      <c r="W752" s="7" t="n">
        <f aca="false">U752-V752</f>
        <v>-84.496786755446</v>
      </c>
      <c r="X752" s="7" t="n">
        <f aca="false">W752*2/10+X751*8/10</f>
        <v>-4.63135124987447</v>
      </c>
      <c r="Y752" s="7" t="n">
        <f aca="false">W752-X752</f>
        <v>-79.8654355055715</v>
      </c>
      <c r="Z752" s="9" t="s">
        <v>89</v>
      </c>
      <c r="AA752" s="7" t="str">
        <f aca="false">IFERROR(INDEX(02_轉折點45!B:B,MATCH(A752,02_轉折點45!A:A,0)),"")</f>
        <v/>
      </c>
      <c r="AB752" s="7" t="n">
        <f aca="false">COUNTIFS(05_訊號明細!A:A,A752,05_訊號明細!C:C,"TOP")</f>
        <v>0</v>
      </c>
      <c r="AC752" s="7" t="n">
        <f aca="false">COUNTIFS(05_訊號明細!A:A,A752,05_訊號明細!C:C,"BOTTOM")</f>
        <v>1</v>
      </c>
    </row>
    <row r="753" customFormat="false" ht="15" hidden="false" customHeight="false" outlineLevel="0" collapsed="false">
      <c r="A753" s="7" t="s">
        <v>794</v>
      </c>
      <c r="B753" s="7" t="n">
        <v>11099.36</v>
      </c>
      <c r="C753" s="7" t="n">
        <v>11114.23</v>
      </c>
      <c r="D753" s="7" t="n">
        <v>10784.02</v>
      </c>
      <c r="E753" s="7" t="n">
        <v>10956.14</v>
      </c>
      <c r="F753" s="7" t="n">
        <v>5125</v>
      </c>
      <c r="G753" s="7" t="n">
        <f aca="false">AVERAGE(E749:E753)</f>
        <v>11118.55</v>
      </c>
      <c r="H753" s="7" t="n">
        <f aca="false">AVERAGE(E744:E753)</f>
        <v>11378.287</v>
      </c>
      <c r="I753" s="7" t="n">
        <f aca="false">AVERAGE(E734:E753)</f>
        <v>11558.3845</v>
      </c>
      <c r="J753" s="7" t="n">
        <f aca="false">AVERAGE(E704:E753)</f>
        <v>11419.1118</v>
      </c>
      <c r="K753" s="7" t="n">
        <f aca="false">AVERAGE(E654:E753)</f>
        <v>11842.6661</v>
      </c>
      <c r="L753" s="7" t="n">
        <f aca="false">AVERAGE(E554:E753)</f>
        <v>12357.0112</v>
      </c>
      <c r="M753" s="7" t="n">
        <f aca="false">I753</f>
        <v>11558.3845</v>
      </c>
      <c r="N753" s="7" t="n">
        <f aca="false">I753+2*STDEV(E734:E753)</f>
        <v>12199.8568965666</v>
      </c>
      <c r="O753" s="7" t="n">
        <f aca="false">I753-2*STDEV(E734:E753)</f>
        <v>10916.9121034334</v>
      </c>
      <c r="P753" s="7" t="n">
        <f aca="false">MAX(E753-E752,0)</f>
        <v>0</v>
      </c>
      <c r="Q753" s="7" t="n">
        <f aca="false">MAX(E752-E753,0)</f>
        <v>279.74</v>
      </c>
      <c r="R753" s="7" t="n">
        <f aca="false">(R752*13+P753)/14</f>
        <v>62.0550201105595</v>
      </c>
      <c r="S753" s="7" t="n">
        <f aca="false">(S752*13+Q753)/14</f>
        <v>100.708521534913</v>
      </c>
      <c r="T753" s="7" t="n">
        <f aca="false">IF(S753=0,100,100-100/(1+R753/S753))</f>
        <v>38.1258723441434</v>
      </c>
      <c r="U753" s="7" t="n">
        <f aca="false">E753*2/13+U752*11/13</f>
        <v>11341.0389710031</v>
      </c>
      <c r="V753" s="7" t="n">
        <f aca="false">E753*2/27+V752*25/27</f>
        <v>11455.5635081945</v>
      </c>
      <c r="W753" s="7" t="n">
        <f aca="false">U753-V753</f>
        <v>-114.524537191362</v>
      </c>
      <c r="X753" s="7" t="n">
        <f aca="false">W753*2/10+X752*8/10</f>
        <v>-26.6099884381721</v>
      </c>
      <c r="Y753" s="7" t="n">
        <f aca="false">W753-X753</f>
        <v>-87.9145487531904</v>
      </c>
      <c r="Z753" s="9" t="s">
        <v>89</v>
      </c>
      <c r="AA753" s="7" t="str">
        <f aca="false">IFERROR(INDEX(02_轉折點45!B:B,MATCH(A753,02_轉折點45!A:A,0)),"")</f>
        <v/>
      </c>
      <c r="AB753" s="7" t="n">
        <f aca="false">COUNTIFS(05_訊號明細!A:A,A753,05_訊號明細!C:C,"TOP")</f>
        <v>0</v>
      </c>
      <c r="AC753" s="7" t="n">
        <f aca="false">COUNTIFS(05_訊號明細!A:A,A753,05_訊號明細!C:C,"BOTTOM")</f>
        <v>0</v>
      </c>
    </row>
    <row r="754" customFormat="false" ht="15" hidden="false" customHeight="false" outlineLevel="0" collapsed="false">
      <c r="A754" s="7" t="s">
        <v>795</v>
      </c>
      <c r="B754" s="7" t="n">
        <v>10911.04</v>
      </c>
      <c r="C754" s="7" t="n">
        <v>11007.09</v>
      </c>
      <c r="D754" s="7" t="n">
        <v>10830.9</v>
      </c>
      <c r="E754" s="7" t="n">
        <v>10985.45</v>
      </c>
      <c r="F754" s="7" t="n">
        <v>3545</v>
      </c>
      <c r="G754" s="7" t="n">
        <f aca="false">AVERAGE(E750:E754)</f>
        <v>11066.896</v>
      </c>
      <c r="H754" s="7" t="n">
        <f aca="false">AVERAGE(E745:E754)</f>
        <v>11320.499</v>
      </c>
      <c r="I754" s="7" t="n">
        <f aca="false">AVERAGE(E735:E754)</f>
        <v>11519.8555</v>
      </c>
      <c r="J754" s="7" t="n">
        <f aca="false">AVERAGE(E705:E754)</f>
        <v>11418.1492</v>
      </c>
      <c r="K754" s="7" t="n">
        <f aca="false">AVERAGE(E655:E754)</f>
        <v>11819.988</v>
      </c>
      <c r="L754" s="7" t="n">
        <f aca="false">AVERAGE(E555:E754)</f>
        <v>12343.98345</v>
      </c>
      <c r="M754" s="7" t="n">
        <f aca="false">I754</f>
        <v>11519.8555</v>
      </c>
      <c r="N754" s="7" t="n">
        <f aca="false">I754+2*STDEV(E735:E754)</f>
        <v>12202.5842339393</v>
      </c>
      <c r="O754" s="7" t="n">
        <f aca="false">I754-2*STDEV(E735:E754)</f>
        <v>10837.1267660607</v>
      </c>
      <c r="P754" s="7" t="n">
        <f aca="false">MAX(E754-E753,0)</f>
        <v>29.3100000000013</v>
      </c>
      <c r="Q754" s="7" t="n">
        <f aca="false">MAX(E753-E754,0)</f>
        <v>0</v>
      </c>
      <c r="R754" s="7" t="n">
        <f aca="false">(R753*13+P754)/14</f>
        <v>59.7160901026625</v>
      </c>
      <c r="S754" s="7" t="n">
        <f aca="false">(S753*13+Q754)/14</f>
        <v>93.5150557109903</v>
      </c>
      <c r="T754" s="7" t="n">
        <f aca="false">IF(S754=0,100,100-100/(1+R754/S754))</f>
        <v>38.9712481660121</v>
      </c>
      <c r="U754" s="7" t="n">
        <f aca="false">E754*2/13+U753*11/13</f>
        <v>11286.3329754642</v>
      </c>
      <c r="V754" s="7" t="n">
        <f aca="false">E754*2/27+V753*25/27</f>
        <v>11420.7402853653</v>
      </c>
      <c r="W754" s="7" t="n">
        <f aca="false">U754-V754</f>
        <v>-134.407309901082</v>
      </c>
      <c r="X754" s="7" t="n">
        <f aca="false">W754*2/10+X753*8/10</f>
        <v>-48.1694527307541</v>
      </c>
      <c r="Y754" s="7" t="n">
        <f aca="false">W754-X754</f>
        <v>-86.237857170328</v>
      </c>
      <c r="Z754" s="9" t="s">
        <v>89</v>
      </c>
      <c r="AA754" s="7" t="str">
        <f aca="false">IFERROR(INDEX(02_轉折點45!B:B,MATCH(A754,02_轉折點45!A:A,0)),"")</f>
        <v/>
      </c>
      <c r="AB754" s="7" t="n">
        <f aca="false">COUNTIFS(05_訊號明細!A:A,A754,05_訊號明細!C:C,"TOP")</f>
        <v>0</v>
      </c>
      <c r="AC754" s="7" t="n">
        <f aca="false">COUNTIFS(05_訊號明細!A:A,A754,05_訊號明細!C:C,"BOTTOM")</f>
        <v>0</v>
      </c>
    </row>
    <row r="755" customFormat="false" ht="15" hidden="false" customHeight="false" outlineLevel="0" collapsed="false">
      <c r="A755" s="7" t="s">
        <v>796</v>
      </c>
      <c r="B755" s="7" t="n">
        <v>10944.3</v>
      </c>
      <c r="C755" s="7" t="n">
        <v>10957.44</v>
      </c>
      <c r="D755" s="7" t="n">
        <v>10807.61</v>
      </c>
      <c r="E755" s="7" t="n">
        <v>10822.51</v>
      </c>
      <c r="F755" s="7" t="n">
        <v>3827</v>
      </c>
      <c r="G755" s="7" t="n">
        <f aca="false">AVERAGE(E751:E755)</f>
        <v>11014.48</v>
      </c>
      <c r="H755" s="7" t="n">
        <f aca="false">AVERAGE(E746:E755)</f>
        <v>11232.106</v>
      </c>
      <c r="I755" s="7" t="n">
        <f aca="false">AVERAGE(E736:E755)</f>
        <v>11481.5935</v>
      </c>
      <c r="J755" s="7" t="n">
        <f aca="false">AVERAGE(E706:E755)</f>
        <v>11420.7582</v>
      </c>
      <c r="K755" s="7" t="n">
        <f aca="false">AVERAGE(E656:E755)</f>
        <v>11795.1027</v>
      </c>
      <c r="L755" s="7" t="n">
        <f aca="false">AVERAGE(E556:E755)</f>
        <v>12331.58685</v>
      </c>
      <c r="M755" s="7" t="n">
        <f aca="false">I755</f>
        <v>11481.5935</v>
      </c>
      <c r="N755" s="7" t="n">
        <f aca="false">I755+2*STDEV(E736:E755)</f>
        <v>12230.8337411503</v>
      </c>
      <c r="O755" s="7" t="n">
        <f aca="false">I755-2*STDEV(E736:E755)</f>
        <v>10732.3532588497</v>
      </c>
      <c r="P755" s="7" t="n">
        <f aca="false">MAX(E755-E754,0)</f>
        <v>0</v>
      </c>
      <c r="Q755" s="7" t="n">
        <f aca="false">MAX(E754-E755,0)</f>
        <v>162.940000000001</v>
      </c>
      <c r="R755" s="7" t="n">
        <f aca="false">(R754*13+P755)/14</f>
        <v>55.4506550953294</v>
      </c>
      <c r="S755" s="7" t="n">
        <f aca="false">(S754*13+Q755)/14</f>
        <v>98.4739803030625</v>
      </c>
      <c r="T755" s="7" t="n">
        <f aca="false">IF(S755=0,100,100-100/(1+R755/S755))</f>
        <v>36.024548605758</v>
      </c>
      <c r="U755" s="7" t="n">
        <f aca="false">E755*2/13+U754*11/13</f>
        <v>11214.9755946235</v>
      </c>
      <c r="V755" s="7" t="n">
        <f aca="false">E755*2/27+V754*25/27</f>
        <v>11376.4269308938</v>
      </c>
      <c r="W755" s="7" t="n">
        <f aca="false">U755-V755</f>
        <v>-161.451336270226</v>
      </c>
      <c r="X755" s="7" t="n">
        <f aca="false">W755*2/10+X754*8/10</f>
        <v>-70.8258294386484</v>
      </c>
      <c r="Y755" s="7" t="n">
        <f aca="false">W755-X755</f>
        <v>-90.6255068315772</v>
      </c>
      <c r="Z755" s="9" t="s">
        <v>89</v>
      </c>
      <c r="AA755" s="7" t="str">
        <f aca="false">IFERROR(INDEX(02_轉折點45!B:B,MATCH(A755,02_轉折點45!A:A,0)),"")</f>
        <v/>
      </c>
      <c r="AB755" s="7" t="n">
        <f aca="false">COUNTIFS(05_訊號明細!A:A,A755,05_訊號明細!C:C,"TOP")</f>
        <v>0</v>
      </c>
      <c r="AC755" s="7" t="n">
        <f aca="false">COUNTIFS(05_訊號明細!A:A,A755,05_訊號明細!C:C,"BOTTOM")</f>
        <v>0</v>
      </c>
    </row>
    <row r="756" customFormat="false" ht="15" hidden="false" customHeight="false" outlineLevel="0" collapsed="false">
      <c r="A756" s="7" t="s">
        <v>797</v>
      </c>
      <c r="B756" s="7" t="n">
        <v>10807.12</v>
      </c>
      <c r="C756" s="7" t="n">
        <v>10898.64</v>
      </c>
      <c r="D756" s="7" t="n">
        <v>10671.19</v>
      </c>
      <c r="E756" s="7" t="n">
        <v>10679.34</v>
      </c>
      <c r="F756" s="7" t="n">
        <v>3843</v>
      </c>
      <c r="G756" s="7" t="n">
        <f aca="false">AVERAGE(E752:E756)</f>
        <v>10935.864</v>
      </c>
      <c r="H756" s="7" t="n">
        <f aca="false">AVERAGE(E747:E756)</f>
        <v>11116.619</v>
      </c>
      <c r="I756" s="7" t="n">
        <f aca="false">AVERAGE(E737:E756)</f>
        <v>11440.388</v>
      </c>
      <c r="J756" s="7" t="n">
        <f aca="false">AVERAGE(E707:E756)</f>
        <v>11413.0944</v>
      </c>
      <c r="K756" s="7" t="n">
        <f aca="false">AVERAGE(E657:E756)</f>
        <v>11769.8192</v>
      </c>
      <c r="L756" s="7" t="n">
        <f aca="false">AVERAGE(E557:E756)</f>
        <v>12319.75035</v>
      </c>
      <c r="M756" s="7" t="n">
        <f aca="false">I756</f>
        <v>11440.388</v>
      </c>
      <c r="N756" s="7" t="n">
        <f aca="false">I756+2*STDEV(E737:E756)</f>
        <v>12270.8145951425</v>
      </c>
      <c r="O756" s="7" t="n">
        <f aca="false">I756-2*STDEV(E737:E756)</f>
        <v>10609.9614048575</v>
      </c>
      <c r="P756" s="7" t="n">
        <f aca="false">MAX(E756-E755,0)</f>
        <v>0</v>
      </c>
      <c r="Q756" s="7" t="n">
        <f aca="false">MAX(E755-E756,0)</f>
        <v>143.17</v>
      </c>
      <c r="R756" s="7" t="n">
        <f aca="false">(R755*13+P756)/14</f>
        <v>51.4898940170916</v>
      </c>
      <c r="S756" s="7" t="n">
        <f aca="false">(S755*13+Q756)/14</f>
        <v>101.666553138558</v>
      </c>
      <c r="T756" s="7" t="n">
        <f aca="false">IF(S756=0,100,100-100/(1+R756/S756))</f>
        <v>33.6191488986184</v>
      </c>
      <c r="U756" s="7" t="n">
        <f aca="false">E756*2/13+U755*11/13</f>
        <v>11132.5701185276</v>
      </c>
      <c r="V756" s="7" t="n">
        <f aca="false">E756*2/27+V755*25/27</f>
        <v>11324.7908619387</v>
      </c>
      <c r="W756" s="7" t="n">
        <f aca="false">U756-V756</f>
        <v>-192.220743411061</v>
      </c>
      <c r="X756" s="7" t="n">
        <f aca="false">W756*2/10+X755*8/10</f>
        <v>-95.1048122331308</v>
      </c>
      <c r="Y756" s="7" t="n">
        <f aca="false">W756-X756</f>
        <v>-97.1159311779298</v>
      </c>
      <c r="Z756" s="9" t="s">
        <v>89</v>
      </c>
      <c r="AA756" s="7" t="str">
        <f aca="false">IFERROR(INDEX(02_轉折點45!B:B,MATCH(A756,02_轉折點45!A:A,0)),"")</f>
        <v>BOTTOM</v>
      </c>
      <c r="AB756" s="7" t="n">
        <f aca="false">COUNTIFS(05_訊號明細!A:A,A756,05_訊號明細!C:C,"TOP")</f>
        <v>0</v>
      </c>
      <c r="AC756" s="7" t="n">
        <f aca="false">COUNTIFS(05_訊號明細!A:A,A756,05_訊號明細!C:C,"BOTTOM")</f>
        <v>0</v>
      </c>
    </row>
    <row r="757" customFormat="false" ht="15" hidden="false" customHeight="false" outlineLevel="0" collapsed="false">
      <c r="A757" s="7" t="s">
        <v>798</v>
      </c>
      <c r="B757" s="7" t="n">
        <v>10800.8</v>
      </c>
      <c r="C757" s="7" t="n">
        <v>10981.06</v>
      </c>
      <c r="D757" s="7" t="n">
        <v>10776.62</v>
      </c>
      <c r="E757" s="7" t="n">
        <v>10951.05</v>
      </c>
      <c r="F757" s="7" t="n">
        <v>4154</v>
      </c>
      <c r="G757" s="7" t="n">
        <f aca="false">AVERAGE(E753:E757)</f>
        <v>10878.898</v>
      </c>
      <c r="H757" s="7" t="n">
        <f aca="false">AVERAGE(E748:E757)</f>
        <v>11037.632</v>
      </c>
      <c r="I757" s="7" t="n">
        <f aca="false">AVERAGE(E738:E757)</f>
        <v>11386.4375</v>
      </c>
      <c r="J757" s="7" t="n">
        <f aca="false">AVERAGE(E708:E757)</f>
        <v>11409.1606</v>
      </c>
      <c r="K757" s="7" t="n">
        <f aca="false">AVERAGE(E658:E757)</f>
        <v>11747.7381</v>
      </c>
      <c r="L757" s="7" t="n">
        <f aca="false">AVERAGE(E558:E757)</f>
        <v>12307.2128</v>
      </c>
      <c r="M757" s="7" t="n">
        <f aca="false">I757</f>
        <v>11386.4375</v>
      </c>
      <c r="N757" s="7" t="n">
        <f aca="false">I757+2*STDEV(E738:E757)</f>
        <v>12195.4869811197</v>
      </c>
      <c r="O757" s="7" t="n">
        <f aca="false">I757-2*STDEV(E738:E757)</f>
        <v>10577.3880188803</v>
      </c>
      <c r="P757" s="7" t="n">
        <f aca="false">MAX(E757-E756,0)</f>
        <v>271.709999999999</v>
      </c>
      <c r="Q757" s="7" t="n">
        <f aca="false">MAX(E756-E757,0)</f>
        <v>0</v>
      </c>
      <c r="R757" s="7" t="n">
        <f aca="false">(R756*13+P757)/14</f>
        <v>67.2199015872993</v>
      </c>
      <c r="S757" s="7" t="n">
        <f aca="false">(S756*13+Q757)/14</f>
        <v>94.4046564858039</v>
      </c>
      <c r="T757" s="7" t="n">
        <f aca="false">IF(S757=0,100,100-100/(1+R757/S757))</f>
        <v>41.5901533706874</v>
      </c>
      <c r="U757" s="7" t="n">
        <f aca="false">E757*2/13+U756*11/13</f>
        <v>11104.6439464464</v>
      </c>
      <c r="V757" s="7" t="n">
        <f aca="false">E757*2/27+V756*25/27</f>
        <v>11297.1063536469</v>
      </c>
      <c r="W757" s="7" t="n">
        <f aca="false">U757-V757</f>
        <v>-192.462407200479</v>
      </c>
      <c r="X757" s="7" t="n">
        <f aca="false">W757*2/10+X756*8/10</f>
        <v>-114.5763312266</v>
      </c>
      <c r="Y757" s="7" t="n">
        <f aca="false">W757-X757</f>
        <v>-77.8860759738786</v>
      </c>
      <c r="Z757" s="9" t="s">
        <v>89</v>
      </c>
      <c r="AA757" s="7" t="str">
        <f aca="false">IFERROR(INDEX(02_轉折點45!B:B,MATCH(A757,02_轉折點45!A:A,0)),"")</f>
        <v/>
      </c>
      <c r="AB757" s="7" t="n">
        <f aca="false">COUNTIFS(05_訊號明細!A:A,A757,05_訊號明細!C:C,"TOP")</f>
        <v>0</v>
      </c>
      <c r="AC757" s="7" t="n">
        <f aca="false">COUNTIFS(05_訊號明細!A:A,A757,05_訊號明細!C:C,"BOTTOM")</f>
        <v>0</v>
      </c>
    </row>
    <row r="758" customFormat="false" ht="15" hidden="false" customHeight="false" outlineLevel="0" collapsed="false">
      <c r="A758" s="7" t="s">
        <v>799</v>
      </c>
      <c r="B758" s="7" t="n">
        <v>10835.59</v>
      </c>
      <c r="C758" s="7" t="n">
        <v>10942.9</v>
      </c>
      <c r="D758" s="7" t="n">
        <v>10778.64</v>
      </c>
      <c r="E758" s="7" t="n">
        <v>10939.76</v>
      </c>
      <c r="F758" s="7" t="n">
        <v>3959</v>
      </c>
      <c r="G758" s="7" t="n">
        <f aca="false">AVERAGE(E754:E758)</f>
        <v>10875.622</v>
      </c>
      <c r="H758" s="7" t="n">
        <f aca="false">AVERAGE(E749:E758)</f>
        <v>10997.086</v>
      </c>
      <c r="I758" s="7" t="n">
        <f aca="false">AVERAGE(E739:E758)</f>
        <v>11331.331</v>
      </c>
      <c r="J758" s="7" t="n">
        <f aca="false">AVERAGE(E709:E758)</f>
        <v>11405.8882</v>
      </c>
      <c r="K758" s="7" t="n">
        <f aca="false">AVERAGE(E659:E758)</f>
        <v>11727.054</v>
      </c>
      <c r="L758" s="7" t="n">
        <f aca="false">AVERAGE(E559:E758)</f>
        <v>12292.12765</v>
      </c>
      <c r="M758" s="7" t="n">
        <f aca="false">I758</f>
        <v>11331.331</v>
      </c>
      <c r="N758" s="7" t="n">
        <f aca="false">I758+2*STDEV(E739:E758)</f>
        <v>12101.6123335918</v>
      </c>
      <c r="O758" s="7" t="n">
        <f aca="false">I758-2*STDEV(E739:E758)</f>
        <v>10561.0496664082</v>
      </c>
      <c r="P758" s="7" t="n">
        <f aca="false">MAX(E758-E757,0)</f>
        <v>0</v>
      </c>
      <c r="Q758" s="7" t="n">
        <f aca="false">MAX(E757-E758,0)</f>
        <v>11.2899999999991</v>
      </c>
      <c r="R758" s="7" t="n">
        <f aca="false">(R757*13+P758)/14</f>
        <v>62.4184800453493</v>
      </c>
      <c r="S758" s="7" t="n">
        <f aca="false">(S757*13+Q758)/14</f>
        <v>88.4678953082464</v>
      </c>
      <c r="T758" s="7" t="n">
        <f aca="false">IF(S758=0,100,100-100/(1+R758/S758))</f>
        <v>41.3678702925127</v>
      </c>
      <c r="U758" s="7" t="n">
        <f aca="false">E758*2/13+U757*11/13</f>
        <v>11079.2771854547</v>
      </c>
      <c r="V758" s="7" t="n">
        <f aca="false">E758*2/27+V757*25/27</f>
        <v>11270.6362533768</v>
      </c>
      <c r="W758" s="7" t="n">
        <f aca="false">U758-V758</f>
        <v>-191.359067922096</v>
      </c>
      <c r="X758" s="7" t="n">
        <f aca="false">W758*2/10+X757*8/10</f>
        <v>-129.9328785657</v>
      </c>
      <c r="Y758" s="7" t="n">
        <f aca="false">W758-X758</f>
        <v>-61.4261893563965</v>
      </c>
      <c r="Z758" s="9" t="s">
        <v>89</v>
      </c>
      <c r="AA758" s="7" t="str">
        <f aca="false">IFERROR(INDEX(02_轉折點45!B:B,MATCH(A758,02_轉折點45!A:A,0)),"")</f>
        <v/>
      </c>
      <c r="AB758" s="7" t="n">
        <f aca="false">COUNTIFS(05_訊號明細!A:A,A758,05_訊號明細!C:C,"TOP")</f>
        <v>0</v>
      </c>
      <c r="AC758" s="7" t="n">
        <f aca="false">COUNTIFS(05_訊號明細!A:A,A758,05_訊號明細!C:C,"BOTTOM")</f>
        <v>0</v>
      </c>
    </row>
    <row r="759" customFormat="false" ht="15" hidden="false" customHeight="false" outlineLevel="0" collapsed="false">
      <c r="A759" s="7" t="s">
        <v>800</v>
      </c>
      <c r="B759" s="7" t="n">
        <v>11038.42</v>
      </c>
      <c r="C759" s="7" t="n">
        <v>11093.1</v>
      </c>
      <c r="D759" s="7" t="n">
        <v>10770.93</v>
      </c>
      <c r="E759" s="7" t="n">
        <v>10862.64</v>
      </c>
      <c r="F759" s="7" t="n">
        <v>4781</v>
      </c>
      <c r="G759" s="7" t="n">
        <f aca="false">AVERAGE(E755:E759)</f>
        <v>10851.06</v>
      </c>
      <c r="H759" s="7" t="n">
        <f aca="false">AVERAGE(E750:E759)</f>
        <v>10958.978</v>
      </c>
      <c r="I759" s="7" t="n">
        <f aca="false">AVERAGE(E740:E759)</f>
        <v>11274.75</v>
      </c>
      <c r="J759" s="7" t="n">
        <f aca="false">AVERAGE(E710:E759)</f>
        <v>11402.2068</v>
      </c>
      <c r="K759" s="7" t="n">
        <f aca="false">AVERAGE(E660:E759)</f>
        <v>11701.8972</v>
      </c>
      <c r="L759" s="7" t="n">
        <f aca="false">AVERAGE(E560:E759)</f>
        <v>12275.84785</v>
      </c>
      <c r="M759" s="7" t="n">
        <f aca="false">I759</f>
        <v>11274.75</v>
      </c>
      <c r="N759" s="7" t="n">
        <f aca="false">I759+2*STDEV(E740:E759)</f>
        <v>12005.2151055321</v>
      </c>
      <c r="O759" s="7" t="n">
        <f aca="false">I759-2*STDEV(E740:E759)</f>
        <v>10544.2848944679</v>
      </c>
      <c r="P759" s="7" t="n">
        <f aca="false">MAX(E759-E758,0)</f>
        <v>0</v>
      </c>
      <c r="Q759" s="7" t="n">
        <f aca="false">MAX(E758-E759,0)</f>
        <v>77.1200000000008</v>
      </c>
      <c r="R759" s="7" t="n">
        <f aca="false">(R758*13+P759)/14</f>
        <v>57.9600171849672</v>
      </c>
      <c r="S759" s="7" t="n">
        <f aca="false">(S758*13+Q759)/14</f>
        <v>87.6573313576574</v>
      </c>
      <c r="T759" s="7" t="n">
        <f aca="false">IF(S759=0,100,100-100/(1+R759/S759))</f>
        <v>39.802961504962</v>
      </c>
      <c r="U759" s="7" t="n">
        <f aca="false">E759*2/13+U758*11/13</f>
        <v>11045.9483876924</v>
      </c>
      <c r="V759" s="7" t="n">
        <f aca="false">E759*2/27+V758*25/27</f>
        <v>11240.4143086822</v>
      </c>
      <c r="W759" s="7" t="n">
        <f aca="false">U759-V759</f>
        <v>-194.465920989778</v>
      </c>
      <c r="X759" s="7" t="n">
        <f aca="false">W759*2/10+X758*8/10</f>
        <v>-142.839487050515</v>
      </c>
      <c r="Y759" s="7" t="n">
        <f aca="false">W759-X759</f>
        <v>-51.6264339392629</v>
      </c>
      <c r="Z759" s="9" t="s">
        <v>89</v>
      </c>
      <c r="AA759" s="7" t="str">
        <f aca="false">IFERROR(INDEX(02_轉折點45!B:B,MATCH(A759,02_轉折點45!A:A,0)),"")</f>
        <v/>
      </c>
      <c r="AB759" s="7" t="n">
        <f aca="false">COUNTIFS(05_訊號明細!A:A,A759,05_訊號明細!C:C,"TOP")</f>
        <v>1</v>
      </c>
      <c r="AC759" s="7" t="n">
        <f aca="false">COUNTIFS(05_訊號明細!A:A,A759,05_訊號明細!C:C,"BOTTOM")</f>
        <v>0</v>
      </c>
    </row>
    <row r="760" customFormat="false" ht="15" hidden="false" customHeight="false" outlineLevel="0" collapsed="false">
      <c r="A760" s="7" t="s">
        <v>801</v>
      </c>
      <c r="B760" s="7" t="n">
        <v>10949.34</v>
      </c>
      <c r="C760" s="7" t="n">
        <v>10981.46</v>
      </c>
      <c r="D760" s="7" t="n">
        <v>10785.53</v>
      </c>
      <c r="E760" s="7" t="n">
        <v>10914.8</v>
      </c>
      <c r="F760" s="7" t="n">
        <v>5085</v>
      </c>
      <c r="G760" s="7" t="n">
        <f aca="false">AVERAGE(E756:E760)</f>
        <v>10869.518</v>
      </c>
      <c r="H760" s="7" t="n">
        <f aca="false">AVERAGE(E751:E760)</f>
        <v>10941.999</v>
      </c>
      <c r="I760" s="7" t="n">
        <f aca="false">AVERAGE(E741:E760)</f>
        <v>11231.15</v>
      </c>
      <c r="J760" s="7" t="n">
        <f aca="false">AVERAGE(E711:E760)</f>
        <v>11394.2962</v>
      </c>
      <c r="K760" s="7" t="n">
        <f aca="false">AVERAGE(E661:E760)</f>
        <v>11678.1253</v>
      </c>
      <c r="L760" s="7" t="n">
        <f aca="false">AVERAGE(E561:E760)</f>
        <v>12258.32145</v>
      </c>
      <c r="M760" s="7" t="n">
        <f aca="false">I760</f>
        <v>11231.15</v>
      </c>
      <c r="N760" s="7" t="n">
        <f aca="false">I760+2*STDEV(E741:E760)</f>
        <v>11936.5951576133</v>
      </c>
      <c r="O760" s="7" t="n">
        <f aca="false">I760-2*STDEV(E741:E760)</f>
        <v>10525.7048423867</v>
      </c>
      <c r="P760" s="7" t="n">
        <f aca="false">MAX(E760-E759,0)</f>
        <v>52.1599999999999</v>
      </c>
      <c r="Q760" s="7" t="n">
        <f aca="false">MAX(E759-E760,0)</f>
        <v>0</v>
      </c>
      <c r="R760" s="7" t="n">
        <f aca="false">(R759*13+P760)/14</f>
        <v>57.5457302431839</v>
      </c>
      <c r="S760" s="7" t="n">
        <f aca="false">(S759*13+Q760)/14</f>
        <v>81.396093403539</v>
      </c>
      <c r="T760" s="7" t="n">
        <f aca="false">IF(S760=0,100,100-100/(1+R760/S760))</f>
        <v>41.4171404497332</v>
      </c>
      <c r="U760" s="7" t="n">
        <f aca="false">E760*2/13+U759*11/13</f>
        <v>11025.7717126628</v>
      </c>
      <c r="V760" s="7" t="n">
        <f aca="false">E760*2/27+V759*25/27</f>
        <v>11216.2947302613</v>
      </c>
      <c r="W760" s="7" t="n">
        <f aca="false">U760-V760</f>
        <v>-190.523017598476</v>
      </c>
      <c r="X760" s="7" t="n">
        <f aca="false">W760*2/10+X759*8/10</f>
        <v>-152.376193160107</v>
      </c>
      <c r="Y760" s="7" t="n">
        <f aca="false">W760-X760</f>
        <v>-38.1468244383687</v>
      </c>
      <c r="Z760" s="9" t="s">
        <v>89</v>
      </c>
      <c r="AA760" s="7" t="str">
        <f aca="false">IFERROR(INDEX(02_轉折點45!B:B,MATCH(A760,02_轉折點45!A:A,0)),"")</f>
        <v/>
      </c>
      <c r="AB760" s="7" t="n">
        <f aca="false">COUNTIFS(05_訊號明細!A:A,A760,05_訊號明細!C:C,"TOP")</f>
        <v>0</v>
      </c>
      <c r="AC760" s="7" t="n">
        <f aca="false">COUNTIFS(05_訊號明細!A:A,A760,05_訊號明細!C:C,"BOTTOM")</f>
        <v>0</v>
      </c>
    </row>
    <row r="761" customFormat="false" ht="15" hidden="false" customHeight="false" outlineLevel="0" collapsed="false">
      <c r="A761" s="7" t="s">
        <v>802</v>
      </c>
      <c r="B761" s="7" t="n">
        <v>10837.25</v>
      </c>
      <c r="C761" s="7" t="n">
        <v>10842.33</v>
      </c>
      <c r="D761" s="7" t="n">
        <v>10728.26</v>
      </c>
      <c r="E761" s="7" t="n">
        <v>10741.22</v>
      </c>
      <c r="F761" s="7" t="n">
        <v>4764</v>
      </c>
      <c r="G761" s="7" t="n">
        <f aca="false">AVERAGE(E757:E761)</f>
        <v>10881.894</v>
      </c>
      <c r="H761" s="7" t="n">
        <f aca="false">AVERAGE(E752:E761)</f>
        <v>10908.879</v>
      </c>
      <c r="I761" s="7" t="n">
        <f aca="false">AVERAGE(E742:E761)</f>
        <v>11190.7265</v>
      </c>
      <c r="J761" s="7" t="n">
        <f aca="false">AVERAGE(E712:E761)</f>
        <v>11380.5154</v>
      </c>
      <c r="K761" s="7" t="n">
        <f aca="false">AVERAGE(E662:E761)</f>
        <v>11649.8788</v>
      </c>
      <c r="L761" s="7" t="n">
        <f aca="false">AVERAGE(E562:E761)</f>
        <v>12240.1471</v>
      </c>
      <c r="M761" s="7" t="n">
        <f aca="false">I761</f>
        <v>11190.7265</v>
      </c>
      <c r="N761" s="7" t="n">
        <f aca="false">I761+2*STDEV(E742:E761)</f>
        <v>11911.7978696562</v>
      </c>
      <c r="O761" s="7" t="n">
        <f aca="false">I761-2*STDEV(E742:E761)</f>
        <v>10469.6551303438</v>
      </c>
      <c r="P761" s="7" t="n">
        <f aca="false">MAX(E761-E760,0)</f>
        <v>0</v>
      </c>
      <c r="Q761" s="7" t="n">
        <f aca="false">MAX(E760-E761,0)</f>
        <v>173.58</v>
      </c>
      <c r="R761" s="7" t="n">
        <f aca="false">(R760*13+P761)/14</f>
        <v>53.4353209400993</v>
      </c>
      <c r="S761" s="7" t="n">
        <f aca="false">(S760*13+Q761)/14</f>
        <v>87.9806581604291</v>
      </c>
      <c r="T761" s="7" t="n">
        <f aca="false">IF(S761=0,100,100-100/(1+R761/S761))</f>
        <v>37.7859144913983</v>
      </c>
      <c r="U761" s="7" t="n">
        <f aca="false">E761*2/13+U760*11/13</f>
        <v>10981.9945260993</v>
      </c>
      <c r="V761" s="7" t="n">
        <f aca="false">E761*2/27+V760*25/27</f>
        <v>11181.1040095012</v>
      </c>
      <c r="W761" s="7" t="n">
        <f aca="false">U761-V761</f>
        <v>-199.109483401891</v>
      </c>
      <c r="X761" s="7" t="n">
        <f aca="false">W761*2/10+X760*8/10</f>
        <v>-161.722851208464</v>
      </c>
      <c r="Y761" s="7" t="n">
        <f aca="false">W761-X761</f>
        <v>-37.3866321934271</v>
      </c>
      <c r="Z761" s="9" t="s">
        <v>89</v>
      </c>
      <c r="AA761" s="7" t="str">
        <f aca="false">IFERROR(INDEX(02_轉折點45!B:B,MATCH(A761,02_轉折點45!A:A,0)),"")</f>
        <v/>
      </c>
      <c r="AB761" s="7" t="n">
        <f aca="false">COUNTIFS(05_訊號明細!A:A,A761,05_訊號明細!C:C,"TOP")</f>
        <v>0</v>
      </c>
      <c r="AC761" s="7" t="n">
        <f aca="false">COUNTIFS(05_訊號明細!A:A,A761,05_訊號明細!C:C,"BOTTOM")</f>
        <v>0</v>
      </c>
    </row>
    <row r="762" customFormat="false" ht="15" hidden="false" customHeight="false" outlineLevel="0" collapsed="false">
      <c r="A762" s="7" t="s">
        <v>803</v>
      </c>
      <c r="B762" s="7" t="n">
        <v>10807.46</v>
      </c>
      <c r="C762" s="7" t="n">
        <v>11082.59</v>
      </c>
      <c r="D762" s="7" t="n">
        <v>10696.42</v>
      </c>
      <c r="E762" s="7" t="n">
        <v>11040.35</v>
      </c>
      <c r="F762" s="7" t="n">
        <v>5200</v>
      </c>
      <c r="G762" s="7" t="n">
        <f aca="false">AVERAGE(E758:E762)</f>
        <v>10899.754</v>
      </c>
      <c r="H762" s="7" t="n">
        <f aca="false">AVERAGE(E753:E762)</f>
        <v>10889.326</v>
      </c>
      <c r="I762" s="7" t="n">
        <f aca="false">AVERAGE(E743:E762)</f>
        <v>11167.8745</v>
      </c>
      <c r="J762" s="7" t="n">
        <f aca="false">AVERAGE(E713:E762)</f>
        <v>11367.9226</v>
      </c>
      <c r="K762" s="7" t="n">
        <f aca="false">AVERAGE(E663:E762)</f>
        <v>11623.6105</v>
      </c>
      <c r="L762" s="7" t="n">
        <f aca="false">AVERAGE(E563:E762)</f>
        <v>12222.0772</v>
      </c>
      <c r="M762" s="7" t="n">
        <f aca="false">I762</f>
        <v>11167.8745</v>
      </c>
      <c r="N762" s="7" t="n">
        <f aca="false">I762+2*STDEV(E743:E762)</f>
        <v>11876.8930851762</v>
      </c>
      <c r="O762" s="7" t="n">
        <f aca="false">I762-2*STDEV(E743:E762)</f>
        <v>10458.8559148238</v>
      </c>
      <c r="P762" s="7" t="n">
        <f aca="false">MAX(E762-E761,0)</f>
        <v>299.130000000001</v>
      </c>
      <c r="Q762" s="7" t="n">
        <f aca="false">MAX(E761-E762,0)</f>
        <v>0</v>
      </c>
      <c r="R762" s="7" t="n">
        <f aca="false">(R761*13+P762)/14</f>
        <v>70.9849408729494</v>
      </c>
      <c r="S762" s="7" t="n">
        <f aca="false">(S761*13+Q762)/14</f>
        <v>81.6963254346842</v>
      </c>
      <c r="T762" s="7" t="n">
        <f aca="false">IF(S762=0,100,100-100/(1+R762/S762))</f>
        <v>46.4922400695339</v>
      </c>
      <c r="U762" s="7" t="n">
        <f aca="false">E762*2/13+U761*11/13</f>
        <v>10990.9722913148</v>
      </c>
      <c r="V762" s="7" t="n">
        <f aca="false">E762*2/27+V761*25/27</f>
        <v>11170.6777865752</v>
      </c>
      <c r="W762" s="7" t="n">
        <f aca="false">U762-V762</f>
        <v>-179.705495260385</v>
      </c>
      <c r="X762" s="7" t="n">
        <f aca="false">W762*2/10+X761*8/10</f>
        <v>-165.319380018848</v>
      </c>
      <c r="Y762" s="7" t="n">
        <f aca="false">W762-X762</f>
        <v>-14.3861152415365</v>
      </c>
      <c r="Z762" s="9" t="s">
        <v>89</v>
      </c>
      <c r="AA762" s="7" t="str">
        <f aca="false">IFERROR(INDEX(02_轉折點45!B:B,MATCH(A762,02_轉折點45!A:A,0)),"")</f>
        <v/>
      </c>
      <c r="AB762" s="7" t="n">
        <f aca="false">COUNTIFS(05_訊號明細!A:A,A762,05_訊號明細!C:C,"TOP")</f>
        <v>0</v>
      </c>
      <c r="AC762" s="7" t="n">
        <f aca="false">COUNTIFS(05_訊號明細!A:A,A762,05_訊號明細!C:C,"BOTTOM")</f>
        <v>1</v>
      </c>
    </row>
    <row r="763" customFormat="false" ht="15" hidden="false" customHeight="false" outlineLevel="0" collapsed="false">
      <c r="A763" s="7" t="s">
        <v>804</v>
      </c>
      <c r="B763" s="7" t="n">
        <v>11133.07</v>
      </c>
      <c r="C763" s="7" t="n">
        <v>11304.84</v>
      </c>
      <c r="D763" s="7" t="n">
        <v>11085.32</v>
      </c>
      <c r="E763" s="7" t="n">
        <v>11108.45</v>
      </c>
      <c r="F763" s="7" t="n">
        <v>5132</v>
      </c>
      <c r="G763" s="7" t="n">
        <f aca="false">AVERAGE(E759:E763)</f>
        <v>10933.492</v>
      </c>
      <c r="H763" s="7" t="n">
        <f aca="false">AVERAGE(E754:E763)</f>
        <v>10904.557</v>
      </c>
      <c r="I763" s="7" t="n">
        <f aca="false">AVERAGE(E744:E763)</f>
        <v>11141.422</v>
      </c>
      <c r="J763" s="7" t="n">
        <f aca="false">AVERAGE(E714:E763)</f>
        <v>11361.9736</v>
      </c>
      <c r="K763" s="7" t="n">
        <f aca="false">AVERAGE(E664:E763)</f>
        <v>11598.3429</v>
      </c>
      <c r="L763" s="7" t="n">
        <f aca="false">AVERAGE(E564:E763)</f>
        <v>12205.3817</v>
      </c>
      <c r="M763" s="7" t="n">
        <f aca="false">I763</f>
        <v>11141.422</v>
      </c>
      <c r="N763" s="7" t="n">
        <f aca="false">I763+2*STDEV(E744:E763)</f>
        <v>11815.271647125</v>
      </c>
      <c r="O763" s="7" t="n">
        <f aca="false">I763-2*STDEV(E744:E763)</f>
        <v>10467.572352875</v>
      </c>
      <c r="P763" s="7" t="n">
        <f aca="false">MAX(E763-E762,0)</f>
        <v>68.1000000000004</v>
      </c>
      <c r="Q763" s="7" t="n">
        <f aca="false">MAX(E762-E763,0)</f>
        <v>0</v>
      </c>
      <c r="R763" s="7" t="n">
        <f aca="false">(R762*13+P763)/14</f>
        <v>70.7788736677388</v>
      </c>
      <c r="S763" s="7" t="n">
        <f aca="false">(S762*13+Q763)/14</f>
        <v>75.860873617921</v>
      </c>
      <c r="T763" s="7" t="n">
        <f aca="false">IF(S763=0,100,100-100/(1+R763/S763))</f>
        <v>48.2671819734242</v>
      </c>
      <c r="U763" s="7" t="n">
        <f aca="false">E763*2/13+U762*11/13</f>
        <v>11009.0457849587</v>
      </c>
      <c r="V763" s="7" t="n">
        <f aca="false">E763*2/27+V762*25/27</f>
        <v>11166.0683209029</v>
      </c>
      <c r="W763" s="7" t="n">
        <f aca="false">U763-V763</f>
        <v>-157.022535944272</v>
      </c>
      <c r="X763" s="7" t="n">
        <f aca="false">W763*2/10+X762*8/10</f>
        <v>-163.660011203933</v>
      </c>
      <c r="Y763" s="7" t="n">
        <f aca="false">W763-X763</f>
        <v>6.63747525966105</v>
      </c>
      <c r="Z763" s="9" t="s">
        <v>89</v>
      </c>
      <c r="AA763" s="7" t="str">
        <f aca="false">IFERROR(INDEX(02_轉折點45!B:B,MATCH(A763,02_轉折點45!A:A,0)),"")</f>
        <v/>
      </c>
      <c r="AB763" s="7" t="n">
        <f aca="false">COUNTIFS(05_訊號明細!A:A,A763,05_訊號明細!C:C,"TOP")</f>
        <v>0</v>
      </c>
      <c r="AC763" s="7" t="n">
        <f aca="false">COUNTIFS(05_訊號明細!A:A,A763,05_訊號明細!C:C,"BOTTOM")</f>
        <v>0</v>
      </c>
    </row>
    <row r="764" customFormat="false" ht="15" hidden="false" customHeight="false" outlineLevel="0" collapsed="false">
      <c r="A764" s="7" t="s">
        <v>805</v>
      </c>
      <c r="B764" s="7" t="n">
        <v>11069.05</v>
      </c>
      <c r="C764" s="7" t="n">
        <v>11207.56</v>
      </c>
      <c r="D764" s="7" t="n">
        <v>11050.68</v>
      </c>
      <c r="E764" s="7" t="n">
        <v>11205.78</v>
      </c>
      <c r="F764" s="7" t="n">
        <v>4711</v>
      </c>
      <c r="G764" s="7" t="n">
        <f aca="false">AVERAGE(E760:E764)</f>
        <v>11002.12</v>
      </c>
      <c r="H764" s="7" t="n">
        <f aca="false">AVERAGE(E755:E764)</f>
        <v>10926.59</v>
      </c>
      <c r="I764" s="7" t="n">
        <f aca="false">AVERAGE(E745:E764)</f>
        <v>11123.5445</v>
      </c>
      <c r="J764" s="7" t="n">
        <f aca="false">AVERAGE(E715:E764)</f>
        <v>11362.2566</v>
      </c>
      <c r="K764" s="7" t="n">
        <f aca="false">AVERAGE(E665:E764)</f>
        <v>11575.6921</v>
      </c>
      <c r="L764" s="7" t="n">
        <f aca="false">AVERAGE(E565:E764)</f>
        <v>12187.58215</v>
      </c>
      <c r="M764" s="7" t="n">
        <f aca="false">I764</f>
        <v>11123.5445</v>
      </c>
      <c r="N764" s="7" t="n">
        <f aca="false">I764+2*STDEV(E745:E764)</f>
        <v>11768.6217111265</v>
      </c>
      <c r="O764" s="7" t="n">
        <f aca="false">I764-2*STDEV(E745:E764)</f>
        <v>10478.4672888735</v>
      </c>
      <c r="P764" s="7" t="n">
        <f aca="false">MAX(E764-E763,0)</f>
        <v>97.3299999999999</v>
      </c>
      <c r="Q764" s="7" t="n">
        <f aca="false">MAX(E763-E764,0)</f>
        <v>0</v>
      </c>
      <c r="R764" s="7" t="n">
        <f aca="false">(R763*13+P764)/14</f>
        <v>72.6753826914717</v>
      </c>
      <c r="S764" s="7" t="n">
        <f aca="false">(S763*13+Q764)/14</f>
        <v>70.4422397880695</v>
      </c>
      <c r="T764" s="7" t="n">
        <f aca="false">IF(S764=0,100,100-100/(1+R764/S764))</f>
        <v>50.7801774738542</v>
      </c>
      <c r="U764" s="7" t="n">
        <f aca="false">E764*2/13+U763*11/13</f>
        <v>11039.3125872727</v>
      </c>
      <c r="V764" s="7" t="n">
        <f aca="false">E764*2/27+V763*25/27</f>
        <v>11169.009926762</v>
      </c>
      <c r="W764" s="7" t="n">
        <f aca="false">U764-V764</f>
        <v>-129.697339489263</v>
      </c>
      <c r="X764" s="7" t="n">
        <f aca="false">W764*2/10+X763*8/10</f>
        <v>-156.867476860999</v>
      </c>
      <c r="Y764" s="7" t="n">
        <f aca="false">W764-X764</f>
        <v>27.1701373717361</v>
      </c>
      <c r="Z764" s="9" t="s">
        <v>89</v>
      </c>
      <c r="AA764" s="7" t="str">
        <f aca="false">IFERROR(INDEX(02_轉折點45!B:B,MATCH(A764,02_轉折點45!A:A,0)),"")</f>
        <v/>
      </c>
      <c r="AB764" s="7" t="n">
        <f aca="false">COUNTIFS(05_訊號明細!A:A,A764,05_訊號明細!C:C,"TOP")</f>
        <v>0</v>
      </c>
      <c r="AC764" s="7" t="n">
        <f aca="false">COUNTIFS(05_訊號明細!A:A,A764,05_訊號明細!C:C,"BOTTOM")</f>
        <v>0</v>
      </c>
    </row>
    <row r="765" customFormat="false" ht="15" hidden="false" customHeight="false" outlineLevel="0" collapsed="false">
      <c r="A765" s="7" t="s">
        <v>806</v>
      </c>
      <c r="B765" s="7" t="n">
        <v>11259.16</v>
      </c>
      <c r="C765" s="7" t="n">
        <v>11403.89</v>
      </c>
      <c r="D765" s="7" t="n">
        <v>11220.75</v>
      </c>
      <c r="E765" s="7" t="n">
        <v>11402.52</v>
      </c>
      <c r="F765" s="7" t="n">
        <v>5284</v>
      </c>
      <c r="G765" s="7" t="n">
        <f aca="false">AVERAGE(E761:E765)</f>
        <v>11099.664</v>
      </c>
      <c r="H765" s="7" t="n">
        <f aca="false">AVERAGE(E756:E765)</f>
        <v>10984.591</v>
      </c>
      <c r="I765" s="7" t="n">
        <f aca="false">AVERAGE(E746:E765)</f>
        <v>11108.3485</v>
      </c>
      <c r="J765" s="7" t="n">
        <f aca="false">AVERAGE(E716:E765)</f>
        <v>11359.3828</v>
      </c>
      <c r="K765" s="7" t="n">
        <f aca="false">AVERAGE(E666:E765)</f>
        <v>11554.6574</v>
      </c>
      <c r="L765" s="7" t="n">
        <f aca="false">AVERAGE(E566:E765)</f>
        <v>12170.8232</v>
      </c>
      <c r="M765" s="7" t="n">
        <f aca="false">I765</f>
        <v>11108.3485</v>
      </c>
      <c r="N765" s="7" t="n">
        <f aca="false">I765+2*STDEV(E746:E765)</f>
        <v>11708.3544099455</v>
      </c>
      <c r="O765" s="7" t="n">
        <f aca="false">I765-2*STDEV(E746:E765)</f>
        <v>10508.3425900545</v>
      </c>
      <c r="P765" s="7" t="n">
        <f aca="false">MAX(E765-E764,0)</f>
        <v>196.74</v>
      </c>
      <c r="Q765" s="7" t="n">
        <f aca="false">MAX(E764-E765,0)</f>
        <v>0</v>
      </c>
      <c r="R765" s="7" t="n">
        <f aca="false">(R764*13+P765)/14</f>
        <v>81.5371410706523</v>
      </c>
      <c r="S765" s="7" t="n">
        <f aca="false">(S764*13+Q765)/14</f>
        <v>65.4106512317788</v>
      </c>
      <c r="T765" s="7" t="n">
        <f aca="false">IF(S765=0,100,100-100/(1+R765/S765))</f>
        <v>55.4871494107525</v>
      </c>
      <c r="U765" s="7" t="n">
        <f aca="false">E765*2/13+U764*11/13</f>
        <v>11095.1906507692</v>
      </c>
      <c r="V765" s="7" t="n">
        <f aca="false">E765*2/27+V764*25/27</f>
        <v>11186.3069692241</v>
      </c>
      <c r="W765" s="7" t="n">
        <f aca="false">U765-V765</f>
        <v>-91.116318454835</v>
      </c>
      <c r="X765" s="7" t="n">
        <f aca="false">W765*2/10+X764*8/10</f>
        <v>-143.717245179766</v>
      </c>
      <c r="Y765" s="7" t="n">
        <f aca="false">W765-X765</f>
        <v>52.6009267249312</v>
      </c>
      <c r="Z765" s="7" t="s">
        <v>78</v>
      </c>
      <c r="AA765" s="7" t="str">
        <f aca="false">IFERROR(INDEX(02_轉折點45!B:B,MATCH(A765,02_轉折點45!A:A,0)),"")</f>
        <v/>
      </c>
      <c r="AB765" s="7" t="n">
        <f aca="false">COUNTIFS(05_訊號明細!A:A,A765,05_訊號明細!C:C,"TOP")</f>
        <v>0</v>
      </c>
      <c r="AC765" s="7" t="n">
        <f aca="false">COUNTIFS(05_訊號明細!A:A,A765,05_訊號明細!C:C,"BOTTOM")</f>
        <v>0</v>
      </c>
    </row>
    <row r="766" customFormat="false" ht="15" hidden="false" customHeight="false" outlineLevel="0" collapsed="false">
      <c r="A766" s="7" t="s">
        <v>807</v>
      </c>
      <c r="B766" s="7" t="n">
        <v>11441.45</v>
      </c>
      <c r="C766" s="7" t="n">
        <v>11500.86</v>
      </c>
      <c r="D766" s="7" t="n">
        <v>11246.02</v>
      </c>
      <c r="E766" s="7" t="n">
        <v>11459.61</v>
      </c>
      <c r="F766" s="7" t="n">
        <v>5681</v>
      </c>
      <c r="G766" s="7" t="n">
        <f aca="false">AVERAGE(E762:E766)</f>
        <v>11243.342</v>
      </c>
      <c r="H766" s="7" t="n">
        <f aca="false">AVERAGE(E757:E766)</f>
        <v>11062.618</v>
      </c>
      <c r="I766" s="7" t="n">
        <f aca="false">AVERAGE(E747:E766)</f>
        <v>11089.6185</v>
      </c>
      <c r="J766" s="7" t="n">
        <f aca="false">AVERAGE(E717:E766)</f>
        <v>11360.4636</v>
      </c>
      <c r="K766" s="7" t="n">
        <f aca="false">AVERAGE(E667:E766)</f>
        <v>11536.8245</v>
      </c>
      <c r="L766" s="7" t="n">
        <f aca="false">AVERAGE(E567:E766)</f>
        <v>12153.18425</v>
      </c>
      <c r="M766" s="7" t="n">
        <f aca="false">I766</f>
        <v>11089.6185</v>
      </c>
      <c r="N766" s="7" t="n">
        <f aca="false">I766+2*STDEV(E747:E766)</f>
        <v>11612.6717131639</v>
      </c>
      <c r="O766" s="7" t="n">
        <f aca="false">I766-2*STDEV(E747:E766)</f>
        <v>10566.5652868361</v>
      </c>
      <c r="P766" s="7" t="n">
        <f aca="false">MAX(E766-E765,0)</f>
        <v>57.0900000000001</v>
      </c>
      <c r="Q766" s="7" t="n">
        <f aca="false">MAX(E765-E766,0)</f>
        <v>0</v>
      </c>
      <c r="R766" s="7" t="n">
        <f aca="false">(R765*13+P766)/14</f>
        <v>79.7909167084628</v>
      </c>
      <c r="S766" s="7" t="n">
        <f aca="false">(S765*13+Q766)/14</f>
        <v>60.7384618580803</v>
      </c>
      <c r="T766" s="7" t="n">
        <f aca="false">IF(S766=0,100,100-100/(1+R766/S766))</f>
        <v>56.7788155917024</v>
      </c>
      <c r="U766" s="7" t="n">
        <f aca="false">E766*2/13+U765*11/13</f>
        <v>11151.2551660355</v>
      </c>
      <c r="V766" s="7" t="n">
        <f aca="false">E766*2/27+V765*25/27</f>
        <v>11206.5516381704</v>
      </c>
      <c r="W766" s="7" t="n">
        <f aca="false">U766-V766</f>
        <v>-55.296472134929</v>
      </c>
      <c r="X766" s="7" t="n">
        <f aca="false">W766*2/10+X765*8/10</f>
        <v>-126.033090570799</v>
      </c>
      <c r="Y766" s="7" t="n">
        <f aca="false">W766-X766</f>
        <v>70.7366184358698</v>
      </c>
      <c r="Z766" s="7" t="s">
        <v>78</v>
      </c>
      <c r="AA766" s="7" t="str">
        <f aca="false">IFERROR(INDEX(02_轉折點45!B:B,MATCH(A766,02_轉折點45!A:A,0)),"")</f>
        <v/>
      </c>
      <c r="AB766" s="7" t="n">
        <f aca="false">COUNTIFS(05_訊號明細!A:A,A766,05_訊號明細!C:C,"TOP")</f>
        <v>0</v>
      </c>
      <c r="AC766" s="7" t="n">
        <f aca="false">COUNTIFS(05_訊號明細!A:A,A766,05_訊號明細!C:C,"BOTTOM")</f>
        <v>1</v>
      </c>
    </row>
    <row r="767" customFormat="false" ht="15" hidden="false" customHeight="false" outlineLevel="0" collapsed="false">
      <c r="A767" s="7" t="s">
        <v>808</v>
      </c>
      <c r="B767" s="7" t="n">
        <v>11362.13</v>
      </c>
      <c r="C767" s="7" t="n">
        <v>11547.96</v>
      </c>
      <c r="D767" s="7" t="n">
        <v>11347.6</v>
      </c>
      <c r="E767" s="7" t="n">
        <v>11541.48</v>
      </c>
      <c r="F767" s="7" t="n">
        <v>5078</v>
      </c>
      <c r="G767" s="7" t="n">
        <f aca="false">AVERAGE(E763:E767)</f>
        <v>11343.568</v>
      </c>
      <c r="H767" s="7" t="n">
        <f aca="false">AVERAGE(E758:E767)</f>
        <v>11121.661</v>
      </c>
      <c r="I767" s="7" t="n">
        <f aca="false">AVERAGE(E748:E767)</f>
        <v>11079.6465</v>
      </c>
      <c r="J767" s="7" t="n">
        <f aca="false">AVERAGE(E718:E767)</f>
        <v>11365.5142</v>
      </c>
      <c r="K767" s="7" t="n">
        <f aca="false">AVERAGE(E668:E767)</f>
        <v>11523.3339</v>
      </c>
      <c r="L767" s="7" t="n">
        <f aca="false">AVERAGE(E568:E767)</f>
        <v>12134.69505</v>
      </c>
      <c r="M767" s="7" t="n">
        <f aca="false">I767</f>
        <v>11079.6465</v>
      </c>
      <c r="N767" s="7" t="n">
        <f aca="false">I767+2*STDEV(E748:E767)</f>
        <v>11555.9311359622</v>
      </c>
      <c r="O767" s="7" t="n">
        <f aca="false">I767-2*STDEV(E748:E767)</f>
        <v>10603.3618640378</v>
      </c>
      <c r="P767" s="7" t="n">
        <f aca="false">MAX(E767-E766,0)</f>
        <v>81.869999999999</v>
      </c>
      <c r="Q767" s="7" t="n">
        <f aca="false">MAX(E766-E767,0)</f>
        <v>0</v>
      </c>
      <c r="R767" s="7" t="n">
        <f aca="false">(R766*13+P767)/14</f>
        <v>79.9394226578583</v>
      </c>
      <c r="S767" s="7" t="n">
        <f aca="false">(S766*13+Q767)/14</f>
        <v>56.4000002967889</v>
      </c>
      <c r="T767" s="7" t="n">
        <f aca="false">IF(S767=0,100,100-100/(1+R767/S767))</f>
        <v>58.6326543896624</v>
      </c>
      <c r="U767" s="7" t="n">
        <f aca="false">E767*2/13+U766*11/13</f>
        <v>11211.2897558762</v>
      </c>
      <c r="V767" s="7" t="n">
        <f aca="false">E767*2/27+V766*25/27</f>
        <v>11231.3611464541</v>
      </c>
      <c r="W767" s="7" t="n">
        <f aca="false">U767-V767</f>
        <v>-20.0713905779103</v>
      </c>
      <c r="X767" s="7" t="n">
        <f aca="false">W767*2/10+X766*8/10</f>
        <v>-104.840750572221</v>
      </c>
      <c r="Y767" s="7" t="n">
        <f aca="false">W767-X767</f>
        <v>84.7693599943108</v>
      </c>
      <c r="Z767" s="7" t="s">
        <v>78</v>
      </c>
      <c r="AA767" s="7" t="str">
        <f aca="false">IFERROR(INDEX(02_轉折點45!B:B,MATCH(A767,02_轉折點45!A:A,0)),"")</f>
        <v/>
      </c>
      <c r="AB767" s="7" t="n">
        <f aca="false">COUNTIFS(05_訊號明細!A:A,A767,05_訊號明細!C:C,"TOP")</f>
        <v>0</v>
      </c>
      <c r="AC767" s="7" t="n">
        <f aca="false">COUNTIFS(05_訊號明細!A:A,A767,05_訊號明細!C:C,"BOTTOM")</f>
        <v>1</v>
      </c>
    </row>
    <row r="768" customFormat="false" ht="15" hidden="false" customHeight="false" outlineLevel="0" collapsed="false">
      <c r="A768" s="7" t="s">
        <v>809</v>
      </c>
      <c r="B768" s="7" t="n">
        <v>11531.54</v>
      </c>
      <c r="C768" s="7" t="n">
        <v>11615.95</v>
      </c>
      <c r="D768" s="7" t="n">
        <v>11484.02</v>
      </c>
      <c r="E768" s="7" t="n">
        <v>11557.19</v>
      </c>
      <c r="F768" s="7" t="n">
        <v>5138</v>
      </c>
      <c r="G768" s="7" t="n">
        <f aca="false">AVERAGE(E764:E768)</f>
        <v>11433.316</v>
      </c>
      <c r="H768" s="7" t="n">
        <f aca="false">AVERAGE(E759:E768)</f>
        <v>11183.404</v>
      </c>
      <c r="I768" s="7" t="n">
        <f aca="false">AVERAGE(E749:E768)</f>
        <v>11090.245</v>
      </c>
      <c r="J768" s="7" t="n">
        <f aca="false">AVERAGE(E719:E768)</f>
        <v>11378.5312</v>
      </c>
      <c r="K768" s="7" t="n">
        <f aca="false">AVERAGE(E669:E768)</f>
        <v>11510.0879</v>
      </c>
      <c r="L768" s="7" t="n">
        <f aca="false">AVERAGE(E569:E768)</f>
        <v>12117.12325</v>
      </c>
      <c r="M768" s="7" t="n">
        <f aca="false">I768</f>
        <v>11090.245</v>
      </c>
      <c r="N768" s="7" t="n">
        <f aca="false">I768+2*STDEV(E749:E768)</f>
        <v>11599.6916461605</v>
      </c>
      <c r="O768" s="7" t="n">
        <f aca="false">I768-2*STDEV(E749:E768)</f>
        <v>10580.7983538395</v>
      </c>
      <c r="P768" s="7" t="n">
        <f aca="false">MAX(E768-E767,0)</f>
        <v>15.7100000000009</v>
      </c>
      <c r="Q768" s="7" t="n">
        <f aca="false">MAX(E767-E768,0)</f>
        <v>0</v>
      </c>
      <c r="R768" s="7" t="n">
        <f aca="false">(R767*13+P768)/14</f>
        <v>75.3516067537256</v>
      </c>
      <c r="S768" s="7" t="n">
        <f aca="false">(S767*13+Q768)/14</f>
        <v>52.3714288470183</v>
      </c>
      <c r="T768" s="7" t="n">
        <f aca="false">IF(S768=0,100,100-100/(1+R768/S768))</f>
        <v>58.9960976102002</v>
      </c>
      <c r="U768" s="7" t="n">
        <f aca="false">E768*2/13+U767*11/13</f>
        <v>11264.5051780491</v>
      </c>
      <c r="V768" s="7" t="n">
        <f aca="false">E768*2/27+V767*25/27</f>
        <v>11255.4966170871</v>
      </c>
      <c r="W768" s="7" t="n">
        <f aca="false">U768-V768</f>
        <v>9.00856096195457</v>
      </c>
      <c r="X768" s="7" t="n">
        <f aca="false">W768*2/10+X767*8/10</f>
        <v>-82.070888265386</v>
      </c>
      <c r="Y768" s="7" t="n">
        <f aca="false">W768-X768</f>
        <v>91.0794492273405</v>
      </c>
      <c r="Z768" s="7" t="s">
        <v>78</v>
      </c>
      <c r="AA768" s="7" t="str">
        <f aca="false">IFERROR(INDEX(02_轉折點45!B:B,MATCH(A768,02_轉折點45!A:A,0)),"")</f>
        <v/>
      </c>
      <c r="AB768" s="7" t="n">
        <f aca="false">COUNTIFS(05_訊號明細!A:A,A768,05_訊號明細!C:C,"TOP")</f>
        <v>0</v>
      </c>
      <c r="AC768" s="7" t="n">
        <f aca="false">COUNTIFS(05_訊號明細!A:A,A768,05_訊號明細!C:C,"BOTTOM")</f>
        <v>0</v>
      </c>
    </row>
    <row r="769" customFormat="false" ht="15" hidden="false" customHeight="false" outlineLevel="0" collapsed="false">
      <c r="A769" s="7" t="s">
        <v>810</v>
      </c>
      <c r="B769" s="7" t="n">
        <v>11636.61</v>
      </c>
      <c r="C769" s="7" t="n">
        <v>11690.27</v>
      </c>
      <c r="D769" s="7" t="n">
        <v>11403.31</v>
      </c>
      <c r="E769" s="7" t="n">
        <v>11410.29</v>
      </c>
      <c r="F769" s="7" t="n">
        <v>5289</v>
      </c>
      <c r="G769" s="7" t="n">
        <f aca="false">AVERAGE(E765:E769)</f>
        <v>11474.218</v>
      </c>
      <c r="H769" s="7" t="n">
        <f aca="false">AVERAGE(E760:E769)</f>
        <v>11238.169</v>
      </c>
      <c r="I769" s="7" t="n">
        <f aca="false">AVERAGE(E750:E769)</f>
        <v>11098.5735</v>
      </c>
      <c r="J769" s="7" t="n">
        <f aca="false">AVERAGE(E720:E769)</f>
        <v>11392.925</v>
      </c>
      <c r="K769" s="7" t="n">
        <f aca="false">AVERAGE(E670:E769)</f>
        <v>11495.0122</v>
      </c>
      <c r="L769" s="7" t="n">
        <f aca="false">AVERAGE(E570:E769)</f>
        <v>12099.98225</v>
      </c>
      <c r="M769" s="7" t="n">
        <f aca="false">I769</f>
        <v>11098.5735</v>
      </c>
      <c r="N769" s="7" t="n">
        <f aca="false">I769+2*STDEV(E750:E769)</f>
        <v>11623.7867205124</v>
      </c>
      <c r="O769" s="7" t="n">
        <f aca="false">I769-2*STDEV(E750:E769)</f>
        <v>10573.3602794876</v>
      </c>
      <c r="P769" s="7" t="n">
        <f aca="false">MAX(E769-E768,0)</f>
        <v>0</v>
      </c>
      <c r="Q769" s="7" t="n">
        <f aca="false">MAX(E768-E769,0)</f>
        <v>146.9</v>
      </c>
      <c r="R769" s="7" t="n">
        <f aca="false">(R768*13+P769)/14</f>
        <v>69.9693491284595</v>
      </c>
      <c r="S769" s="7" t="n">
        <f aca="false">(S768*13+Q769)/14</f>
        <v>59.1234696436598</v>
      </c>
      <c r="T769" s="7" t="n">
        <f aca="false">IF(S769=0,100,100-100/(1+R769/S769))</f>
        <v>54.2008066707202</v>
      </c>
      <c r="U769" s="7" t="n">
        <f aca="false">E769*2/13+U768*11/13</f>
        <v>11286.9336121954</v>
      </c>
      <c r="V769" s="7" t="n">
        <f aca="false">E769*2/27+V768*25/27</f>
        <v>11266.9627935992</v>
      </c>
      <c r="W769" s="7" t="n">
        <f aca="false">U769-V769</f>
        <v>19.9708185961827</v>
      </c>
      <c r="X769" s="7" t="n">
        <f aca="false">W769*2/10+X768*8/10</f>
        <v>-61.6625468930722</v>
      </c>
      <c r="Y769" s="7" t="n">
        <f aca="false">W769-X769</f>
        <v>81.6333654892549</v>
      </c>
      <c r="Z769" s="7" t="s">
        <v>78</v>
      </c>
      <c r="AA769" s="7" t="str">
        <f aca="false">IFERROR(INDEX(02_轉折點45!B:B,MATCH(A769,02_轉折點45!A:A,0)),"")</f>
        <v/>
      </c>
      <c r="AB769" s="7" t="n">
        <f aca="false">COUNTIFS(05_訊號明細!A:A,A769,05_訊號明細!C:C,"TOP")</f>
        <v>0</v>
      </c>
      <c r="AC769" s="7" t="n">
        <f aca="false">COUNTIFS(05_訊號明細!A:A,A769,05_訊號明細!C:C,"BOTTOM")</f>
        <v>0</v>
      </c>
    </row>
    <row r="770" customFormat="false" ht="15" hidden="false" customHeight="false" outlineLevel="0" collapsed="false">
      <c r="A770" s="7" t="s">
        <v>811</v>
      </c>
      <c r="B770" s="7" t="n">
        <v>11345.19</v>
      </c>
      <c r="C770" s="7" t="n">
        <v>11388.46</v>
      </c>
      <c r="D770" s="7" t="n">
        <v>11251.94</v>
      </c>
      <c r="E770" s="7" t="n">
        <v>11295.67</v>
      </c>
      <c r="F770" s="7" t="n">
        <v>4661</v>
      </c>
      <c r="G770" s="7" t="n">
        <f aca="false">AVERAGE(E766:E770)</f>
        <v>11452.848</v>
      </c>
      <c r="H770" s="7" t="n">
        <f aca="false">AVERAGE(E761:E770)</f>
        <v>11276.256</v>
      </c>
      <c r="I770" s="7" t="n">
        <f aca="false">AVERAGE(E751:E770)</f>
        <v>11109.1275</v>
      </c>
      <c r="J770" s="7" t="n">
        <f aca="false">AVERAGE(E721:E770)</f>
        <v>11401.6978</v>
      </c>
      <c r="K770" s="7" t="n">
        <f aca="false">AVERAGE(E671:E770)</f>
        <v>11476.5331</v>
      </c>
      <c r="L770" s="7" t="n">
        <f aca="false">AVERAGE(E571:E770)</f>
        <v>12082.15455</v>
      </c>
      <c r="M770" s="7" t="n">
        <f aca="false">I770</f>
        <v>11109.1275</v>
      </c>
      <c r="N770" s="7" t="n">
        <f aca="false">I770+2*STDEV(E751:E770)</f>
        <v>11641.5907247197</v>
      </c>
      <c r="O770" s="7" t="n">
        <f aca="false">I770-2*STDEV(E751:E770)</f>
        <v>10576.6642752803</v>
      </c>
      <c r="P770" s="7" t="n">
        <f aca="false">MAX(E770-E769,0)</f>
        <v>0</v>
      </c>
      <c r="Q770" s="7" t="n">
        <f aca="false">MAX(E769-E770,0)</f>
        <v>114.620000000001</v>
      </c>
      <c r="R770" s="7" t="n">
        <f aca="false">(R769*13+P770)/14</f>
        <v>64.9715384764267</v>
      </c>
      <c r="S770" s="7" t="n">
        <f aca="false">(S769*13+Q770)/14</f>
        <v>63.0875075262556</v>
      </c>
      <c r="T770" s="7" t="n">
        <f aca="false">IF(S770=0,100,100-100/(1+R770/S770))</f>
        <v>50.7356102551832</v>
      </c>
      <c r="U770" s="7" t="n">
        <f aca="false">E770*2/13+U769*11/13</f>
        <v>11288.2776718576</v>
      </c>
      <c r="V770" s="7" t="n">
        <f aca="false">E770*2/27+V769*25/27</f>
        <v>11269.0892533326</v>
      </c>
      <c r="W770" s="7" t="n">
        <f aca="false">U770-V770</f>
        <v>19.1884185250401</v>
      </c>
      <c r="X770" s="7" t="n">
        <f aca="false">W770*2/10+X769*8/10</f>
        <v>-45.4923538094498</v>
      </c>
      <c r="Y770" s="7" t="n">
        <f aca="false">W770-X770</f>
        <v>64.6807723344899</v>
      </c>
      <c r="Z770" s="7" t="s">
        <v>78</v>
      </c>
      <c r="AA770" s="7" t="str">
        <f aca="false">IFERROR(INDEX(02_轉折點45!B:B,MATCH(A770,02_轉折點45!A:A,0)),"")</f>
        <v/>
      </c>
      <c r="AB770" s="7" t="n">
        <f aca="false">COUNTIFS(05_訊號明細!A:A,A770,05_訊號明細!C:C,"TOP")</f>
        <v>0</v>
      </c>
      <c r="AC770" s="7" t="n">
        <f aca="false">COUNTIFS(05_訊號明細!A:A,A770,05_訊號明細!C:C,"BOTTOM")</f>
        <v>0</v>
      </c>
    </row>
    <row r="771" customFormat="false" ht="15" hidden="false" customHeight="false" outlineLevel="0" collapsed="false">
      <c r="A771" s="7" t="s">
        <v>812</v>
      </c>
      <c r="B771" s="7" t="n">
        <v>11363.85</v>
      </c>
      <c r="C771" s="7" t="n">
        <v>11623.2</v>
      </c>
      <c r="D771" s="7" t="n">
        <v>11329.54</v>
      </c>
      <c r="E771" s="7" t="n">
        <v>11619.03</v>
      </c>
      <c r="F771" s="7" t="n">
        <v>5980</v>
      </c>
      <c r="G771" s="7" t="n">
        <f aca="false">AVERAGE(E767:E771)</f>
        <v>11484.732</v>
      </c>
      <c r="H771" s="7" t="n">
        <f aca="false">AVERAGE(E762:E771)</f>
        <v>11364.037</v>
      </c>
      <c r="I771" s="7" t="n">
        <f aca="false">AVERAGE(E752:E771)</f>
        <v>11136.458</v>
      </c>
      <c r="J771" s="7" t="n">
        <f aca="false">AVERAGE(E722:E771)</f>
        <v>11414.5384</v>
      </c>
      <c r="K771" s="7" t="n">
        <f aca="false">AVERAGE(E672:E771)</f>
        <v>11466.6717</v>
      </c>
      <c r="L771" s="7" t="n">
        <f aca="false">AVERAGE(E572:E771)</f>
        <v>12064.4518</v>
      </c>
      <c r="M771" s="7" t="n">
        <f aca="false">I771</f>
        <v>11136.458</v>
      </c>
      <c r="N771" s="7" t="n">
        <f aca="false">I771+2*STDEV(E752:E771)</f>
        <v>11715.0989033371</v>
      </c>
      <c r="O771" s="7" t="n">
        <f aca="false">I771-2*STDEV(E752:E771)</f>
        <v>10557.8170966629</v>
      </c>
      <c r="P771" s="7" t="n">
        <f aca="false">MAX(E771-E770,0)</f>
        <v>323.360000000001</v>
      </c>
      <c r="Q771" s="7" t="n">
        <f aca="false">MAX(E770-E771,0)</f>
        <v>0</v>
      </c>
      <c r="R771" s="7" t="n">
        <f aca="false">(R770*13+P771)/14</f>
        <v>83.4278571566819</v>
      </c>
      <c r="S771" s="7" t="n">
        <f aca="false">(S770*13+Q771)/14</f>
        <v>58.5812569886659</v>
      </c>
      <c r="T771" s="7" t="n">
        <f aca="false">IF(S771=0,100,100-100/(1+R771/S771))</f>
        <v>58.7482413778686</v>
      </c>
      <c r="U771" s="7" t="n">
        <f aca="false">E771*2/13+U770*11/13</f>
        <v>11339.162645418</v>
      </c>
      <c r="V771" s="7" t="n">
        <f aca="false">E771*2/27+V770*25/27</f>
        <v>11295.0107901228</v>
      </c>
      <c r="W771" s="7" t="n">
        <f aca="false">U771-V771</f>
        <v>44.1518552952275</v>
      </c>
      <c r="X771" s="7" t="n">
        <f aca="false">W771*2/10+X770*8/10</f>
        <v>-27.5635119885143</v>
      </c>
      <c r="Y771" s="7" t="n">
        <f aca="false">W771-X771</f>
        <v>71.7153672837418</v>
      </c>
      <c r="Z771" s="7" t="s">
        <v>78</v>
      </c>
      <c r="AA771" s="7" t="str">
        <f aca="false">IFERROR(INDEX(02_轉折點45!B:B,MATCH(A771,02_轉折點45!A:A,0)),"")</f>
        <v/>
      </c>
      <c r="AB771" s="7" t="n">
        <f aca="false">COUNTIFS(05_訊號明細!A:A,A771,05_訊號明細!C:C,"TOP")</f>
        <v>0</v>
      </c>
      <c r="AC771" s="7" t="n">
        <f aca="false">COUNTIFS(05_訊號明細!A:A,A771,05_訊號明細!C:C,"BOTTOM")</f>
        <v>0</v>
      </c>
    </row>
    <row r="772" customFormat="false" ht="15" hidden="false" customHeight="false" outlineLevel="0" collapsed="false">
      <c r="A772" s="7" t="s">
        <v>813</v>
      </c>
      <c r="B772" s="7" t="n">
        <v>11652</v>
      </c>
      <c r="C772" s="7" t="n">
        <v>11918.86</v>
      </c>
      <c r="D772" s="7" t="n">
        <v>11617.83</v>
      </c>
      <c r="E772" s="7" t="n">
        <v>11872.54</v>
      </c>
      <c r="F772" s="7" t="n">
        <v>5998</v>
      </c>
      <c r="G772" s="7" t="n">
        <f aca="false">AVERAGE(E768:E772)</f>
        <v>11550.944</v>
      </c>
      <c r="H772" s="7" t="n">
        <f aca="false">AVERAGE(E763:E772)</f>
        <v>11447.256</v>
      </c>
      <c r="I772" s="7" t="n">
        <f aca="false">AVERAGE(E753:E772)</f>
        <v>11168.291</v>
      </c>
      <c r="J772" s="7" t="n">
        <f aca="false">AVERAGE(E723:E772)</f>
        <v>11430.7992</v>
      </c>
      <c r="K772" s="7" t="n">
        <f aca="false">AVERAGE(E673:E772)</f>
        <v>11460.5539</v>
      </c>
      <c r="L772" s="7" t="n">
        <f aca="false">AVERAGE(E573:E772)</f>
        <v>12049.7113</v>
      </c>
      <c r="M772" s="7" t="n">
        <f aca="false">I772</f>
        <v>11168.291</v>
      </c>
      <c r="N772" s="7" t="n">
        <f aca="false">I772+2*STDEV(E753:E772)</f>
        <v>11833.5310168645</v>
      </c>
      <c r="O772" s="7" t="n">
        <f aca="false">I772-2*STDEV(E753:E772)</f>
        <v>10503.0509831355</v>
      </c>
      <c r="P772" s="7" t="n">
        <f aca="false">MAX(E772-E771,0)</f>
        <v>253.51</v>
      </c>
      <c r="Q772" s="7" t="n">
        <f aca="false">MAX(E771-E772,0)</f>
        <v>0</v>
      </c>
      <c r="R772" s="7" t="n">
        <f aca="false">(R771*13+P772)/14</f>
        <v>95.5765816454904</v>
      </c>
      <c r="S772" s="7" t="n">
        <f aca="false">(S771*13+Q772)/14</f>
        <v>54.3968814894755</v>
      </c>
      <c r="T772" s="7" t="n">
        <f aca="false">IF(S772=0,100,100-100/(1+R772/S772))</f>
        <v>63.7289955486845</v>
      </c>
      <c r="U772" s="7" t="n">
        <f aca="false">E772*2/13+U771*11/13</f>
        <v>11421.2206999691</v>
      </c>
      <c r="V772" s="7" t="n">
        <f aca="false">E772*2/27+V771*25/27</f>
        <v>11337.7907315952</v>
      </c>
      <c r="W772" s="7" t="n">
        <f aca="false">U772-V772</f>
        <v>83.4299683739173</v>
      </c>
      <c r="X772" s="7" t="n">
        <f aca="false">W772*2/10+X771*8/10</f>
        <v>-5.364815916028</v>
      </c>
      <c r="Y772" s="7" t="n">
        <f aca="false">W772-X772</f>
        <v>88.7947842899453</v>
      </c>
      <c r="Z772" s="7" t="s">
        <v>78</v>
      </c>
      <c r="AA772" s="7" t="str">
        <f aca="false">IFERROR(INDEX(02_轉折點45!B:B,MATCH(A772,02_轉折點45!A:A,0)),"")</f>
        <v/>
      </c>
      <c r="AB772" s="7" t="n">
        <f aca="false">COUNTIFS(05_訊號明細!A:A,A772,05_訊號明細!C:C,"TOP")</f>
        <v>0</v>
      </c>
      <c r="AC772" s="7" t="n">
        <f aca="false">COUNTIFS(05_訊號明細!A:A,A772,05_訊號明細!C:C,"BOTTOM")</f>
        <v>0</v>
      </c>
    </row>
    <row r="773" customFormat="false" ht="15" hidden="false" customHeight="false" outlineLevel="0" collapsed="false">
      <c r="A773" s="7" t="s">
        <v>814</v>
      </c>
      <c r="B773" s="7" t="n">
        <v>11802.95</v>
      </c>
      <c r="C773" s="7" t="n">
        <v>11889.37</v>
      </c>
      <c r="D773" s="7" t="n">
        <v>11780.07</v>
      </c>
      <c r="E773" s="7" t="n">
        <v>11846.64</v>
      </c>
      <c r="F773" s="7" t="n">
        <v>5671</v>
      </c>
      <c r="G773" s="7" t="n">
        <f aca="false">AVERAGE(E769:E773)</f>
        <v>11608.834</v>
      </c>
      <c r="H773" s="7" t="n">
        <f aca="false">AVERAGE(E764:E773)</f>
        <v>11521.075</v>
      </c>
      <c r="I773" s="7" t="n">
        <f aca="false">AVERAGE(E754:E773)</f>
        <v>11212.816</v>
      </c>
      <c r="J773" s="7" t="n">
        <f aca="false">AVERAGE(E724:E773)</f>
        <v>11451.781</v>
      </c>
      <c r="K773" s="7" t="n">
        <f aca="false">AVERAGE(E674:E773)</f>
        <v>11455.5933</v>
      </c>
      <c r="L773" s="7" t="n">
        <f aca="false">AVERAGE(E574:E773)</f>
        <v>12036.45005</v>
      </c>
      <c r="M773" s="7" t="n">
        <f aca="false">I773</f>
        <v>11212.816</v>
      </c>
      <c r="N773" s="7" t="n">
        <f aca="false">I773+2*STDEV(E754:E773)</f>
        <v>11935.0326370834</v>
      </c>
      <c r="O773" s="7" t="n">
        <f aca="false">I773-2*STDEV(E754:E773)</f>
        <v>10490.5993629166</v>
      </c>
      <c r="P773" s="7" t="n">
        <f aca="false">MAX(E773-E772,0)</f>
        <v>0</v>
      </c>
      <c r="Q773" s="7" t="n">
        <f aca="false">MAX(E772-E773,0)</f>
        <v>25.9000000000015</v>
      </c>
      <c r="R773" s="7" t="n">
        <f aca="false">(R772*13+P773)/14</f>
        <v>88.7496829565268</v>
      </c>
      <c r="S773" s="7" t="n">
        <f aca="false">(S772*13+Q773)/14</f>
        <v>52.361389954513</v>
      </c>
      <c r="T773" s="7" t="n">
        <f aca="false">IF(S773=0,100,100-100/(1+R773/S773))</f>
        <v>62.8934931367696</v>
      </c>
      <c r="U773" s="7" t="n">
        <f aca="false">E773*2/13+U772*11/13</f>
        <v>11486.6698230508</v>
      </c>
      <c r="V773" s="7" t="n">
        <f aca="false">E773*2/27+V772*25/27</f>
        <v>11375.4832699955</v>
      </c>
      <c r="W773" s="7" t="n">
        <f aca="false">U773-V773</f>
        <v>111.18655305524</v>
      </c>
      <c r="X773" s="7" t="n">
        <f aca="false">W773*2/10+X772*8/10</f>
        <v>17.9454578782257</v>
      </c>
      <c r="Y773" s="7" t="n">
        <f aca="false">W773-X773</f>
        <v>93.2410951770148</v>
      </c>
      <c r="Z773" s="7" t="s">
        <v>78</v>
      </c>
      <c r="AA773" s="7" t="str">
        <f aca="false">IFERROR(INDEX(02_轉折點45!B:B,MATCH(A773,02_轉折點45!A:A,0)),"")</f>
        <v/>
      </c>
      <c r="AB773" s="7" t="n">
        <f aca="false">COUNTIFS(05_訊號明細!A:A,A773,05_訊號明細!C:C,"TOP")</f>
        <v>0</v>
      </c>
      <c r="AC773" s="7" t="n">
        <f aca="false">COUNTIFS(05_訊號明細!A:A,A773,05_訊號明細!C:C,"BOTTOM")</f>
        <v>0</v>
      </c>
    </row>
    <row r="774" customFormat="false" ht="15" hidden="false" customHeight="false" outlineLevel="0" collapsed="false">
      <c r="A774" s="7" t="s">
        <v>815</v>
      </c>
      <c r="B774" s="7" t="n">
        <v>11636.01</v>
      </c>
      <c r="C774" s="7" t="n">
        <v>11841.81</v>
      </c>
      <c r="D774" s="7" t="n">
        <v>11550.07</v>
      </c>
      <c r="E774" s="7" t="n">
        <v>11814.69</v>
      </c>
      <c r="F774" s="7" t="n">
        <v>5486</v>
      </c>
      <c r="G774" s="7" t="n">
        <f aca="false">AVERAGE(E770:E774)</f>
        <v>11689.714</v>
      </c>
      <c r="H774" s="7" t="n">
        <f aca="false">AVERAGE(E765:E774)</f>
        <v>11581.966</v>
      </c>
      <c r="I774" s="7" t="n">
        <f aca="false">AVERAGE(E755:E774)</f>
        <v>11254.278</v>
      </c>
      <c r="J774" s="7" t="n">
        <f aca="false">AVERAGE(E725:E774)</f>
        <v>11455.9556</v>
      </c>
      <c r="K774" s="7" t="n">
        <f aca="false">AVERAGE(E675:E774)</f>
        <v>11451.0199</v>
      </c>
      <c r="L774" s="7" t="n">
        <f aca="false">AVERAGE(E575:E774)</f>
        <v>12022.86445</v>
      </c>
      <c r="M774" s="7" t="n">
        <f aca="false">I774</f>
        <v>11254.278</v>
      </c>
      <c r="N774" s="7" t="n">
        <f aca="false">I774+2*STDEV(E755:E774)</f>
        <v>12015.6839297351</v>
      </c>
      <c r="O774" s="7" t="n">
        <f aca="false">I774-2*STDEV(E755:E774)</f>
        <v>10492.8720702649</v>
      </c>
      <c r="P774" s="7" t="n">
        <f aca="false">MAX(E774-E773,0)</f>
        <v>0</v>
      </c>
      <c r="Q774" s="7" t="n">
        <f aca="false">MAX(E773-E774,0)</f>
        <v>31.9499999999989</v>
      </c>
      <c r="R774" s="7" t="n">
        <f aca="false">(R773*13+P774)/14</f>
        <v>82.4104198882034</v>
      </c>
      <c r="S774" s="7" t="n">
        <f aca="false">(S773*13+Q774)/14</f>
        <v>50.9034335291906</v>
      </c>
      <c r="T774" s="7" t="n">
        <f aca="false">IF(S774=0,100,100-100/(1+R774/S774))</f>
        <v>61.816846318427</v>
      </c>
      <c r="U774" s="7" t="n">
        <f aca="false">E774*2/13+U773*11/13</f>
        <v>11537.1344656583</v>
      </c>
      <c r="V774" s="7" t="n">
        <f aca="false">E774*2/27+V773*25/27</f>
        <v>11408.0171018477</v>
      </c>
      <c r="W774" s="7" t="n">
        <f aca="false">U774-V774</f>
        <v>129.11736381063</v>
      </c>
      <c r="X774" s="7" t="n">
        <f aca="false">W774*2/10+X773*8/10</f>
        <v>40.1798390647066</v>
      </c>
      <c r="Y774" s="7" t="n">
        <f aca="false">W774-X774</f>
        <v>88.9375247459236</v>
      </c>
      <c r="Z774" s="7" t="s">
        <v>78</v>
      </c>
      <c r="AA774" s="7" t="str">
        <f aca="false">IFERROR(INDEX(02_轉折點45!B:B,MATCH(A774,02_轉折點45!A:A,0)),"")</f>
        <v/>
      </c>
      <c r="AB774" s="7" t="n">
        <f aca="false">COUNTIFS(05_訊號明細!A:A,A774,05_訊號明細!C:C,"TOP")</f>
        <v>0</v>
      </c>
      <c r="AC774" s="7" t="n">
        <f aca="false">COUNTIFS(05_訊號明細!A:A,A774,05_訊號明細!C:C,"BOTTOM")</f>
        <v>0</v>
      </c>
    </row>
    <row r="775" customFormat="false" ht="15" hidden="false" customHeight="false" outlineLevel="0" collapsed="false">
      <c r="A775" s="7" t="s">
        <v>816</v>
      </c>
      <c r="B775" s="7" t="n">
        <v>11972.57</v>
      </c>
      <c r="C775" s="7" t="n">
        <v>12055.81</v>
      </c>
      <c r="D775" s="7" t="n">
        <v>11853.37</v>
      </c>
      <c r="E775" s="7" t="n">
        <v>12051.48</v>
      </c>
      <c r="F775" s="7" t="n">
        <v>5733</v>
      </c>
      <c r="G775" s="7" t="n">
        <f aca="false">AVERAGE(E771:E775)</f>
        <v>11840.876</v>
      </c>
      <c r="H775" s="7" t="n">
        <f aca="false">AVERAGE(E766:E775)</f>
        <v>11646.862</v>
      </c>
      <c r="I775" s="7" t="n">
        <f aca="false">AVERAGE(E756:E775)</f>
        <v>11315.7265</v>
      </c>
      <c r="J775" s="7" t="n">
        <f aca="false">AVERAGE(E726:E775)</f>
        <v>11460.645</v>
      </c>
      <c r="K775" s="7" t="n">
        <f aca="false">AVERAGE(E676:E775)</f>
        <v>11448.7885</v>
      </c>
      <c r="L775" s="7" t="n">
        <f aca="false">AVERAGE(E576:E775)</f>
        <v>12011.48555</v>
      </c>
      <c r="M775" s="7" t="n">
        <f aca="false">I775</f>
        <v>11315.7265</v>
      </c>
      <c r="N775" s="7" t="n">
        <f aca="false">I775+2*STDEV(E756:E775)</f>
        <v>12127.1384288273</v>
      </c>
      <c r="O775" s="7" t="n">
        <f aca="false">I775-2*STDEV(E756:E775)</f>
        <v>10504.3145711728</v>
      </c>
      <c r="P775" s="7" t="n">
        <f aca="false">MAX(E775-E774,0)</f>
        <v>236.789999999999</v>
      </c>
      <c r="Q775" s="7" t="n">
        <f aca="false">MAX(E774-E775,0)</f>
        <v>0</v>
      </c>
      <c r="R775" s="7" t="n">
        <f aca="false">(R774*13+P775)/14</f>
        <v>93.4375327533317</v>
      </c>
      <c r="S775" s="7" t="n">
        <f aca="false">(S774*13+Q775)/14</f>
        <v>47.2674739913913</v>
      </c>
      <c r="T775" s="7" t="n">
        <f aca="false">IF(S775=0,100,100-100/(1+R775/S775))</f>
        <v>66.4066865245618</v>
      </c>
      <c r="U775" s="7" t="n">
        <f aca="false">E775*2/13+U774*11/13</f>
        <v>11616.2645478647</v>
      </c>
      <c r="V775" s="7" t="n">
        <f aca="false">E775*2/27+V774*25/27</f>
        <v>11455.6810202293</v>
      </c>
      <c r="W775" s="7" t="n">
        <f aca="false">U775-V775</f>
        <v>160.58352763539</v>
      </c>
      <c r="X775" s="7" t="n">
        <f aca="false">W775*2/10+X774*8/10</f>
        <v>64.2605767788433</v>
      </c>
      <c r="Y775" s="7" t="n">
        <f aca="false">W775-X775</f>
        <v>96.3229508565468</v>
      </c>
      <c r="Z775" s="7" t="s">
        <v>78</v>
      </c>
      <c r="AA775" s="7" t="str">
        <f aca="false">IFERROR(INDEX(02_轉折點45!B:B,MATCH(A775,02_轉折點45!A:A,0)),"")</f>
        <v/>
      </c>
      <c r="AB775" s="7" t="n">
        <f aca="false">COUNTIFS(05_訊號明細!A:A,A775,05_訊號明細!C:C,"TOP")</f>
        <v>0</v>
      </c>
      <c r="AC775" s="7" t="n">
        <f aca="false">COUNTIFS(05_訊號明細!A:A,A775,05_訊號明細!C:C,"BOTTOM")</f>
        <v>1</v>
      </c>
    </row>
    <row r="776" customFormat="false" ht="15" hidden="false" customHeight="false" outlineLevel="0" collapsed="false">
      <c r="A776" s="7" t="s">
        <v>817</v>
      </c>
      <c r="B776" s="7" t="n">
        <v>12000.21</v>
      </c>
      <c r="C776" s="7" t="n">
        <v>12248.15</v>
      </c>
      <c r="D776" s="7" t="n">
        <v>11999.87</v>
      </c>
      <c r="E776" s="7" t="n">
        <v>12166.6</v>
      </c>
      <c r="F776" s="7" t="n">
        <v>6244</v>
      </c>
      <c r="G776" s="7" t="n">
        <f aca="false">AVERAGE(E772:E776)</f>
        <v>11950.39</v>
      </c>
      <c r="H776" s="7" t="n">
        <f aca="false">AVERAGE(E767:E776)</f>
        <v>11717.561</v>
      </c>
      <c r="I776" s="7" t="n">
        <f aca="false">AVERAGE(E757:E776)</f>
        <v>11390.0895</v>
      </c>
      <c r="J776" s="7" t="n">
        <f aca="false">AVERAGE(E727:E776)</f>
        <v>11469.9582</v>
      </c>
      <c r="K776" s="7" t="n">
        <f aca="false">AVERAGE(E677:E776)</f>
        <v>11449.4701</v>
      </c>
      <c r="L776" s="7" t="n">
        <f aca="false">AVERAGE(E577:E776)</f>
        <v>12002.3675</v>
      </c>
      <c r="M776" s="7" t="n">
        <f aca="false">I776</f>
        <v>11390.0895</v>
      </c>
      <c r="N776" s="7" t="n">
        <f aca="false">I776+2*STDEV(E757:E776)</f>
        <v>12228.1009409337</v>
      </c>
      <c r="O776" s="7" t="n">
        <f aca="false">I776-2*STDEV(E757:E776)</f>
        <v>10552.0780590663</v>
      </c>
      <c r="P776" s="7" t="n">
        <f aca="false">MAX(E776-E775,0)</f>
        <v>115.120000000001</v>
      </c>
      <c r="Q776" s="7" t="n">
        <f aca="false">MAX(E775-E776,0)</f>
        <v>0</v>
      </c>
      <c r="R776" s="7" t="n">
        <f aca="false">(R775*13+P776)/14</f>
        <v>94.9862804138081</v>
      </c>
      <c r="S776" s="7" t="n">
        <f aca="false">(S775*13+Q776)/14</f>
        <v>43.891225849149</v>
      </c>
      <c r="T776" s="7" t="n">
        <f aca="false">IF(S776=0,100,100-100/(1+R776/S776))</f>
        <v>68.395727263389</v>
      </c>
      <c r="U776" s="7" t="n">
        <f aca="false">E776*2/13+U775*11/13</f>
        <v>11700.9315405009</v>
      </c>
      <c r="V776" s="7" t="n">
        <f aca="false">E776*2/27+V775*25/27</f>
        <v>11508.3416853975</v>
      </c>
      <c r="W776" s="7" t="n">
        <f aca="false">U776-V776</f>
        <v>192.589855103386</v>
      </c>
      <c r="X776" s="7" t="n">
        <f aca="false">W776*2/10+X775*8/10</f>
        <v>89.9264324437518</v>
      </c>
      <c r="Y776" s="7" t="n">
        <f aca="false">W776-X776</f>
        <v>102.663422659634</v>
      </c>
      <c r="Z776" s="7" t="s">
        <v>78</v>
      </c>
      <c r="AA776" s="7" t="str">
        <f aca="false">IFERROR(INDEX(02_轉折點45!B:B,MATCH(A776,02_轉折點45!A:A,0)),"")</f>
        <v/>
      </c>
      <c r="AB776" s="7" t="n">
        <f aca="false">COUNTIFS(05_訊號明細!A:A,A776,05_訊號明細!C:C,"TOP")</f>
        <v>0</v>
      </c>
      <c r="AC776" s="7" t="n">
        <f aca="false">COUNTIFS(05_訊號明細!A:A,A776,05_訊號明細!C:C,"BOTTOM")</f>
        <v>0</v>
      </c>
    </row>
    <row r="777" customFormat="false" ht="15" hidden="false" customHeight="false" outlineLevel="0" collapsed="false">
      <c r="A777" s="7" t="s">
        <v>818</v>
      </c>
      <c r="B777" s="7" t="n">
        <v>12047.16</v>
      </c>
      <c r="C777" s="7" t="n">
        <v>12087.68</v>
      </c>
      <c r="D777" s="7" t="n">
        <v>11906.11</v>
      </c>
      <c r="E777" s="7" t="n">
        <v>11912.39</v>
      </c>
      <c r="F777" s="7" t="n">
        <v>5122</v>
      </c>
      <c r="G777" s="7" t="n">
        <f aca="false">AVERAGE(E773:E777)</f>
        <v>11958.36</v>
      </c>
      <c r="H777" s="7" t="n">
        <f aca="false">AVERAGE(E768:E777)</f>
        <v>11754.652</v>
      </c>
      <c r="I777" s="7" t="n">
        <f aca="false">AVERAGE(E758:E777)</f>
        <v>11438.1565</v>
      </c>
      <c r="J777" s="7" t="n">
        <f aca="false">AVERAGE(E728:E777)</f>
        <v>11470.783</v>
      </c>
      <c r="K777" s="7" t="n">
        <f aca="false">AVERAGE(E678:E777)</f>
        <v>11448.4809</v>
      </c>
      <c r="L777" s="7" t="n">
        <f aca="false">AVERAGE(E578:E777)</f>
        <v>11992.22825</v>
      </c>
      <c r="M777" s="7" t="n">
        <f aca="false">I777</f>
        <v>11438.1565</v>
      </c>
      <c r="N777" s="7" t="n">
        <f aca="false">I777+2*STDEV(E758:E777)</f>
        <v>12280.4070542771</v>
      </c>
      <c r="O777" s="7" t="n">
        <f aca="false">I777-2*STDEV(E758:E777)</f>
        <v>10595.9059457229</v>
      </c>
      <c r="P777" s="7" t="n">
        <f aca="false">MAX(E777-E776,0)</f>
        <v>0</v>
      </c>
      <c r="Q777" s="7" t="n">
        <f aca="false">MAX(E776-E777,0)</f>
        <v>254.210000000001</v>
      </c>
      <c r="R777" s="7" t="n">
        <f aca="false">(R776*13+P777)/14</f>
        <v>88.201546098536</v>
      </c>
      <c r="S777" s="7" t="n">
        <f aca="false">(S776*13+Q777)/14</f>
        <v>58.9139954313527</v>
      </c>
      <c r="T777" s="7" t="n">
        <f aca="false">IF(S777=0,100,100-100/(1+R777/S777))</f>
        <v>59.9539281719033</v>
      </c>
      <c r="U777" s="7" t="n">
        <f aca="false">E777*2/13+U776*11/13</f>
        <v>11733.4636111931</v>
      </c>
      <c r="V777" s="7" t="n">
        <f aca="false">E777*2/27+V776*25/27</f>
        <v>11538.2711901829</v>
      </c>
      <c r="W777" s="7" t="n">
        <f aca="false">U777-V777</f>
        <v>195.192421010186</v>
      </c>
      <c r="X777" s="7" t="n">
        <f aca="false">W777*2/10+X776*8/10</f>
        <v>110.979630157039</v>
      </c>
      <c r="Y777" s="7" t="n">
        <f aca="false">W777-X777</f>
        <v>84.2127908531474</v>
      </c>
      <c r="Z777" s="7" t="s">
        <v>78</v>
      </c>
      <c r="AA777" s="7" t="str">
        <f aca="false">IFERROR(INDEX(02_轉折點45!B:B,MATCH(A777,02_轉折點45!A:A,0)),"")</f>
        <v/>
      </c>
      <c r="AB777" s="7" t="n">
        <f aca="false">COUNTIFS(05_訊號明細!A:A,A777,05_訊號明細!C:C,"TOP")</f>
        <v>1</v>
      </c>
      <c r="AC777" s="7" t="n">
        <f aca="false">COUNTIFS(05_訊號明細!A:A,A777,05_訊號明細!C:C,"BOTTOM")</f>
        <v>0</v>
      </c>
    </row>
    <row r="778" customFormat="false" ht="15" hidden="false" customHeight="false" outlineLevel="0" collapsed="false">
      <c r="A778" s="7" t="s">
        <v>819</v>
      </c>
      <c r="B778" s="7" t="n">
        <v>11915.94</v>
      </c>
      <c r="C778" s="7" t="n">
        <v>12104.13</v>
      </c>
      <c r="D778" s="7" t="n">
        <v>11915.94</v>
      </c>
      <c r="E778" s="7" t="n">
        <v>12101.93</v>
      </c>
      <c r="F778" s="7" t="n">
        <v>5695</v>
      </c>
      <c r="G778" s="7" t="n">
        <f aca="false">AVERAGE(E774:E778)</f>
        <v>12009.418</v>
      </c>
      <c r="H778" s="7" t="n">
        <f aca="false">AVERAGE(E769:E778)</f>
        <v>11809.126</v>
      </c>
      <c r="I778" s="7" t="n">
        <f aca="false">AVERAGE(E759:E778)</f>
        <v>11496.265</v>
      </c>
      <c r="J778" s="7" t="n">
        <f aca="false">AVERAGE(E729:E778)</f>
        <v>11478.8398</v>
      </c>
      <c r="K778" s="7" t="n">
        <f aca="false">AVERAGE(E679:E778)</f>
        <v>11446.9063</v>
      </c>
      <c r="L778" s="7" t="n">
        <f aca="false">AVERAGE(E579:E778)</f>
        <v>11981.65145</v>
      </c>
      <c r="M778" s="7" t="n">
        <f aca="false">I778</f>
        <v>11496.265</v>
      </c>
      <c r="N778" s="7" t="n">
        <f aca="false">I778+2*STDEV(E759:E778)</f>
        <v>12353.954394705</v>
      </c>
      <c r="O778" s="7" t="n">
        <f aca="false">I778-2*STDEV(E759:E778)</f>
        <v>10638.575605295</v>
      </c>
      <c r="P778" s="7" t="n">
        <f aca="false">MAX(E778-E777,0)</f>
        <v>189.540000000001</v>
      </c>
      <c r="Q778" s="7" t="n">
        <f aca="false">MAX(E777-E778,0)</f>
        <v>0</v>
      </c>
      <c r="R778" s="7" t="n">
        <f aca="false">(R777*13+P778)/14</f>
        <v>95.4400070914978</v>
      </c>
      <c r="S778" s="7" t="n">
        <f aca="false">(S777*13+Q778)/14</f>
        <v>54.7058529005418</v>
      </c>
      <c r="T778" s="7" t="n">
        <f aca="false">IF(S778=0,100,100-100/(1+R778/S778))</f>
        <v>63.5648609269398</v>
      </c>
      <c r="U778" s="7" t="n">
        <f aca="false">E778*2/13+U777*11/13</f>
        <v>11790.1507479326</v>
      </c>
      <c r="V778" s="7" t="n">
        <f aca="false">E778*2/27+V777*25/27</f>
        <v>11580.0236946138</v>
      </c>
      <c r="W778" s="7" t="n">
        <f aca="false">U778-V778</f>
        <v>210.127053318814</v>
      </c>
      <c r="X778" s="7" t="n">
        <f aca="false">W778*2/10+X777*8/10</f>
        <v>130.809114789394</v>
      </c>
      <c r="Y778" s="7" t="n">
        <f aca="false">W778-X778</f>
        <v>79.3179385294206</v>
      </c>
      <c r="Z778" s="7" t="s">
        <v>78</v>
      </c>
      <c r="AA778" s="7" t="str">
        <f aca="false">IFERROR(INDEX(02_轉折點45!B:B,MATCH(A778,02_轉折點45!A:A,0)),"")</f>
        <v/>
      </c>
      <c r="AB778" s="7" t="n">
        <f aca="false">COUNTIFS(05_訊號明細!A:A,A778,05_訊號明細!C:C,"TOP")</f>
        <v>0</v>
      </c>
      <c r="AC778" s="7" t="n">
        <f aca="false">COUNTIFS(05_訊號明細!A:A,A778,05_訊號明細!C:C,"BOTTOM")</f>
        <v>2</v>
      </c>
    </row>
    <row r="779" customFormat="false" ht="15" hidden="false" customHeight="false" outlineLevel="0" collapsed="false">
      <c r="A779" s="7" t="s">
        <v>820</v>
      </c>
      <c r="B779" s="7" t="n">
        <v>12087.92</v>
      </c>
      <c r="C779" s="7" t="n">
        <v>12458.87</v>
      </c>
      <c r="D779" s="7" t="n">
        <v>12010.73</v>
      </c>
      <c r="E779" s="7" t="n">
        <v>12363.1</v>
      </c>
      <c r="F779" s="7" t="n">
        <v>6336</v>
      </c>
      <c r="G779" s="7" t="n">
        <f aca="false">AVERAGE(E775:E779)</f>
        <v>12119.1</v>
      </c>
      <c r="H779" s="7" t="n">
        <f aca="false">AVERAGE(E770:E779)</f>
        <v>11904.407</v>
      </c>
      <c r="I779" s="7" t="n">
        <f aca="false">AVERAGE(E760:E779)</f>
        <v>11571.288</v>
      </c>
      <c r="J779" s="7" t="n">
        <f aca="false">AVERAGE(E730:E779)</f>
        <v>11492.5646</v>
      </c>
      <c r="K779" s="7" t="n">
        <f aca="false">AVERAGE(E680:E779)</f>
        <v>11447.3254</v>
      </c>
      <c r="L779" s="7" t="n">
        <f aca="false">AVERAGE(E580:E779)</f>
        <v>11974.0009</v>
      </c>
      <c r="M779" s="7" t="n">
        <f aca="false">I779</f>
        <v>11571.288</v>
      </c>
      <c r="N779" s="7" t="n">
        <f aca="false">I779+2*STDEV(E760:E779)</f>
        <v>12457.6289086944</v>
      </c>
      <c r="O779" s="7" t="n">
        <f aca="false">I779-2*STDEV(E760:E779)</f>
        <v>10684.9470913056</v>
      </c>
      <c r="P779" s="7" t="n">
        <f aca="false">MAX(E779-E778,0)</f>
        <v>261.17</v>
      </c>
      <c r="Q779" s="7" t="n">
        <f aca="false">MAX(E778-E779,0)</f>
        <v>0</v>
      </c>
      <c r="R779" s="7" t="n">
        <f aca="false">(R778*13+P779)/14</f>
        <v>107.277863727819</v>
      </c>
      <c r="S779" s="7" t="n">
        <f aca="false">(S778*13+Q779)/14</f>
        <v>50.7982919790746</v>
      </c>
      <c r="T779" s="7" t="n">
        <f aca="false">IF(S779=0,100,100-100/(1+R779/S779))</f>
        <v>67.8646714604667</v>
      </c>
      <c r="U779" s="7" t="n">
        <f aca="false">E779*2/13+U778*11/13</f>
        <v>11878.2967867122</v>
      </c>
      <c r="V779" s="7" t="n">
        <f aca="false">E779*2/27+V778*25/27</f>
        <v>11638.0293468646</v>
      </c>
      <c r="W779" s="7" t="n">
        <f aca="false">U779-V779</f>
        <v>240.267439847581</v>
      </c>
      <c r="X779" s="7" t="n">
        <f aca="false">W779*2/10+X778*8/10</f>
        <v>152.700779801031</v>
      </c>
      <c r="Y779" s="7" t="n">
        <f aca="false">W779-X779</f>
        <v>87.5666600465498</v>
      </c>
      <c r="Z779" s="7" t="s">
        <v>78</v>
      </c>
      <c r="AA779" s="7" t="str">
        <f aca="false">IFERROR(INDEX(02_轉折點45!B:B,MATCH(A779,02_轉折點45!A:A,0)),"")</f>
        <v/>
      </c>
      <c r="AB779" s="7" t="n">
        <f aca="false">COUNTIFS(05_訊號明細!A:A,A779,05_訊號明細!C:C,"TOP")</f>
        <v>0</v>
      </c>
      <c r="AC779" s="7" t="n">
        <f aca="false">COUNTIFS(05_訊號明細!A:A,A779,05_訊號明細!C:C,"BOTTOM")</f>
        <v>1</v>
      </c>
    </row>
    <row r="780" customFormat="false" ht="15" hidden="false" customHeight="false" outlineLevel="0" collapsed="false">
      <c r="A780" s="7" t="s">
        <v>821</v>
      </c>
      <c r="B780" s="7" t="n">
        <v>12655.18</v>
      </c>
      <c r="C780" s="7" t="n">
        <v>12880.98</v>
      </c>
      <c r="D780" s="7" t="n">
        <v>12600.76</v>
      </c>
      <c r="E780" s="7" t="n">
        <v>12803.14</v>
      </c>
      <c r="F780" s="7" t="n">
        <v>7038</v>
      </c>
      <c r="G780" s="7" t="n">
        <f aca="false">AVERAGE(E776:E780)</f>
        <v>12269.432</v>
      </c>
      <c r="H780" s="7" t="n">
        <f aca="false">AVERAGE(E771:E780)</f>
        <v>12055.154</v>
      </c>
      <c r="I780" s="7" t="n">
        <f aca="false">AVERAGE(E761:E780)</f>
        <v>11665.705</v>
      </c>
      <c r="J780" s="7" t="n">
        <f aca="false">AVERAGE(E731:E780)</f>
        <v>11515.087</v>
      </c>
      <c r="K780" s="7" t="n">
        <f aca="false">AVERAGE(E681:E780)</f>
        <v>11449.4739</v>
      </c>
      <c r="L780" s="7" t="n">
        <f aca="false">AVERAGE(E581:E780)</f>
        <v>11968.4628</v>
      </c>
      <c r="M780" s="7" t="n">
        <f aca="false">I780</f>
        <v>11665.705</v>
      </c>
      <c r="N780" s="7" t="n">
        <f aca="false">I780+2*STDEV(E761:E780)</f>
        <v>12654.036122704</v>
      </c>
      <c r="O780" s="7" t="n">
        <f aca="false">I780-2*STDEV(E761:E780)</f>
        <v>10677.373877296</v>
      </c>
      <c r="P780" s="7" t="n">
        <f aca="false">MAX(E780-E779,0)</f>
        <v>440.039999999999</v>
      </c>
      <c r="Q780" s="7" t="n">
        <f aca="false">MAX(E779-E780,0)</f>
        <v>0</v>
      </c>
      <c r="R780" s="7" t="n">
        <f aca="false">(R779*13+P780)/14</f>
        <v>131.046587747261</v>
      </c>
      <c r="S780" s="7" t="n">
        <f aca="false">(S779*13+Q780)/14</f>
        <v>47.1698425519978</v>
      </c>
      <c r="T780" s="7" t="n">
        <f aca="false">IF(S780=0,100,100-100/(1+R780/S780))</f>
        <v>73.5322705808938</v>
      </c>
      <c r="U780" s="7" t="n">
        <f aca="false">E780*2/13+U779*11/13</f>
        <v>12020.5803579873</v>
      </c>
      <c r="V780" s="7" t="n">
        <f aca="false">E780*2/27+V779*25/27</f>
        <v>11724.3338396895</v>
      </c>
      <c r="W780" s="7" t="n">
        <f aca="false">U780-V780</f>
        <v>296.246518297781</v>
      </c>
      <c r="X780" s="7" t="n">
        <f aca="false">W780*2/10+X779*8/10</f>
        <v>181.409927500381</v>
      </c>
      <c r="Y780" s="7" t="n">
        <f aca="false">W780-X780</f>
        <v>114.8365907974</v>
      </c>
      <c r="Z780" s="7" t="s">
        <v>78</v>
      </c>
      <c r="AA780" s="7" t="str">
        <f aca="false">IFERROR(INDEX(02_轉折點45!B:B,MATCH(A780,02_轉折點45!A:A,0)),"")</f>
        <v/>
      </c>
      <c r="AB780" s="7" t="n">
        <f aca="false">COUNTIFS(05_訊號明細!A:A,A780,05_訊號明細!C:C,"TOP")</f>
        <v>0</v>
      </c>
      <c r="AC780" s="7" t="n">
        <f aca="false">COUNTIFS(05_訊號明細!A:A,A780,05_訊號明細!C:C,"BOTTOM")</f>
        <v>0</v>
      </c>
    </row>
    <row r="781" customFormat="false" ht="15" hidden="false" customHeight="false" outlineLevel="0" collapsed="false">
      <c r="A781" s="7" t="s">
        <v>822</v>
      </c>
      <c r="B781" s="7" t="n">
        <v>12520.95</v>
      </c>
      <c r="C781" s="7" t="n">
        <v>12828.71</v>
      </c>
      <c r="D781" s="7" t="n">
        <v>12520.95</v>
      </c>
      <c r="E781" s="7" t="n">
        <v>12573.36</v>
      </c>
      <c r="F781" s="7" t="n">
        <v>5954</v>
      </c>
      <c r="G781" s="7" t="n">
        <f aca="false">AVERAGE(E777:E781)</f>
        <v>12350.784</v>
      </c>
      <c r="H781" s="7" t="n">
        <f aca="false">AVERAGE(E772:E781)</f>
        <v>12150.587</v>
      </c>
      <c r="I781" s="7" t="n">
        <f aca="false">AVERAGE(E762:E781)</f>
        <v>11757.312</v>
      </c>
      <c r="J781" s="7" t="n">
        <f aca="false">AVERAGE(E732:E781)</f>
        <v>11535.4852</v>
      </c>
      <c r="K781" s="7" t="n">
        <f aca="false">AVERAGE(E682:E781)</f>
        <v>11447.8103</v>
      </c>
      <c r="L781" s="7" t="n">
        <f aca="false">AVERAGE(E582:E781)</f>
        <v>11960.2783</v>
      </c>
      <c r="M781" s="7" t="n">
        <f aca="false">I781</f>
        <v>11757.312</v>
      </c>
      <c r="N781" s="7" t="n">
        <f aca="false">I781+2*STDEV(E762:E781)</f>
        <v>12724.2519016126</v>
      </c>
      <c r="O781" s="7" t="n">
        <f aca="false">I781-2*STDEV(E762:E781)</f>
        <v>10790.3720983874</v>
      </c>
      <c r="P781" s="7" t="n">
        <f aca="false">MAX(E781-E780,0)</f>
        <v>0</v>
      </c>
      <c r="Q781" s="7" t="n">
        <f aca="false">MAX(E780-E781,0)</f>
        <v>229.779999999999</v>
      </c>
      <c r="R781" s="7" t="n">
        <f aca="false">(R780*13+P781)/14</f>
        <v>121.686117193885</v>
      </c>
      <c r="S781" s="7" t="n">
        <f aca="false">(S780*13+Q781)/14</f>
        <v>60.213425226855</v>
      </c>
      <c r="T781" s="7" t="n">
        <f aca="false">IF(S781=0,100,100-100/(1+R781/S781))</f>
        <v>66.897428973417</v>
      </c>
      <c r="U781" s="7" t="n">
        <f aca="false">E781*2/13+U780*11/13</f>
        <v>12105.6233798354</v>
      </c>
      <c r="V781" s="7" t="n">
        <f aca="false">E781*2/27+V780*25/27</f>
        <v>11787.2246663791</v>
      </c>
      <c r="W781" s="7" t="n">
        <f aca="false">U781-V781</f>
        <v>318.398713456227</v>
      </c>
      <c r="X781" s="7" t="n">
        <f aca="false">W781*2/10+X780*8/10</f>
        <v>208.80768469155</v>
      </c>
      <c r="Y781" s="7" t="n">
        <f aca="false">W781-X781</f>
        <v>109.591028764676</v>
      </c>
      <c r="Z781" s="7" t="s">
        <v>78</v>
      </c>
      <c r="AA781" s="7" t="str">
        <f aca="false">IFERROR(INDEX(02_轉折點45!B:B,MATCH(A781,02_轉折點45!A:A,0)),"")</f>
        <v/>
      </c>
      <c r="AB781" s="7" t="n">
        <f aca="false">COUNTIFS(05_訊號明細!A:A,A781,05_訊號明細!C:C,"TOP")</f>
        <v>1</v>
      </c>
      <c r="AC781" s="7" t="n">
        <f aca="false">COUNTIFS(05_訊號明細!A:A,A781,05_訊號明細!C:C,"BOTTOM")</f>
        <v>0</v>
      </c>
    </row>
    <row r="782" customFormat="false" ht="15" hidden="false" customHeight="false" outlineLevel="0" collapsed="false">
      <c r="A782" s="7" t="s">
        <v>823</v>
      </c>
      <c r="B782" s="7" t="n">
        <v>12468.8</v>
      </c>
      <c r="C782" s="7" t="n">
        <v>12558.87</v>
      </c>
      <c r="D782" s="7" t="n">
        <v>12411.88</v>
      </c>
      <c r="E782" s="7" t="n">
        <v>12464.51</v>
      </c>
      <c r="F782" s="7" t="n">
        <v>5538</v>
      </c>
      <c r="G782" s="7" t="n">
        <f aca="false">AVERAGE(E778:E782)</f>
        <v>12461.208</v>
      </c>
      <c r="H782" s="7" t="n">
        <f aca="false">AVERAGE(E773:E782)</f>
        <v>12209.784</v>
      </c>
      <c r="I782" s="7" t="n">
        <f aca="false">AVERAGE(E763:E782)</f>
        <v>11828.52</v>
      </c>
      <c r="J782" s="7" t="n">
        <f aca="false">AVERAGE(E733:E782)</f>
        <v>11550.2786</v>
      </c>
      <c r="K782" s="7" t="n">
        <f aca="false">AVERAGE(E683:E782)</f>
        <v>11452.1192</v>
      </c>
      <c r="L782" s="7" t="n">
        <f aca="false">AVERAGE(E583:E782)</f>
        <v>11952.6082</v>
      </c>
      <c r="M782" s="7" t="n">
        <f aca="false">I782</f>
        <v>11828.52</v>
      </c>
      <c r="N782" s="7" t="n">
        <f aca="false">I782+2*STDEV(E763:E782)</f>
        <v>12782.8236689595</v>
      </c>
      <c r="O782" s="7" t="n">
        <f aca="false">I782-2*STDEV(E763:E782)</f>
        <v>10874.2163310405</v>
      </c>
      <c r="P782" s="7" t="n">
        <f aca="false">MAX(E782-E781,0)</f>
        <v>0</v>
      </c>
      <c r="Q782" s="7" t="n">
        <f aca="false">MAX(E781-E782,0)</f>
        <v>108.85</v>
      </c>
      <c r="R782" s="7" t="n">
        <f aca="false">(R781*13+P782)/14</f>
        <v>112.994251680036</v>
      </c>
      <c r="S782" s="7" t="n">
        <f aca="false">(S781*13+Q782)/14</f>
        <v>63.6874662820797</v>
      </c>
      <c r="T782" s="7" t="n">
        <f aca="false">IF(S782=0,100,100-100/(1+R782/S782))</f>
        <v>63.9535617965094</v>
      </c>
      <c r="U782" s="7" t="n">
        <f aca="false">E782*2/13+U781*11/13</f>
        <v>12160.8367060145</v>
      </c>
      <c r="V782" s="7" t="n">
        <f aca="false">E782*2/27+V781*25/27</f>
        <v>11837.3939503511</v>
      </c>
      <c r="W782" s="7" t="n">
        <f aca="false">U782-V782</f>
        <v>323.442755663482</v>
      </c>
      <c r="X782" s="7" t="n">
        <f aca="false">W782*2/10+X781*8/10</f>
        <v>231.734698885937</v>
      </c>
      <c r="Y782" s="7" t="n">
        <f aca="false">W782-X782</f>
        <v>91.7080567775452</v>
      </c>
      <c r="Z782" s="7" t="s">
        <v>78</v>
      </c>
      <c r="AA782" s="7" t="str">
        <f aca="false">IFERROR(INDEX(02_轉折點45!B:B,MATCH(A782,02_轉折點45!A:A,0)),"")</f>
        <v/>
      </c>
      <c r="AB782" s="7" t="n">
        <f aca="false">COUNTIFS(05_訊號明細!A:A,A782,05_訊號明細!C:C,"TOP")</f>
        <v>0</v>
      </c>
      <c r="AC782" s="7" t="n">
        <f aca="false">COUNTIFS(05_訊號明細!A:A,A782,05_訊號明細!C:C,"BOTTOM")</f>
        <v>0</v>
      </c>
    </row>
    <row r="783" customFormat="false" ht="15" hidden="false" customHeight="false" outlineLevel="0" collapsed="false">
      <c r="A783" s="7" t="s">
        <v>824</v>
      </c>
      <c r="B783" s="7" t="n">
        <v>12474.95</v>
      </c>
      <c r="C783" s="7" t="n">
        <v>12771.59</v>
      </c>
      <c r="D783" s="7" t="n">
        <v>12419.71</v>
      </c>
      <c r="E783" s="7" t="n">
        <v>12728.27</v>
      </c>
      <c r="F783" s="7" t="n">
        <v>5720</v>
      </c>
      <c r="G783" s="7" t="n">
        <f aca="false">AVERAGE(E779:E783)</f>
        <v>12586.476</v>
      </c>
      <c r="H783" s="7" t="n">
        <f aca="false">AVERAGE(E774:E783)</f>
        <v>12297.947</v>
      </c>
      <c r="I783" s="7" t="n">
        <f aca="false">AVERAGE(E764:E783)</f>
        <v>11909.511</v>
      </c>
      <c r="J783" s="7" t="n">
        <f aca="false">AVERAGE(E734:E783)</f>
        <v>11568.0696</v>
      </c>
      <c r="K783" s="7" t="n">
        <f aca="false">AVERAGE(E684:E783)</f>
        <v>11458.0579</v>
      </c>
      <c r="L783" s="7" t="n">
        <f aca="false">AVERAGE(E584:E783)</f>
        <v>11947.6473</v>
      </c>
      <c r="M783" s="7" t="n">
        <f aca="false">I783</f>
        <v>11909.511</v>
      </c>
      <c r="N783" s="7" t="n">
        <f aca="false">I783+2*STDEV(E764:E783)</f>
        <v>12881.2876697929</v>
      </c>
      <c r="O783" s="7" t="n">
        <f aca="false">I783-2*STDEV(E764:E783)</f>
        <v>10937.7343302072</v>
      </c>
      <c r="P783" s="7" t="n">
        <f aca="false">MAX(E783-E782,0)</f>
        <v>263.76</v>
      </c>
      <c r="Q783" s="7" t="n">
        <f aca="false">MAX(E782-E783,0)</f>
        <v>0</v>
      </c>
      <c r="R783" s="7" t="n">
        <f aca="false">(R782*13+P783)/14</f>
        <v>123.763233702891</v>
      </c>
      <c r="S783" s="7" t="n">
        <f aca="false">(S782*13+Q783)/14</f>
        <v>59.1383615476454</v>
      </c>
      <c r="T783" s="7" t="n">
        <f aca="false">IF(S783=0,100,100-100/(1+R783/S783))</f>
        <v>67.6665687542864</v>
      </c>
      <c r="U783" s="7" t="n">
        <f aca="false">E783*2/13+U782*11/13</f>
        <v>12248.1341358585</v>
      </c>
      <c r="V783" s="7" t="n">
        <f aca="false">E783*2/27+V782*25/27</f>
        <v>11903.3847688436</v>
      </c>
      <c r="W783" s="7" t="n">
        <f aca="false">U783-V783</f>
        <v>344.749367014885</v>
      </c>
      <c r="X783" s="7" t="n">
        <f aca="false">W783*2/10+X782*8/10</f>
        <v>254.337632511726</v>
      </c>
      <c r="Y783" s="7" t="n">
        <f aca="false">W783-X783</f>
        <v>90.4117345031588</v>
      </c>
      <c r="Z783" s="7" t="s">
        <v>78</v>
      </c>
      <c r="AA783" s="7" t="str">
        <f aca="false">IFERROR(INDEX(02_轉折點45!B:B,MATCH(A783,02_轉折點45!A:A,0)),"")</f>
        <v/>
      </c>
      <c r="AB783" s="7" t="n">
        <f aca="false">COUNTIFS(05_訊號明細!A:A,A783,05_訊號明細!C:C,"TOP")</f>
        <v>1</v>
      </c>
      <c r="AC783" s="7" t="n">
        <f aca="false">COUNTIFS(05_訊號明細!A:A,A783,05_訊號明細!C:C,"BOTTOM")</f>
        <v>0</v>
      </c>
    </row>
    <row r="784" customFormat="false" ht="15" hidden="false" customHeight="false" outlineLevel="0" collapsed="false">
      <c r="A784" s="7" t="s">
        <v>825</v>
      </c>
      <c r="B784" s="7" t="n">
        <v>12680.03</v>
      </c>
      <c r="C784" s="7" t="n">
        <v>12709.45</v>
      </c>
      <c r="D784" s="7" t="n">
        <v>12471.12</v>
      </c>
      <c r="E784" s="7" t="n">
        <v>12495.38</v>
      </c>
      <c r="F784" s="7" t="n">
        <v>5053</v>
      </c>
      <c r="G784" s="7" t="n">
        <f aca="false">AVERAGE(E780:E784)</f>
        <v>12612.932</v>
      </c>
      <c r="H784" s="7" t="n">
        <f aca="false">AVERAGE(E775:E784)</f>
        <v>12366.016</v>
      </c>
      <c r="I784" s="7" t="n">
        <f aca="false">AVERAGE(E765:E784)</f>
        <v>11973.991</v>
      </c>
      <c r="J784" s="7" t="n">
        <f aca="false">AVERAGE(E735:E784)</f>
        <v>11582.8566</v>
      </c>
      <c r="K784" s="7" t="n">
        <f aca="false">AVERAGE(E685:E784)</f>
        <v>11463.7368</v>
      </c>
      <c r="L784" s="7" t="n">
        <f aca="false">AVERAGE(E585:E784)</f>
        <v>11943.33985</v>
      </c>
      <c r="M784" s="7" t="n">
        <f aca="false">I784</f>
        <v>11973.991</v>
      </c>
      <c r="N784" s="7" t="n">
        <f aca="false">I784+2*STDEV(E765:E784)</f>
        <v>12919.9534742285</v>
      </c>
      <c r="O784" s="7" t="n">
        <f aca="false">I784-2*STDEV(E765:E784)</f>
        <v>11028.0285257715</v>
      </c>
      <c r="P784" s="7" t="n">
        <f aca="false">MAX(E784-E783,0)</f>
        <v>0</v>
      </c>
      <c r="Q784" s="7" t="n">
        <f aca="false">MAX(E783-E784,0)</f>
        <v>232.890000000001</v>
      </c>
      <c r="R784" s="7" t="n">
        <f aca="false">(R783*13+P784)/14</f>
        <v>114.923002724113</v>
      </c>
      <c r="S784" s="7" t="n">
        <f aca="false">(S783*13+Q784)/14</f>
        <v>71.5491928656709</v>
      </c>
      <c r="T784" s="7" t="n">
        <f aca="false">IF(S784=0,100,100-100/(1+R784/S784))</f>
        <v>61.6301011315003</v>
      </c>
      <c r="U784" s="7" t="n">
        <f aca="false">E784*2/13+U783*11/13</f>
        <v>12286.171961111</v>
      </c>
      <c r="V784" s="7" t="n">
        <f aca="false">E784*2/27+V783*25/27</f>
        <v>11947.2362674478</v>
      </c>
      <c r="W784" s="7" t="n">
        <f aca="false">U784-V784</f>
        <v>338.93569366325</v>
      </c>
      <c r="X784" s="7" t="n">
        <f aca="false">W784*2/10+X783*8/10</f>
        <v>271.257244742031</v>
      </c>
      <c r="Y784" s="7" t="n">
        <f aca="false">W784-X784</f>
        <v>67.6784489212191</v>
      </c>
      <c r="Z784" s="7" t="s">
        <v>78</v>
      </c>
      <c r="AA784" s="7" t="str">
        <f aca="false">IFERROR(INDEX(02_轉折點45!B:B,MATCH(A784,02_轉折點45!A:A,0)),"")</f>
        <v/>
      </c>
      <c r="AB784" s="7" t="n">
        <f aca="false">COUNTIFS(05_訊號明細!A:A,A784,05_訊號明細!C:C,"TOP")</f>
        <v>0</v>
      </c>
      <c r="AC784" s="7" t="n">
        <f aca="false">COUNTIFS(05_訊號明細!A:A,A784,05_訊號明細!C:C,"BOTTOM")</f>
        <v>0</v>
      </c>
    </row>
    <row r="785" customFormat="false" ht="15" hidden="false" customHeight="false" outlineLevel="0" collapsed="false">
      <c r="A785" s="7" t="s">
        <v>826</v>
      </c>
      <c r="B785" s="7" t="n">
        <v>12677.54</v>
      </c>
      <c r="C785" s="7" t="n">
        <v>12679.54</v>
      </c>
      <c r="D785" s="7" t="n">
        <v>12327.44</v>
      </c>
      <c r="E785" s="7" t="n">
        <v>12381.17</v>
      </c>
      <c r="F785" s="7" t="n">
        <v>5536</v>
      </c>
      <c r="G785" s="7" t="n">
        <f aca="false">AVERAGE(E781:E785)</f>
        <v>12528.538</v>
      </c>
      <c r="H785" s="7" t="n">
        <f aca="false">AVERAGE(E776:E785)</f>
        <v>12398.985</v>
      </c>
      <c r="I785" s="7" t="n">
        <f aca="false">AVERAGE(E766:E785)</f>
        <v>12022.9235</v>
      </c>
      <c r="J785" s="7" t="n">
        <f aca="false">AVERAGE(E736:E785)</f>
        <v>11598.725</v>
      </c>
      <c r="K785" s="7" t="n">
        <f aca="false">AVERAGE(E686:E785)</f>
        <v>11468.9347</v>
      </c>
      <c r="L785" s="7" t="n">
        <f aca="false">AVERAGE(E586:E785)</f>
        <v>11937.5796</v>
      </c>
      <c r="M785" s="7" t="n">
        <f aca="false">I785</f>
        <v>12022.9235</v>
      </c>
      <c r="N785" s="7" t="n">
        <f aca="false">I785+2*STDEV(E766:E785)</f>
        <v>12945.3735107015</v>
      </c>
      <c r="O785" s="7" t="n">
        <f aca="false">I785-2*STDEV(E766:E785)</f>
        <v>11100.4734892985</v>
      </c>
      <c r="P785" s="7" t="n">
        <f aca="false">MAX(E785-E784,0)</f>
        <v>0</v>
      </c>
      <c r="Q785" s="7" t="n">
        <f aca="false">MAX(E784-E785,0)</f>
        <v>114.209999999999</v>
      </c>
      <c r="R785" s="7" t="n">
        <f aca="false">(R784*13+P785)/14</f>
        <v>106.714216815248</v>
      </c>
      <c r="S785" s="7" t="n">
        <f aca="false">(S784*13+Q785)/14</f>
        <v>74.5963933752657</v>
      </c>
      <c r="T785" s="7" t="n">
        <f aca="false">IF(S785=0,100,100-100/(1+R785/S785))</f>
        <v>58.8571273921129</v>
      </c>
      <c r="U785" s="7" t="n">
        <f aca="false">E785*2/13+U784*11/13</f>
        <v>12300.787044017</v>
      </c>
      <c r="V785" s="7" t="n">
        <f aca="false">E785*2/27+V784*25/27</f>
        <v>11979.3795068961</v>
      </c>
      <c r="W785" s="7" t="n">
        <f aca="false">U785-V785</f>
        <v>321.407537120935</v>
      </c>
      <c r="X785" s="7" t="n">
        <f aca="false">W785*2/10+X784*8/10</f>
        <v>281.287303217812</v>
      </c>
      <c r="Y785" s="7" t="n">
        <f aca="false">W785-X785</f>
        <v>40.1202339031228</v>
      </c>
      <c r="Z785" s="7" t="s">
        <v>78</v>
      </c>
      <c r="AA785" s="7" t="str">
        <f aca="false">IFERROR(INDEX(02_轉折點45!B:B,MATCH(A785,02_轉折點45!A:A,0)),"")</f>
        <v/>
      </c>
      <c r="AB785" s="7" t="n">
        <f aca="false">COUNTIFS(05_訊號明細!A:A,A785,05_訊號明細!C:C,"TOP")</f>
        <v>0</v>
      </c>
      <c r="AC785" s="7" t="n">
        <f aca="false">COUNTIFS(05_訊號明細!A:A,A785,05_訊號明細!C:C,"BOTTOM")</f>
        <v>0</v>
      </c>
    </row>
    <row r="786" customFormat="false" ht="15" hidden="false" customHeight="false" outlineLevel="0" collapsed="false">
      <c r="A786" s="7" t="s">
        <v>827</v>
      </c>
      <c r="B786" s="7" t="n">
        <v>12306.59</v>
      </c>
      <c r="C786" s="7" t="n">
        <v>12375.72</v>
      </c>
      <c r="D786" s="7" t="n">
        <v>12204.21</v>
      </c>
      <c r="E786" s="7" t="n">
        <v>12304.92</v>
      </c>
      <c r="F786" s="7" t="n">
        <v>4885</v>
      </c>
      <c r="G786" s="7" t="n">
        <f aca="false">AVERAGE(E782:E786)</f>
        <v>12474.85</v>
      </c>
      <c r="H786" s="7" t="n">
        <f aca="false">AVERAGE(E777:E786)</f>
        <v>12412.817</v>
      </c>
      <c r="I786" s="7" t="n">
        <f aca="false">AVERAGE(E767:E786)</f>
        <v>12065.189</v>
      </c>
      <c r="J786" s="7" t="n">
        <f aca="false">AVERAGE(E737:E786)</f>
        <v>11614.7544</v>
      </c>
      <c r="K786" s="7" t="n">
        <f aca="false">AVERAGE(E687:E786)</f>
        <v>11472.4512</v>
      </c>
      <c r="L786" s="7" t="n">
        <f aca="false">AVERAGE(E587:E786)</f>
        <v>11934.05565</v>
      </c>
      <c r="M786" s="7" t="n">
        <f aca="false">I786</f>
        <v>12065.189</v>
      </c>
      <c r="N786" s="7" t="n">
        <f aca="false">I786+2*STDEV(E767:E786)</f>
        <v>12955.8793393117</v>
      </c>
      <c r="O786" s="7" t="n">
        <f aca="false">I786-2*STDEV(E767:E786)</f>
        <v>11174.4986606883</v>
      </c>
      <c r="P786" s="7" t="n">
        <f aca="false">MAX(E786-E785,0)</f>
        <v>0</v>
      </c>
      <c r="Q786" s="7" t="n">
        <f aca="false">MAX(E785-E786,0)</f>
        <v>76.25</v>
      </c>
      <c r="R786" s="7" t="n">
        <f aca="false">(R785*13+P786)/14</f>
        <v>99.0917727570156</v>
      </c>
      <c r="S786" s="7" t="n">
        <f aca="false">(S785*13+Q786)/14</f>
        <v>74.7145081341753</v>
      </c>
      <c r="T786" s="7" t="n">
        <f aca="false">IF(S786=0,100,100-100/(1+R786/S786))</f>
        <v>57.0127686116537</v>
      </c>
      <c r="U786" s="7" t="n">
        <f aca="false">E786*2/13+U785*11/13</f>
        <v>12301.422883399</v>
      </c>
      <c r="V786" s="7" t="n">
        <f aca="false">E786*2/27+V785*25/27</f>
        <v>12003.4936174964</v>
      </c>
      <c r="W786" s="7" t="n">
        <f aca="false">U786-V786</f>
        <v>297.929265902645</v>
      </c>
      <c r="X786" s="7" t="n">
        <f aca="false">W786*2/10+X785*8/10</f>
        <v>284.615695754779</v>
      </c>
      <c r="Y786" s="7" t="n">
        <f aca="false">W786-X786</f>
        <v>13.3135701478665</v>
      </c>
      <c r="Z786" s="7" t="s">
        <v>78</v>
      </c>
      <c r="AA786" s="7" t="str">
        <f aca="false">IFERROR(INDEX(02_轉折點45!B:B,MATCH(A786,02_轉折點45!A:A,0)),"")</f>
        <v/>
      </c>
      <c r="AB786" s="7" t="n">
        <f aca="false">COUNTIFS(05_訊號明細!A:A,A786,05_訊號明細!C:C,"TOP")</f>
        <v>0</v>
      </c>
      <c r="AC786" s="7" t="n">
        <f aca="false">COUNTIFS(05_訊號明細!A:A,A786,05_訊號明細!C:C,"BOTTOM")</f>
        <v>0</v>
      </c>
    </row>
    <row r="787" customFormat="false" ht="15" hidden="false" customHeight="false" outlineLevel="0" collapsed="false">
      <c r="A787" s="7" t="s">
        <v>828</v>
      </c>
      <c r="B787" s="7" t="n">
        <v>12356.5</v>
      </c>
      <c r="C787" s="7" t="n">
        <v>12522.78</v>
      </c>
      <c r="D787" s="7" t="n">
        <v>12313.45</v>
      </c>
      <c r="E787" s="7" t="n">
        <v>12502.31</v>
      </c>
      <c r="F787" s="7" t="n">
        <v>4753</v>
      </c>
      <c r="G787" s="7" t="n">
        <f aca="false">AVERAGE(E783:E787)</f>
        <v>12482.41</v>
      </c>
      <c r="H787" s="7" t="n">
        <f aca="false">AVERAGE(E778:E787)</f>
        <v>12471.809</v>
      </c>
      <c r="I787" s="7" t="n">
        <f aca="false">AVERAGE(E768:E787)</f>
        <v>12113.2305</v>
      </c>
      <c r="J787" s="7" t="n">
        <f aca="false">AVERAGE(E738:E787)</f>
        <v>11624.1994</v>
      </c>
      <c r="K787" s="7" t="n">
        <f aca="false">AVERAGE(E688:E787)</f>
        <v>11478.9589</v>
      </c>
      <c r="L787" s="7" t="n">
        <f aca="false">AVERAGE(E588:E787)</f>
        <v>11931.5504</v>
      </c>
      <c r="M787" s="7" t="n">
        <f aca="false">I787</f>
        <v>12113.2305</v>
      </c>
      <c r="N787" s="7" t="n">
        <f aca="false">I787+2*STDEV(E768:E787)</f>
        <v>12988.499844421</v>
      </c>
      <c r="O787" s="7" t="n">
        <f aca="false">I787-2*STDEV(E768:E787)</f>
        <v>11237.961155579</v>
      </c>
      <c r="P787" s="7" t="n">
        <f aca="false">MAX(E787-E786,0)</f>
        <v>197.389999999999</v>
      </c>
      <c r="Q787" s="7" t="n">
        <f aca="false">MAX(E786-E787,0)</f>
        <v>0</v>
      </c>
      <c r="R787" s="7" t="n">
        <f aca="false">(R786*13+P787)/14</f>
        <v>106.113074702943</v>
      </c>
      <c r="S787" s="7" t="n">
        <f aca="false">(S786*13+Q787)/14</f>
        <v>69.3777575531628</v>
      </c>
      <c r="T787" s="7" t="n">
        <f aca="false">IF(S787=0,100,100-100/(1+R787/S787))</f>
        <v>60.4664490667438</v>
      </c>
      <c r="U787" s="7" t="n">
        <f aca="false">E787*2/13+U786*11/13</f>
        <v>12332.3285936453</v>
      </c>
      <c r="V787" s="7" t="n">
        <f aca="false">E787*2/27+V786*25/27</f>
        <v>12040.4429791633</v>
      </c>
      <c r="W787" s="7" t="n">
        <f aca="false">U787-V787</f>
        <v>291.885614482015</v>
      </c>
      <c r="X787" s="7" t="n">
        <f aca="false">W787*2/10+X786*8/10</f>
        <v>286.069679500226</v>
      </c>
      <c r="Y787" s="7" t="n">
        <f aca="false">W787-X787</f>
        <v>5.81593498178893</v>
      </c>
      <c r="Z787" s="7" t="s">
        <v>78</v>
      </c>
      <c r="AA787" s="7" t="str">
        <f aca="false">IFERROR(INDEX(02_轉折點45!B:B,MATCH(A787,02_轉折點45!A:A,0)),"")</f>
        <v/>
      </c>
      <c r="AB787" s="7" t="n">
        <f aca="false">COUNTIFS(05_訊號明細!A:A,A787,05_訊號明細!C:C,"TOP")</f>
        <v>0</v>
      </c>
      <c r="AC787" s="7" t="n">
        <f aca="false">COUNTIFS(05_訊號明細!A:A,A787,05_訊號明細!C:C,"BOTTOM")</f>
        <v>0</v>
      </c>
    </row>
    <row r="788" customFormat="false" ht="15" hidden="false" customHeight="false" outlineLevel="0" collapsed="false">
      <c r="A788" s="7" t="s">
        <v>829</v>
      </c>
      <c r="B788" s="7" t="n">
        <v>12413.1</v>
      </c>
      <c r="C788" s="7" t="n">
        <v>12627.4</v>
      </c>
      <c r="D788" s="7" t="n">
        <v>12356.32</v>
      </c>
      <c r="E788" s="7" t="n">
        <v>12590.89</v>
      </c>
      <c r="F788" s="7" t="n">
        <v>5032</v>
      </c>
      <c r="G788" s="7" t="n">
        <f aca="false">AVERAGE(E784:E788)</f>
        <v>12454.934</v>
      </c>
      <c r="H788" s="7" t="n">
        <f aca="false">AVERAGE(E779:E788)</f>
        <v>12520.705</v>
      </c>
      <c r="I788" s="7" t="n">
        <f aca="false">AVERAGE(E769:E788)</f>
        <v>12164.9155</v>
      </c>
      <c r="J788" s="7" t="n">
        <f aca="false">AVERAGE(E739:E788)</f>
        <v>11635.1794</v>
      </c>
      <c r="K788" s="7" t="n">
        <f aca="false">AVERAGE(E689:E788)</f>
        <v>11488.4899</v>
      </c>
      <c r="L788" s="7" t="n">
        <f aca="false">AVERAGE(E589:E788)</f>
        <v>11927.22455</v>
      </c>
      <c r="M788" s="7" t="n">
        <f aca="false">I788</f>
        <v>12164.9155</v>
      </c>
      <c r="N788" s="7" t="n">
        <f aca="false">I788+2*STDEV(E769:E788)</f>
        <v>13023.8633013544</v>
      </c>
      <c r="O788" s="7" t="n">
        <f aca="false">I788-2*STDEV(E769:E788)</f>
        <v>11305.9676986456</v>
      </c>
      <c r="P788" s="7" t="n">
        <f aca="false">MAX(E788-E787,0)</f>
        <v>88.5799999999999</v>
      </c>
      <c r="Q788" s="7" t="n">
        <f aca="false">MAX(E787-E788,0)</f>
        <v>0</v>
      </c>
      <c r="R788" s="7" t="n">
        <f aca="false">(R787*13+P788)/14</f>
        <v>104.860712224161</v>
      </c>
      <c r="S788" s="7" t="n">
        <f aca="false">(S787*13+Q788)/14</f>
        <v>64.4222034422226</v>
      </c>
      <c r="T788" s="7" t="n">
        <f aca="false">IF(S788=0,100,100-100/(1+R788/S788))</f>
        <v>61.944060811675</v>
      </c>
      <c r="U788" s="7" t="n">
        <f aca="false">E788*2/13+U787*11/13</f>
        <v>12372.107271546</v>
      </c>
      <c r="V788" s="7" t="n">
        <f aca="false">E788*2/27+V787*25/27</f>
        <v>12081.2168325586</v>
      </c>
      <c r="W788" s="7" t="n">
        <f aca="false">U788-V788</f>
        <v>290.890438987424</v>
      </c>
      <c r="X788" s="7" t="n">
        <f aca="false">W788*2/10+X787*8/10</f>
        <v>287.033831397666</v>
      </c>
      <c r="Y788" s="7" t="n">
        <f aca="false">W788-X788</f>
        <v>3.85660758975871</v>
      </c>
      <c r="Z788" s="7" t="s">
        <v>78</v>
      </c>
      <c r="AA788" s="7" t="str">
        <f aca="false">IFERROR(INDEX(02_轉折點45!B:B,MATCH(A788,02_轉折點45!A:A,0)),"")</f>
        <v/>
      </c>
      <c r="AB788" s="7" t="n">
        <f aca="false">COUNTIFS(05_訊號明細!A:A,A788,05_訊號明細!C:C,"TOP")</f>
        <v>0</v>
      </c>
      <c r="AC788" s="7" t="n">
        <f aca="false">COUNTIFS(05_訊號明細!A:A,A788,05_訊號明細!C:C,"BOTTOM")</f>
        <v>0</v>
      </c>
    </row>
    <row r="789" customFormat="false" ht="15" hidden="false" customHeight="false" outlineLevel="0" collapsed="false">
      <c r="A789" s="7" t="s">
        <v>830</v>
      </c>
      <c r="B789" s="7" t="n">
        <v>12531.6</v>
      </c>
      <c r="C789" s="7" t="n">
        <v>12689.34</v>
      </c>
      <c r="D789" s="7" t="n">
        <v>12486.42</v>
      </c>
      <c r="E789" s="7" t="n">
        <v>12687.89</v>
      </c>
      <c r="F789" s="7" t="n">
        <v>5057</v>
      </c>
      <c r="G789" s="7" t="n">
        <f aca="false">AVERAGE(E785:E789)</f>
        <v>12493.436</v>
      </c>
      <c r="H789" s="7" t="n">
        <f aca="false">AVERAGE(E780:E789)</f>
        <v>12553.184</v>
      </c>
      <c r="I789" s="7" t="n">
        <f aca="false">AVERAGE(E770:E789)</f>
        <v>12228.7955</v>
      </c>
      <c r="J789" s="7" t="n">
        <f aca="false">AVERAGE(E740:E789)</f>
        <v>11649.052</v>
      </c>
      <c r="K789" s="7" t="n">
        <f aca="false">AVERAGE(E690:E789)</f>
        <v>11500.3523</v>
      </c>
      <c r="L789" s="7" t="n">
        <f aca="false">AVERAGE(E590:E789)</f>
        <v>11926.39</v>
      </c>
      <c r="M789" s="7" t="n">
        <f aca="false">I789</f>
        <v>12228.7955</v>
      </c>
      <c r="N789" s="7" t="n">
        <f aca="false">I789+2*STDEV(E770:E789)</f>
        <v>13040.1541253991</v>
      </c>
      <c r="O789" s="7" t="n">
        <f aca="false">I789-2*STDEV(E770:E789)</f>
        <v>11417.4368746009</v>
      </c>
      <c r="P789" s="7" t="n">
        <f aca="false">MAX(E789-E788,0)</f>
        <v>97</v>
      </c>
      <c r="Q789" s="7" t="n">
        <f aca="false">MAX(E788-E789,0)</f>
        <v>0</v>
      </c>
      <c r="R789" s="7" t="n">
        <f aca="false">(R788*13+P789)/14</f>
        <v>104.299232779578</v>
      </c>
      <c r="S789" s="7" t="n">
        <f aca="false">(S788*13+Q789)/14</f>
        <v>59.8206174820638</v>
      </c>
      <c r="T789" s="7" t="n">
        <f aca="false">IF(S789=0,100,100-100/(1+R789/S789))</f>
        <v>63.5506507063607</v>
      </c>
      <c r="U789" s="7" t="n">
        <f aca="false">E789*2/13+U788*11/13</f>
        <v>12420.6892297697</v>
      </c>
      <c r="V789" s="7" t="n">
        <f aca="false">E789*2/27+V788*25/27</f>
        <v>12126.1555857024</v>
      </c>
      <c r="W789" s="7" t="n">
        <f aca="false">U789-V789</f>
        <v>294.533644067304</v>
      </c>
      <c r="X789" s="7" t="n">
        <f aca="false">W789*2/10+X788*8/10</f>
        <v>288.533793931593</v>
      </c>
      <c r="Y789" s="7" t="n">
        <f aca="false">W789-X789</f>
        <v>5.99985013571046</v>
      </c>
      <c r="Z789" s="7" t="s">
        <v>78</v>
      </c>
      <c r="AA789" s="7" t="str">
        <f aca="false">IFERROR(INDEX(02_轉折點45!B:B,MATCH(A789,02_轉折點45!A:A,0)),"")</f>
        <v/>
      </c>
      <c r="AB789" s="7" t="n">
        <f aca="false">COUNTIFS(05_訊號明細!A:A,A789,05_訊號明細!C:C,"TOP")</f>
        <v>0</v>
      </c>
      <c r="AC789" s="7" t="n">
        <f aca="false">COUNTIFS(05_訊號明細!A:A,A789,05_訊號明細!C:C,"BOTTOM")</f>
        <v>0</v>
      </c>
    </row>
    <row r="790" customFormat="false" ht="15" hidden="false" customHeight="false" outlineLevel="0" collapsed="false">
      <c r="A790" s="7" t="s">
        <v>831</v>
      </c>
      <c r="B790" s="7" t="n">
        <v>12495.07</v>
      </c>
      <c r="C790" s="7" t="n">
        <v>12653.4</v>
      </c>
      <c r="D790" s="7" t="n">
        <v>12440</v>
      </c>
      <c r="E790" s="7" t="n">
        <v>12442.48</v>
      </c>
      <c r="F790" s="7" t="n">
        <v>5159</v>
      </c>
      <c r="G790" s="7" t="n">
        <f aca="false">AVERAGE(E786:E790)</f>
        <v>12505.698</v>
      </c>
      <c r="H790" s="7" t="n">
        <f aca="false">AVERAGE(E781:E790)</f>
        <v>12517.118</v>
      </c>
      <c r="I790" s="7" t="n">
        <f aca="false">AVERAGE(E771:E790)</f>
        <v>12286.136</v>
      </c>
      <c r="J790" s="7" t="n">
        <f aca="false">AVERAGE(E741:E790)</f>
        <v>11662.1656</v>
      </c>
      <c r="K790" s="7" t="n">
        <f aca="false">AVERAGE(E691:E790)</f>
        <v>11511.6647</v>
      </c>
      <c r="L790" s="7" t="n">
        <f aca="false">AVERAGE(E591:E790)</f>
        <v>11923.22315</v>
      </c>
      <c r="M790" s="7" t="n">
        <f aca="false">I790</f>
        <v>12286.136</v>
      </c>
      <c r="N790" s="7" t="n">
        <f aca="false">I790+2*STDEV(E771:E790)</f>
        <v>12972.2566888281</v>
      </c>
      <c r="O790" s="7" t="n">
        <f aca="false">I790-2*STDEV(E771:E790)</f>
        <v>11600.0153111719</v>
      </c>
      <c r="P790" s="7" t="n">
        <f aca="false">MAX(E790-E789,0)</f>
        <v>0</v>
      </c>
      <c r="Q790" s="7" t="n">
        <f aca="false">MAX(E789-E790,0)</f>
        <v>245.41</v>
      </c>
      <c r="R790" s="7" t="n">
        <f aca="false">(R789*13+P790)/14</f>
        <v>96.8492875810371</v>
      </c>
      <c r="S790" s="7" t="n">
        <f aca="false">(S789*13+Q790)/14</f>
        <v>73.0770019476307</v>
      </c>
      <c r="T790" s="7" t="n">
        <f aca="false">IF(S790=0,100,100-100/(1+R790/S790))</f>
        <v>56.9948816334849</v>
      </c>
      <c r="U790" s="7" t="n">
        <f aca="false">E790*2/13+U789*11/13</f>
        <v>12424.041655959</v>
      </c>
      <c r="V790" s="7" t="n">
        <f aca="false">E790*2/27+V789*25/27</f>
        <v>12149.5870237985</v>
      </c>
      <c r="W790" s="7" t="n">
        <f aca="false">U790-V790</f>
        <v>274.454632160459</v>
      </c>
      <c r="X790" s="7" t="n">
        <f aca="false">W790*2/10+X789*8/10</f>
        <v>285.717961577366</v>
      </c>
      <c r="Y790" s="7" t="n">
        <f aca="false">W790-X790</f>
        <v>-11.263329416907</v>
      </c>
      <c r="Z790" s="7" t="s">
        <v>78</v>
      </c>
      <c r="AA790" s="7" t="str">
        <f aca="false">IFERROR(INDEX(02_轉折點45!B:B,MATCH(A790,02_轉折點45!A:A,0)),"")</f>
        <v/>
      </c>
      <c r="AB790" s="7" t="n">
        <f aca="false">COUNTIFS(05_訊號明細!A:A,A790,05_訊號明細!C:C,"TOP")</f>
        <v>0</v>
      </c>
      <c r="AC790" s="7" t="n">
        <f aca="false">COUNTIFS(05_訊號明細!A:A,A790,05_訊號明細!C:C,"BOTTOM")</f>
        <v>0</v>
      </c>
    </row>
    <row r="791" customFormat="false" ht="15" hidden="false" customHeight="false" outlineLevel="0" collapsed="false">
      <c r="A791" s="7" t="s">
        <v>832</v>
      </c>
      <c r="B791" s="7" t="n">
        <v>12352.3</v>
      </c>
      <c r="C791" s="7" t="n">
        <v>12385.52</v>
      </c>
      <c r="D791" s="7" t="n">
        <v>12233.79</v>
      </c>
      <c r="E791" s="7" t="n">
        <v>12358.18</v>
      </c>
      <c r="F791" s="7" t="n">
        <v>4925</v>
      </c>
      <c r="G791" s="7" t="n">
        <f aca="false">AVERAGE(E787:E791)</f>
        <v>12516.35</v>
      </c>
      <c r="H791" s="7" t="n">
        <f aca="false">AVERAGE(E782:E791)</f>
        <v>12495.6</v>
      </c>
      <c r="I791" s="7" t="n">
        <f aca="false">AVERAGE(E772:E791)</f>
        <v>12323.0935</v>
      </c>
      <c r="J791" s="7" t="n">
        <f aca="false">AVERAGE(E742:E791)</f>
        <v>11678.3354</v>
      </c>
      <c r="K791" s="7" t="n">
        <f aca="false">AVERAGE(E692:E791)</f>
        <v>11522.7054</v>
      </c>
      <c r="L791" s="7" t="n">
        <f aca="false">AVERAGE(E592:E791)</f>
        <v>11919.56455</v>
      </c>
      <c r="M791" s="7" t="n">
        <f aca="false">I791</f>
        <v>12323.0935</v>
      </c>
      <c r="N791" s="7" t="n">
        <f aca="false">I791+2*STDEV(E772:E791)</f>
        <v>12933.3497679736</v>
      </c>
      <c r="O791" s="7" t="n">
        <f aca="false">I791-2*STDEV(E772:E791)</f>
        <v>11712.8372320264</v>
      </c>
      <c r="P791" s="7" t="n">
        <f aca="false">MAX(E791-E790,0)</f>
        <v>0</v>
      </c>
      <c r="Q791" s="7" t="n">
        <f aca="false">MAX(E790-E791,0)</f>
        <v>84.2999999999993</v>
      </c>
      <c r="R791" s="7" t="n">
        <f aca="false">(R790*13+P791)/14</f>
        <v>89.9314813252487</v>
      </c>
      <c r="S791" s="7" t="n">
        <f aca="false">(S790*13+Q791)/14</f>
        <v>73.878644665657</v>
      </c>
      <c r="T791" s="7" t="n">
        <f aca="false">IF(S791=0,100,100-100/(1+R791/S791))</f>
        <v>54.8998303867012</v>
      </c>
      <c r="U791" s="7" t="n">
        <f aca="false">E791*2/13+U790*11/13</f>
        <v>12413.9090935038</v>
      </c>
      <c r="V791" s="7" t="n">
        <f aca="false">E791*2/27+V790*25/27</f>
        <v>12165.038355369</v>
      </c>
      <c r="W791" s="7" t="n">
        <f aca="false">U791-V791</f>
        <v>248.870738134752</v>
      </c>
      <c r="X791" s="7" t="n">
        <f aca="false">W791*2/10+X790*8/10</f>
        <v>278.348516888844</v>
      </c>
      <c r="Y791" s="7" t="n">
        <f aca="false">W791-X791</f>
        <v>-29.4777787540914</v>
      </c>
      <c r="Z791" s="7" t="s">
        <v>78</v>
      </c>
      <c r="AA791" s="7" t="str">
        <f aca="false">IFERROR(INDEX(02_轉折點45!B:B,MATCH(A791,02_轉折點45!A:A,0)),"")</f>
        <v/>
      </c>
      <c r="AB791" s="7" t="n">
        <f aca="false">COUNTIFS(05_訊號明細!A:A,A791,05_訊號明細!C:C,"TOP")</f>
        <v>0</v>
      </c>
      <c r="AC791" s="7" t="n">
        <f aca="false">COUNTIFS(05_訊號明細!A:A,A791,05_訊號明細!C:C,"BOTTOM")</f>
        <v>0</v>
      </c>
    </row>
    <row r="792" customFormat="false" ht="15" hidden="false" customHeight="false" outlineLevel="0" collapsed="false">
      <c r="A792" s="7" t="s">
        <v>833</v>
      </c>
      <c r="B792" s="7" t="n">
        <v>12205.21</v>
      </c>
      <c r="C792" s="7" t="n">
        <v>12257.06</v>
      </c>
      <c r="D792" s="7" t="n">
        <v>12058.23</v>
      </c>
      <c r="E792" s="7" t="n">
        <v>12060.3</v>
      </c>
      <c r="F792" s="7" t="n">
        <v>5003</v>
      </c>
      <c r="G792" s="7" t="n">
        <f aca="false">AVERAGE(E788:E792)</f>
        <v>12427.948</v>
      </c>
      <c r="H792" s="7" t="n">
        <f aca="false">AVERAGE(E783:E792)</f>
        <v>12455.179</v>
      </c>
      <c r="I792" s="7" t="n">
        <f aca="false">AVERAGE(E773:E792)</f>
        <v>12332.4815</v>
      </c>
      <c r="J792" s="7" t="n">
        <f aca="false">AVERAGE(E743:E792)</f>
        <v>11689.5936</v>
      </c>
      <c r="K792" s="7" t="n">
        <f aca="false">AVERAGE(E693:E792)</f>
        <v>11530.5909</v>
      </c>
      <c r="L792" s="7" t="n">
        <f aca="false">AVERAGE(E593:E792)</f>
        <v>11912.1875</v>
      </c>
      <c r="M792" s="7" t="n">
        <f aca="false">I792</f>
        <v>12332.4815</v>
      </c>
      <c r="N792" s="7" t="n">
        <f aca="false">I792+2*STDEV(E773:E792)</f>
        <v>12918.8637466716</v>
      </c>
      <c r="O792" s="7" t="n">
        <f aca="false">I792-2*STDEV(E773:E792)</f>
        <v>11746.0992533284</v>
      </c>
      <c r="P792" s="7" t="n">
        <f aca="false">MAX(E792-E791,0)</f>
        <v>0</v>
      </c>
      <c r="Q792" s="7" t="n">
        <f aca="false">MAX(E791-E792,0)</f>
        <v>297.880000000001</v>
      </c>
      <c r="R792" s="7" t="n">
        <f aca="false">(R791*13+P792)/14</f>
        <v>83.507804087731</v>
      </c>
      <c r="S792" s="7" t="n">
        <f aca="false">(S791*13+Q792)/14</f>
        <v>89.878741475253</v>
      </c>
      <c r="T792" s="7" t="n">
        <f aca="false">IF(S792=0,100,100-100/(1+R792/S792))</f>
        <v>48.1627936104166</v>
      </c>
      <c r="U792" s="7" t="n">
        <f aca="false">E792*2/13+U791*11/13</f>
        <v>12359.5076945032</v>
      </c>
      <c r="V792" s="7" t="n">
        <f aca="false">E792*2/27+V791*25/27</f>
        <v>12157.279958675</v>
      </c>
      <c r="W792" s="7" t="n">
        <f aca="false">U792-V792</f>
        <v>202.227735828172</v>
      </c>
      <c r="X792" s="7" t="n">
        <f aca="false">W792*2/10+X791*8/10</f>
        <v>263.124360676709</v>
      </c>
      <c r="Y792" s="7" t="n">
        <f aca="false">W792-X792</f>
        <v>-60.8966248485375</v>
      </c>
      <c r="Z792" s="7" t="s">
        <v>78</v>
      </c>
      <c r="AA792" s="7" t="str">
        <f aca="false">IFERROR(INDEX(02_轉折點45!B:B,MATCH(A792,02_轉折點45!A:A,0)),"")</f>
        <v/>
      </c>
      <c r="AB792" s="7" t="n">
        <f aca="false">COUNTIFS(05_訊號明細!A:A,A792,05_訊號明細!C:C,"TOP")</f>
        <v>0</v>
      </c>
      <c r="AC792" s="7" t="n">
        <f aca="false">COUNTIFS(05_訊號明細!A:A,A792,05_訊號明細!C:C,"BOTTOM")</f>
        <v>0</v>
      </c>
    </row>
    <row r="793" customFormat="false" ht="15" hidden="false" customHeight="false" outlineLevel="0" collapsed="false">
      <c r="A793" s="7" t="s">
        <v>834</v>
      </c>
      <c r="B793" s="7" t="n">
        <v>12085.67</v>
      </c>
      <c r="C793" s="7" t="n">
        <v>12156.21</v>
      </c>
      <c r="D793" s="7" t="n">
        <v>12006.04</v>
      </c>
      <c r="E793" s="7" t="n">
        <v>12066.27</v>
      </c>
      <c r="F793" s="7" t="n">
        <v>4671</v>
      </c>
      <c r="G793" s="7" t="n">
        <f aca="false">AVERAGE(E789:E793)</f>
        <v>12323.024</v>
      </c>
      <c r="H793" s="7" t="n">
        <f aca="false">AVERAGE(E784:E793)</f>
        <v>12388.979</v>
      </c>
      <c r="I793" s="7" t="n">
        <f aca="false">AVERAGE(E774:E793)</f>
        <v>12343.463</v>
      </c>
      <c r="J793" s="7" t="n">
        <f aca="false">AVERAGE(E744:E793)</f>
        <v>11698.169</v>
      </c>
      <c r="K793" s="7" t="n">
        <f aca="false">AVERAGE(E694:E793)</f>
        <v>11536.3153</v>
      </c>
      <c r="L793" s="7" t="n">
        <f aca="false">AVERAGE(E594:E793)</f>
        <v>11908.2661</v>
      </c>
      <c r="M793" s="7" t="n">
        <f aca="false">I793</f>
        <v>12343.463</v>
      </c>
      <c r="N793" s="7" t="n">
        <f aca="false">I793+2*STDEV(E774:E793)</f>
        <v>12898.9475005218</v>
      </c>
      <c r="O793" s="7" t="n">
        <f aca="false">I793-2*STDEV(E774:E793)</f>
        <v>11787.9784994782</v>
      </c>
      <c r="P793" s="7" t="n">
        <f aca="false">MAX(E793-E792,0)</f>
        <v>5.97000000000116</v>
      </c>
      <c r="Q793" s="7" t="n">
        <f aca="false">MAX(E792-E793,0)</f>
        <v>0</v>
      </c>
      <c r="R793" s="7" t="n">
        <f aca="false">(R792*13+P793)/14</f>
        <v>77.969389510036</v>
      </c>
      <c r="S793" s="7" t="n">
        <f aca="false">(S792*13+Q793)/14</f>
        <v>83.4588313698778</v>
      </c>
      <c r="T793" s="7" t="n">
        <f aca="false">IF(S793=0,100,100-100/(1+R793/S793))</f>
        <v>48.299726705182</v>
      </c>
      <c r="U793" s="7" t="n">
        <f aca="false">E793*2/13+U792*11/13</f>
        <v>12314.3942030412</v>
      </c>
      <c r="V793" s="7" t="n">
        <f aca="false">E793*2/27+V792*25/27</f>
        <v>12150.5384802546</v>
      </c>
      <c r="W793" s="7" t="n">
        <f aca="false">U793-V793</f>
        <v>163.855722786513</v>
      </c>
      <c r="X793" s="7" t="n">
        <f aca="false">W793*2/10+X792*8/10</f>
        <v>243.27063309867</v>
      </c>
      <c r="Y793" s="7" t="n">
        <f aca="false">W793-X793</f>
        <v>-79.4149103121569</v>
      </c>
      <c r="Z793" s="7" t="s">
        <v>78</v>
      </c>
      <c r="AA793" s="7" t="str">
        <f aca="false">IFERROR(INDEX(02_轉折點45!B:B,MATCH(A793,02_轉折點45!A:A,0)),"")</f>
        <v/>
      </c>
      <c r="AB793" s="7" t="n">
        <f aca="false">COUNTIFS(05_訊號明細!A:A,A793,05_訊號明細!C:C,"TOP")</f>
        <v>0</v>
      </c>
      <c r="AC793" s="7" t="n">
        <f aca="false">COUNTIFS(05_訊號明細!A:A,A793,05_訊號明細!C:C,"BOTTOM")</f>
        <v>0</v>
      </c>
    </row>
    <row r="794" customFormat="false" ht="15" hidden="false" customHeight="false" outlineLevel="0" collapsed="false">
      <c r="A794" s="7" t="s">
        <v>835</v>
      </c>
      <c r="B794" s="7" t="n">
        <v>12224.44</v>
      </c>
      <c r="C794" s="7" t="n">
        <v>12227.4</v>
      </c>
      <c r="D794" s="7" t="n">
        <v>12003.31</v>
      </c>
      <c r="E794" s="7" t="n">
        <v>12180.14</v>
      </c>
      <c r="F794" s="7" t="n">
        <v>4715</v>
      </c>
      <c r="G794" s="7" t="n">
        <f aca="false">AVERAGE(E790:E794)</f>
        <v>12221.474</v>
      </c>
      <c r="H794" s="7" t="n">
        <f aca="false">AVERAGE(E785:E794)</f>
        <v>12357.455</v>
      </c>
      <c r="I794" s="7" t="n">
        <f aca="false">AVERAGE(E775:E794)</f>
        <v>12361.7355</v>
      </c>
      <c r="J794" s="7" t="n">
        <f aca="false">AVERAGE(E745:E794)</f>
        <v>11710.5052</v>
      </c>
      <c r="K794" s="7" t="n">
        <f aca="false">AVERAGE(E695:E794)</f>
        <v>11546.4689</v>
      </c>
      <c r="L794" s="7" t="n">
        <f aca="false">AVERAGE(E595:E794)</f>
        <v>11905.69915</v>
      </c>
      <c r="M794" s="7" t="n">
        <f aca="false">I794</f>
        <v>12361.7355</v>
      </c>
      <c r="N794" s="7" t="n">
        <f aca="false">I794+2*STDEV(E775:E794)</f>
        <v>12865.6298551966</v>
      </c>
      <c r="O794" s="7" t="n">
        <f aca="false">I794-2*STDEV(E775:E794)</f>
        <v>11857.8411448034</v>
      </c>
      <c r="P794" s="7" t="n">
        <f aca="false">MAX(E794-E793,0)</f>
        <v>113.869999999999</v>
      </c>
      <c r="Q794" s="7" t="n">
        <f aca="false">MAX(E793-E794,0)</f>
        <v>0</v>
      </c>
      <c r="R794" s="7" t="n">
        <f aca="false">(R793*13+P794)/14</f>
        <v>80.5337188307476</v>
      </c>
      <c r="S794" s="7" t="n">
        <f aca="false">(S793*13+Q794)/14</f>
        <v>77.4974862720294</v>
      </c>
      <c r="T794" s="7" t="n">
        <f aca="false">IF(S794=0,100,100-100/(1+R794/S794))</f>
        <v>50.9606433605134</v>
      </c>
      <c r="U794" s="7" t="n">
        <f aca="false">E794*2/13+U793*11/13</f>
        <v>12293.7397102656</v>
      </c>
      <c r="V794" s="7" t="n">
        <f aca="false">E794*2/27+V793*25/27</f>
        <v>12152.731185421</v>
      </c>
      <c r="W794" s="7" t="n">
        <f aca="false">U794-V794</f>
        <v>141.008524844627</v>
      </c>
      <c r="X794" s="7" t="n">
        <f aca="false">W794*2/10+X793*8/10</f>
        <v>222.818211447861</v>
      </c>
      <c r="Y794" s="7" t="n">
        <f aca="false">W794-X794</f>
        <v>-81.8096866032347</v>
      </c>
      <c r="Z794" s="7" t="s">
        <v>78</v>
      </c>
      <c r="AA794" s="7" t="str">
        <f aca="false">IFERROR(INDEX(02_轉折點45!B:B,MATCH(A794,02_轉折點45!A:A,0)),"")</f>
        <v/>
      </c>
      <c r="AB794" s="7" t="n">
        <f aca="false">COUNTIFS(05_訊號明細!A:A,A794,05_訊號明細!C:C,"TOP")</f>
        <v>0</v>
      </c>
      <c r="AC794" s="7" t="n">
        <f aca="false">COUNTIFS(05_訊號明細!A:A,A794,05_訊號明細!C:C,"BOTTOM")</f>
        <v>0</v>
      </c>
    </row>
    <row r="795" customFormat="false" ht="15" hidden="false" customHeight="false" outlineLevel="0" collapsed="false">
      <c r="A795" s="7" t="s">
        <v>836</v>
      </c>
      <c r="B795" s="7" t="n">
        <v>11979.8</v>
      </c>
      <c r="C795" s="7" t="n">
        <v>12018.32</v>
      </c>
      <c r="D795" s="7" t="n">
        <v>11900.84</v>
      </c>
      <c r="E795" s="7" t="n">
        <v>11969.65</v>
      </c>
      <c r="F795" s="7" t="n">
        <v>4433</v>
      </c>
      <c r="G795" s="7" t="n">
        <f aca="false">AVERAGE(E791:E795)</f>
        <v>12126.908</v>
      </c>
      <c r="H795" s="7" t="n">
        <f aca="false">AVERAGE(E786:E795)</f>
        <v>12316.303</v>
      </c>
      <c r="I795" s="7" t="n">
        <f aca="false">AVERAGE(E776:E795)</f>
        <v>12357.644</v>
      </c>
      <c r="J795" s="7" t="n">
        <f aca="false">AVERAGE(E746:E795)</f>
        <v>11715.7694</v>
      </c>
      <c r="K795" s="7" t="n">
        <f aca="false">AVERAGE(E696:E795)</f>
        <v>11556.4532</v>
      </c>
      <c r="L795" s="7" t="n">
        <f aca="false">AVERAGE(E596:E795)</f>
        <v>11904.6088</v>
      </c>
      <c r="M795" s="7" t="n">
        <f aca="false">I795</f>
        <v>12357.644</v>
      </c>
      <c r="N795" s="7" t="n">
        <f aca="false">I795+2*STDEV(E776:E795)</f>
        <v>12873.3362750878</v>
      </c>
      <c r="O795" s="7" t="n">
        <f aca="false">I795-2*STDEV(E776:E795)</f>
        <v>11841.9517249122</v>
      </c>
      <c r="P795" s="7" t="n">
        <f aca="false">MAX(E795-E794,0)</f>
        <v>0</v>
      </c>
      <c r="Q795" s="7" t="n">
        <f aca="false">MAX(E794-E795,0)</f>
        <v>210.49</v>
      </c>
      <c r="R795" s="7" t="n">
        <f aca="false">(R794*13+P795)/14</f>
        <v>74.7813103428371</v>
      </c>
      <c r="S795" s="7" t="n">
        <f aca="false">(S794*13+Q795)/14</f>
        <v>86.996951538313</v>
      </c>
      <c r="T795" s="7" t="n">
        <f aca="false">IF(S795=0,100,100-100/(1+R795/S795))</f>
        <v>46.224572741284</v>
      </c>
      <c r="U795" s="7" t="n">
        <f aca="false">E795*2/13+U794*11/13</f>
        <v>12243.8797548401</v>
      </c>
      <c r="V795" s="7" t="n">
        <f aca="false">E795*2/27+V794*25/27</f>
        <v>12139.1696161305</v>
      </c>
      <c r="W795" s="7" t="n">
        <f aca="false">U795-V795</f>
        <v>104.710138709594</v>
      </c>
      <c r="X795" s="7" t="n">
        <f aca="false">W795*2/10+X794*8/10</f>
        <v>199.196596900208</v>
      </c>
      <c r="Y795" s="7" t="n">
        <f aca="false">W795-X795</f>
        <v>-94.4864581906142</v>
      </c>
      <c r="Z795" s="7" t="s">
        <v>78</v>
      </c>
      <c r="AA795" s="7" t="str">
        <f aca="false">IFERROR(INDEX(02_轉折點45!B:B,MATCH(A795,02_轉折點45!A:A,0)),"")</f>
        <v/>
      </c>
      <c r="AB795" s="7" t="n">
        <f aca="false">COUNTIFS(05_訊號明細!A:A,A795,05_訊號明細!C:C,"TOP")</f>
        <v>0</v>
      </c>
      <c r="AC795" s="7" t="n">
        <f aca="false">COUNTIFS(05_訊號明細!A:A,A795,05_訊號明細!C:C,"BOTTOM")</f>
        <v>0</v>
      </c>
    </row>
    <row r="796" customFormat="false" ht="15" hidden="false" customHeight="false" outlineLevel="0" collapsed="false">
      <c r="A796" s="7" t="s">
        <v>837</v>
      </c>
      <c r="B796" s="7" t="n">
        <v>12106.79</v>
      </c>
      <c r="C796" s="7" t="n">
        <v>12159.64</v>
      </c>
      <c r="D796" s="7" t="n">
        <v>12034.61</v>
      </c>
      <c r="E796" s="7" t="n">
        <v>12057.79</v>
      </c>
      <c r="F796" s="7" t="n">
        <v>4494</v>
      </c>
      <c r="G796" s="7" t="n">
        <f aca="false">AVERAGE(E792:E796)</f>
        <v>12066.83</v>
      </c>
      <c r="H796" s="7" t="n">
        <f aca="false">AVERAGE(E787:E796)</f>
        <v>12291.59</v>
      </c>
      <c r="I796" s="7" t="n">
        <f aca="false">AVERAGE(E777:E796)</f>
        <v>12352.2035</v>
      </c>
      <c r="J796" s="7" t="n">
        <f aca="false">AVERAGE(E747:E796)</f>
        <v>11720.241</v>
      </c>
      <c r="K796" s="7" t="n">
        <f aca="false">AVERAGE(E697:E796)</f>
        <v>11564.7338</v>
      </c>
      <c r="L796" s="7" t="n">
        <f aca="false">AVERAGE(E597:E796)</f>
        <v>11903.16845</v>
      </c>
      <c r="M796" s="7" t="n">
        <f aca="false">I796</f>
        <v>12352.2035</v>
      </c>
      <c r="N796" s="7" t="n">
        <f aca="false">I796+2*STDEV(E777:E796)</f>
        <v>12878.5675150984</v>
      </c>
      <c r="O796" s="7" t="n">
        <f aca="false">I796-2*STDEV(E777:E796)</f>
        <v>11825.8394849016</v>
      </c>
      <c r="P796" s="7" t="n">
        <f aca="false">MAX(E796-E795,0)</f>
        <v>88.1400000000012</v>
      </c>
      <c r="Q796" s="7" t="n">
        <f aca="false">MAX(E795-E796,0)</f>
        <v>0</v>
      </c>
      <c r="R796" s="7" t="n">
        <f aca="false">(R795*13+P796)/14</f>
        <v>75.735502461206</v>
      </c>
      <c r="S796" s="7" t="n">
        <f aca="false">(S795*13+Q796)/14</f>
        <v>80.7828835712906</v>
      </c>
      <c r="T796" s="7" t="n">
        <f aca="false">IF(S796=0,100,100-100/(1+R796/S796))</f>
        <v>48.3876076038004</v>
      </c>
      <c r="U796" s="7" t="n">
        <f aca="false">E796*2/13+U795*11/13</f>
        <v>12215.2505617878</v>
      </c>
      <c r="V796" s="7" t="n">
        <f aca="false">E796*2/27+V795*25/27</f>
        <v>12133.1414964172</v>
      </c>
      <c r="W796" s="7" t="n">
        <f aca="false">U796-V796</f>
        <v>82.1090653706378</v>
      </c>
      <c r="X796" s="7" t="n">
        <f aca="false">W796*2/10+X795*8/10</f>
        <v>175.779090594294</v>
      </c>
      <c r="Y796" s="7" t="n">
        <f aca="false">W796-X796</f>
        <v>-93.6700252236559</v>
      </c>
      <c r="Z796" s="7" t="s">
        <v>78</v>
      </c>
      <c r="AA796" s="7" t="str">
        <f aca="false">IFERROR(INDEX(02_轉折點45!B:B,MATCH(A796,02_轉折點45!A:A,0)),"")</f>
        <v/>
      </c>
      <c r="AB796" s="7" t="n">
        <f aca="false">COUNTIFS(05_訊號明細!A:A,A796,05_訊號明細!C:C,"TOP")</f>
        <v>0</v>
      </c>
      <c r="AC796" s="7" t="n">
        <f aca="false">COUNTIFS(05_訊號明細!A:A,A796,05_訊號明細!C:C,"BOTTOM")</f>
        <v>0</v>
      </c>
    </row>
    <row r="797" customFormat="false" ht="15" hidden="false" customHeight="false" outlineLevel="0" collapsed="false">
      <c r="A797" s="7" t="s">
        <v>838</v>
      </c>
      <c r="B797" s="7" t="n">
        <v>12041.75</v>
      </c>
      <c r="C797" s="7" t="n">
        <v>12146.52</v>
      </c>
      <c r="D797" s="7" t="n">
        <v>12021.32</v>
      </c>
      <c r="E797" s="7" t="n">
        <v>12042.12</v>
      </c>
      <c r="F797" s="7" t="n">
        <v>5341</v>
      </c>
      <c r="G797" s="7" t="n">
        <f aca="false">AVERAGE(E793:E797)</f>
        <v>12063.194</v>
      </c>
      <c r="H797" s="7" t="n">
        <f aca="false">AVERAGE(E788:E797)</f>
        <v>12245.571</v>
      </c>
      <c r="I797" s="7" t="n">
        <f aca="false">AVERAGE(E778:E797)</f>
        <v>12358.69</v>
      </c>
      <c r="J797" s="7" t="n">
        <f aca="false">AVERAGE(E748:E797)</f>
        <v>11726.265</v>
      </c>
      <c r="K797" s="7" t="n">
        <f aca="false">AVERAGE(E698:E797)</f>
        <v>11569.3296</v>
      </c>
      <c r="L797" s="7" t="n">
        <f aca="false">AVERAGE(E598:E797)</f>
        <v>11903.54125</v>
      </c>
      <c r="M797" s="7" t="n">
        <f aca="false">I797</f>
        <v>12358.69</v>
      </c>
      <c r="N797" s="7" t="n">
        <f aca="false">I797+2*STDEV(E778:E797)</f>
        <v>12865.0505915904</v>
      </c>
      <c r="O797" s="7" t="n">
        <f aca="false">I797-2*STDEV(E778:E797)</f>
        <v>11852.3294084096</v>
      </c>
      <c r="P797" s="7" t="n">
        <f aca="false">MAX(E797-E796,0)</f>
        <v>0</v>
      </c>
      <c r="Q797" s="7" t="n">
        <f aca="false">MAX(E796-E797,0)</f>
        <v>15.6700000000001</v>
      </c>
      <c r="R797" s="7" t="n">
        <f aca="false">(R796*13+P797)/14</f>
        <v>70.325823713977</v>
      </c>
      <c r="S797" s="7" t="n">
        <f aca="false">(S796*13+Q797)/14</f>
        <v>76.1319633161985</v>
      </c>
      <c r="T797" s="7" t="n">
        <f aca="false">IF(S797=0,100,100-100/(1+R797/S797))</f>
        <v>48.0178112342278</v>
      </c>
      <c r="U797" s="7" t="n">
        <f aca="false">E797*2/13+U796*11/13</f>
        <v>12188.6150907435</v>
      </c>
      <c r="V797" s="7" t="n">
        <f aca="false">E797*2/27+V796*25/27</f>
        <v>12126.3991633492</v>
      </c>
      <c r="W797" s="7" t="n">
        <f aca="false">U797-V797</f>
        <v>62.215927394298</v>
      </c>
      <c r="X797" s="7" t="n">
        <f aca="false">W797*2/10+X796*8/10</f>
        <v>153.066457954295</v>
      </c>
      <c r="Y797" s="7" t="n">
        <f aca="false">W797-X797</f>
        <v>-90.8505305599966</v>
      </c>
      <c r="Z797" s="7" t="s">
        <v>78</v>
      </c>
      <c r="AA797" s="7" t="str">
        <f aca="false">IFERROR(INDEX(02_轉折點45!B:B,MATCH(A797,02_轉折點45!A:A,0)),"")</f>
        <v/>
      </c>
      <c r="AB797" s="7" t="n">
        <f aca="false">COUNTIFS(05_訊號明細!A:A,A797,05_訊號明細!C:C,"TOP")</f>
        <v>0</v>
      </c>
      <c r="AC797" s="7" t="n">
        <f aca="false">COUNTIFS(05_訊號明細!A:A,A797,05_訊號明細!C:C,"BOTTOM")</f>
        <v>0</v>
      </c>
    </row>
    <row r="798" customFormat="false" ht="15" hidden="false" customHeight="false" outlineLevel="0" collapsed="false">
      <c r="A798" s="7" t="s">
        <v>839</v>
      </c>
      <c r="B798" s="7" t="n">
        <v>12026.72</v>
      </c>
      <c r="C798" s="7" t="n">
        <v>12054.48</v>
      </c>
      <c r="D798" s="7" t="n">
        <v>11906.58</v>
      </c>
      <c r="E798" s="7" t="n">
        <v>11938.57</v>
      </c>
      <c r="F798" s="7" t="n">
        <v>4928</v>
      </c>
      <c r="G798" s="7" t="n">
        <f aca="false">AVERAGE(E794:E798)</f>
        <v>12037.654</v>
      </c>
      <c r="H798" s="7" t="n">
        <f aca="false">AVERAGE(E789:E798)</f>
        <v>12180.339</v>
      </c>
      <c r="I798" s="7" t="n">
        <f aca="false">AVERAGE(E779:E798)</f>
        <v>12350.522</v>
      </c>
      <c r="J798" s="7" t="n">
        <f aca="false">AVERAGE(E749:E798)</f>
        <v>11738.132</v>
      </c>
      <c r="K798" s="7" t="n">
        <f aca="false">AVERAGE(E699:E798)</f>
        <v>11572.9835</v>
      </c>
      <c r="L798" s="7" t="n">
        <f aca="false">AVERAGE(E599:E798)</f>
        <v>11903.5066</v>
      </c>
      <c r="M798" s="7" t="n">
        <f aca="false">I798</f>
        <v>12350.522</v>
      </c>
      <c r="N798" s="7" t="n">
        <f aca="false">I798+2*STDEV(E779:E798)</f>
        <v>12879.1041698249</v>
      </c>
      <c r="O798" s="7" t="n">
        <f aca="false">I798-2*STDEV(E779:E798)</f>
        <v>11821.9398301751</v>
      </c>
      <c r="P798" s="7" t="n">
        <f aca="false">MAX(E798-E797,0)</f>
        <v>0</v>
      </c>
      <c r="Q798" s="7" t="n">
        <f aca="false">MAX(E797-E798,0)</f>
        <v>103.550000000001</v>
      </c>
      <c r="R798" s="7" t="n">
        <f aca="false">(R797*13+P798)/14</f>
        <v>65.30255059155</v>
      </c>
      <c r="S798" s="7" t="n">
        <f aca="false">(S797*13+Q798)/14</f>
        <v>78.0903945078986</v>
      </c>
      <c r="T798" s="7" t="n">
        <f aca="false">IF(S798=0,100,100-100/(1+R798/S798))</f>
        <v>45.5409787045382</v>
      </c>
      <c r="U798" s="7" t="n">
        <f aca="false">E798*2/13+U797*11/13</f>
        <v>12150.1466152445</v>
      </c>
      <c r="V798" s="7" t="n">
        <f aca="false">E798*2/27+V797*25/27</f>
        <v>12112.48589199</v>
      </c>
      <c r="W798" s="7" t="n">
        <f aca="false">U798-V798</f>
        <v>37.6607232544957</v>
      </c>
      <c r="X798" s="7" t="n">
        <f aca="false">W798*2/10+X797*8/10</f>
        <v>129.985311014335</v>
      </c>
      <c r="Y798" s="7" t="n">
        <f aca="false">W798-X798</f>
        <v>-92.3245877598392</v>
      </c>
      <c r="Z798" s="9" t="s">
        <v>89</v>
      </c>
      <c r="AA798" s="7" t="str">
        <f aca="false">IFERROR(INDEX(02_轉折點45!B:B,MATCH(A798,02_轉折點45!A:A,0)),"")</f>
        <v/>
      </c>
      <c r="AB798" s="7" t="n">
        <f aca="false">COUNTIFS(05_訊號明細!A:A,A798,05_訊號明細!C:C,"TOP")</f>
        <v>0</v>
      </c>
      <c r="AC798" s="7" t="n">
        <f aca="false">COUNTIFS(05_訊號明細!A:A,A798,05_訊號明細!C:C,"BOTTOM")</f>
        <v>0</v>
      </c>
    </row>
    <row r="799" customFormat="false" ht="15" hidden="false" customHeight="false" outlineLevel="0" collapsed="false">
      <c r="A799" s="7" t="s">
        <v>840</v>
      </c>
      <c r="B799" s="7" t="n">
        <v>11830.09</v>
      </c>
      <c r="C799" s="7" t="n">
        <v>12074.59</v>
      </c>
      <c r="D799" s="7" t="n">
        <v>11830.09</v>
      </c>
      <c r="E799" s="7" t="n">
        <v>12044.87</v>
      </c>
      <c r="F799" s="7" t="n">
        <v>5314</v>
      </c>
      <c r="G799" s="7" t="n">
        <f aca="false">AVERAGE(E795:E799)</f>
        <v>12010.6</v>
      </c>
      <c r="H799" s="7" t="n">
        <f aca="false">AVERAGE(E790:E799)</f>
        <v>12116.037</v>
      </c>
      <c r="I799" s="7" t="n">
        <f aca="false">AVERAGE(E780:E799)</f>
        <v>12334.6105</v>
      </c>
      <c r="J799" s="7" t="n">
        <f aca="false">AVERAGE(E750:E799)</f>
        <v>11754.155</v>
      </c>
      <c r="K799" s="7" t="n">
        <f aca="false">AVERAGE(E700:E799)</f>
        <v>11578.5772</v>
      </c>
      <c r="L799" s="7" t="n">
        <f aca="false">AVERAGE(E600:E799)</f>
        <v>11901.79395</v>
      </c>
      <c r="M799" s="7" t="n">
        <f aca="false">I799</f>
        <v>12334.6105</v>
      </c>
      <c r="N799" s="7" t="n">
        <f aca="false">I799+2*STDEV(E780:E799)</f>
        <v>12880.4747970161</v>
      </c>
      <c r="O799" s="7" t="n">
        <f aca="false">I799-2*STDEV(E780:E799)</f>
        <v>11788.7462029839</v>
      </c>
      <c r="P799" s="7" t="n">
        <f aca="false">MAX(E799-E798,0)</f>
        <v>106.300000000001</v>
      </c>
      <c r="Q799" s="7" t="n">
        <f aca="false">MAX(E798-E799,0)</f>
        <v>0</v>
      </c>
      <c r="R799" s="7" t="n">
        <f aca="false">(R798*13+P799)/14</f>
        <v>68.2309398350108</v>
      </c>
      <c r="S799" s="7" t="n">
        <f aca="false">(S798*13+Q799)/14</f>
        <v>72.5125091859059</v>
      </c>
      <c r="T799" s="7" t="n">
        <f aca="false">IF(S799=0,100,100-100/(1+R799/S799))</f>
        <v>48.4789454213749</v>
      </c>
      <c r="U799" s="7" t="n">
        <f aca="false">E799*2/13+U798*11/13</f>
        <v>12133.9502128992</v>
      </c>
      <c r="V799" s="7" t="n">
        <f aca="false">E799*2/27+V798*25/27</f>
        <v>12107.4773073982</v>
      </c>
      <c r="W799" s="7" t="n">
        <f aca="false">U799-V799</f>
        <v>26.4729055010394</v>
      </c>
      <c r="X799" s="7" t="n">
        <f aca="false">W799*2/10+X798*8/10</f>
        <v>109.282829911676</v>
      </c>
      <c r="Y799" s="7" t="n">
        <f aca="false">W799-X799</f>
        <v>-82.8099244106364</v>
      </c>
      <c r="Z799" s="7" t="s">
        <v>78</v>
      </c>
      <c r="AA799" s="7" t="str">
        <f aca="false">IFERROR(INDEX(02_轉折點45!B:B,MATCH(A799,02_轉折點45!A:A,0)),"")</f>
        <v/>
      </c>
      <c r="AB799" s="7" t="n">
        <f aca="false">COUNTIFS(05_訊號明細!A:A,A799,05_訊號明細!C:C,"TOP")</f>
        <v>0</v>
      </c>
      <c r="AC799" s="7" t="n">
        <f aca="false">COUNTIFS(05_訊號明細!A:A,A799,05_訊號明細!C:C,"BOTTOM")</f>
        <v>1</v>
      </c>
    </row>
    <row r="800" customFormat="false" ht="15" hidden="false" customHeight="false" outlineLevel="0" collapsed="false">
      <c r="A800" s="7" t="s">
        <v>841</v>
      </c>
      <c r="B800" s="7" t="n">
        <v>12110.71</v>
      </c>
      <c r="C800" s="7" t="n">
        <v>12300.46</v>
      </c>
      <c r="D800" s="7" t="n">
        <v>12095.24</v>
      </c>
      <c r="E800" s="7" t="n">
        <v>12290.81</v>
      </c>
      <c r="F800" s="7" t="n">
        <v>5102</v>
      </c>
      <c r="G800" s="7" t="n">
        <f aca="false">AVERAGE(E796:E800)</f>
        <v>12074.832</v>
      </c>
      <c r="H800" s="7" t="n">
        <f aca="false">AVERAGE(E791:E800)</f>
        <v>12100.87</v>
      </c>
      <c r="I800" s="7" t="n">
        <f aca="false">AVERAGE(E781:E800)</f>
        <v>12308.994</v>
      </c>
      <c r="J800" s="7" t="n">
        <f aca="false">AVERAGE(E751:E800)</f>
        <v>11778.2794</v>
      </c>
      <c r="K800" s="7" t="n">
        <f aca="false">AVERAGE(E701:E800)</f>
        <v>11591.0906</v>
      </c>
      <c r="L800" s="7" t="n">
        <f aca="false">AVERAGE(E601:E800)</f>
        <v>11902.0301</v>
      </c>
      <c r="M800" s="7" t="n">
        <f aca="false">I800</f>
        <v>12308.994</v>
      </c>
      <c r="N800" s="7" t="n">
        <f aca="false">I800+2*STDEV(E781:E800)</f>
        <v>12808.3876715405</v>
      </c>
      <c r="O800" s="7" t="n">
        <f aca="false">I800-2*STDEV(E781:E800)</f>
        <v>11809.6003284595</v>
      </c>
      <c r="P800" s="7" t="n">
        <f aca="false">MAX(E800-E799,0)</f>
        <v>245.939999999999</v>
      </c>
      <c r="Q800" s="7" t="n">
        <f aca="false">MAX(E799-E800,0)</f>
        <v>0</v>
      </c>
      <c r="R800" s="7" t="n">
        <f aca="false">(R799*13+P800)/14</f>
        <v>80.92444413251</v>
      </c>
      <c r="S800" s="7" t="n">
        <f aca="false">(S799*13+Q800)/14</f>
        <v>67.3330442440555</v>
      </c>
      <c r="T800" s="7" t="n">
        <f aca="false">IF(S800=0,100,100-100/(1+R800/S800))</f>
        <v>54.5837144677418</v>
      </c>
      <c r="U800" s="7" t="n">
        <f aca="false">E800*2/13+U799*11/13</f>
        <v>12158.0824878378</v>
      </c>
      <c r="V800" s="7" t="n">
        <f aca="false">E800*2/27+V799*25/27</f>
        <v>12121.0575068502</v>
      </c>
      <c r="W800" s="7" t="n">
        <f aca="false">U800-V800</f>
        <v>37.0249809876368</v>
      </c>
      <c r="X800" s="7" t="n">
        <f aca="false">W800*2/10+X799*8/10</f>
        <v>94.831260126868</v>
      </c>
      <c r="Y800" s="7" t="n">
        <f aca="false">W800-X800</f>
        <v>-57.8062791392311</v>
      </c>
      <c r="Z800" s="7" t="s">
        <v>78</v>
      </c>
      <c r="AA800" s="7" t="str">
        <f aca="false">IFERROR(INDEX(02_轉折點45!B:B,MATCH(A800,02_轉折點45!A:A,0)),"")</f>
        <v/>
      </c>
      <c r="AB800" s="7" t="n">
        <f aca="false">COUNTIFS(05_訊號明細!A:A,A800,05_訊號明細!C:C,"TOP")</f>
        <v>0</v>
      </c>
      <c r="AC800" s="7" t="n">
        <f aca="false">COUNTIFS(05_訊號明細!A:A,A800,05_訊號明細!C:C,"BOTTOM")</f>
        <v>0</v>
      </c>
    </row>
    <row r="801" customFormat="false" ht="15" hidden="false" customHeight="false" outlineLevel="0" collapsed="false">
      <c r="A801" s="7" t="s">
        <v>842</v>
      </c>
      <c r="B801" s="7" t="n">
        <v>12344.65</v>
      </c>
      <c r="C801" s="7" t="n">
        <v>12466.88</v>
      </c>
      <c r="D801" s="7" t="n">
        <v>12297.57</v>
      </c>
      <c r="E801" s="7" t="n">
        <v>12302.48</v>
      </c>
      <c r="F801" s="7" t="n">
        <v>4983</v>
      </c>
      <c r="G801" s="7" t="n">
        <f aca="false">AVERAGE(E797:E801)</f>
        <v>12123.77</v>
      </c>
      <c r="H801" s="7" t="n">
        <f aca="false">AVERAGE(E792:E801)</f>
        <v>12095.3</v>
      </c>
      <c r="I801" s="7" t="n">
        <f aca="false">AVERAGE(E782:E801)</f>
        <v>12295.45</v>
      </c>
      <c r="J801" s="7" t="n">
        <f aca="false">AVERAGE(E752:E801)</f>
        <v>11802.8806</v>
      </c>
      <c r="K801" s="7" t="n">
        <f aca="false">AVERAGE(E702:E801)</f>
        <v>11604.8457</v>
      </c>
      <c r="L801" s="7" t="n">
        <f aca="false">AVERAGE(E602:E801)</f>
        <v>11900.722</v>
      </c>
      <c r="M801" s="7" t="n">
        <f aca="false">I801</f>
        <v>12295.45</v>
      </c>
      <c r="N801" s="7" t="n">
        <f aca="false">I801+2*STDEV(E782:E801)</f>
        <v>12779.0997074275</v>
      </c>
      <c r="O801" s="7" t="n">
        <f aca="false">I801-2*STDEV(E782:E801)</f>
        <v>11811.8002925725</v>
      </c>
      <c r="P801" s="7" t="n">
        <f aca="false">MAX(E801-E800,0)</f>
        <v>11.6700000000001</v>
      </c>
      <c r="Q801" s="7" t="n">
        <f aca="false">MAX(E800-E801,0)</f>
        <v>0</v>
      </c>
      <c r="R801" s="7" t="n">
        <f aca="false">(R800*13+P801)/14</f>
        <v>75.977698123045</v>
      </c>
      <c r="S801" s="7" t="n">
        <f aca="false">(S800*13+Q801)/14</f>
        <v>62.5235410837658</v>
      </c>
      <c r="T801" s="7" t="n">
        <f aca="false">IF(S801=0,100,100-100/(1+R801/S801))</f>
        <v>54.8570529463601</v>
      </c>
      <c r="U801" s="7" t="n">
        <f aca="false">E801*2/13+U800*11/13</f>
        <v>12180.2974897089</v>
      </c>
      <c r="V801" s="7" t="n">
        <f aca="false">E801*2/27+V800*25/27</f>
        <v>12134.4962100464</v>
      </c>
      <c r="W801" s="7" t="n">
        <f aca="false">U801-V801</f>
        <v>45.8012796624589</v>
      </c>
      <c r="X801" s="7" t="n">
        <f aca="false">W801*2/10+X800*8/10</f>
        <v>85.0252640339861</v>
      </c>
      <c r="Y801" s="7" t="n">
        <f aca="false">W801-X801</f>
        <v>-39.2239843715272</v>
      </c>
      <c r="Z801" s="7" t="s">
        <v>78</v>
      </c>
      <c r="AA801" s="7" t="str">
        <f aca="false">IFERROR(INDEX(02_轉折點45!B:B,MATCH(A801,02_轉折點45!A:A,0)),"")</f>
        <v/>
      </c>
      <c r="AB801" s="7" t="n">
        <f aca="false">COUNTIFS(05_訊號明細!A:A,A801,05_訊號明細!C:C,"TOP")</f>
        <v>0</v>
      </c>
      <c r="AC801" s="7" t="n">
        <f aca="false">COUNTIFS(05_訊號明細!A:A,A801,05_訊號明細!C:C,"BOTTOM")</f>
        <v>0</v>
      </c>
    </row>
    <row r="802" customFormat="false" ht="15" hidden="false" customHeight="false" outlineLevel="0" collapsed="false">
      <c r="A802" s="7" t="s">
        <v>843</v>
      </c>
      <c r="B802" s="7" t="n">
        <v>12303.19</v>
      </c>
      <c r="C802" s="7" t="n">
        <v>12344.04</v>
      </c>
      <c r="D802" s="7" t="n">
        <v>12130.01</v>
      </c>
      <c r="E802" s="7" t="n">
        <v>12152.17</v>
      </c>
      <c r="F802" s="7" t="n">
        <v>5423</v>
      </c>
      <c r="G802" s="7" t="n">
        <f aca="false">AVERAGE(E798:E802)</f>
        <v>12145.78</v>
      </c>
      <c r="H802" s="7" t="n">
        <f aca="false">AVERAGE(E793:E802)</f>
        <v>12104.487</v>
      </c>
      <c r="I802" s="7" t="n">
        <f aca="false">AVERAGE(E783:E802)</f>
        <v>12279.833</v>
      </c>
      <c r="J802" s="7" t="n">
        <f aca="false">AVERAGE(E753:E802)</f>
        <v>11821.2064</v>
      </c>
      <c r="K802" s="7" t="n">
        <f aca="false">AVERAGE(E703:E802)</f>
        <v>11618.4539</v>
      </c>
      <c r="L802" s="7" t="n">
        <f aca="false">AVERAGE(E603:E802)</f>
        <v>11901.8413</v>
      </c>
      <c r="M802" s="7" t="n">
        <f aca="false">I802</f>
        <v>12279.833</v>
      </c>
      <c r="N802" s="7" t="n">
        <f aca="false">I802+2*STDEV(E783:E802)</f>
        <v>12760.6603568318</v>
      </c>
      <c r="O802" s="7" t="n">
        <f aca="false">I802-2*STDEV(E783:E802)</f>
        <v>11799.0056431682</v>
      </c>
      <c r="P802" s="7" t="n">
        <f aca="false">MAX(E802-E801,0)</f>
        <v>0</v>
      </c>
      <c r="Q802" s="7" t="n">
        <f aca="false">MAX(E801-E802,0)</f>
        <v>150.31</v>
      </c>
      <c r="R802" s="7" t="n">
        <f aca="false">(R801*13+P802)/14</f>
        <v>70.5507196856846</v>
      </c>
      <c r="S802" s="7" t="n">
        <f aca="false">(S801*13+Q802)/14</f>
        <v>68.7940024349253</v>
      </c>
      <c r="T802" s="7" t="n">
        <f aca="false">IF(S802=0,100,100-100/(1+R802/S802))</f>
        <v>50.6303494039906</v>
      </c>
      <c r="U802" s="7" t="n">
        <f aca="false">E802*2/13+U801*11/13</f>
        <v>12175.9701835998</v>
      </c>
      <c r="V802" s="7" t="n">
        <f aca="false">E802*2/27+V801*25/27</f>
        <v>12135.8053796726</v>
      </c>
      <c r="W802" s="7" t="n">
        <f aca="false">U802-V802</f>
        <v>40.1648039272077</v>
      </c>
      <c r="X802" s="7" t="n">
        <f aca="false">W802*2/10+X801*8/10</f>
        <v>76.0531720126304</v>
      </c>
      <c r="Y802" s="7" t="n">
        <f aca="false">W802-X802</f>
        <v>-35.8883680854228</v>
      </c>
      <c r="Z802" s="7" t="s">
        <v>78</v>
      </c>
      <c r="AA802" s="7" t="str">
        <f aca="false">IFERROR(INDEX(02_轉折點45!B:B,MATCH(A802,02_轉折點45!A:A,0)),"")</f>
        <v/>
      </c>
      <c r="AB802" s="7" t="n">
        <f aca="false">COUNTIFS(05_訊號明細!A:A,A802,05_訊號明細!C:C,"TOP")</f>
        <v>0</v>
      </c>
      <c r="AC802" s="7" t="n">
        <f aca="false">COUNTIFS(05_訊號明細!A:A,A802,05_訊號明細!C:C,"BOTTOM")</f>
        <v>0</v>
      </c>
    </row>
    <row r="803" customFormat="false" ht="15" hidden="false" customHeight="false" outlineLevel="0" collapsed="false">
      <c r="A803" s="7" t="s">
        <v>844</v>
      </c>
      <c r="B803" s="7" t="n">
        <v>12181.06</v>
      </c>
      <c r="C803" s="7" t="n">
        <v>12237.72</v>
      </c>
      <c r="D803" s="7" t="n">
        <v>12102.28</v>
      </c>
      <c r="E803" s="7" t="n">
        <v>12215.33</v>
      </c>
      <c r="F803" s="7" t="n">
        <v>5086</v>
      </c>
      <c r="G803" s="7" t="n">
        <f aca="false">AVERAGE(E799:E803)</f>
        <v>12201.132</v>
      </c>
      <c r="H803" s="7" t="n">
        <f aca="false">AVERAGE(E794:E803)</f>
        <v>12119.393</v>
      </c>
      <c r="I803" s="7" t="n">
        <f aca="false">AVERAGE(E784:E803)</f>
        <v>12254.186</v>
      </c>
      <c r="J803" s="7" t="n">
        <f aca="false">AVERAGE(E754:E803)</f>
        <v>11846.3902</v>
      </c>
      <c r="K803" s="7" t="n">
        <f aca="false">AVERAGE(E704:E803)</f>
        <v>11632.751</v>
      </c>
      <c r="L803" s="7" t="n">
        <f aca="false">AVERAGE(E604:E803)</f>
        <v>11903.5398</v>
      </c>
      <c r="M803" s="7" t="n">
        <f aca="false">I803</f>
        <v>12254.186</v>
      </c>
      <c r="N803" s="7" t="n">
        <f aca="false">I803+2*STDEV(E784:E803)</f>
        <v>12686.5809268119</v>
      </c>
      <c r="O803" s="7" t="n">
        <f aca="false">I803-2*STDEV(E784:E803)</f>
        <v>11821.7910731881</v>
      </c>
      <c r="P803" s="7" t="n">
        <f aca="false">MAX(E803-E802,0)</f>
        <v>63.1599999999999</v>
      </c>
      <c r="Q803" s="7" t="n">
        <f aca="false">MAX(E802-E803,0)</f>
        <v>0</v>
      </c>
      <c r="R803" s="7" t="n">
        <f aca="false">(R802*13+P803)/14</f>
        <v>70.0228111367072</v>
      </c>
      <c r="S803" s="7" t="n">
        <f aca="false">(S802*13+Q803)/14</f>
        <v>63.8801451181449</v>
      </c>
      <c r="T803" s="7" t="n">
        <f aca="false">IF(S803=0,100,100-100/(1+R803/S803))</f>
        <v>52.2937006733709</v>
      </c>
      <c r="U803" s="7" t="n">
        <f aca="false">E803*2/13+U802*11/13</f>
        <v>12182.0255399691</v>
      </c>
      <c r="V803" s="7" t="n">
        <f aca="false">E803*2/27+V802*25/27</f>
        <v>12141.6960922895</v>
      </c>
      <c r="W803" s="7" t="n">
        <f aca="false">U803-V803</f>
        <v>40.3294476796218</v>
      </c>
      <c r="X803" s="7" t="n">
        <f aca="false">W803*2/10+X802*8/10</f>
        <v>68.9084271460287</v>
      </c>
      <c r="Y803" s="7" t="n">
        <f aca="false">W803-X803</f>
        <v>-28.5789794664069</v>
      </c>
      <c r="Z803" s="7" t="s">
        <v>78</v>
      </c>
      <c r="AA803" s="7" t="str">
        <f aca="false">IFERROR(INDEX(02_轉折點45!B:B,MATCH(A803,02_轉折點45!A:A,0)),"")</f>
        <v/>
      </c>
      <c r="AB803" s="7" t="n">
        <f aca="false">COUNTIFS(05_訊號明細!A:A,A803,05_訊號明細!C:C,"TOP")</f>
        <v>0</v>
      </c>
      <c r="AC803" s="7" t="n">
        <f aca="false">COUNTIFS(05_訊號明細!A:A,A803,05_訊號明細!C:C,"BOTTOM")</f>
        <v>0</v>
      </c>
    </row>
    <row r="804" customFormat="false" ht="15" hidden="false" customHeight="false" outlineLevel="0" collapsed="false">
      <c r="A804" s="7" t="s">
        <v>845</v>
      </c>
      <c r="B804" s="7" t="n">
        <v>12230.84</v>
      </c>
      <c r="C804" s="7" t="n">
        <v>12340.45</v>
      </c>
      <c r="D804" s="7" t="n">
        <v>11970.34</v>
      </c>
      <c r="E804" s="7" t="n">
        <v>11995.88</v>
      </c>
      <c r="F804" s="7" t="n">
        <v>5062</v>
      </c>
      <c r="G804" s="7" t="n">
        <f aca="false">AVERAGE(E800:E804)</f>
        <v>12191.334</v>
      </c>
      <c r="H804" s="7" t="n">
        <f aca="false">AVERAGE(E795:E804)</f>
        <v>12100.967</v>
      </c>
      <c r="I804" s="7" t="n">
        <f aca="false">AVERAGE(E785:E804)</f>
        <v>12229.211</v>
      </c>
      <c r="J804" s="7" t="n">
        <f aca="false">AVERAGE(E755:E804)</f>
        <v>11866.5988</v>
      </c>
      <c r="K804" s="7" t="n">
        <f aca="false">AVERAGE(E705:E804)</f>
        <v>11642.374</v>
      </c>
      <c r="L804" s="7" t="n">
        <f aca="false">AVERAGE(E605:E804)</f>
        <v>11904.3411</v>
      </c>
      <c r="M804" s="7" t="n">
        <f aca="false">I804</f>
        <v>12229.211</v>
      </c>
      <c r="N804" s="7" t="n">
        <f aca="false">I804+2*STDEV(E785:E804)</f>
        <v>12660.6487315515</v>
      </c>
      <c r="O804" s="7" t="n">
        <f aca="false">I804-2*STDEV(E785:E804)</f>
        <v>11797.7732684485</v>
      </c>
      <c r="P804" s="7" t="n">
        <f aca="false">MAX(E804-E803,0)</f>
        <v>0</v>
      </c>
      <c r="Q804" s="7" t="n">
        <f aca="false">MAX(E803-E804,0)</f>
        <v>219.450000000001</v>
      </c>
      <c r="R804" s="7" t="n">
        <f aca="false">(R803*13+P804)/14</f>
        <v>65.0211817697995</v>
      </c>
      <c r="S804" s="7" t="n">
        <f aca="false">(S803*13+Q804)/14</f>
        <v>74.9922776097061</v>
      </c>
      <c r="T804" s="7" t="n">
        <f aca="false">IF(S804=0,100,100-100/(1+R804/S804))</f>
        <v>46.4392366690691</v>
      </c>
      <c r="U804" s="7" t="n">
        <f aca="false">E804*2/13+U803*11/13</f>
        <v>12153.3877645892</v>
      </c>
      <c r="V804" s="7" t="n">
        <f aca="false">E804*2/27+V803*25/27</f>
        <v>12130.894900268</v>
      </c>
      <c r="W804" s="7" t="n">
        <f aca="false">U804-V804</f>
        <v>22.4928643212043</v>
      </c>
      <c r="X804" s="7" t="n">
        <f aca="false">W804*2/10+X803*8/10</f>
        <v>59.6253145810638</v>
      </c>
      <c r="Y804" s="7" t="n">
        <f aca="false">W804-X804</f>
        <v>-37.1324502598596</v>
      </c>
      <c r="Z804" s="7" t="s">
        <v>78</v>
      </c>
      <c r="AA804" s="7" t="str">
        <f aca="false">IFERROR(INDEX(02_轉折點45!B:B,MATCH(A804,02_轉折點45!A:A,0)),"")</f>
        <v/>
      </c>
      <c r="AB804" s="7" t="n">
        <f aca="false">COUNTIFS(05_訊號明細!A:A,A804,05_訊號明細!C:C,"TOP")</f>
        <v>0</v>
      </c>
      <c r="AC804" s="7" t="n">
        <f aca="false">COUNTIFS(05_訊號明細!A:A,A804,05_訊號明細!C:C,"BOTTOM")</f>
        <v>0</v>
      </c>
    </row>
    <row r="805" customFormat="false" ht="15" hidden="false" customHeight="false" outlineLevel="0" collapsed="false">
      <c r="A805" s="7" t="s">
        <v>846</v>
      </c>
      <c r="B805" s="7" t="n">
        <v>12001.7</v>
      </c>
      <c r="C805" s="7" t="n">
        <v>12069.62</v>
      </c>
      <c r="D805" s="7" t="n">
        <v>11789.86</v>
      </c>
      <c r="E805" s="7" t="n">
        <v>11830.28</v>
      </c>
      <c r="F805" s="7" t="n">
        <v>6194</v>
      </c>
      <c r="G805" s="7" t="n">
        <f aca="false">AVERAGE(E801:E805)</f>
        <v>12099.228</v>
      </c>
      <c r="H805" s="7" t="n">
        <f aca="false">AVERAGE(E796:E805)</f>
        <v>12087.03</v>
      </c>
      <c r="I805" s="7" t="n">
        <f aca="false">AVERAGE(E786:E805)</f>
        <v>12201.6665</v>
      </c>
      <c r="J805" s="7" t="n">
        <f aca="false">AVERAGE(E756:E805)</f>
        <v>11886.7542</v>
      </c>
      <c r="K805" s="7" t="n">
        <f aca="false">AVERAGE(E706:E805)</f>
        <v>11653.7562</v>
      </c>
      <c r="L805" s="7" t="n">
        <f aca="false">AVERAGE(E606:E805)</f>
        <v>11903.3211</v>
      </c>
      <c r="M805" s="7" t="n">
        <f aca="false">I805</f>
        <v>12201.6665</v>
      </c>
      <c r="N805" s="7" t="n">
        <f aca="false">I805+2*STDEV(E786:E805)</f>
        <v>12661.6523962266</v>
      </c>
      <c r="O805" s="7" t="n">
        <f aca="false">I805-2*STDEV(E786:E805)</f>
        <v>11741.6806037734</v>
      </c>
      <c r="P805" s="7" t="n">
        <f aca="false">MAX(E805-E804,0)</f>
        <v>0</v>
      </c>
      <c r="Q805" s="7" t="n">
        <f aca="false">MAX(E804-E805,0)</f>
        <v>165.599999999999</v>
      </c>
      <c r="R805" s="7" t="n">
        <f aca="false">(R804*13+P805)/14</f>
        <v>60.3768116433852</v>
      </c>
      <c r="S805" s="7" t="n">
        <f aca="false">(S804*13+Q805)/14</f>
        <v>81.4642577804413</v>
      </c>
      <c r="T805" s="7" t="n">
        <f aca="false">IF(S805=0,100,100-100/(1+R805/S805))</f>
        <v>42.5665231435735</v>
      </c>
      <c r="U805" s="7" t="n">
        <f aca="false">E805*2/13+U804*11/13</f>
        <v>12103.6788777294</v>
      </c>
      <c r="V805" s="7" t="n">
        <f aca="false">E805*2/27+V804*25/27</f>
        <v>12108.6271298778</v>
      </c>
      <c r="W805" s="7" t="n">
        <f aca="false">U805-V805</f>
        <v>-4.94825214845332</v>
      </c>
      <c r="X805" s="7" t="n">
        <f aca="false">W805*2/10+X804*8/10</f>
        <v>46.7106012351604</v>
      </c>
      <c r="Y805" s="7" t="n">
        <f aca="false">W805-X805</f>
        <v>-51.6588533836137</v>
      </c>
      <c r="Z805" s="7" t="s">
        <v>78</v>
      </c>
      <c r="AA805" s="7" t="str">
        <f aca="false">IFERROR(INDEX(02_轉折點45!B:B,MATCH(A805,02_轉折點45!A:A,0)),"")</f>
        <v/>
      </c>
      <c r="AB805" s="7" t="n">
        <f aca="false">COUNTIFS(05_訊號明細!A:A,A805,05_訊號明細!C:C,"TOP")</f>
        <v>1</v>
      </c>
      <c r="AC805" s="7" t="n">
        <f aca="false">COUNTIFS(05_訊號明細!A:A,A805,05_訊號明細!C:C,"BOTTOM")</f>
        <v>1</v>
      </c>
    </row>
    <row r="806" customFormat="false" ht="15" hidden="false" customHeight="false" outlineLevel="0" collapsed="false">
      <c r="A806" s="7" t="s">
        <v>847</v>
      </c>
      <c r="B806" s="7" t="n">
        <v>11752.1</v>
      </c>
      <c r="C806" s="7" t="n">
        <v>12073.96</v>
      </c>
      <c r="D806" s="7" t="n">
        <v>11695.41</v>
      </c>
      <c r="E806" s="7" t="n">
        <v>11923.17</v>
      </c>
      <c r="F806" s="7" t="n">
        <v>6201</v>
      </c>
      <c r="G806" s="7" t="n">
        <f aca="false">AVERAGE(E802:E806)</f>
        <v>12023.366</v>
      </c>
      <c r="H806" s="7" t="n">
        <f aca="false">AVERAGE(E797:E806)</f>
        <v>12073.568</v>
      </c>
      <c r="I806" s="7" t="n">
        <f aca="false">AVERAGE(E787:E806)</f>
        <v>12182.579</v>
      </c>
      <c r="J806" s="7" t="n">
        <f aca="false">AVERAGE(E757:E806)</f>
        <v>11911.6308</v>
      </c>
      <c r="K806" s="7" t="n">
        <f aca="false">AVERAGE(E707:E806)</f>
        <v>11662.3626</v>
      </c>
      <c r="L806" s="7" t="n">
        <f aca="false">AVERAGE(E607:E806)</f>
        <v>11904.08775</v>
      </c>
      <c r="M806" s="7" t="n">
        <f aca="false">I806</f>
        <v>12182.579</v>
      </c>
      <c r="N806" s="7" t="n">
        <f aca="false">I806+2*STDEV(E787:E806)</f>
        <v>12656.0100886508</v>
      </c>
      <c r="O806" s="7" t="n">
        <f aca="false">I806-2*STDEV(E787:E806)</f>
        <v>11709.1479113492</v>
      </c>
      <c r="P806" s="7" t="n">
        <f aca="false">MAX(E806-E805,0)</f>
        <v>92.8899999999994</v>
      </c>
      <c r="Q806" s="7" t="n">
        <f aca="false">MAX(E805-E806,0)</f>
        <v>0</v>
      </c>
      <c r="R806" s="7" t="n">
        <f aca="false">(R805*13+P806)/14</f>
        <v>62.6991822402863</v>
      </c>
      <c r="S806" s="7" t="n">
        <f aca="false">(S805*13+Q806)/14</f>
        <v>75.6453822246955</v>
      </c>
      <c r="T806" s="7" t="n">
        <f aca="false">IF(S806=0,100,100-100/(1+R806/S806))</f>
        <v>45.3210304884489</v>
      </c>
      <c r="U806" s="7" t="n">
        <f aca="false">E806*2/13+U805*11/13</f>
        <v>12075.9082811556</v>
      </c>
      <c r="V806" s="7" t="n">
        <f aca="false">E806*2/27+V805*25/27</f>
        <v>12094.8895647017</v>
      </c>
      <c r="W806" s="7" t="n">
        <f aca="false">U806-V806</f>
        <v>-18.9812835460671</v>
      </c>
      <c r="X806" s="7" t="n">
        <f aca="false">W806*2/10+X805*8/10</f>
        <v>33.5722242789149</v>
      </c>
      <c r="Y806" s="7" t="n">
        <f aca="false">W806-X806</f>
        <v>-52.553507824982</v>
      </c>
      <c r="Z806" s="7" t="s">
        <v>78</v>
      </c>
      <c r="AA806" s="7" t="str">
        <f aca="false">IFERROR(INDEX(02_轉折點45!B:B,MATCH(A806,02_轉折點45!A:A,0)),"")</f>
        <v/>
      </c>
      <c r="AB806" s="7" t="n">
        <f aca="false">COUNTIFS(05_訊號明細!A:A,A806,05_訊號明細!C:C,"TOP")</f>
        <v>1</v>
      </c>
      <c r="AC806" s="7" t="n">
        <f aca="false">COUNTIFS(05_訊號明細!A:A,A806,05_訊號明細!C:C,"BOTTOM")</f>
        <v>1</v>
      </c>
    </row>
    <row r="807" customFormat="false" ht="15" hidden="false" customHeight="false" outlineLevel="0" collapsed="false">
      <c r="A807" s="7" t="s">
        <v>848</v>
      </c>
      <c r="B807" s="7" t="n">
        <v>12078.46</v>
      </c>
      <c r="C807" s="7" t="n">
        <v>12217.87</v>
      </c>
      <c r="D807" s="7" t="n">
        <v>12035.22</v>
      </c>
      <c r="E807" s="7" t="n">
        <v>12199.79</v>
      </c>
      <c r="F807" s="7" t="n">
        <v>5533</v>
      </c>
      <c r="G807" s="7" t="n">
        <f aca="false">AVERAGE(E803:E807)</f>
        <v>12032.89</v>
      </c>
      <c r="H807" s="7" t="n">
        <f aca="false">AVERAGE(E798:E807)</f>
        <v>12089.335</v>
      </c>
      <c r="I807" s="7" t="n">
        <f aca="false">AVERAGE(E788:E807)</f>
        <v>12167.453</v>
      </c>
      <c r="J807" s="7" t="n">
        <f aca="false">AVERAGE(E758:E807)</f>
        <v>11936.6056</v>
      </c>
      <c r="K807" s="7" t="n">
        <f aca="false">AVERAGE(E708:E807)</f>
        <v>11672.8831</v>
      </c>
      <c r="L807" s="7" t="n">
        <f aca="false">AVERAGE(E608:E807)</f>
        <v>11905.36705</v>
      </c>
      <c r="M807" s="7" t="n">
        <f aca="false">I807</f>
        <v>12167.453</v>
      </c>
      <c r="N807" s="7" t="n">
        <f aca="false">I807+2*STDEV(E788:E807)</f>
        <v>12616.5791968288</v>
      </c>
      <c r="O807" s="7" t="n">
        <f aca="false">I807-2*STDEV(E788:E807)</f>
        <v>11718.3268031712</v>
      </c>
      <c r="P807" s="7" t="n">
        <f aca="false">MAX(E807-E806,0)</f>
        <v>276.620000000001</v>
      </c>
      <c r="Q807" s="7" t="n">
        <f aca="false">MAX(E806-E807,0)</f>
        <v>0</v>
      </c>
      <c r="R807" s="7" t="n">
        <f aca="false">(R806*13+P807)/14</f>
        <v>77.9792406516944</v>
      </c>
      <c r="S807" s="7" t="n">
        <f aca="false">(S806*13+Q807)/14</f>
        <v>70.2421406372172</v>
      </c>
      <c r="T807" s="7" t="n">
        <f aca="false">IF(S807=0,100,100-100/(1+R807/S807))</f>
        <v>52.6099810793816</v>
      </c>
      <c r="U807" s="7" t="n">
        <f aca="false">E807*2/13+U806*11/13</f>
        <v>12094.9670071317</v>
      </c>
      <c r="V807" s="7" t="n">
        <f aca="false">E807*2/27+V806*25/27</f>
        <v>12102.6599673164</v>
      </c>
      <c r="W807" s="7" t="n">
        <f aca="false">U807-V807</f>
        <v>-7.69296018469686</v>
      </c>
      <c r="X807" s="7" t="n">
        <f aca="false">W807*2/10+X806*8/10</f>
        <v>25.3191873861926</v>
      </c>
      <c r="Y807" s="7" t="n">
        <f aca="false">W807-X807</f>
        <v>-33.0121475708894</v>
      </c>
      <c r="Z807" s="7" t="s">
        <v>78</v>
      </c>
      <c r="AA807" s="7" t="str">
        <f aca="false">IFERROR(INDEX(02_轉折點45!B:B,MATCH(A807,02_轉折點45!A:A,0)),"")</f>
        <v/>
      </c>
      <c r="AB807" s="7" t="n">
        <f aca="false">COUNTIFS(05_訊號明細!A:A,A807,05_訊號明細!C:C,"TOP")</f>
        <v>0</v>
      </c>
      <c r="AC807" s="7" t="n">
        <f aca="false">COUNTIFS(05_訊號明細!A:A,A807,05_訊號明細!C:C,"BOTTOM")</f>
        <v>0</v>
      </c>
    </row>
    <row r="808" customFormat="false" ht="15" hidden="false" customHeight="false" outlineLevel="0" collapsed="false">
      <c r="A808" s="7" t="s">
        <v>849</v>
      </c>
      <c r="B808" s="7" t="n">
        <v>12083.24</v>
      </c>
      <c r="C808" s="7" t="n">
        <v>12269.45</v>
      </c>
      <c r="D808" s="7" t="n">
        <v>12026.18</v>
      </c>
      <c r="E808" s="7" t="n">
        <v>12251.32</v>
      </c>
      <c r="F808" s="7" t="n">
        <v>5912</v>
      </c>
      <c r="G808" s="7" t="n">
        <f aca="false">AVERAGE(E804:E808)</f>
        <v>12040.088</v>
      </c>
      <c r="H808" s="7" t="n">
        <f aca="false">AVERAGE(E799:E808)</f>
        <v>12120.61</v>
      </c>
      <c r="I808" s="7" t="n">
        <f aca="false">AVERAGE(E789:E808)</f>
        <v>12150.4745</v>
      </c>
      <c r="J808" s="7" t="n">
        <f aca="false">AVERAGE(E759:E808)</f>
        <v>11962.8368</v>
      </c>
      <c r="K808" s="7" t="n">
        <f aca="false">AVERAGE(E709:E808)</f>
        <v>11684.3625</v>
      </c>
      <c r="L808" s="7" t="n">
        <f aca="false">AVERAGE(E609:E808)</f>
        <v>11905.2397</v>
      </c>
      <c r="M808" s="7" t="n">
        <f aca="false">I808</f>
        <v>12150.4745</v>
      </c>
      <c r="N808" s="7" t="n">
        <f aca="false">I808+2*STDEV(E789:E808)</f>
        <v>12555.7327048119</v>
      </c>
      <c r="O808" s="7" t="n">
        <f aca="false">I808-2*STDEV(E789:E808)</f>
        <v>11745.2162951881</v>
      </c>
      <c r="P808" s="7" t="n">
        <f aca="false">MAX(E808-E807,0)</f>
        <v>51.5299999999988</v>
      </c>
      <c r="Q808" s="7" t="n">
        <f aca="false">MAX(E807-E808,0)</f>
        <v>0</v>
      </c>
      <c r="R808" s="7" t="n">
        <f aca="false">(R807*13+P808)/14</f>
        <v>76.0900091765733</v>
      </c>
      <c r="S808" s="7" t="n">
        <f aca="false">(S807*13+Q808)/14</f>
        <v>65.224844877416</v>
      </c>
      <c r="T808" s="7" t="n">
        <f aca="false">IF(S808=0,100,100-100/(1+R808/S808))</f>
        <v>53.8443107668661</v>
      </c>
      <c r="U808" s="7" t="n">
        <f aca="false">E808*2/13+U807*11/13</f>
        <v>12119.0213137268</v>
      </c>
      <c r="V808" s="7" t="n">
        <f aca="false">E808*2/27+V807*25/27</f>
        <v>12113.6718215892</v>
      </c>
      <c r="W808" s="7" t="n">
        <f aca="false">U808-V808</f>
        <v>5.34949213756772</v>
      </c>
      <c r="X808" s="7" t="n">
        <f aca="false">W808*2/10+X807*8/10</f>
        <v>21.3252483364676</v>
      </c>
      <c r="Y808" s="7" t="n">
        <f aca="false">W808-X808</f>
        <v>-15.9757561988999</v>
      </c>
      <c r="Z808" s="7" t="s">
        <v>78</v>
      </c>
      <c r="AA808" s="7" t="str">
        <f aca="false">IFERROR(INDEX(02_轉折點45!B:B,MATCH(A808,02_轉折點45!A:A,0)),"")</f>
        <v/>
      </c>
      <c r="AB808" s="7" t="n">
        <f aca="false">COUNTIFS(05_訊號明細!A:A,A808,05_訊號明細!C:C,"TOP")</f>
        <v>1</v>
      </c>
      <c r="AC808" s="7" t="n">
        <f aca="false">COUNTIFS(05_訊號明細!A:A,A808,05_訊號明細!C:C,"BOTTOM")</f>
        <v>0</v>
      </c>
    </row>
    <row r="809" customFormat="false" ht="15" hidden="false" customHeight="false" outlineLevel="0" collapsed="false">
      <c r="A809" s="7" t="s">
        <v>850</v>
      </c>
      <c r="B809" s="7" t="n">
        <v>12211.87</v>
      </c>
      <c r="C809" s="7" t="n">
        <v>12595.69</v>
      </c>
      <c r="D809" s="7" t="n">
        <v>12190.65</v>
      </c>
      <c r="E809" s="7" t="n">
        <v>12581.39</v>
      </c>
      <c r="F809" s="7" t="n">
        <v>5499</v>
      </c>
      <c r="G809" s="7" t="n">
        <f aca="false">AVERAGE(E805:E809)</f>
        <v>12157.19</v>
      </c>
      <c r="H809" s="7" t="n">
        <f aca="false">AVERAGE(E800:E809)</f>
        <v>12174.262</v>
      </c>
      <c r="I809" s="7" t="n">
        <f aca="false">AVERAGE(E790:E809)</f>
        <v>12145.1495</v>
      </c>
      <c r="J809" s="7" t="n">
        <f aca="false">AVERAGE(E760:E809)</f>
        <v>11997.2118</v>
      </c>
      <c r="K809" s="7" t="n">
        <f aca="false">AVERAGE(E710:E809)</f>
        <v>11699.7093</v>
      </c>
      <c r="L809" s="7" t="n">
        <f aca="false">AVERAGE(E610:E809)</f>
        <v>11904.73955</v>
      </c>
      <c r="M809" s="7" t="n">
        <f aca="false">I809</f>
        <v>12145.1495</v>
      </c>
      <c r="N809" s="7" t="n">
        <f aca="false">I809+2*STDEV(E790:E809)</f>
        <v>12522.5138069321</v>
      </c>
      <c r="O809" s="7" t="n">
        <f aca="false">I809-2*STDEV(E790:E809)</f>
        <v>11767.7851930679</v>
      </c>
      <c r="P809" s="7" t="n">
        <f aca="false">MAX(E809-E808,0)</f>
        <v>330.07</v>
      </c>
      <c r="Q809" s="7" t="n">
        <f aca="false">MAX(E808-E809,0)</f>
        <v>0</v>
      </c>
      <c r="R809" s="7" t="n">
        <f aca="false">(R808*13+P809)/14</f>
        <v>94.2314370925324</v>
      </c>
      <c r="S809" s="7" t="n">
        <f aca="false">(S808*13+Q809)/14</f>
        <v>60.565927386172</v>
      </c>
      <c r="T809" s="7" t="n">
        <f aca="false">IF(S809=0,100,100-100/(1+R809/S809))</f>
        <v>60.8740577786102</v>
      </c>
      <c r="U809" s="7" t="n">
        <f aca="false">E809*2/13+U808*11/13</f>
        <v>12190.1549577688</v>
      </c>
      <c r="V809" s="7" t="n">
        <f aca="false">E809*2/27+V808*25/27</f>
        <v>12148.3176125826</v>
      </c>
      <c r="W809" s="7" t="n">
        <f aca="false">U809-V809</f>
        <v>41.8373451862099</v>
      </c>
      <c r="X809" s="7" t="n">
        <f aca="false">W809*2/10+X808*8/10</f>
        <v>25.427667706416</v>
      </c>
      <c r="Y809" s="7" t="n">
        <f aca="false">W809-X809</f>
        <v>16.4096774797938</v>
      </c>
      <c r="Z809" s="7" t="s">
        <v>78</v>
      </c>
      <c r="AA809" s="7" t="str">
        <f aca="false">IFERROR(INDEX(02_轉折點45!B:B,MATCH(A809,02_轉折點45!A:A,0)),"")</f>
        <v/>
      </c>
      <c r="AB809" s="7" t="n">
        <f aca="false">COUNTIFS(05_訊號明細!A:A,A809,05_訊號明細!C:C,"TOP")</f>
        <v>0</v>
      </c>
      <c r="AC809" s="7" t="n">
        <f aca="false">COUNTIFS(05_訊號明細!A:A,A809,05_訊號明細!C:C,"BOTTOM")</f>
        <v>0</v>
      </c>
    </row>
    <row r="810" customFormat="false" ht="15" hidden="false" customHeight="false" outlineLevel="0" collapsed="false">
      <c r="A810" s="7" t="s">
        <v>851</v>
      </c>
      <c r="B810" s="7" t="n">
        <v>12570.16</v>
      </c>
      <c r="C810" s="7" t="n">
        <v>12674.34</v>
      </c>
      <c r="D810" s="7" t="n">
        <v>12444.08</v>
      </c>
      <c r="E810" s="7" t="n">
        <v>12519.88</v>
      </c>
      <c r="F810" s="7" t="n">
        <v>7903</v>
      </c>
      <c r="G810" s="7" t="n">
        <f aca="false">AVERAGE(E806:E810)</f>
        <v>12295.11</v>
      </c>
      <c r="H810" s="7" t="n">
        <f aca="false">AVERAGE(E801:E810)</f>
        <v>12197.169</v>
      </c>
      <c r="I810" s="7" t="n">
        <f aca="false">AVERAGE(E791:E810)</f>
        <v>12149.0195</v>
      </c>
      <c r="J810" s="7" t="n">
        <f aca="false">AVERAGE(E761:E810)</f>
        <v>12029.3134</v>
      </c>
      <c r="K810" s="7" t="n">
        <f aca="false">AVERAGE(E711:E810)</f>
        <v>11711.8048</v>
      </c>
      <c r="L810" s="7" t="n">
        <f aca="false">AVERAGE(E611:E810)</f>
        <v>11904.12845</v>
      </c>
      <c r="M810" s="7" t="n">
        <f aca="false">I810</f>
        <v>12149.0195</v>
      </c>
      <c r="N810" s="7" t="n">
        <f aca="false">I810+2*STDEV(E791:E810)</f>
        <v>12540.5444885404</v>
      </c>
      <c r="O810" s="7" t="n">
        <f aca="false">I810-2*STDEV(E791:E810)</f>
        <v>11757.4945114596</v>
      </c>
      <c r="P810" s="7" t="n">
        <f aca="false">MAX(E810-E809,0)</f>
        <v>0</v>
      </c>
      <c r="Q810" s="7" t="n">
        <f aca="false">MAX(E809-E810,0)</f>
        <v>61.5100000000002</v>
      </c>
      <c r="R810" s="7" t="n">
        <f aca="false">(R809*13+P810)/14</f>
        <v>87.5006201573515</v>
      </c>
      <c r="S810" s="7" t="n">
        <f aca="false">(S809*13+Q810)/14</f>
        <v>60.6333611443026</v>
      </c>
      <c r="T810" s="7" t="n">
        <f aca="false">IF(S810=0,100,100-100/(1+R810/S810))</f>
        <v>59.0685671096416</v>
      </c>
      <c r="U810" s="7" t="n">
        <f aca="false">E810*2/13+U809*11/13</f>
        <v>12240.8818873429</v>
      </c>
      <c r="V810" s="7" t="n">
        <f aca="false">E810*2/27+V809*25/27</f>
        <v>12175.8407523913</v>
      </c>
      <c r="W810" s="7" t="n">
        <f aca="false">U810-V810</f>
        <v>65.0411349515434</v>
      </c>
      <c r="X810" s="7" t="n">
        <f aca="false">W810*2/10+X809*8/10</f>
        <v>33.3503611554415</v>
      </c>
      <c r="Y810" s="7" t="n">
        <f aca="false">W810-X810</f>
        <v>31.6907737961019</v>
      </c>
      <c r="Z810" s="7" t="s">
        <v>78</v>
      </c>
      <c r="AA810" s="7" t="str">
        <f aca="false">IFERROR(INDEX(02_轉折點45!B:B,MATCH(A810,02_轉折點45!A:A,0)),"")</f>
        <v/>
      </c>
      <c r="AB810" s="7" t="n">
        <f aca="false">COUNTIFS(05_訊號明細!A:A,A810,05_訊號明細!C:C,"TOP")</f>
        <v>0</v>
      </c>
      <c r="AC810" s="7" t="n">
        <f aca="false">COUNTIFS(05_訊號明細!A:A,A810,05_訊號明細!C:C,"BOTTOM")</f>
        <v>0</v>
      </c>
    </row>
    <row r="811" customFormat="false" ht="15" hidden="false" customHeight="false" outlineLevel="0" collapsed="false">
      <c r="A811" s="7" t="s">
        <v>852</v>
      </c>
      <c r="B811" s="7" t="n">
        <v>12487.79</v>
      </c>
      <c r="C811" s="7" t="n">
        <v>12578.35</v>
      </c>
      <c r="D811" s="7" t="n">
        <v>12407.82</v>
      </c>
      <c r="E811" s="7" t="n">
        <v>12562.61</v>
      </c>
      <c r="F811" s="7" t="n">
        <v>4971</v>
      </c>
      <c r="G811" s="7" t="n">
        <f aca="false">AVERAGE(E807:E811)</f>
        <v>12422.998</v>
      </c>
      <c r="H811" s="7" t="n">
        <f aca="false">AVERAGE(E802:E811)</f>
        <v>12223.182</v>
      </c>
      <c r="I811" s="7" t="n">
        <f aca="false">AVERAGE(E792:E811)</f>
        <v>12159.241</v>
      </c>
      <c r="J811" s="7" t="n">
        <f aca="false">AVERAGE(E762:E811)</f>
        <v>12065.7412</v>
      </c>
      <c r="K811" s="7" t="n">
        <f aca="false">AVERAGE(E712:E811)</f>
        <v>11723.1283</v>
      </c>
      <c r="L811" s="7" t="n">
        <f aca="false">AVERAGE(E612:E811)</f>
        <v>11904.1997</v>
      </c>
      <c r="M811" s="7" t="n">
        <f aca="false">I811</f>
        <v>12159.241</v>
      </c>
      <c r="N811" s="7" t="n">
        <f aca="false">I811+2*STDEV(E792:E811)</f>
        <v>12583.0968679502</v>
      </c>
      <c r="O811" s="7" t="n">
        <f aca="false">I811-2*STDEV(E792:E811)</f>
        <v>11735.3851320498</v>
      </c>
      <c r="P811" s="7" t="n">
        <f aca="false">MAX(E811-E810,0)</f>
        <v>42.7300000000014</v>
      </c>
      <c r="Q811" s="7" t="n">
        <f aca="false">MAX(E810-E811,0)</f>
        <v>0</v>
      </c>
      <c r="R811" s="7" t="n">
        <f aca="false">(R810*13+P811)/14</f>
        <v>84.3027187175407</v>
      </c>
      <c r="S811" s="7" t="n">
        <f aca="false">(S810*13+Q811)/14</f>
        <v>56.3024067768524</v>
      </c>
      <c r="T811" s="7" t="n">
        <f aca="false">IF(S811=0,100,100-100/(1+R811/S811))</f>
        <v>59.9570736992105</v>
      </c>
      <c r="U811" s="7" t="n">
        <f aca="false">E811*2/13+U810*11/13</f>
        <v>12290.3785200593</v>
      </c>
      <c r="V811" s="7" t="n">
        <f aca="false">E811*2/27+V810*25/27</f>
        <v>12204.4903262882</v>
      </c>
      <c r="W811" s="7" t="n">
        <f aca="false">U811-V811</f>
        <v>85.8881937710903</v>
      </c>
      <c r="X811" s="7" t="n">
        <f aca="false">W811*2/10+X810*8/10</f>
        <v>43.8579276785713</v>
      </c>
      <c r="Y811" s="7" t="n">
        <f aca="false">W811-X811</f>
        <v>42.030266092519</v>
      </c>
      <c r="Z811" s="7" t="s">
        <v>78</v>
      </c>
      <c r="AA811" s="7" t="str">
        <f aca="false">IFERROR(INDEX(02_轉折點45!B:B,MATCH(A811,02_轉折點45!A:A,0)),"")</f>
        <v/>
      </c>
      <c r="AB811" s="7" t="n">
        <f aca="false">COUNTIFS(05_訊號明細!A:A,A811,05_訊號明細!C:C,"TOP")</f>
        <v>0</v>
      </c>
      <c r="AC811" s="7" t="n">
        <f aca="false">COUNTIFS(05_訊號明細!A:A,A811,05_訊號明細!C:C,"BOTTOM")</f>
        <v>0</v>
      </c>
    </row>
    <row r="812" customFormat="false" ht="15" hidden="false" customHeight="false" outlineLevel="0" collapsed="false">
      <c r="A812" s="7" t="s">
        <v>853</v>
      </c>
      <c r="B812" s="7" t="n">
        <v>12643.35</v>
      </c>
      <c r="C812" s="7" t="n">
        <v>12762.45</v>
      </c>
      <c r="D812" s="7" t="n">
        <v>12582.76</v>
      </c>
      <c r="E812" s="7" t="n">
        <v>12741.44</v>
      </c>
      <c r="F812" s="7" t="n">
        <v>4830</v>
      </c>
      <c r="G812" s="7" t="n">
        <f aca="false">AVERAGE(E808:E812)</f>
        <v>12531.328</v>
      </c>
      <c r="H812" s="7" t="n">
        <f aca="false">AVERAGE(E803:E812)</f>
        <v>12282.109</v>
      </c>
      <c r="I812" s="7" t="n">
        <f aca="false">AVERAGE(E793:E812)</f>
        <v>12193.298</v>
      </c>
      <c r="J812" s="7" t="n">
        <f aca="false">AVERAGE(E763:E812)</f>
        <v>12099.763</v>
      </c>
      <c r="K812" s="7" t="n">
        <f aca="false">AVERAGE(E713:E812)</f>
        <v>11733.8428</v>
      </c>
      <c r="L812" s="7" t="n">
        <f aca="false">AVERAGE(E613:E812)</f>
        <v>11903.44245</v>
      </c>
      <c r="M812" s="7" t="n">
        <f aca="false">I812</f>
        <v>12193.298</v>
      </c>
      <c r="N812" s="7" t="n">
        <f aca="false">I812+2*STDEV(E793:E812)</f>
        <v>12687.3306654276</v>
      </c>
      <c r="O812" s="7" t="n">
        <f aca="false">I812-2*STDEV(E793:E812)</f>
        <v>11699.2653345724</v>
      </c>
      <c r="P812" s="7" t="n">
        <f aca="false">MAX(E812-E811,0)</f>
        <v>178.83</v>
      </c>
      <c r="Q812" s="7" t="n">
        <f aca="false">MAX(E811-E812,0)</f>
        <v>0</v>
      </c>
      <c r="R812" s="7" t="n">
        <f aca="false">(R811*13+P812)/14</f>
        <v>91.0546673805735</v>
      </c>
      <c r="S812" s="7" t="n">
        <f aca="false">(S811*13+Q812)/14</f>
        <v>52.2808062927915</v>
      </c>
      <c r="T812" s="7" t="n">
        <f aca="false">IF(S812=0,100,100-100/(1+R812/S812))</f>
        <v>63.5255635238421</v>
      </c>
      <c r="U812" s="7" t="n">
        <f aca="false">E812*2/13+U811*11/13</f>
        <v>12359.7725938964</v>
      </c>
      <c r="V812" s="7" t="n">
        <f aca="false">E812*2/27+V811*25/27</f>
        <v>12244.2643761928</v>
      </c>
      <c r="W812" s="7" t="n">
        <f aca="false">U812-V812</f>
        <v>115.508217703544</v>
      </c>
      <c r="X812" s="7" t="n">
        <f aca="false">W812*2/10+X811*8/10</f>
        <v>58.1879856835658</v>
      </c>
      <c r="Y812" s="7" t="n">
        <f aca="false">W812-X812</f>
        <v>57.320232019978</v>
      </c>
      <c r="Z812" s="7" t="s">
        <v>78</v>
      </c>
      <c r="AA812" s="7" t="str">
        <f aca="false">IFERROR(INDEX(02_轉折點45!B:B,MATCH(A812,02_轉折點45!A:A,0)),"")</f>
        <v/>
      </c>
      <c r="AB812" s="7" t="n">
        <f aca="false">COUNTIFS(05_訊號明細!A:A,A812,05_訊號明細!C:C,"TOP")</f>
        <v>0</v>
      </c>
      <c r="AC812" s="7" t="n">
        <f aca="false">COUNTIFS(05_訊號明細!A:A,A812,05_訊號明細!C:C,"BOTTOM")</f>
        <v>1</v>
      </c>
    </row>
    <row r="813" customFormat="false" ht="15" hidden="false" customHeight="false" outlineLevel="0" collapsed="false">
      <c r="A813" s="7" t="s">
        <v>854</v>
      </c>
      <c r="B813" s="7" t="n">
        <v>12742.41</v>
      </c>
      <c r="C813" s="7" t="n">
        <v>12943.62</v>
      </c>
      <c r="D813" s="7" t="n">
        <v>12563.78</v>
      </c>
      <c r="E813" s="7" t="n">
        <v>12567.15</v>
      </c>
      <c r="F813" s="7" t="n">
        <v>4982</v>
      </c>
      <c r="G813" s="7" t="n">
        <f aca="false">AVERAGE(E809:E813)</f>
        <v>12594.494</v>
      </c>
      <c r="H813" s="7" t="n">
        <f aca="false">AVERAGE(E804:E813)</f>
        <v>12317.291</v>
      </c>
      <c r="I813" s="7" t="n">
        <f aca="false">AVERAGE(E794:E813)</f>
        <v>12218.342</v>
      </c>
      <c r="J813" s="7" t="n">
        <f aca="false">AVERAGE(E764:E813)</f>
        <v>12128.937</v>
      </c>
      <c r="K813" s="7" t="n">
        <f aca="false">AVERAGE(E714:E813)</f>
        <v>11745.4553</v>
      </c>
      <c r="L813" s="7" t="n">
        <f aca="false">AVERAGE(E614:E813)</f>
        <v>11903.53805</v>
      </c>
      <c r="M813" s="7" t="n">
        <f aca="false">I813</f>
        <v>12218.342</v>
      </c>
      <c r="N813" s="7" t="n">
        <f aca="false">I813+2*STDEV(E794:E813)</f>
        <v>12735.5021544304</v>
      </c>
      <c r="O813" s="7" t="n">
        <f aca="false">I813-2*STDEV(E794:E813)</f>
        <v>11701.1818455696</v>
      </c>
      <c r="P813" s="7" t="n">
        <f aca="false">MAX(E813-E812,0)</f>
        <v>0</v>
      </c>
      <c r="Q813" s="7" t="n">
        <f aca="false">MAX(E812-E813,0)</f>
        <v>174.290000000001</v>
      </c>
      <c r="R813" s="7" t="n">
        <f aca="false">(R812*13+P813)/14</f>
        <v>84.5507625676754</v>
      </c>
      <c r="S813" s="7" t="n">
        <f aca="false">(S812*13+Q813)/14</f>
        <v>60.9957487004493</v>
      </c>
      <c r="T813" s="7" t="n">
        <f aca="false">IF(S813=0,100,100-100/(1+R813/S813))</f>
        <v>58.0919197794557</v>
      </c>
      <c r="U813" s="7" t="n">
        <f aca="false">E813*2/13+U812*11/13</f>
        <v>12391.67681022</v>
      </c>
      <c r="V813" s="7" t="n">
        <f aca="false">E813*2/27+V812*25/27</f>
        <v>12268.1818298082</v>
      </c>
      <c r="W813" s="7" t="n">
        <f aca="false">U813-V813</f>
        <v>123.494980411833</v>
      </c>
      <c r="X813" s="7" t="n">
        <f aca="false">W813*2/10+X812*8/10</f>
        <v>71.2493846292193</v>
      </c>
      <c r="Y813" s="7" t="n">
        <f aca="false">W813-X813</f>
        <v>52.245595782614</v>
      </c>
      <c r="Z813" s="7" t="s">
        <v>78</v>
      </c>
      <c r="AA813" s="7" t="str">
        <f aca="false">IFERROR(INDEX(02_轉折點45!B:B,MATCH(A813,02_轉折點45!A:A,0)),"")</f>
        <v/>
      </c>
      <c r="AB813" s="7" t="n">
        <f aca="false">COUNTIFS(05_訊號明細!A:A,A813,05_訊號明細!C:C,"TOP")</f>
        <v>0</v>
      </c>
      <c r="AC813" s="7" t="n">
        <f aca="false">COUNTIFS(05_訊號明細!A:A,A813,05_訊號明細!C:C,"BOTTOM")</f>
        <v>0</v>
      </c>
    </row>
    <row r="814" customFormat="false" ht="15" hidden="false" customHeight="false" outlineLevel="0" collapsed="false">
      <c r="A814" s="7" t="s">
        <v>855</v>
      </c>
      <c r="B814" s="7" t="n">
        <v>12735.6</v>
      </c>
      <c r="C814" s="7" t="n">
        <v>12900.1</v>
      </c>
      <c r="D814" s="7" t="n">
        <v>12611.67</v>
      </c>
      <c r="E814" s="7" t="n">
        <v>12729.23</v>
      </c>
      <c r="F814" s="7" t="n">
        <v>4917</v>
      </c>
      <c r="G814" s="7" t="n">
        <f aca="false">AVERAGE(E810:E814)</f>
        <v>12624.062</v>
      </c>
      <c r="H814" s="7" t="n">
        <f aca="false">AVERAGE(E805:E814)</f>
        <v>12390.626</v>
      </c>
      <c r="I814" s="7" t="n">
        <f aca="false">AVERAGE(E795:E814)</f>
        <v>12245.7965</v>
      </c>
      <c r="J814" s="7" t="n">
        <f aca="false">AVERAGE(E765:E814)</f>
        <v>12159.406</v>
      </c>
      <c r="K814" s="7" t="n">
        <f aca="false">AVERAGE(E715:E814)</f>
        <v>11760.8313</v>
      </c>
      <c r="L814" s="7" t="n">
        <f aca="false">AVERAGE(E615:E814)</f>
        <v>11904.18605</v>
      </c>
      <c r="M814" s="7" t="n">
        <f aca="false">I814</f>
        <v>12245.7965</v>
      </c>
      <c r="N814" s="7" t="n">
        <f aca="false">I814+2*STDEV(E795:E814)</f>
        <v>12810.5286926374</v>
      </c>
      <c r="O814" s="7" t="n">
        <f aca="false">I814-2*STDEV(E795:E814)</f>
        <v>11681.0643073626</v>
      </c>
      <c r="P814" s="7" t="n">
        <f aca="false">MAX(E814-E813,0)</f>
        <v>162.08</v>
      </c>
      <c r="Q814" s="7" t="n">
        <f aca="false">MAX(E813-E814,0)</f>
        <v>0</v>
      </c>
      <c r="R814" s="7" t="n">
        <f aca="false">(R813*13+P814)/14</f>
        <v>90.0885652414129</v>
      </c>
      <c r="S814" s="7" t="n">
        <f aca="false">(S813*13+Q814)/14</f>
        <v>56.6389095075601</v>
      </c>
      <c r="T814" s="7" t="n">
        <f aca="false">IF(S814=0,100,100-100/(1+R814/S814))</f>
        <v>61.3985658756411</v>
      </c>
      <c r="U814" s="7" t="n">
        <f aca="false">E814*2/13+U813*11/13</f>
        <v>12443.6080701862</v>
      </c>
      <c r="V814" s="7" t="n">
        <f aca="false">E814*2/27+V813*25/27</f>
        <v>12302.3335461187</v>
      </c>
      <c r="W814" s="7" t="n">
        <f aca="false">U814-V814</f>
        <v>141.274524067479</v>
      </c>
      <c r="X814" s="7" t="n">
        <f aca="false">W814*2/10+X813*8/10</f>
        <v>85.2544125168713</v>
      </c>
      <c r="Y814" s="7" t="n">
        <f aca="false">W814-X814</f>
        <v>56.0201115506081</v>
      </c>
      <c r="Z814" s="7" t="s">
        <v>78</v>
      </c>
      <c r="AA814" s="7" t="str">
        <f aca="false">IFERROR(INDEX(02_轉折點45!B:B,MATCH(A814,02_轉折點45!A:A,0)),"")</f>
        <v/>
      </c>
      <c r="AB814" s="7" t="n">
        <f aca="false">COUNTIFS(05_訊號明細!A:A,A814,05_訊號明細!C:C,"TOP")</f>
        <v>0</v>
      </c>
      <c r="AC814" s="7" t="n">
        <f aca="false">COUNTIFS(05_訊號明細!A:A,A814,05_訊號明細!C:C,"BOTTOM")</f>
        <v>0</v>
      </c>
    </row>
    <row r="815" customFormat="false" ht="15" hidden="false" customHeight="false" outlineLevel="0" collapsed="false">
      <c r="A815" s="7" t="s">
        <v>856</v>
      </c>
      <c r="B815" s="7" t="n">
        <v>12700.51</v>
      </c>
      <c r="C815" s="7" t="n">
        <v>12770.28</v>
      </c>
      <c r="D815" s="7" t="n">
        <v>12608.15</v>
      </c>
      <c r="E815" s="7" t="n">
        <v>12767.05</v>
      </c>
      <c r="F815" s="7" t="n">
        <v>4364</v>
      </c>
      <c r="G815" s="7" t="n">
        <f aca="false">AVERAGE(E811:E815)</f>
        <v>12673.496</v>
      </c>
      <c r="H815" s="7" t="n">
        <f aca="false">AVERAGE(E806:E815)</f>
        <v>12484.303</v>
      </c>
      <c r="I815" s="7" t="n">
        <f aca="false">AVERAGE(E796:E815)</f>
        <v>12285.6665</v>
      </c>
      <c r="J815" s="7" t="n">
        <f aca="false">AVERAGE(E766:E815)</f>
        <v>12186.6966</v>
      </c>
      <c r="K815" s="7" t="n">
        <f aca="false">AVERAGE(E716:E815)</f>
        <v>11773.0397</v>
      </c>
      <c r="L815" s="7" t="n">
        <f aca="false">AVERAGE(E616:E815)</f>
        <v>11904.4629</v>
      </c>
      <c r="M815" s="7" t="n">
        <f aca="false">I815</f>
        <v>12285.6665</v>
      </c>
      <c r="N815" s="7" t="n">
        <f aca="false">I815+2*STDEV(E796:E815)</f>
        <v>12880.1211582603</v>
      </c>
      <c r="O815" s="7" t="n">
        <f aca="false">I815-2*STDEV(E796:E815)</f>
        <v>11691.2118417397</v>
      </c>
      <c r="P815" s="7" t="n">
        <f aca="false">MAX(E815-E814,0)</f>
        <v>37.8199999999997</v>
      </c>
      <c r="Q815" s="7" t="n">
        <f aca="false">MAX(E814-E815,0)</f>
        <v>0</v>
      </c>
      <c r="R815" s="7" t="n">
        <f aca="false">(R814*13+P815)/14</f>
        <v>86.3550962955977</v>
      </c>
      <c r="S815" s="7" t="n">
        <f aca="false">(S814*13+Q815)/14</f>
        <v>52.5932731141629</v>
      </c>
      <c r="T815" s="7" t="n">
        <f aca="false">IF(S815=0,100,100-100/(1+R815/S815))</f>
        <v>62.1490533947436</v>
      </c>
      <c r="U815" s="7" t="n">
        <f aca="false">E815*2/13+U814*11/13</f>
        <v>12493.3683670806</v>
      </c>
      <c r="V815" s="7" t="n">
        <f aca="false">E815*2/27+V814*25/27</f>
        <v>12336.7569871469</v>
      </c>
      <c r="W815" s="7" t="n">
        <f aca="false">U815-V815</f>
        <v>156.611379933671</v>
      </c>
      <c r="X815" s="7" t="n">
        <f aca="false">W815*2/10+X814*8/10</f>
        <v>99.5258060002312</v>
      </c>
      <c r="Y815" s="7" t="n">
        <f aca="false">W815-X815</f>
        <v>57.0855739334396</v>
      </c>
      <c r="Z815" s="7" t="s">
        <v>78</v>
      </c>
      <c r="AA815" s="7" t="str">
        <f aca="false">IFERROR(INDEX(02_轉折點45!B:B,MATCH(A815,02_轉折點45!A:A,0)),"")</f>
        <v/>
      </c>
      <c r="AB815" s="7" t="n">
        <f aca="false">COUNTIFS(05_訊號明細!A:A,A815,05_訊號明細!C:C,"TOP")</f>
        <v>0</v>
      </c>
      <c r="AC815" s="7" t="n">
        <f aca="false">COUNTIFS(05_訊號明細!A:A,A815,05_訊號明細!C:C,"BOTTOM")</f>
        <v>1</v>
      </c>
    </row>
    <row r="816" customFormat="false" ht="15" hidden="false" customHeight="false" outlineLevel="0" collapsed="false">
      <c r="A816" s="7" t="s">
        <v>857</v>
      </c>
      <c r="B816" s="7" t="n">
        <v>12797.9</v>
      </c>
      <c r="C816" s="7" t="n">
        <v>12839.42</v>
      </c>
      <c r="D816" s="7" t="n">
        <v>12647.94</v>
      </c>
      <c r="E816" s="7" t="n">
        <v>12673.07</v>
      </c>
      <c r="F816" s="7" t="n">
        <v>4330</v>
      </c>
      <c r="G816" s="7" t="n">
        <f aca="false">AVERAGE(E812:E816)</f>
        <v>12695.588</v>
      </c>
      <c r="H816" s="7" t="n">
        <f aca="false">AVERAGE(E807:E816)</f>
        <v>12559.293</v>
      </c>
      <c r="I816" s="7" t="n">
        <f aca="false">AVERAGE(E797:E816)</f>
        <v>12316.4305</v>
      </c>
      <c r="J816" s="7" t="n">
        <f aca="false">AVERAGE(E767:E816)</f>
        <v>12210.9658</v>
      </c>
      <c r="K816" s="7" t="n">
        <f aca="false">AVERAGE(E717:E816)</f>
        <v>11785.7147</v>
      </c>
      <c r="L816" s="7" t="n">
        <f aca="false">AVERAGE(E617:E816)</f>
        <v>11904.7526</v>
      </c>
      <c r="M816" s="7" t="n">
        <f aca="false">I816</f>
        <v>12316.4305</v>
      </c>
      <c r="N816" s="7" t="n">
        <f aca="false">I816+2*STDEV(E797:E816)</f>
        <v>12924.7522495433</v>
      </c>
      <c r="O816" s="7" t="n">
        <f aca="false">I816-2*STDEV(E797:E816)</f>
        <v>11708.1087504567</v>
      </c>
      <c r="P816" s="7" t="n">
        <f aca="false">MAX(E816-E815,0)</f>
        <v>0</v>
      </c>
      <c r="Q816" s="7" t="n">
        <f aca="false">MAX(E815-E816,0)</f>
        <v>93.9799999999996</v>
      </c>
      <c r="R816" s="7" t="n">
        <f aca="false">(R815*13+P816)/14</f>
        <v>80.1868751316264</v>
      </c>
      <c r="S816" s="7" t="n">
        <f aca="false">(S815*13+Q816)/14</f>
        <v>55.5494678917227</v>
      </c>
      <c r="T816" s="7" t="n">
        <f aca="false">IF(S816=0,100,100-100/(1+R816/S816))</f>
        <v>59.075464496515</v>
      </c>
      <c r="U816" s="7" t="n">
        <f aca="false">E816*2/13+U815*11/13</f>
        <v>12521.0147721451</v>
      </c>
      <c r="V816" s="7" t="n">
        <f aca="false">E816*2/27+V815*25/27</f>
        <v>12361.6690621731</v>
      </c>
      <c r="W816" s="7" t="n">
        <f aca="false">U816-V816</f>
        <v>159.345709972042</v>
      </c>
      <c r="X816" s="7" t="n">
        <f aca="false">W816*2/10+X815*8/10</f>
        <v>111.489786794593</v>
      </c>
      <c r="Y816" s="7" t="n">
        <f aca="false">W816-X816</f>
        <v>47.8559231774484</v>
      </c>
      <c r="Z816" s="7" t="s">
        <v>78</v>
      </c>
      <c r="AA816" s="7" t="str">
        <f aca="false">IFERROR(INDEX(02_轉折點45!B:B,MATCH(A816,02_轉折點45!A:A,0)),"")</f>
        <v/>
      </c>
      <c r="AB816" s="7" t="n">
        <f aca="false">COUNTIFS(05_訊號明細!A:A,A816,05_訊號明細!C:C,"TOP")</f>
        <v>0</v>
      </c>
      <c r="AC816" s="7" t="n">
        <f aca="false">COUNTIFS(05_訊號明細!A:A,A816,05_訊號明細!C:C,"BOTTOM")</f>
        <v>0</v>
      </c>
    </row>
    <row r="817" customFormat="false" ht="15" hidden="false" customHeight="false" outlineLevel="0" collapsed="false">
      <c r="A817" s="7" t="s">
        <v>858</v>
      </c>
      <c r="B817" s="7" t="n">
        <v>12654.91</v>
      </c>
      <c r="C817" s="7" t="n">
        <v>12654.91</v>
      </c>
      <c r="D817" s="7" t="n">
        <v>12517.87</v>
      </c>
      <c r="E817" s="7" t="n">
        <v>12610.57</v>
      </c>
      <c r="F817" s="7" t="n">
        <v>4037</v>
      </c>
      <c r="G817" s="7" t="n">
        <f aca="false">AVERAGE(E813:E817)</f>
        <v>12669.414</v>
      </c>
      <c r="H817" s="7" t="n">
        <f aca="false">AVERAGE(E808:E817)</f>
        <v>12600.371</v>
      </c>
      <c r="I817" s="7" t="n">
        <f aca="false">AVERAGE(E798:E817)</f>
        <v>12344.853</v>
      </c>
      <c r="J817" s="7" t="n">
        <f aca="false">AVERAGE(E768:E817)</f>
        <v>12232.3476</v>
      </c>
      <c r="K817" s="7" t="n">
        <f aca="false">AVERAGE(E718:E817)</f>
        <v>11798.9309</v>
      </c>
      <c r="L817" s="7" t="n">
        <f aca="false">AVERAGE(E618:E817)</f>
        <v>11906.45655</v>
      </c>
      <c r="M817" s="7" t="n">
        <f aca="false">I817</f>
        <v>12344.853</v>
      </c>
      <c r="N817" s="7" t="n">
        <f aca="false">I817+2*STDEV(E798:E817)</f>
        <v>12952.3288720823</v>
      </c>
      <c r="O817" s="7" t="n">
        <f aca="false">I817-2*STDEV(E798:E817)</f>
        <v>11737.3771279177</v>
      </c>
      <c r="P817" s="7" t="n">
        <f aca="false">MAX(E817-E816,0)</f>
        <v>0</v>
      </c>
      <c r="Q817" s="7" t="n">
        <f aca="false">MAX(E816-E817,0)</f>
        <v>62.5</v>
      </c>
      <c r="R817" s="7" t="n">
        <f aca="false">(R816*13+P817)/14</f>
        <v>74.4592411936531</v>
      </c>
      <c r="S817" s="7" t="n">
        <f aca="false">(S816*13+Q817)/14</f>
        <v>56.0459344708854</v>
      </c>
      <c r="T817" s="7" t="n">
        <f aca="false">IF(S817=0,100,100-100/(1+R817/S817))</f>
        <v>57.0546270019585</v>
      </c>
      <c r="U817" s="7" t="n">
        <f aca="false">E817*2/13+U816*11/13</f>
        <v>12534.7924995074</v>
      </c>
      <c r="V817" s="7" t="n">
        <f aca="false">E817*2/27+V816*25/27</f>
        <v>12380.1061686788</v>
      </c>
      <c r="W817" s="7" t="n">
        <f aca="false">U817-V817</f>
        <v>154.686330828634</v>
      </c>
      <c r="X817" s="7" t="n">
        <f aca="false">W817*2/10+X816*8/10</f>
        <v>120.129095601401</v>
      </c>
      <c r="Y817" s="7" t="n">
        <f aca="false">W817-X817</f>
        <v>34.5572352272324</v>
      </c>
      <c r="Z817" s="7" t="s">
        <v>78</v>
      </c>
      <c r="AA817" s="7" t="str">
        <f aca="false">IFERROR(INDEX(02_轉折點45!B:B,MATCH(A817,02_轉折點45!A:A,0)),"")</f>
        <v/>
      </c>
      <c r="AB817" s="7" t="n">
        <f aca="false">COUNTIFS(05_訊號明細!A:A,A817,05_訊號明細!C:C,"TOP")</f>
        <v>0</v>
      </c>
      <c r="AC817" s="7" t="n">
        <f aca="false">COUNTIFS(05_訊號明細!A:A,A817,05_訊號明細!C:C,"BOTTOM")</f>
        <v>0</v>
      </c>
    </row>
    <row r="818" customFormat="false" ht="15" hidden="false" customHeight="false" outlineLevel="0" collapsed="false">
      <c r="A818" s="7" t="s">
        <v>859</v>
      </c>
      <c r="B818" s="7" t="n">
        <v>12768.14</v>
      </c>
      <c r="C818" s="7" t="n">
        <v>12867.32</v>
      </c>
      <c r="D818" s="7" t="n">
        <v>12734.68</v>
      </c>
      <c r="E818" s="7" t="n">
        <v>12846.03</v>
      </c>
      <c r="F818" s="7" t="n">
        <v>4494</v>
      </c>
      <c r="G818" s="7" t="n">
        <f aca="false">AVERAGE(E814:E818)</f>
        <v>12725.19</v>
      </c>
      <c r="H818" s="7" t="n">
        <f aca="false">AVERAGE(E809:E818)</f>
        <v>12659.842</v>
      </c>
      <c r="I818" s="7" t="n">
        <f aca="false">AVERAGE(E799:E818)</f>
        <v>12390.226</v>
      </c>
      <c r="J818" s="7" t="n">
        <f aca="false">AVERAGE(E769:E818)</f>
        <v>12258.1244</v>
      </c>
      <c r="K818" s="7" t="n">
        <f aca="false">AVERAGE(E719:E818)</f>
        <v>11818.3278</v>
      </c>
      <c r="L818" s="7" t="n">
        <f aca="false">AVERAGE(E619:E818)</f>
        <v>11911.5226</v>
      </c>
      <c r="M818" s="7" t="n">
        <f aca="false">I818</f>
        <v>12390.226</v>
      </c>
      <c r="N818" s="7" t="n">
        <f aca="false">I818+2*STDEV(E799:E818)</f>
        <v>13005.4394877517</v>
      </c>
      <c r="O818" s="7" t="n">
        <f aca="false">I818-2*STDEV(E799:E818)</f>
        <v>11775.0125122483</v>
      </c>
      <c r="P818" s="7" t="n">
        <f aca="false">MAX(E818-E817,0)</f>
        <v>235.460000000001</v>
      </c>
      <c r="Q818" s="7" t="n">
        <f aca="false">MAX(E817-E818,0)</f>
        <v>0</v>
      </c>
      <c r="R818" s="7" t="n">
        <f aca="false">(R817*13+P818)/14</f>
        <v>85.9592953941065</v>
      </c>
      <c r="S818" s="7" t="n">
        <f aca="false">(S817*13+Q818)/14</f>
        <v>52.0426534372507</v>
      </c>
      <c r="T818" s="7" t="n">
        <f aca="false">IF(S818=0,100,100-100/(1+R818/S818))</f>
        <v>62.2884648528779</v>
      </c>
      <c r="U818" s="7" t="n">
        <f aca="false">E818*2/13+U817*11/13</f>
        <v>12582.6751918909</v>
      </c>
      <c r="V818" s="7" t="n">
        <f aca="false">E818*2/27+V817*25/27</f>
        <v>12414.6190450729</v>
      </c>
      <c r="W818" s="7" t="n">
        <f aca="false">U818-V818</f>
        <v>168.056146817944</v>
      </c>
      <c r="X818" s="7" t="n">
        <f aca="false">W818*2/10+X817*8/10</f>
        <v>129.71450584471</v>
      </c>
      <c r="Y818" s="7" t="n">
        <f aca="false">W818-X818</f>
        <v>38.341640973234</v>
      </c>
      <c r="Z818" s="7" t="s">
        <v>78</v>
      </c>
      <c r="AA818" s="7" t="str">
        <f aca="false">IFERROR(INDEX(02_轉折點45!B:B,MATCH(A818,02_轉折點45!A:A,0)),"")</f>
        <v/>
      </c>
      <c r="AB818" s="7" t="n">
        <f aca="false">COUNTIFS(05_訊號明細!A:A,A818,05_訊號明細!C:C,"TOP")</f>
        <v>2</v>
      </c>
      <c r="AC818" s="7" t="n">
        <f aca="false">COUNTIFS(05_訊號明細!A:A,A818,05_訊號明細!C:C,"BOTTOM")</f>
        <v>0</v>
      </c>
    </row>
    <row r="819" customFormat="false" ht="15" hidden="false" customHeight="false" outlineLevel="0" collapsed="false">
      <c r="A819" s="7" t="s">
        <v>860</v>
      </c>
      <c r="B819" s="7" t="n">
        <v>12934.99</v>
      </c>
      <c r="C819" s="7" t="n">
        <v>12987.97</v>
      </c>
      <c r="D819" s="7" t="n">
        <v>12894.14</v>
      </c>
      <c r="E819" s="7" t="n">
        <v>12963.14</v>
      </c>
      <c r="F819" s="7" t="n">
        <v>4739</v>
      </c>
      <c r="G819" s="7" t="n">
        <f aca="false">AVERAGE(E815:E819)</f>
        <v>12771.972</v>
      </c>
      <c r="H819" s="7" t="n">
        <f aca="false">AVERAGE(E810:E819)</f>
        <v>12698.017</v>
      </c>
      <c r="I819" s="7" t="n">
        <f aca="false">AVERAGE(E800:E819)</f>
        <v>12436.1395</v>
      </c>
      <c r="J819" s="7" t="n">
        <f aca="false">AVERAGE(E770:E819)</f>
        <v>12289.1814</v>
      </c>
      <c r="K819" s="7" t="n">
        <f aca="false">AVERAGE(E720:E819)</f>
        <v>11841.0532</v>
      </c>
      <c r="L819" s="7" t="n">
        <f aca="false">AVERAGE(E620:E819)</f>
        <v>11919.8967</v>
      </c>
      <c r="M819" s="7" t="n">
        <f aca="false">I819</f>
        <v>12436.1395</v>
      </c>
      <c r="N819" s="7" t="n">
        <f aca="false">I819+2*STDEV(E800:E819)</f>
        <v>13079.259356832</v>
      </c>
      <c r="O819" s="7" t="n">
        <f aca="false">I819-2*STDEV(E800:E819)</f>
        <v>11793.019643168</v>
      </c>
      <c r="P819" s="7" t="n">
        <f aca="false">MAX(E819-E818,0)</f>
        <v>117.109999999999</v>
      </c>
      <c r="Q819" s="7" t="n">
        <f aca="false">MAX(E818-E819,0)</f>
        <v>0</v>
      </c>
      <c r="R819" s="7" t="n">
        <f aca="false">(R818*13+P819)/14</f>
        <v>88.1843457230988</v>
      </c>
      <c r="S819" s="7" t="n">
        <f aca="false">(S818*13+Q819)/14</f>
        <v>48.3253210488756</v>
      </c>
      <c r="T819" s="7" t="n">
        <f aca="false">IF(S819=0,100,100-100/(1+R819/S819))</f>
        <v>64.5993414300848</v>
      </c>
      <c r="U819" s="7" t="n">
        <f aca="false">E819*2/13+U818*11/13</f>
        <v>12641.2082392923</v>
      </c>
      <c r="V819" s="7" t="n">
        <f aca="false">E819*2/27+V818*25/27</f>
        <v>12455.2502269194</v>
      </c>
      <c r="W819" s="7" t="n">
        <f aca="false">U819-V819</f>
        <v>185.958012372897</v>
      </c>
      <c r="X819" s="7" t="n">
        <f aca="false">W819*2/10+X818*8/10</f>
        <v>140.963207150347</v>
      </c>
      <c r="Y819" s="7" t="n">
        <f aca="false">W819-X819</f>
        <v>44.99480522255</v>
      </c>
      <c r="Z819" s="7" t="s">
        <v>78</v>
      </c>
      <c r="AA819" s="7" t="str">
        <f aca="false">IFERROR(INDEX(02_轉折點45!B:B,MATCH(A819,02_轉折點45!A:A,0)),"")</f>
        <v/>
      </c>
      <c r="AB819" s="7" t="n">
        <f aca="false">COUNTIFS(05_訊號明細!A:A,A819,05_訊號明細!C:C,"TOP")</f>
        <v>1</v>
      </c>
      <c r="AC819" s="7" t="n">
        <f aca="false">COUNTIFS(05_訊號明細!A:A,A819,05_訊號明細!C:C,"BOTTOM")</f>
        <v>0</v>
      </c>
    </row>
    <row r="820" customFormat="false" ht="15" hidden="false" customHeight="false" outlineLevel="0" collapsed="false">
      <c r="A820" s="7" t="s">
        <v>861</v>
      </c>
      <c r="B820" s="7" t="n">
        <v>12968.96</v>
      </c>
      <c r="C820" s="7" t="n">
        <v>13188.83</v>
      </c>
      <c r="D820" s="7" t="n">
        <v>12968</v>
      </c>
      <c r="E820" s="7" t="n">
        <v>13181.35</v>
      </c>
      <c r="F820" s="7" t="n">
        <v>5521</v>
      </c>
      <c r="G820" s="7" t="n">
        <f aca="false">AVERAGE(E816:E820)</f>
        <v>12854.832</v>
      </c>
      <c r="H820" s="7" t="n">
        <f aca="false">AVERAGE(E811:E820)</f>
        <v>12764.164</v>
      </c>
      <c r="I820" s="7" t="n">
        <f aca="false">AVERAGE(E801:E820)</f>
        <v>12480.6665</v>
      </c>
      <c r="J820" s="7" t="n">
        <f aca="false">AVERAGE(E771:E820)</f>
        <v>12326.895</v>
      </c>
      <c r="K820" s="7" t="n">
        <f aca="false">AVERAGE(E721:E820)</f>
        <v>11864.2964</v>
      </c>
      <c r="L820" s="7" t="n">
        <f aca="false">AVERAGE(E621:E820)</f>
        <v>11929.245</v>
      </c>
      <c r="M820" s="7" t="n">
        <f aca="false">I820</f>
        <v>12480.6665</v>
      </c>
      <c r="N820" s="7" t="n">
        <f aca="false">I820+2*STDEV(E801:E820)</f>
        <v>13200.1955733097</v>
      </c>
      <c r="O820" s="7" t="n">
        <f aca="false">I820-2*STDEV(E801:E820)</f>
        <v>11761.1374266903</v>
      </c>
      <c r="P820" s="7" t="n">
        <f aca="false">MAX(E820-E819,0)</f>
        <v>218.210000000001</v>
      </c>
      <c r="Q820" s="7" t="n">
        <f aca="false">MAX(E819-E820,0)</f>
        <v>0</v>
      </c>
      <c r="R820" s="7" t="n">
        <f aca="false">(R819*13+P820)/14</f>
        <v>97.4718924571632</v>
      </c>
      <c r="S820" s="7" t="n">
        <f aca="false">(S819*13+Q820)/14</f>
        <v>44.8735124025274</v>
      </c>
      <c r="T820" s="7" t="n">
        <f aca="false">IF(S820=0,100,100-100/(1+R820/S820))</f>
        <v>68.4756157413307</v>
      </c>
      <c r="U820" s="7" t="n">
        <f aca="false">E820*2/13+U819*11/13</f>
        <v>12724.3069717089</v>
      </c>
      <c r="V820" s="7" t="n">
        <f aca="false">E820*2/27+V819*25/27</f>
        <v>12509.0353952957</v>
      </c>
      <c r="W820" s="7" t="n">
        <f aca="false">U820-V820</f>
        <v>215.271576413128</v>
      </c>
      <c r="X820" s="7" t="n">
        <f aca="false">W820*2/10+X819*8/10</f>
        <v>155.824881002904</v>
      </c>
      <c r="Y820" s="7" t="n">
        <f aca="false">W820-X820</f>
        <v>59.4466954102245</v>
      </c>
      <c r="Z820" s="7" t="s">
        <v>78</v>
      </c>
      <c r="AA820" s="7" t="str">
        <f aca="false">IFERROR(INDEX(02_轉折點45!B:B,MATCH(A820,02_轉折點45!A:A,0)),"")</f>
        <v/>
      </c>
      <c r="AB820" s="7" t="n">
        <f aca="false">COUNTIFS(05_訊號明細!A:A,A820,05_訊號明細!C:C,"TOP")</f>
        <v>1</v>
      </c>
      <c r="AC820" s="7" t="n">
        <f aca="false">COUNTIFS(05_訊號明細!A:A,A820,05_訊號明細!C:C,"BOTTOM")</f>
        <v>0</v>
      </c>
    </row>
    <row r="821" customFormat="false" ht="15" hidden="false" customHeight="false" outlineLevel="0" collapsed="false">
      <c r="A821" s="7" t="s">
        <v>862</v>
      </c>
      <c r="B821" s="7" t="n">
        <v>13084.1</v>
      </c>
      <c r="C821" s="7" t="n">
        <v>13157.47</v>
      </c>
      <c r="D821" s="7" t="n">
        <v>13036.55</v>
      </c>
      <c r="E821" s="7" t="n">
        <v>13148.35</v>
      </c>
      <c r="F821" s="7" t="n">
        <v>4816</v>
      </c>
      <c r="G821" s="7" t="n">
        <f aca="false">AVERAGE(E817:E821)</f>
        <v>12949.888</v>
      </c>
      <c r="H821" s="7" t="n">
        <f aca="false">AVERAGE(E812:E821)</f>
        <v>12822.738</v>
      </c>
      <c r="I821" s="7" t="n">
        <f aca="false">AVERAGE(E802:E821)</f>
        <v>12522.96</v>
      </c>
      <c r="J821" s="7" t="n">
        <f aca="false">AVERAGE(E772:E821)</f>
        <v>12357.4814</v>
      </c>
      <c r="K821" s="7" t="n">
        <f aca="false">AVERAGE(E722:E821)</f>
        <v>11886.0099</v>
      </c>
      <c r="L821" s="7" t="n">
        <f aca="false">AVERAGE(E622:E821)</f>
        <v>11937.0179</v>
      </c>
      <c r="M821" s="7" t="n">
        <f aca="false">I821</f>
        <v>12522.96</v>
      </c>
      <c r="N821" s="7" t="n">
        <f aca="false">I821+2*STDEV(E802:E821)</f>
        <v>13295.8501248799</v>
      </c>
      <c r="O821" s="7" t="n">
        <f aca="false">I821-2*STDEV(E802:E821)</f>
        <v>11750.0698751201</v>
      </c>
      <c r="P821" s="7" t="n">
        <f aca="false">MAX(E821-E820,0)</f>
        <v>0</v>
      </c>
      <c r="Q821" s="7" t="n">
        <f aca="false">MAX(E820-E821,0)</f>
        <v>33</v>
      </c>
      <c r="R821" s="7" t="n">
        <f aca="false">(R820*13+P821)/14</f>
        <v>90.5096144245087</v>
      </c>
      <c r="S821" s="7" t="n">
        <f aca="false">(S820*13+Q821)/14</f>
        <v>44.0254043737754</v>
      </c>
      <c r="T821" s="7" t="n">
        <f aca="false">IF(S821=0,100,100-100/(1+R821/S821))</f>
        <v>67.2758774874926</v>
      </c>
      <c r="U821" s="7" t="n">
        <f aca="false">E821*2/13+U820*11/13</f>
        <v>12789.5443606767</v>
      </c>
      <c r="V821" s="7" t="n">
        <f aca="false">E821*2/27+V820*25/27</f>
        <v>12556.3920326812</v>
      </c>
      <c r="W821" s="7" t="n">
        <f aca="false">U821-V821</f>
        <v>233.152327995495</v>
      </c>
      <c r="X821" s="7" t="n">
        <f aca="false">W821*2/10+X820*8/10</f>
        <v>171.290370401422</v>
      </c>
      <c r="Y821" s="7" t="n">
        <f aca="false">W821-X821</f>
        <v>61.8619575940728</v>
      </c>
      <c r="Z821" s="7" t="s">
        <v>78</v>
      </c>
      <c r="AA821" s="7" t="str">
        <f aca="false">IFERROR(INDEX(02_轉折點45!B:B,MATCH(A821,02_轉折點45!A:A,0)),"")</f>
        <v/>
      </c>
      <c r="AB821" s="7" t="n">
        <f aca="false">COUNTIFS(05_訊號明細!A:A,A821,05_訊號明細!C:C,"TOP")</f>
        <v>0</v>
      </c>
      <c r="AC821" s="7" t="n">
        <f aca="false">COUNTIFS(05_訊號明細!A:A,A821,05_訊號明細!C:C,"BOTTOM")</f>
        <v>0</v>
      </c>
    </row>
    <row r="822" customFormat="false" ht="15" hidden="false" customHeight="false" outlineLevel="0" collapsed="false">
      <c r="A822" s="7" t="s">
        <v>863</v>
      </c>
      <c r="B822" s="7" t="n">
        <v>13165.32</v>
      </c>
      <c r="C822" s="7" t="n">
        <v>13204.08</v>
      </c>
      <c r="D822" s="7" t="n">
        <v>13049.98</v>
      </c>
      <c r="E822" s="7" t="n">
        <v>13100.08</v>
      </c>
      <c r="F822" s="7" t="n">
        <v>4299</v>
      </c>
      <c r="G822" s="7" t="n">
        <f aca="false">AVERAGE(E818:E822)</f>
        <v>13047.79</v>
      </c>
      <c r="H822" s="7" t="n">
        <f aca="false">AVERAGE(E813:E822)</f>
        <v>12858.602</v>
      </c>
      <c r="I822" s="7" t="n">
        <f aca="false">AVERAGE(E803:E822)</f>
        <v>12570.3555</v>
      </c>
      <c r="J822" s="7" t="n">
        <f aca="false">AVERAGE(E773:E822)</f>
        <v>12382.0322</v>
      </c>
      <c r="K822" s="7" t="n">
        <f aca="false">AVERAGE(E723:E822)</f>
        <v>11906.4157</v>
      </c>
      <c r="L822" s="7" t="n">
        <f aca="false">AVERAGE(E623:E822)</f>
        <v>11946.88045</v>
      </c>
      <c r="M822" s="7" t="n">
        <f aca="false">I822</f>
        <v>12570.3555</v>
      </c>
      <c r="N822" s="7" t="n">
        <f aca="false">I822+2*STDEV(E803:E822)</f>
        <v>13363.4986862891</v>
      </c>
      <c r="O822" s="7" t="n">
        <f aca="false">I822-2*STDEV(E803:E822)</f>
        <v>11777.2123137109</v>
      </c>
      <c r="P822" s="7" t="n">
        <f aca="false">MAX(E822-E821,0)</f>
        <v>0</v>
      </c>
      <c r="Q822" s="7" t="n">
        <f aca="false">MAX(E821-E822,0)</f>
        <v>48.2700000000004</v>
      </c>
      <c r="R822" s="7" t="n">
        <f aca="false">(R821*13+P822)/14</f>
        <v>84.0446419656152</v>
      </c>
      <c r="S822" s="7" t="n">
        <f aca="false">(S821*13+Q822)/14</f>
        <v>44.3285897756486</v>
      </c>
      <c r="T822" s="7" t="n">
        <f aca="false">IF(S822=0,100,100-100/(1+R822/S822))</f>
        <v>65.4689773137496</v>
      </c>
      <c r="U822" s="7" t="n">
        <f aca="false">E822*2/13+U821*11/13</f>
        <v>12837.3190744188</v>
      </c>
      <c r="V822" s="7" t="n">
        <f aca="false">E822*2/27+V821*25/27</f>
        <v>12596.6652154456</v>
      </c>
      <c r="W822" s="7" t="n">
        <f aca="false">U822-V822</f>
        <v>240.653858973186</v>
      </c>
      <c r="X822" s="7" t="n">
        <f aca="false">W822*2/10+X821*8/10</f>
        <v>185.163068115775</v>
      </c>
      <c r="Y822" s="7" t="n">
        <f aca="false">W822-X822</f>
        <v>55.4907908574116</v>
      </c>
      <c r="Z822" s="8" t="s">
        <v>42</v>
      </c>
      <c r="AA822" s="7" t="str">
        <f aca="false">IFERROR(INDEX(02_轉折點45!B:B,MATCH(A822,02_轉折點45!A:A,0)),"")</f>
        <v/>
      </c>
      <c r="AB822" s="7" t="n">
        <f aca="false">COUNTIFS(05_訊號明細!A:A,A822,05_訊號明細!C:C,"TOP")</f>
        <v>0</v>
      </c>
      <c r="AC822" s="7" t="n">
        <f aca="false">COUNTIFS(05_訊號明細!A:A,A822,05_訊號明細!C:C,"BOTTOM")</f>
        <v>0</v>
      </c>
    </row>
    <row r="823" customFormat="false" ht="15" hidden="false" customHeight="false" outlineLevel="0" collapsed="false">
      <c r="A823" s="7" t="s">
        <v>864</v>
      </c>
      <c r="B823" s="7" t="n">
        <v>13056.79</v>
      </c>
      <c r="C823" s="7" t="n">
        <v>13065.28</v>
      </c>
      <c r="D823" s="7" t="n">
        <v>12894.44</v>
      </c>
      <c r="E823" s="7" t="n">
        <v>12967.2</v>
      </c>
      <c r="F823" s="7" t="n">
        <v>4379</v>
      </c>
      <c r="G823" s="7" t="n">
        <f aca="false">AVERAGE(E819:E823)</f>
        <v>13072.024</v>
      </c>
      <c r="H823" s="7" t="n">
        <f aca="false">AVERAGE(E814:E823)</f>
        <v>12898.607</v>
      </c>
      <c r="I823" s="7" t="n">
        <f aca="false">AVERAGE(E804:E823)</f>
        <v>12607.949</v>
      </c>
      <c r="J823" s="7" t="n">
        <f aca="false">AVERAGE(E774:E823)</f>
        <v>12404.4434</v>
      </c>
      <c r="K823" s="7" t="n">
        <f aca="false">AVERAGE(E724:E823)</f>
        <v>11928.1122</v>
      </c>
      <c r="L823" s="7" t="n">
        <f aca="false">AVERAGE(E624:E823)</f>
        <v>11955.3865</v>
      </c>
      <c r="M823" s="7" t="n">
        <f aca="false">I823</f>
        <v>12607.949</v>
      </c>
      <c r="N823" s="7" t="n">
        <f aca="false">I823+2*STDEV(E804:E823)</f>
        <v>13401.5137180161</v>
      </c>
      <c r="O823" s="7" t="n">
        <f aca="false">I823-2*STDEV(E804:E823)</f>
        <v>11814.3842819839</v>
      </c>
      <c r="P823" s="7" t="n">
        <f aca="false">MAX(E823-E822,0)</f>
        <v>0</v>
      </c>
      <c r="Q823" s="7" t="n">
        <f aca="false">MAX(E822-E823,0)</f>
        <v>132.879999999999</v>
      </c>
      <c r="R823" s="7" t="n">
        <f aca="false">(R822*13+P823)/14</f>
        <v>78.0414532537856</v>
      </c>
      <c r="S823" s="7" t="n">
        <f aca="false">(S822*13+Q823)/14</f>
        <v>50.6536905059594</v>
      </c>
      <c r="T823" s="7" t="n">
        <f aca="false">IF(S823=0,100,100-100/(1+R823/S823))</f>
        <v>60.6405579681216</v>
      </c>
      <c r="U823" s="7" t="n">
        <f aca="false">E823*2/13+U822*11/13</f>
        <v>12857.3007552774</v>
      </c>
      <c r="V823" s="7" t="n">
        <f aca="false">E823*2/27+V822*25/27</f>
        <v>12624.1122365237</v>
      </c>
      <c r="W823" s="7" t="n">
        <f aca="false">U823-V823</f>
        <v>233.188518753734</v>
      </c>
      <c r="X823" s="7" t="n">
        <f aca="false">W823*2/10+X822*8/10</f>
        <v>194.768158243366</v>
      </c>
      <c r="Y823" s="7" t="n">
        <f aca="false">W823-X823</f>
        <v>38.4203605103672</v>
      </c>
      <c r="Z823" s="8" t="s">
        <v>42</v>
      </c>
      <c r="AA823" s="7" t="str">
        <f aca="false">IFERROR(INDEX(02_轉折點45!B:B,MATCH(A823,02_轉折點45!A:A,0)),"")</f>
        <v/>
      </c>
      <c r="AB823" s="7" t="n">
        <f aca="false">COUNTIFS(05_訊號明細!A:A,A823,05_訊號明細!C:C,"TOP")</f>
        <v>0</v>
      </c>
      <c r="AC823" s="7" t="n">
        <f aca="false">COUNTIFS(05_訊號明細!A:A,A823,05_訊號明細!C:C,"BOTTOM")</f>
        <v>0</v>
      </c>
    </row>
    <row r="824" customFormat="false" ht="15" hidden="false" customHeight="false" outlineLevel="0" collapsed="false">
      <c r="A824" s="7" t="s">
        <v>865</v>
      </c>
      <c r="B824" s="7" t="n">
        <v>12892.9</v>
      </c>
      <c r="C824" s="7" t="n">
        <v>13078.1</v>
      </c>
      <c r="D824" s="7" t="n">
        <v>12846.03</v>
      </c>
      <c r="E824" s="7" t="n">
        <v>13062.6</v>
      </c>
      <c r="F824" s="7" t="n">
        <v>3863</v>
      </c>
      <c r="G824" s="7" t="n">
        <f aca="false">AVERAGE(E820:E824)</f>
        <v>13091.916</v>
      </c>
      <c r="H824" s="7" t="n">
        <f aca="false">AVERAGE(E815:E824)</f>
        <v>12931.944</v>
      </c>
      <c r="I824" s="7" t="n">
        <f aca="false">AVERAGE(E805:E824)</f>
        <v>12661.285</v>
      </c>
      <c r="J824" s="7" t="n">
        <f aca="false">AVERAGE(E775:E824)</f>
        <v>12429.4016</v>
      </c>
      <c r="K824" s="7" t="n">
        <f aca="false">AVERAGE(E725:E824)</f>
        <v>11942.6786</v>
      </c>
      <c r="L824" s="7" t="n">
        <f aca="false">AVERAGE(E625:E824)</f>
        <v>11962.9657</v>
      </c>
      <c r="M824" s="7" t="n">
        <f aca="false">I824</f>
        <v>12661.285</v>
      </c>
      <c r="N824" s="7" t="n">
        <f aca="false">I824+2*STDEV(E805:E824)</f>
        <v>13424.4464385464</v>
      </c>
      <c r="O824" s="7" t="n">
        <f aca="false">I824-2*STDEV(E805:E824)</f>
        <v>11898.1235614536</v>
      </c>
      <c r="P824" s="7" t="n">
        <f aca="false">MAX(E824-E823,0)</f>
        <v>95.3999999999996</v>
      </c>
      <c r="Q824" s="7" t="n">
        <f aca="false">MAX(E823-E824,0)</f>
        <v>0</v>
      </c>
      <c r="R824" s="7" t="n">
        <f aca="false">(R823*13+P824)/14</f>
        <v>79.2813494499437</v>
      </c>
      <c r="S824" s="7" t="n">
        <f aca="false">(S823*13+Q824)/14</f>
        <v>47.0355697555337</v>
      </c>
      <c r="T824" s="7" t="n">
        <f aca="false">IF(S824=0,100,100-100/(1+R824/S824))</f>
        <v>62.7638403062841</v>
      </c>
      <c r="U824" s="7" t="n">
        <f aca="false">E824*2/13+U823*11/13</f>
        <v>12888.8852544655</v>
      </c>
      <c r="V824" s="7" t="n">
        <f aca="false">E824*2/27+V823*25/27</f>
        <v>12656.592811596</v>
      </c>
      <c r="W824" s="7" t="n">
        <f aca="false">U824-V824</f>
        <v>232.292442869502</v>
      </c>
      <c r="X824" s="7" t="n">
        <f aca="false">W824*2/10+X823*8/10</f>
        <v>202.273015168594</v>
      </c>
      <c r="Y824" s="7" t="n">
        <f aca="false">W824-X824</f>
        <v>30.0194277009087</v>
      </c>
      <c r="Z824" s="8" t="s">
        <v>42</v>
      </c>
      <c r="AA824" s="7" t="str">
        <f aca="false">IFERROR(INDEX(02_轉折點45!B:B,MATCH(A824,02_轉折點45!A:A,0)),"")</f>
        <v/>
      </c>
      <c r="AB824" s="7" t="n">
        <f aca="false">COUNTIFS(05_訊號明細!A:A,A824,05_訊號明細!C:C,"TOP")</f>
        <v>0</v>
      </c>
      <c r="AC824" s="7" t="n">
        <f aca="false">COUNTIFS(05_訊號明細!A:A,A824,05_訊號明細!C:C,"BOTTOM")</f>
        <v>0</v>
      </c>
    </row>
    <row r="825" customFormat="false" ht="15" hidden="false" customHeight="false" outlineLevel="0" collapsed="false">
      <c r="A825" s="7" t="s">
        <v>866</v>
      </c>
      <c r="B825" s="7" t="n">
        <v>12936.52</v>
      </c>
      <c r="C825" s="7" t="n">
        <v>13051.85</v>
      </c>
      <c r="D825" s="7" t="n">
        <v>12861.52</v>
      </c>
      <c r="E825" s="7" t="n">
        <v>13051.23</v>
      </c>
      <c r="F825" s="7" t="n">
        <v>4334</v>
      </c>
      <c r="G825" s="7" t="n">
        <f aca="false">AVERAGE(E821:E825)</f>
        <v>13065.892</v>
      </c>
      <c r="H825" s="7" t="n">
        <f aca="false">AVERAGE(E816:E825)</f>
        <v>12960.362</v>
      </c>
      <c r="I825" s="7" t="n">
        <f aca="false">AVERAGE(E806:E825)</f>
        <v>12722.3325</v>
      </c>
      <c r="J825" s="7" t="n">
        <f aca="false">AVERAGE(E776:E825)</f>
        <v>12449.3966</v>
      </c>
      <c r="K825" s="7" t="n">
        <f aca="false">AVERAGE(E726:E825)</f>
        <v>11955.0208</v>
      </c>
      <c r="L825" s="7" t="n">
        <f aca="false">AVERAGE(E626:E825)</f>
        <v>11970.5833</v>
      </c>
      <c r="M825" s="7" t="n">
        <f aca="false">I825</f>
        <v>12722.3325</v>
      </c>
      <c r="N825" s="7" t="n">
        <f aca="false">I825+2*STDEV(E806:E825)</f>
        <v>13395.647145924</v>
      </c>
      <c r="O825" s="7" t="n">
        <f aca="false">I825-2*STDEV(E806:E825)</f>
        <v>12049.017854076</v>
      </c>
      <c r="P825" s="7" t="n">
        <f aca="false">MAX(E825-E824,0)</f>
        <v>0</v>
      </c>
      <c r="Q825" s="7" t="n">
        <f aca="false">MAX(E824-E825,0)</f>
        <v>11.3700000000008</v>
      </c>
      <c r="R825" s="7" t="n">
        <f aca="false">(R824*13+P825)/14</f>
        <v>73.6183959178049</v>
      </c>
      <c r="S825" s="7" t="n">
        <f aca="false">(S824*13+Q825)/14</f>
        <v>44.48802905871</v>
      </c>
      <c r="T825" s="7" t="n">
        <f aca="false">IF(S825=0,100,100-100/(1+R825/S825))</f>
        <v>62.3322532473942</v>
      </c>
      <c r="U825" s="7" t="n">
        <f aca="false">E825*2/13+U824*11/13</f>
        <v>12913.8613691631</v>
      </c>
      <c r="V825" s="7" t="n">
        <f aca="false">E825*2/27+V824*25/27</f>
        <v>12685.8251959222</v>
      </c>
      <c r="W825" s="7" t="n">
        <f aca="false">U825-V825</f>
        <v>228.036173240896</v>
      </c>
      <c r="X825" s="7" t="n">
        <f aca="false">W825*2/10+X824*8/10</f>
        <v>207.425646783054</v>
      </c>
      <c r="Y825" s="7" t="n">
        <f aca="false">W825-X825</f>
        <v>20.6105264578423</v>
      </c>
      <c r="Z825" s="7" t="s">
        <v>78</v>
      </c>
      <c r="AA825" s="7" t="str">
        <f aca="false">IFERROR(INDEX(02_轉折點45!B:B,MATCH(A825,02_轉折點45!A:A,0)),"")</f>
        <v/>
      </c>
      <c r="AB825" s="7" t="n">
        <f aca="false">COUNTIFS(05_訊號明細!A:A,A825,05_訊號明細!C:C,"TOP")</f>
        <v>1</v>
      </c>
      <c r="AC825" s="7" t="n">
        <f aca="false">COUNTIFS(05_訊號明細!A:A,A825,05_訊號明細!C:C,"BOTTOM")</f>
        <v>0</v>
      </c>
    </row>
    <row r="826" customFormat="false" ht="15" hidden="false" customHeight="false" outlineLevel="0" collapsed="false">
      <c r="A826" s="7" t="s">
        <v>867</v>
      </c>
      <c r="B826" s="7" t="n">
        <v>13040.49</v>
      </c>
      <c r="C826" s="7" t="n">
        <v>13049.56</v>
      </c>
      <c r="D826" s="7" t="n">
        <v>12947.66</v>
      </c>
      <c r="E826" s="7" t="n">
        <v>12964.15</v>
      </c>
      <c r="F826" s="7" t="n">
        <v>4677</v>
      </c>
      <c r="G826" s="7" t="n">
        <f aca="false">AVERAGE(E822:E826)</f>
        <v>13029.052</v>
      </c>
      <c r="H826" s="7" t="n">
        <f aca="false">AVERAGE(E817:E826)</f>
        <v>12989.47</v>
      </c>
      <c r="I826" s="7" t="n">
        <f aca="false">AVERAGE(E807:E826)</f>
        <v>12774.3815</v>
      </c>
      <c r="J826" s="7" t="n">
        <f aca="false">AVERAGE(E777:E826)</f>
        <v>12465.3476</v>
      </c>
      <c r="K826" s="7" t="n">
        <f aca="false">AVERAGE(E727:E826)</f>
        <v>11967.6529</v>
      </c>
      <c r="L826" s="7" t="n">
        <f aca="false">AVERAGE(E627:E826)</f>
        <v>11976.91565</v>
      </c>
      <c r="M826" s="7" t="n">
        <f aca="false">I826</f>
        <v>12774.3815</v>
      </c>
      <c r="N826" s="7" t="n">
        <f aca="false">I826+2*STDEV(E807:E826)</f>
        <v>13339.8915990964</v>
      </c>
      <c r="O826" s="7" t="n">
        <f aca="false">I826-2*STDEV(E807:E826)</f>
        <v>12208.8714009036</v>
      </c>
      <c r="P826" s="7" t="n">
        <f aca="false">MAX(E826-E825,0)</f>
        <v>0</v>
      </c>
      <c r="Q826" s="7" t="n">
        <f aca="false">MAX(E825-E826,0)</f>
        <v>87.0799999999999</v>
      </c>
      <c r="R826" s="7" t="n">
        <f aca="false">(R825*13+P826)/14</f>
        <v>68.3599390665331</v>
      </c>
      <c r="S826" s="7" t="n">
        <f aca="false">(S825*13+Q826)/14</f>
        <v>47.5303126973735</v>
      </c>
      <c r="T826" s="7" t="n">
        <f aca="false">IF(S826=0,100,100-100/(1+R826/S826))</f>
        <v>58.986789679081</v>
      </c>
      <c r="U826" s="7" t="n">
        <f aca="false">E826*2/13+U825*11/13</f>
        <v>12921.5980815996</v>
      </c>
      <c r="V826" s="7" t="n">
        <f aca="false">E826*2/27+V825*25/27</f>
        <v>12706.4418480761</v>
      </c>
      <c r="W826" s="7" t="n">
        <f aca="false">U826-V826</f>
        <v>215.15623352343</v>
      </c>
      <c r="X826" s="7" t="n">
        <f aca="false">W826*2/10+X825*8/10</f>
        <v>208.971764131129</v>
      </c>
      <c r="Y826" s="7" t="n">
        <f aca="false">W826-X826</f>
        <v>6.18446939230086</v>
      </c>
      <c r="Z826" s="7" t="s">
        <v>78</v>
      </c>
      <c r="AA826" s="7" t="str">
        <f aca="false">IFERROR(INDEX(02_轉折點45!B:B,MATCH(A826,02_轉折點45!A:A,0)),"")</f>
        <v/>
      </c>
      <c r="AB826" s="7" t="n">
        <f aca="false">COUNTIFS(05_訊號明細!A:A,A826,05_訊號明細!C:C,"TOP")</f>
        <v>0</v>
      </c>
      <c r="AC826" s="7" t="n">
        <f aca="false">COUNTIFS(05_訊號明細!A:A,A826,05_訊號明細!C:C,"BOTTOM")</f>
        <v>0</v>
      </c>
    </row>
    <row r="827" customFormat="false" ht="15" hidden="false" customHeight="false" outlineLevel="0" collapsed="false">
      <c r="A827" s="7" t="s">
        <v>868</v>
      </c>
      <c r="B827" s="7" t="n">
        <v>13043.97</v>
      </c>
      <c r="C827" s="7" t="n">
        <v>13071.98</v>
      </c>
      <c r="D827" s="7" t="n">
        <v>12833.31</v>
      </c>
      <c r="E827" s="7" t="n">
        <v>12848.35</v>
      </c>
      <c r="F827" s="7" t="n">
        <v>4910</v>
      </c>
      <c r="G827" s="7" t="n">
        <f aca="false">AVERAGE(E823:E827)</f>
        <v>12978.706</v>
      </c>
      <c r="H827" s="7" t="n">
        <f aca="false">AVERAGE(E818:E827)</f>
        <v>13013.248</v>
      </c>
      <c r="I827" s="7" t="n">
        <f aca="false">AVERAGE(E808:E827)</f>
        <v>12806.8095</v>
      </c>
      <c r="J827" s="7" t="n">
        <f aca="false">AVERAGE(E778:E827)</f>
        <v>12484.0668</v>
      </c>
      <c r="K827" s="7" t="n">
        <f aca="false">AVERAGE(E728:E827)</f>
        <v>11977.4249</v>
      </c>
      <c r="L827" s="7" t="n">
        <f aca="false">AVERAGE(E628:E827)</f>
        <v>11980.62815</v>
      </c>
      <c r="M827" s="7" t="n">
        <f aca="false">I827</f>
        <v>12806.8095</v>
      </c>
      <c r="N827" s="7" t="n">
        <f aca="false">I827+2*STDEV(E808:E827)</f>
        <v>13303.8200127121</v>
      </c>
      <c r="O827" s="7" t="n">
        <f aca="false">I827-2*STDEV(E808:E827)</f>
        <v>12309.7989872879</v>
      </c>
      <c r="P827" s="7" t="n">
        <f aca="false">MAX(E827-E826,0)</f>
        <v>0</v>
      </c>
      <c r="Q827" s="7" t="n">
        <f aca="false">MAX(E826-E827,0)</f>
        <v>115.799999999999</v>
      </c>
      <c r="R827" s="7" t="n">
        <f aca="false">(R826*13+P827)/14</f>
        <v>63.4770862760665</v>
      </c>
      <c r="S827" s="7" t="n">
        <f aca="false">(S826*13+Q827)/14</f>
        <v>52.4067189332754</v>
      </c>
      <c r="T827" s="7" t="n">
        <f aca="false">IF(S827=0,100,100-100/(1+R827/S827))</f>
        <v>54.7764945769569</v>
      </c>
      <c r="U827" s="7" t="n">
        <f aca="false">E827*2/13+U826*11/13</f>
        <v>12910.3291459689</v>
      </c>
      <c r="V827" s="7" t="n">
        <f aca="false">E827*2/27+V826*25/27</f>
        <v>12716.9535630335</v>
      </c>
      <c r="W827" s="7" t="n">
        <f aca="false">U827-V827</f>
        <v>193.375582935401</v>
      </c>
      <c r="X827" s="7" t="n">
        <f aca="false">W827*2/10+X826*8/10</f>
        <v>205.852527891984</v>
      </c>
      <c r="Y827" s="7" t="n">
        <f aca="false">W827-X827</f>
        <v>-12.4769449565825</v>
      </c>
      <c r="Z827" s="7" t="s">
        <v>78</v>
      </c>
      <c r="AA827" s="7" t="str">
        <f aca="false">IFERROR(INDEX(02_轉折點45!B:B,MATCH(A827,02_轉折點45!A:A,0)),"")</f>
        <v/>
      </c>
      <c r="AB827" s="7" t="n">
        <f aca="false">COUNTIFS(05_訊號明細!A:A,A827,05_訊號明細!C:C,"TOP")</f>
        <v>0</v>
      </c>
      <c r="AC827" s="7" t="n">
        <f aca="false">COUNTIFS(05_訊號明細!A:A,A827,05_訊號明細!C:C,"BOTTOM")</f>
        <v>0</v>
      </c>
    </row>
    <row r="828" customFormat="false" ht="15" hidden="false" customHeight="false" outlineLevel="0" collapsed="false">
      <c r="A828" s="7" t="s">
        <v>869</v>
      </c>
      <c r="B828" s="7" t="n">
        <v>12922.9</v>
      </c>
      <c r="C828" s="7" t="n">
        <v>13124.41</v>
      </c>
      <c r="D828" s="7" t="n">
        <v>12920.02</v>
      </c>
      <c r="E828" s="7" t="n">
        <v>13109.39</v>
      </c>
      <c r="F828" s="7" t="n">
        <v>4943</v>
      </c>
      <c r="G828" s="7" t="n">
        <f aca="false">AVERAGE(E824:E828)</f>
        <v>13007.144</v>
      </c>
      <c r="H828" s="7" t="n">
        <f aca="false">AVERAGE(E819:E828)</f>
        <v>13039.584</v>
      </c>
      <c r="I828" s="7" t="n">
        <f aca="false">AVERAGE(E809:E828)</f>
        <v>12849.713</v>
      </c>
      <c r="J828" s="7" t="n">
        <f aca="false">AVERAGE(E779:E828)</f>
        <v>12504.216</v>
      </c>
      <c r="K828" s="7" t="n">
        <f aca="false">AVERAGE(E729:E828)</f>
        <v>11991.5279</v>
      </c>
      <c r="L828" s="7" t="n">
        <f aca="false">AVERAGE(E629:E828)</f>
        <v>11986.1339</v>
      </c>
      <c r="M828" s="7" t="n">
        <f aca="false">I828</f>
        <v>12849.713</v>
      </c>
      <c r="N828" s="7" t="n">
        <f aca="false">I828+2*STDEV(E809:E828)</f>
        <v>13289.6925579988</v>
      </c>
      <c r="O828" s="7" t="n">
        <f aca="false">I828-2*STDEV(E809:E828)</f>
        <v>12409.7334420012</v>
      </c>
      <c r="P828" s="7" t="n">
        <f aca="false">MAX(E828-E827,0)</f>
        <v>261.039999999999</v>
      </c>
      <c r="Q828" s="7" t="n">
        <f aca="false">MAX(E827-E828,0)</f>
        <v>0</v>
      </c>
      <c r="R828" s="7" t="n">
        <f aca="false">(R827*13+P828)/14</f>
        <v>77.5887229706331</v>
      </c>
      <c r="S828" s="7" t="n">
        <f aca="false">(S827*13+Q828)/14</f>
        <v>48.6633818666128</v>
      </c>
      <c r="T828" s="7" t="n">
        <f aca="false">IF(S828=0,100,100-100/(1+R828/S828))</f>
        <v>61.4553896512492</v>
      </c>
      <c r="U828" s="7" t="n">
        <f aca="false">E828*2/13+U827*11/13</f>
        <v>12940.9538927429</v>
      </c>
      <c r="V828" s="7" t="n">
        <f aca="false">E828*2/27+V827*25/27</f>
        <v>12746.0229287347</v>
      </c>
      <c r="W828" s="7" t="n">
        <f aca="false">U828-V828</f>
        <v>194.930964008196</v>
      </c>
      <c r="X828" s="7" t="n">
        <f aca="false">W828*2/10+X827*8/10</f>
        <v>203.668215115226</v>
      </c>
      <c r="Y828" s="7" t="n">
        <f aca="false">W828-X828</f>
        <v>-8.7372511070306</v>
      </c>
      <c r="Z828" s="7" t="s">
        <v>78</v>
      </c>
      <c r="AA828" s="7" t="str">
        <f aca="false">IFERROR(INDEX(02_轉折點45!B:B,MATCH(A828,02_轉折點45!A:A,0)),"")</f>
        <v/>
      </c>
      <c r="AB828" s="7" t="n">
        <f aca="false">COUNTIFS(05_訊號明細!A:A,A828,05_訊號明細!C:C,"TOP")</f>
        <v>0</v>
      </c>
      <c r="AC828" s="7" t="n">
        <f aca="false">COUNTIFS(05_訊號明細!A:A,A828,05_訊號明細!C:C,"BOTTOM")</f>
        <v>0</v>
      </c>
    </row>
    <row r="829" customFormat="false" ht="15" hidden="false" customHeight="false" outlineLevel="0" collapsed="false">
      <c r="A829" s="7" t="s">
        <v>870</v>
      </c>
      <c r="B829" s="7" t="n">
        <v>13044.69</v>
      </c>
      <c r="C829" s="7" t="n">
        <v>13152.28</v>
      </c>
      <c r="D829" s="7" t="n">
        <v>12962.51</v>
      </c>
      <c r="E829" s="7" t="n">
        <v>13079.52</v>
      </c>
      <c r="F829" s="7" t="n">
        <v>4656</v>
      </c>
      <c r="G829" s="7" t="n">
        <f aca="false">AVERAGE(E825:E829)</f>
        <v>13010.528</v>
      </c>
      <c r="H829" s="7" t="n">
        <f aca="false">AVERAGE(E820:E829)</f>
        <v>13051.222</v>
      </c>
      <c r="I829" s="7" t="n">
        <f aca="false">AVERAGE(E810:E829)</f>
        <v>12874.6195</v>
      </c>
      <c r="J829" s="7" t="n">
        <f aca="false">AVERAGE(E780:E829)</f>
        <v>12518.5444</v>
      </c>
      <c r="K829" s="7" t="n">
        <f aca="false">AVERAGE(E730:E829)</f>
        <v>12005.5545</v>
      </c>
      <c r="L829" s="7" t="n">
        <f aca="false">AVERAGE(E630:E829)</f>
        <v>11993.34265</v>
      </c>
      <c r="M829" s="7" t="n">
        <f aca="false">I829</f>
        <v>12874.6195</v>
      </c>
      <c r="N829" s="7" t="n">
        <f aca="false">I829+2*STDEV(E810:E829)</f>
        <v>13306.9745939472</v>
      </c>
      <c r="O829" s="7" t="n">
        <f aca="false">I829-2*STDEV(E810:E829)</f>
        <v>12442.2644060528</v>
      </c>
      <c r="P829" s="7" t="n">
        <f aca="false">MAX(E829-E828,0)</f>
        <v>0</v>
      </c>
      <c r="Q829" s="7" t="n">
        <f aca="false">MAX(E828-E829,0)</f>
        <v>29.869999999999</v>
      </c>
      <c r="R829" s="7" t="n">
        <f aca="false">(R828*13+P829)/14</f>
        <v>72.0466713298736</v>
      </c>
      <c r="S829" s="7" t="n">
        <f aca="false">(S828*13+Q829)/14</f>
        <v>47.320997447569</v>
      </c>
      <c r="T829" s="7" t="n">
        <f aca="false">IF(S829=0,100,100-100/(1+R829/S829))</f>
        <v>60.3569392514504</v>
      </c>
      <c r="U829" s="7" t="n">
        <f aca="false">E829*2/13+U828*11/13</f>
        <v>12962.2717553978</v>
      </c>
      <c r="V829" s="7" t="n">
        <f aca="false">E829*2/27+V828*25/27</f>
        <v>12770.7264154951</v>
      </c>
      <c r="W829" s="7" t="n">
        <f aca="false">U829-V829</f>
        <v>191.545339902745</v>
      </c>
      <c r="X829" s="7" t="n">
        <f aca="false">W829*2/10+X828*8/10</f>
        <v>201.24364007273</v>
      </c>
      <c r="Y829" s="7" t="n">
        <f aca="false">W829-X829</f>
        <v>-9.6983001699852</v>
      </c>
      <c r="Z829" s="7" t="s">
        <v>78</v>
      </c>
      <c r="AA829" s="7" t="str">
        <f aca="false">IFERROR(INDEX(02_轉折點45!B:B,MATCH(A829,02_轉折點45!A:A,0)),"")</f>
        <v/>
      </c>
      <c r="AB829" s="7" t="n">
        <f aca="false">COUNTIFS(05_訊號明細!A:A,A829,05_訊號明細!C:C,"TOP")</f>
        <v>0</v>
      </c>
      <c r="AC829" s="7" t="n">
        <f aca="false">COUNTIFS(05_訊號明細!A:A,A829,05_訊號明細!C:C,"BOTTOM")</f>
        <v>0</v>
      </c>
    </row>
    <row r="830" customFormat="false" ht="15" hidden="false" customHeight="false" outlineLevel="0" collapsed="false">
      <c r="A830" s="7" t="s">
        <v>871</v>
      </c>
      <c r="B830" s="7" t="n">
        <v>13053.26</v>
      </c>
      <c r="C830" s="7" t="n">
        <v>13105.68</v>
      </c>
      <c r="D830" s="7" t="n">
        <v>12981.26</v>
      </c>
      <c r="E830" s="7" t="n">
        <v>13087.71</v>
      </c>
      <c r="F830" s="7" t="n">
        <v>4823</v>
      </c>
      <c r="G830" s="7" t="n">
        <f aca="false">AVERAGE(E826:E830)</f>
        <v>13017.824</v>
      </c>
      <c r="H830" s="7" t="n">
        <f aca="false">AVERAGE(E821:E830)</f>
        <v>13041.858</v>
      </c>
      <c r="I830" s="7" t="n">
        <f aca="false">AVERAGE(E811:E830)</f>
        <v>12903.011</v>
      </c>
      <c r="J830" s="7" t="n">
        <f aca="false">AVERAGE(E781:E830)</f>
        <v>12524.2358</v>
      </c>
      <c r="K830" s="7" t="n">
        <f aca="false">AVERAGE(E731:E830)</f>
        <v>12019.6614</v>
      </c>
      <c r="L830" s="7" t="n">
        <f aca="false">AVERAGE(E631:E830)</f>
        <v>12000.4899</v>
      </c>
      <c r="M830" s="7" t="n">
        <f aca="false">I830</f>
        <v>12903.011</v>
      </c>
      <c r="N830" s="7" t="n">
        <f aca="false">I830+2*STDEV(E811:E830)</f>
        <v>13311.182225005</v>
      </c>
      <c r="O830" s="7" t="n">
        <f aca="false">I830-2*STDEV(E811:E830)</f>
        <v>12494.839774995</v>
      </c>
      <c r="P830" s="7" t="n">
        <f aca="false">MAX(E830-E829,0)</f>
        <v>8.18999999999869</v>
      </c>
      <c r="Q830" s="7" t="n">
        <f aca="false">MAX(E829-E830,0)</f>
        <v>0</v>
      </c>
      <c r="R830" s="7" t="n">
        <f aca="false">(R829*13+P830)/14</f>
        <v>67.4854805205968</v>
      </c>
      <c r="S830" s="7" t="n">
        <f aca="false">(S829*13+Q830)/14</f>
        <v>43.9409262013141</v>
      </c>
      <c r="T830" s="7" t="n">
        <f aca="false">IF(S830=0,100,100-100/(1+R830/S830))</f>
        <v>60.5650693636937</v>
      </c>
      <c r="U830" s="7" t="n">
        <f aca="false">E830*2/13+U829*11/13</f>
        <v>12981.5699468751</v>
      </c>
      <c r="V830" s="7" t="n">
        <f aca="false">E830*2/27+V829*25/27</f>
        <v>12794.206681014</v>
      </c>
      <c r="W830" s="7" t="n">
        <f aca="false">U830-V830</f>
        <v>187.363265861122</v>
      </c>
      <c r="X830" s="7" t="n">
        <f aca="false">W830*2/10+X829*8/10</f>
        <v>198.467565230408</v>
      </c>
      <c r="Y830" s="7" t="n">
        <f aca="false">W830-X830</f>
        <v>-11.1042993692861</v>
      </c>
      <c r="Z830" s="7" t="s">
        <v>78</v>
      </c>
      <c r="AA830" s="7" t="str">
        <f aca="false">IFERROR(INDEX(02_轉折點45!B:B,MATCH(A830,02_轉折點45!A:A,0)),"")</f>
        <v/>
      </c>
      <c r="AB830" s="7" t="n">
        <f aca="false">COUNTIFS(05_訊號明細!A:A,A830,05_訊號明細!C:C,"TOP")</f>
        <v>0</v>
      </c>
      <c r="AC830" s="7" t="n">
        <f aca="false">COUNTIFS(05_訊號明細!A:A,A830,05_訊號明細!C:C,"BOTTOM")</f>
        <v>0</v>
      </c>
    </row>
    <row r="831" customFormat="false" ht="15" hidden="false" customHeight="false" outlineLevel="0" collapsed="false">
      <c r="A831" s="7" t="s">
        <v>872</v>
      </c>
      <c r="B831" s="7" t="n">
        <v>13180.31</v>
      </c>
      <c r="C831" s="7" t="n">
        <v>13196.18</v>
      </c>
      <c r="D831" s="7" t="n">
        <v>13044.21</v>
      </c>
      <c r="E831" s="7" t="n">
        <v>13091.79</v>
      </c>
      <c r="F831" s="7" t="n">
        <v>4852</v>
      </c>
      <c r="G831" s="7" t="n">
        <f aca="false">AVERAGE(E827:E831)</f>
        <v>13043.352</v>
      </c>
      <c r="H831" s="7" t="n">
        <f aca="false">AVERAGE(E822:E831)</f>
        <v>13036.202</v>
      </c>
      <c r="I831" s="7" t="n">
        <f aca="false">AVERAGE(E812:E831)</f>
        <v>12929.47</v>
      </c>
      <c r="J831" s="7" t="n">
        <f aca="false">AVERAGE(E782:E831)</f>
        <v>12534.6044</v>
      </c>
      <c r="K831" s="7" t="n">
        <f aca="false">AVERAGE(E732:E831)</f>
        <v>12035.0448</v>
      </c>
      <c r="L831" s="7" t="n">
        <f aca="false">AVERAGE(E632:E831)</f>
        <v>12008.43025</v>
      </c>
      <c r="M831" s="7" t="n">
        <f aca="false">I831</f>
        <v>12929.47</v>
      </c>
      <c r="N831" s="7" t="n">
        <f aca="false">I831+2*STDEV(E812:E831)</f>
        <v>13312.5684218187</v>
      </c>
      <c r="O831" s="7" t="n">
        <f aca="false">I831-2*STDEV(E812:E831)</f>
        <v>12546.3715781813</v>
      </c>
      <c r="P831" s="7" t="n">
        <f aca="false">MAX(E831-E830,0)</f>
        <v>4.08000000000175</v>
      </c>
      <c r="Q831" s="7" t="n">
        <f aca="false">MAX(E830-E831,0)</f>
        <v>0</v>
      </c>
      <c r="R831" s="7" t="n">
        <f aca="false">(R830*13+P831)/14</f>
        <v>62.9565176262686</v>
      </c>
      <c r="S831" s="7" t="n">
        <f aca="false">(S830*13+Q831)/14</f>
        <v>40.8022886155059</v>
      </c>
      <c r="T831" s="7" t="n">
        <f aca="false">IF(S831=0,100,100-100/(1+R831/S831))</f>
        <v>60.6758307141371</v>
      </c>
      <c r="U831" s="7" t="n">
        <f aca="false">E831*2/13+U830*11/13</f>
        <v>12998.5268781251</v>
      </c>
      <c r="V831" s="7" t="n">
        <f aca="false">E831*2/27+V830*25/27</f>
        <v>12816.2498898277</v>
      </c>
      <c r="W831" s="7" t="n">
        <f aca="false">U831-V831</f>
        <v>182.27698829733</v>
      </c>
      <c r="X831" s="7" t="n">
        <f aca="false">W831*2/10+X830*8/10</f>
        <v>195.229449843793</v>
      </c>
      <c r="Y831" s="7" t="n">
        <f aca="false">W831-X831</f>
        <v>-12.9524615464628</v>
      </c>
      <c r="Z831" s="7" t="s">
        <v>78</v>
      </c>
      <c r="AA831" s="7" t="str">
        <f aca="false">IFERROR(INDEX(02_轉折點45!B:B,MATCH(A831,02_轉折點45!A:A,0)),"")</f>
        <v/>
      </c>
      <c r="AB831" s="7" t="n">
        <f aca="false">COUNTIFS(05_訊號明細!A:A,A831,05_訊號明細!C:C,"TOP")</f>
        <v>0</v>
      </c>
      <c r="AC831" s="7" t="n">
        <f aca="false">COUNTIFS(05_訊號明細!A:A,A831,05_訊號明細!C:C,"BOTTOM")</f>
        <v>0</v>
      </c>
    </row>
    <row r="832" customFormat="false" ht="15" hidden="false" customHeight="false" outlineLevel="0" collapsed="false">
      <c r="A832" s="7" t="s">
        <v>873</v>
      </c>
      <c r="B832" s="7" t="n">
        <v>12992.51</v>
      </c>
      <c r="C832" s="7" t="n">
        <v>13128.25</v>
      </c>
      <c r="D832" s="7" t="n">
        <v>12988.2</v>
      </c>
      <c r="E832" s="7" t="n">
        <v>13088.71</v>
      </c>
      <c r="F832" s="7" t="n">
        <v>4973</v>
      </c>
      <c r="G832" s="7" t="n">
        <f aca="false">AVERAGE(E828:E832)</f>
        <v>13091.424</v>
      </c>
      <c r="H832" s="7" t="n">
        <f aca="false">AVERAGE(E823:E832)</f>
        <v>13035.065</v>
      </c>
      <c r="I832" s="7" t="n">
        <f aca="false">AVERAGE(E813:E832)</f>
        <v>12946.8335</v>
      </c>
      <c r="J832" s="7" t="n">
        <f aca="false">AVERAGE(E783:E832)</f>
        <v>12547.0884</v>
      </c>
      <c r="K832" s="7" t="n">
        <f aca="false">AVERAGE(E733:E832)</f>
        <v>12048.6835</v>
      </c>
      <c r="L832" s="7" t="n">
        <f aca="false">AVERAGE(E633:E832)</f>
        <v>12015.9454</v>
      </c>
      <c r="M832" s="7" t="n">
        <f aca="false">I832</f>
        <v>12946.8335</v>
      </c>
      <c r="N832" s="7" t="n">
        <f aca="false">I832+2*STDEV(E813:E832)</f>
        <v>13325.5024090833</v>
      </c>
      <c r="O832" s="7" t="n">
        <f aca="false">I832-2*STDEV(E813:E832)</f>
        <v>12568.1645909167</v>
      </c>
      <c r="P832" s="7" t="n">
        <f aca="false">MAX(E832-E831,0)</f>
        <v>0</v>
      </c>
      <c r="Q832" s="7" t="n">
        <f aca="false">MAX(E831-E832,0)</f>
        <v>3.08000000000175</v>
      </c>
      <c r="R832" s="7" t="n">
        <f aca="false">(R831*13+P832)/14</f>
        <v>58.4596235101065</v>
      </c>
      <c r="S832" s="7" t="n">
        <f aca="false">(S831*13+Q832)/14</f>
        <v>38.1078394286842</v>
      </c>
      <c r="T832" s="7" t="n">
        <f aca="false">IF(S832=0,100,100-100/(1+R832/S832))</f>
        <v>60.5375990328763</v>
      </c>
      <c r="U832" s="7" t="n">
        <f aca="false">E832*2/13+U831*11/13</f>
        <v>13012.4012045674</v>
      </c>
      <c r="V832" s="7" t="n">
        <f aca="false">E832*2/27+V831*25/27</f>
        <v>12836.4321202109</v>
      </c>
      <c r="W832" s="7" t="n">
        <f aca="false">U832-V832</f>
        <v>175.969084356495</v>
      </c>
      <c r="X832" s="7" t="n">
        <f aca="false">W832*2/10+X831*8/10</f>
        <v>191.377376746333</v>
      </c>
      <c r="Y832" s="7" t="n">
        <f aca="false">W832-X832</f>
        <v>-15.4082923898382</v>
      </c>
      <c r="Z832" s="7" t="s">
        <v>78</v>
      </c>
      <c r="AA832" s="7" t="str">
        <f aca="false">IFERROR(INDEX(02_轉折點45!B:B,MATCH(A832,02_轉折點45!A:A,0)),"")</f>
        <v/>
      </c>
      <c r="AB832" s="7" t="n">
        <f aca="false">COUNTIFS(05_訊號明細!A:A,A832,05_訊號明細!C:C,"TOP")</f>
        <v>0</v>
      </c>
      <c r="AC832" s="7" t="n">
        <f aca="false">COUNTIFS(05_訊號明細!A:A,A832,05_訊號明細!C:C,"BOTTOM")</f>
        <v>0</v>
      </c>
    </row>
    <row r="833" customFormat="false" ht="15" hidden="false" customHeight="false" outlineLevel="0" collapsed="false">
      <c r="A833" s="7" t="s">
        <v>874</v>
      </c>
      <c r="B833" s="7" t="n">
        <v>12962.29</v>
      </c>
      <c r="C833" s="7" t="n">
        <v>13107.92</v>
      </c>
      <c r="D833" s="7" t="n">
        <v>12933.8</v>
      </c>
      <c r="E833" s="7" t="n">
        <v>12985.98</v>
      </c>
      <c r="F833" s="7" t="n">
        <v>4591</v>
      </c>
      <c r="G833" s="7" t="n">
        <f aca="false">AVERAGE(E829:E833)</f>
        <v>13066.742</v>
      </c>
      <c r="H833" s="7" t="n">
        <f aca="false">AVERAGE(E824:E833)</f>
        <v>13036.943</v>
      </c>
      <c r="I833" s="7" t="n">
        <f aca="false">AVERAGE(E814:E833)</f>
        <v>12967.775</v>
      </c>
      <c r="J833" s="7" t="n">
        <f aca="false">AVERAGE(E784:E833)</f>
        <v>12552.2426</v>
      </c>
      <c r="K833" s="7" t="n">
        <f aca="false">AVERAGE(E734:E833)</f>
        <v>12060.1561</v>
      </c>
      <c r="L833" s="7" t="n">
        <f aca="false">AVERAGE(E634:E833)</f>
        <v>12021.9758</v>
      </c>
      <c r="M833" s="7" t="n">
        <f aca="false">I833</f>
        <v>12967.775</v>
      </c>
      <c r="N833" s="7" t="n">
        <f aca="false">I833+2*STDEV(E814:E833)</f>
        <v>13301.7164186571</v>
      </c>
      <c r="O833" s="7" t="n">
        <f aca="false">I833-2*STDEV(E814:E833)</f>
        <v>12633.8335813429</v>
      </c>
      <c r="P833" s="7" t="n">
        <f aca="false">MAX(E833-E832,0)</f>
        <v>0</v>
      </c>
      <c r="Q833" s="7" t="n">
        <f aca="false">MAX(E832-E833,0)</f>
        <v>102.73</v>
      </c>
      <c r="R833" s="7" t="n">
        <f aca="false">(R832*13+P833)/14</f>
        <v>54.2839361165275</v>
      </c>
      <c r="S833" s="7" t="n">
        <f aca="false">(S832*13+Q833)/14</f>
        <v>42.723708040921</v>
      </c>
      <c r="T833" s="7" t="n">
        <f aca="false">IF(S833=0,100,100-100/(1+R833/S833))</f>
        <v>55.9584108943227</v>
      </c>
      <c r="U833" s="7" t="n">
        <f aca="false">E833*2/13+U832*11/13</f>
        <v>13008.3364038647</v>
      </c>
      <c r="V833" s="7" t="n">
        <f aca="false">E833*2/27+V832*25/27</f>
        <v>12847.509740936</v>
      </c>
      <c r="W833" s="7" t="n">
        <f aca="false">U833-V833</f>
        <v>160.826662928705</v>
      </c>
      <c r="X833" s="7" t="n">
        <f aca="false">W833*2/10+X832*8/10</f>
        <v>185.267233982807</v>
      </c>
      <c r="Y833" s="7" t="n">
        <f aca="false">W833-X833</f>
        <v>-24.4405710541028</v>
      </c>
      <c r="Z833" s="7" t="s">
        <v>78</v>
      </c>
      <c r="AA833" s="7" t="str">
        <f aca="false">IFERROR(INDEX(02_轉折點45!B:B,MATCH(A833,02_轉折點45!A:A,0)),"")</f>
        <v/>
      </c>
      <c r="AB833" s="7" t="n">
        <f aca="false">COUNTIFS(05_訊號明細!A:A,A833,05_訊號明細!C:C,"TOP")</f>
        <v>0</v>
      </c>
      <c r="AC833" s="7" t="n">
        <f aca="false">COUNTIFS(05_訊號明細!A:A,A833,05_訊號明細!C:C,"BOTTOM")</f>
        <v>0</v>
      </c>
    </row>
    <row r="834" customFormat="false" ht="15" hidden="false" customHeight="false" outlineLevel="0" collapsed="false">
      <c r="A834" s="7" t="s">
        <v>875</v>
      </c>
      <c r="B834" s="7" t="n">
        <v>12970.32</v>
      </c>
      <c r="C834" s="7" t="n">
        <v>13030.85</v>
      </c>
      <c r="D834" s="7" t="n">
        <v>12899.64</v>
      </c>
      <c r="E834" s="7" t="n">
        <v>13000.77</v>
      </c>
      <c r="F834" s="7" t="n">
        <v>4868</v>
      </c>
      <c r="G834" s="7" t="n">
        <f aca="false">AVERAGE(E830:E834)</f>
        <v>13050.992</v>
      </c>
      <c r="H834" s="7" t="n">
        <f aca="false">AVERAGE(E825:E834)</f>
        <v>13030.76</v>
      </c>
      <c r="I834" s="7" t="n">
        <f aca="false">AVERAGE(E815:E834)</f>
        <v>12981.352</v>
      </c>
      <c r="J834" s="7" t="n">
        <f aca="false">AVERAGE(E785:E834)</f>
        <v>12562.3504</v>
      </c>
      <c r="K834" s="7" t="n">
        <f aca="false">AVERAGE(E735:E834)</f>
        <v>12072.6035</v>
      </c>
      <c r="L834" s="7" t="n">
        <f aca="false">AVERAGE(E635:E834)</f>
        <v>12027.7167</v>
      </c>
      <c r="M834" s="7" t="n">
        <f aca="false">I834</f>
        <v>12981.352</v>
      </c>
      <c r="N834" s="7" t="n">
        <f aca="false">I834+2*STDEV(E815:E834)</f>
        <v>13295.9790614787</v>
      </c>
      <c r="O834" s="7" t="n">
        <f aca="false">I834-2*STDEV(E815:E834)</f>
        <v>12666.7249385213</v>
      </c>
      <c r="P834" s="7" t="n">
        <f aca="false">MAX(E834-E833,0)</f>
        <v>14.7900000000009</v>
      </c>
      <c r="Q834" s="7" t="n">
        <f aca="false">MAX(E833-E834,0)</f>
        <v>0</v>
      </c>
      <c r="R834" s="7" t="n">
        <f aca="false">(R833*13+P834)/14</f>
        <v>51.4629406796327</v>
      </c>
      <c r="S834" s="7" t="n">
        <f aca="false">(S833*13+Q834)/14</f>
        <v>39.6720146094266</v>
      </c>
      <c r="T834" s="7" t="n">
        <f aca="false">IF(S834=0,100,100-100/(1+R834/S834))</f>
        <v>56.4689372111985</v>
      </c>
      <c r="U834" s="7" t="n">
        <f aca="false">E834*2/13+U833*11/13</f>
        <v>13007.1723417317</v>
      </c>
      <c r="V834" s="7" t="n">
        <f aca="false">E834*2/27+V833*25/27</f>
        <v>12858.8623527185</v>
      </c>
      <c r="W834" s="7" t="n">
        <f aca="false">U834-V834</f>
        <v>148.309989013154</v>
      </c>
      <c r="X834" s="7" t="n">
        <f aca="false">W834*2/10+X833*8/10</f>
        <v>177.875784988877</v>
      </c>
      <c r="Y834" s="7" t="n">
        <f aca="false">W834-X834</f>
        <v>-29.5657959757224</v>
      </c>
      <c r="Z834" s="8" t="s">
        <v>42</v>
      </c>
      <c r="AA834" s="7" t="str">
        <f aca="false">IFERROR(INDEX(02_轉折點45!B:B,MATCH(A834,02_轉折點45!A:A,0)),"")</f>
        <v/>
      </c>
      <c r="AB834" s="7" t="n">
        <f aca="false">COUNTIFS(05_訊號明細!A:A,A834,05_訊號明細!C:C,"TOP")</f>
        <v>0</v>
      </c>
      <c r="AC834" s="7" t="n">
        <f aca="false">COUNTIFS(05_訊號明細!A:A,A834,05_訊號明細!C:C,"BOTTOM")</f>
        <v>0</v>
      </c>
    </row>
    <row r="835" customFormat="false" ht="15" hidden="false" customHeight="false" outlineLevel="0" collapsed="false">
      <c r="A835" s="7" t="s">
        <v>876</v>
      </c>
      <c r="B835" s="7" t="n">
        <v>12981.71</v>
      </c>
      <c r="C835" s="7" t="n">
        <v>13044.22</v>
      </c>
      <c r="D835" s="7" t="n">
        <v>12883.77</v>
      </c>
      <c r="E835" s="7" t="n">
        <v>12969.76</v>
      </c>
      <c r="F835" s="7" t="n">
        <v>4854</v>
      </c>
      <c r="G835" s="7" t="n">
        <f aca="false">AVERAGE(E831:E835)</f>
        <v>13027.402</v>
      </c>
      <c r="H835" s="7" t="n">
        <f aca="false">AVERAGE(E826:E835)</f>
        <v>13022.613</v>
      </c>
      <c r="I835" s="7" t="n">
        <f aca="false">AVERAGE(E816:E835)</f>
        <v>12991.4875</v>
      </c>
      <c r="J835" s="7" t="n">
        <f aca="false">AVERAGE(E786:E835)</f>
        <v>12574.1222</v>
      </c>
      <c r="K835" s="7" t="n">
        <f aca="false">AVERAGE(E736:E835)</f>
        <v>12086.4236</v>
      </c>
      <c r="L835" s="7" t="n">
        <f aca="false">AVERAGE(E636:E835)</f>
        <v>12032.02025</v>
      </c>
      <c r="M835" s="7" t="n">
        <f aca="false">I835</f>
        <v>12991.4875</v>
      </c>
      <c r="N835" s="7" t="n">
        <f aca="false">I835+2*STDEV(E816:E835)</f>
        <v>13289.6777791225</v>
      </c>
      <c r="O835" s="7" t="n">
        <f aca="false">I835-2*STDEV(E816:E835)</f>
        <v>12693.2972208775</v>
      </c>
      <c r="P835" s="7" t="n">
        <f aca="false">MAX(E835-E834,0)</f>
        <v>0</v>
      </c>
      <c r="Q835" s="7" t="n">
        <f aca="false">MAX(E834-E835,0)</f>
        <v>31.0100000000002</v>
      </c>
      <c r="R835" s="7" t="n">
        <f aca="false">(R834*13+P835)/14</f>
        <v>47.7870163453733</v>
      </c>
      <c r="S835" s="7" t="n">
        <f aca="false">(S834*13+Q835)/14</f>
        <v>39.0532992801819</v>
      </c>
      <c r="T835" s="7" t="n">
        <f aca="false">IF(S835=0,100,100-100/(1+R835/S835))</f>
        <v>55.0286073940876</v>
      </c>
      <c r="U835" s="7" t="n">
        <f aca="false">E835*2/13+U834*11/13</f>
        <v>13001.4165968499</v>
      </c>
      <c r="V835" s="7" t="n">
        <f aca="false">E835*2/27+V834*25/27</f>
        <v>12867.0769932579</v>
      </c>
      <c r="W835" s="7" t="n">
        <f aca="false">U835-V835</f>
        <v>134.33960359199</v>
      </c>
      <c r="X835" s="7" t="n">
        <f aca="false">W835*2/10+X834*8/10</f>
        <v>169.1685487095</v>
      </c>
      <c r="Y835" s="7" t="n">
        <f aca="false">W835-X835</f>
        <v>-34.8289451175091</v>
      </c>
      <c r="Z835" s="8" t="s">
        <v>42</v>
      </c>
      <c r="AA835" s="7" t="str">
        <f aca="false">IFERROR(INDEX(02_轉折點45!B:B,MATCH(A835,02_轉折點45!A:A,0)),"")</f>
        <v/>
      </c>
      <c r="AB835" s="7" t="n">
        <f aca="false">COUNTIFS(05_訊號明細!A:A,A835,05_訊號明細!C:C,"TOP")</f>
        <v>0</v>
      </c>
      <c r="AC835" s="7" t="n">
        <f aca="false">COUNTIFS(05_訊號明細!A:A,A835,05_訊號明細!C:C,"BOTTOM")</f>
        <v>0</v>
      </c>
    </row>
    <row r="836" customFormat="false" ht="15" hidden="false" customHeight="false" outlineLevel="0" collapsed="false">
      <c r="A836" s="7" t="s">
        <v>877</v>
      </c>
      <c r="B836" s="7" t="n">
        <v>12905.09</v>
      </c>
      <c r="C836" s="7" t="n">
        <v>12933.28</v>
      </c>
      <c r="D836" s="7" t="n">
        <v>12724.24</v>
      </c>
      <c r="E836" s="7" t="n">
        <v>12725.11</v>
      </c>
      <c r="F836" s="7" t="n">
        <v>4806</v>
      </c>
      <c r="G836" s="7" t="n">
        <f aca="false">AVERAGE(E832:E836)</f>
        <v>12954.066</v>
      </c>
      <c r="H836" s="7" t="n">
        <f aca="false">AVERAGE(E827:E836)</f>
        <v>12998.709</v>
      </c>
      <c r="I836" s="7" t="n">
        <f aca="false">AVERAGE(E817:E836)</f>
        <v>12994.0895</v>
      </c>
      <c r="J836" s="7" t="n">
        <f aca="false">AVERAGE(E787:E836)</f>
        <v>12582.526</v>
      </c>
      <c r="K836" s="7" t="n">
        <f aca="false">AVERAGE(E737:E836)</f>
        <v>12098.6402</v>
      </c>
      <c r="L836" s="7" t="n">
        <f aca="false">AVERAGE(E637:E836)</f>
        <v>12035.01735</v>
      </c>
      <c r="M836" s="7" t="n">
        <f aca="false">I836</f>
        <v>12994.0895</v>
      </c>
      <c r="N836" s="7" t="n">
        <f aca="false">I836+2*STDEV(E817:E836)</f>
        <v>13281.2863744497</v>
      </c>
      <c r="O836" s="7" t="n">
        <f aca="false">I836-2*STDEV(E817:E836)</f>
        <v>12706.8926255503</v>
      </c>
      <c r="P836" s="7" t="n">
        <f aca="false">MAX(E836-E835,0)</f>
        <v>0</v>
      </c>
      <c r="Q836" s="7" t="n">
        <f aca="false">MAX(E835-E836,0)</f>
        <v>244.65</v>
      </c>
      <c r="R836" s="7" t="n">
        <f aca="false">(R835*13+P836)/14</f>
        <v>44.3736580349895</v>
      </c>
      <c r="S836" s="7" t="n">
        <f aca="false">(S835*13+Q836)/14</f>
        <v>53.738777903026</v>
      </c>
      <c r="T836" s="7" t="n">
        <f aca="false">IF(S836=0,100,100-100/(1+R836/S836))</f>
        <v>45.2273533021068</v>
      </c>
      <c r="U836" s="7" t="n">
        <f aca="false">E836*2/13+U835*11/13</f>
        <v>12958.9078896422</v>
      </c>
      <c r="V836" s="7" t="n">
        <f aca="false">E836*2/27+V835*25/27</f>
        <v>12856.5609196832</v>
      </c>
      <c r="W836" s="7" t="n">
        <f aca="false">U836-V836</f>
        <v>102.346969958977</v>
      </c>
      <c r="X836" s="7" t="n">
        <f aca="false">W836*2/10+X835*8/10</f>
        <v>155.804232959395</v>
      </c>
      <c r="Y836" s="7" t="n">
        <f aca="false">W836-X836</f>
        <v>-53.4572630004181</v>
      </c>
      <c r="Z836" s="7" t="s">
        <v>78</v>
      </c>
      <c r="AA836" s="7" t="str">
        <f aca="false">IFERROR(INDEX(02_轉折點45!B:B,MATCH(A836,02_轉折點45!A:A,0)),"")</f>
        <v/>
      </c>
      <c r="AB836" s="7" t="n">
        <f aca="false">COUNTIFS(05_訊號明細!A:A,A836,05_訊號明細!C:C,"TOP")</f>
        <v>2</v>
      </c>
      <c r="AC836" s="7" t="n">
        <f aca="false">COUNTIFS(05_訊號明細!A:A,A836,05_訊號明細!C:C,"BOTTOM")</f>
        <v>0</v>
      </c>
    </row>
    <row r="837" customFormat="false" ht="15" hidden="false" customHeight="false" outlineLevel="0" collapsed="false">
      <c r="A837" s="7" t="s">
        <v>878</v>
      </c>
      <c r="B837" s="7" t="n">
        <v>12866.64</v>
      </c>
      <c r="C837" s="7" t="n">
        <v>12929.62</v>
      </c>
      <c r="D837" s="7" t="n">
        <v>12783.42</v>
      </c>
      <c r="E837" s="7" t="n">
        <v>12806.48</v>
      </c>
      <c r="F837" s="7" t="n">
        <v>5282</v>
      </c>
      <c r="G837" s="7" t="n">
        <f aca="false">AVERAGE(E833:E837)</f>
        <v>12897.62</v>
      </c>
      <c r="H837" s="7" t="n">
        <f aca="false">AVERAGE(E828:E837)</f>
        <v>12994.522</v>
      </c>
      <c r="I837" s="7" t="n">
        <f aca="false">AVERAGE(E818:E837)</f>
        <v>13003.885</v>
      </c>
      <c r="J837" s="7" t="n">
        <f aca="false">AVERAGE(E788:E837)</f>
        <v>12588.6094</v>
      </c>
      <c r="K837" s="7" t="n">
        <f aca="false">AVERAGE(E738:E837)</f>
        <v>12106.4044</v>
      </c>
      <c r="L837" s="7" t="n">
        <f aca="false">AVERAGE(E638:E837)</f>
        <v>12039.74835</v>
      </c>
      <c r="M837" s="7" t="n">
        <f aca="false">I837</f>
        <v>13003.885</v>
      </c>
      <c r="N837" s="7" t="n">
        <f aca="false">I837+2*STDEV(E818:E837)</f>
        <v>13245.7987704137</v>
      </c>
      <c r="O837" s="7" t="n">
        <f aca="false">I837-2*STDEV(E818:E837)</f>
        <v>12761.9712295863</v>
      </c>
      <c r="P837" s="7" t="n">
        <f aca="false">MAX(E837-E836,0)</f>
        <v>81.369999999999</v>
      </c>
      <c r="Q837" s="7" t="n">
        <f aca="false">MAX(E836-E837,0)</f>
        <v>0</v>
      </c>
      <c r="R837" s="7" t="n">
        <f aca="false">(R836*13+P837)/14</f>
        <v>47.016253889633</v>
      </c>
      <c r="S837" s="7" t="n">
        <f aca="false">(S836*13+Q837)/14</f>
        <v>49.9002937670956</v>
      </c>
      <c r="T837" s="7" t="n">
        <f aca="false">IF(S837=0,100,100-100/(1+R837/S837))</f>
        <v>48.5121014175631</v>
      </c>
      <c r="U837" s="7" t="n">
        <f aca="false">E837*2/13+U836*11/13</f>
        <v>12935.4574450819</v>
      </c>
      <c r="V837" s="7" t="n">
        <f aca="false">E837*2/27+V836*25/27</f>
        <v>12852.8512219289</v>
      </c>
      <c r="W837" s="7" t="n">
        <f aca="false">U837-V837</f>
        <v>82.6062231529522</v>
      </c>
      <c r="X837" s="7" t="n">
        <f aca="false">W837*2/10+X836*8/10</f>
        <v>141.164630998106</v>
      </c>
      <c r="Y837" s="7" t="n">
        <f aca="false">W837-X837</f>
        <v>-58.5584078451542</v>
      </c>
      <c r="Z837" s="7" t="s">
        <v>78</v>
      </c>
      <c r="AA837" s="7" t="str">
        <f aca="false">IFERROR(INDEX(02_轉折點45!B:B,MATCH(A837,02_轉折點45!A:A,0)),"")</f>
        <v/>
      </c>
      <c r="AB837" s="7" t="n">
        <f aca="false">COUNTIFS(05_訊號明細!A:A,A837,05_訊號明細!C:C,"TOP")</f>
        <v>0</v>
      </c>
      <c r="AC837" s="7" t="n">
        <f aca="false">COUNTIFS(05_訊號明細!A:A,A837,05_訊號明細!C:C,"BOTTOM")</f>
        <v>0</v>
      </c>
    </row>
    <row r="838" customFormat="false" ht="15" hidden="false" customHeight="false" outlineLevel="0" collapsed="false">
      <c r="A838" s="7" t="s">
        <v>879</v>
      </c>
      <c r="B838" s="7" t="n">
        <v>12963.21</v>
      </c>
      <c r="C838" s="7" t="n">
        <v>13175.62</v>
      </c>
      <c r="D838" s="7" t="n">
        <v>12938.5</v>
      </c>
      <c r="E838" s="7" t="n">
        <v>13160.03</v>
      </c>
      <c r="F838" s="7" t="n">
        <v>5254</v>
      </c>
      <c r="G838" s="7" t="n">
        <f aca="false">AVERAGE(E834:E838)</f>
        <v>12932.43</v>
      </c>
      <c r="H838" s="7" t="n">
        <f aca="false">AVERAGE(E829:E838)</f>
        <v>12999.586</v>
      </c>
      <c r="I838" s="7" t="n">
        <f aca="false">AVERAGE(E819:E838)</f>
        <v>13019.585</v>
      </c>
      <c r="J838" s="7" t="n">
        <f aca="false">AVERAGE(E789:E838)</f>
        <v>12599.9922</v>
      </c>
      <c r="K838" s="7" t="n">
        <f aca="false">AVERAGE(E739:E838)</f>
        <v>12117.5858</v>
      </c>
      <c r="L838" s="7" t="n">
        <f aca="false">AVERAGE(E639:E838)</f>
        <v>12046.82355</v>
      </c>
      <c r="M838" s="7" t="n">
        <f aca="false">I838</f>
        <v>13019.585</v>
      </c>
      <c r="N838" s="7" t="n">
        <f aca="false">I838+2*STDEV(E819:E838)</f>
        <v>13259.1082341219</v>
      </c>
      <c r="O838" s="7" t="n">
        <f aca="false">I838-2*STDEV(E819:E838)</f>
        <v>12780.0617658781</v>
      </c>
      <c r="P838" s="7" t="n">
        <f aca="false">MAX(E838-E837,0)</f>
        <v>353.550000000001</v>
      </c>
      <c r="Q838" s="7" t="n">
        <f aca="false">MAX(E837-E838,0)</f>
        <v>0</v>
      </c>
      <c r="R838" s="7" t="n">
        <f aca="false">(R837*13+P838)/14</f>
        <v>68.911521468945</v>
      </c>
      <c r="S838" s="7" t="n">
        <f aca="false">(S837*13+Q838)/14</f>
        <v>46.3359870694459</v>
      </c>
      <c r="T838" s="7" t="n">
        <f aca="false">IF(S838=0,100,100-100/(1+R838/S838))</f>
        <v>59.7943698244803</v>
      </c>
      <c r="U838" s="7" t="n">
        <f aca="false">E838*2/13+U837*11/13</f>
        <v>12970.0070689154</v>
      </c>
      <c r="V838" s="7" t="n">
        <f aca="false">E838*2/27+V837*25/27</f>
        <v>12875.6052054897</v>
      </c>
      <c r="W838" s="7" t="n">
        <f aca="false">U838-V838</f>
        <v>94.4018634256918</v>
      </c>
      <c r="X838" s="7" t="n">
        <f aca="false">W838*2/10+X837*8/10</f>
        <v>131.812077483623</v>
      </c>
      <c r="Y838" s="7" t="n">
        <f aca="false">W838-X838</f>
        <v>-37.4102140579317</v>
      </c>
      <c r="Z838" s="8" t="s">
        <v>42</v>
      </c>
      <c r="AA838" s="7" t="str">
        <f aca="false">IFERROR(INDEX(02_轉折點45!B:B,MATCH(A838,02_轉折點45!A:A,0)),"")</f>
        <v/>
      </c>
      <c r="AB838" s="7" t="n">
        <f aca="false">COUNTIFS(05_訊號明細!A:A,A838,05_訊號明細!C:C,"TOP")</f>
        <v>0</v>
      </c>
      <c r="AC838" s="7" t="n">
        <f aca="false">COUNTIFS(05_訊號明細!A:A,A838,05_訊號明細!C:C,"BOTTOM")</f>
        <v>0</v>
      </c>
    </row>
    <row r="839" customFormat="false" ht="15" hidden="false" customHeight="false" outlineLevel="0" collapsed="false">
      <c r="A839" s="7" t="s">
        <v>880</v>
      </c>
      <c r="B839" s="7" t="n">
        <v>13139.35</v>
      </c>
      <c r="C839" s="7" t="n">
        <v>13247.39</v>
      </c>
      <c r="D839" s="7" t="n">
        <v>13096.94</v>
      </c>
      <c r="E839" s="7" t="n">
        <v>13245.99</v>
      </c>
      <c r="F839" s="7" t="n">
        <v>5331</v>
      </c>
      <c r="G839" s="7" t="n">
        <f aca="false">AVERAGE(E835:E839)</f>
        <v>12981.474</v>
      </c>
      <c r="H839" s="7" t="n">
        <f aca="false">AVERAGE(E830:E839)</f>
        <v>13016.233</v>
      </c>
      <c r="I839" s="7" t="n">
        <f aca="false">AVERAGE(E820:E839)</f>
        <v>13033.7275</v>
      </c>
      <c r="J839" s="7" t="n">
        <f aca="false">AVERAGE(E790:E839)</f>
        <v>12611.1542</v>
      </c>
      <c r="K839" s="7" t="n">
        <f aca="false">AVERAGE(E740:E839)</f>
        <v>12130.1031</v>
      </c>
      <c r="L839" s="7" t="n">
        <f aca="false">AVERAGE(E640:E839)</f>
        <v>12054.41085</v>
      </c>
      <c r="M839" s="7" t="n">
        <f aca="false">I839</f>
        <v>13033.7275</v>
      </c>
      <c r="N839" s="7" t="n">
        <f aca="false">I839+2*STDEV(E820:E839)</f>
        <v>13291.8939226098</v>
      </c>
      <c r="O839" s="7" t="n">
        <f aca="false">I839-2*STDEV(E820:E839)</f>
        <v>12775.5610773902</v>
      </c>
      <c r="P839" s="7" t="n">
        <f aca="false">MAX(E839-E838,0)</f>
        <v>85.9599999999991</v>
      </c>
      <c r="Q839" s="7" t="n">
        <f aca="false">MAX(E838-E839,0)</f>
        <v>0</v>
      </c>
      <c r="R839" s="7" t="n">
        <f aca="false">(R838*13+P839)/14</f>
        <v>70.1292699354489</v>
      </c>
      <c r="S839" s="7" t="n">
        <f aca="false">(S838*13+Q839)/14</f>
        <v>43.0262737073426</v>
      </c>
      <c r="T839" s="7" t="n">
        <f aca="false">IF(S839=0,100,100-100/(1+R839/S839))</f>
        <v>61.9759913458879</v>
      </c>
      <c r="U839" s="7" t="n">
        <f aca="false">E839*2/13+U838*11/13</f>
        <v>13012.46598139</v>
      </c>
      <c r="V839" s="7" t="n">
        <f aca="false">E839*2/27+V838*25/27</f>
        <v>12903.0411161942</v>
      </c>
      <c r="W839" s="7" t="n">
        <f aca="false">U839-V839</f>
        <v>109.424865195779</v>
      </c>
      <c r="X839" s="7" t="n">
        <f aca="false">W839*2/10+X838*8/10</f>
        <v>127.334635026055</v>
      </c>
      <c r="Y839" s="7" t="n">
        <f aca="false">W839-X839</f>
        <v>-17.9097698302758</v>
      </c>
      <c r="Z839" s="8" t="s">
        <v>42</v>
      </c>
      <c r="AA839" s="7" t="str">
        <f aca="false">IFERROR(INDEX(02_轉折點45!B:B,MATCH(A839,02_轉折點45!A:A,0)),"")</f>
        <v/>
      </c>
      <c r="AB839" s="7" t="n">
        <f aca="false">COUNTIFS(05_訊號明細!A:A,A839,05_訊號明細!C:C,"TOP")</f>
        <v>1</v>
      </c>
      <c r="AC839" s="7" t="n">
        <f aca="false">COUNTIFS(05_訊號明細!A:A,A839,05_訊號明細!C:C,"BOTTOM")</f>
        <v>0</v>
      </c>
    </row>
    <row r="840" customFormat="false" ht="15" hidden="false" customHeight="false" outlineLevel="0" collapsed="false">
      <c r="A840" s="7" t="s">
        <v>881</v>
      </c>
      <c r="B840" s="7" t="n">
        <v>13229.11</v>
      </c>
      <c r="C840" s="7" t="n">
        <v>13287.47</v>
      </c>
      <c r="D840" s="7" t="n">
        <v>13186.4</v>
      </c>
      <c r="E840" s="7" t="n">
        <v>13231.47</v>
      </c>
      <c r="F840" s="7" t="n">
        <v>5168</v>
      </c>
      <c r="G840" s="7" t="n">
        <f aca="false">AVERAGE(E836:E840)</f>
        <v>13033.816</v>
      </c>
      <c r="H840" s="7" t="n">
        <f aca="false">AVERAGE(E831:E840)</f>
        <v>13030.609</v>
      </c>
      <c r="I840" s="7" t="n">
        <f aca="false">AVERAGE(E821:E840)</f>
        <v>13036.2335</v>
      </c>
      <c r="J840" s="7" t="n">
        <f aca="false">AVERAGE(E791:E840)</f>
        <v>12626.934</v>
      </c>
      <c r="K840" s="7" t="n">
        <f aca="false">AVERAGE(E741:E840)</f>
        <v>12144.5498</v>
      </c>
      <c r="L840" s="7" t="n">
        <f aca="false">AVERAGE(E641:E840)</f>
        <v>12061.7262</v>
      </c>
      <c r="M840" s="7" t="n">
        <f aca="false">I840</f>
        <v>13036.2335</v>
      </c>
      <c r="N840" s="7" t="n">
        <f aca="false">I840+2*STDEV(E821:E840)</f>
        <v>13301.3138756778</v>
      </c>
      <c r="O840" s="7" t="n">
        <f aca="false">I840-2*STDEV(E821:E840)</f>
        <v>12771.1531243222</v>
      </c>
      <c r="P840" s="7" t="n">
        <f aca="false">MAX(E840-E839,0)</f>
        <v>0</v>
      </c>
      <c r="Q840" s="7" t="n">
        <f aca="false">MAX(E839-E840,0)</f>
        <v>14.5200000000004</v>
      </c>
      <c r="R840" s="7" t="n">
        <f aca="false">(R839*13+P840)/14</f>
        <v>65.1200363686311</v>
      </c>
      <c r="S840" s="7" t="n">
        <f aca="false">(S839*13+Q840)/14</f>
        <v>40.9901112996753</v>
      </c>
      <c r="T840" s="7" t="n">
        <f aca="false">IF(S840=0,100,100-100/(1+R840/S840))</f>
        <v>61.3702249969458</v>
      </c>
      <c r="U840" s="7" t="n">
        <f aca="false">E840*2/13+U839*11/13</f>
        <v>13046.15890733</v>
      </c>
      <c r="V840" s="7" t="n">
        <f aca="false">E840*2/27+V839*25/27</f>
        <v>12927.3691816613</v>
      </c>
      <c r="W840" s="7" t="n">
        <f aca="false">U840-V840</f>
        <v>118.789725668687</v>
      </c>
      <c r="X840" s="7" t="n">
        <f aca="false">W840*2/10+X839*8/10</f>
        <v>125.625653154581</v>
      </c>
      <c r="Y840" s="7" t="n">
        <f aca="false">W840-X840</f>
        <v>-6.83592748589442</v>
      </c>
      <c r="Z840" s="8" t="s">
        <v>42</v>
      </c>
      <c r="AA840" s="7" t="str">
        <f aca="false">IFERROR(INDEX(02_轉折點45!B:B,MATCH(A840,02_轉折點45!A:A,0)),"")</f>
        <v/>
      </c>
      <c r="AB840" s="7" t="n">
        <f aca="false">COUNTIFS(05_訊號明細!A:A,A840,05_訊號明細!C:C,"TOP")</f>
        <v>0</v>
      </c>
      <c r="AC840" s="7" t="n">
        <f aca="false">COUNTIFS(05_訊號明細!A:A,A840,05_訊號明細!C:C,"BOTTOM")</f>
        <v>0</v>
      </c>
    </row>
    <row r="841" customFormat="false" ht="15" hidden="false" customHeight="false" outlineLevel="0" collapsed="false">
      <c r="A841" s="7" t="s">
        <v>882</v>
      </c>
      <c r="B841" s="7" t="n">
        <v>13225.48</v>
      </c>
      <c r="C841" s="7" t="n">
        <v>13241.53</v>
      </c>
      <c r="D841" s="7" t="n">
        <v>13046.79</v>
      </c>
      <c r="E841" s="7" t="n">
        <v>13113.66</v>
      </c>
      <c r="F841" s="7" t="n">
        <v>5501</v>
      </c>
      <c r="G841" s="7" t="n">
        <f aca="false">AVERAGE(E837:E841)</f>
        <v>13111.526</v>
      </c>
      <c r="H841" s="7" t="n">
        <f aca="false">AVERAGE(E832:E841)</f>
        <v>13032.796</v>
      </c>
      <c r="I841" s="7" t="n">
        <f aca="false">AVERAGE(E822:E841)</f>
        <v>13034.499</v>
      </c>
      <c r="J841" s="7" t="n">
        <f aca="false">AVERAGE(E792:E841)</f>
        <v>12642.0436</v>
      </c>
      <c r="K841" s="7" t="n">
        <f aca="false">AVERAGE(E742:E841)</f>
        <v>12160.1895</v>
      </c>
      <c r="L841" s="7" t="n">
        <f aca="false">AVERAGE(E642:E841)</f>
        <v>12067.3764</v>
      </c>
      <c r="M841" s="7" t="n">
        <f aca="false">I841</f>
        <v>13034.499</v>
      </c>
      <c r="N841" s="7" t="n">
        <f aca="false">I841+2*STDEV(E822:E841)</f>
        <v>13296.9312308431</v>
      </c>
      <c r="O841" s="7" t="n">
        <f aca="false">I841-2*STDEV(E822:E841)</f>
        <v>12772.0667691569</v>
      </c>
      <c r="P841" s="7" t="n">
        <f aca="false">MAX(E841-E840,0)</f>
        <v>0</v>
      </c>
      <c r="Q841" s="7" t="n">
        <f aca="false">MAX(E840-E841,0)</f>
        <v>117.809999999999</v>
      </c>
      <c r="R841" s="7" t="n">
        <f aca="false">(R840*13+P841)/14</f>
        <v>60.4686051994432</v>
      </c>
      <c r="S841" s="7" t="n">
        <f aca="false">(S840*13+Q841)/14</f>
        <v>46.4772462068413</v>
      </c>
      <c r="T841" s="7" t="n">
        <f aca="false">IF(S841=0,100,100-100/(1+R841/S841))</f>
        <v>56.5413285361809</v>
      </c>
      <c r="U841" s="7" t="n">
        <f aca="false">E841*2/13+U840*11/13</f>
        <v>13056.5436908177</v>
      </c>
      <c r="V841" s="7" t="n">
        <f aca="false">E841*2/27+V840*25/27</f>
        <v>12941.1685015382</v>
      </c>
      <c r="W841" s="7" t="n">
        <f aca="false">U841-V841</f>
        <v>115.375189279441</v>
      </c>
      <c r="X841" s="7" t="n">
        <f aca="false">W841*2/10+X840*8/10</f>
        <v>123.575560379553</v>
      </c>
      <c r="Y841" s="7" t="n">
        <f aca="false">W841-X841</f>
        <v>-8.20037110011214</v>
      </c>
      <c r="Z841" s="8" t="s">
        <v>42</v>
      </c>
      <c r="AA841" s="7" t="str">
        <f aca="false">IFERROR(INDEX(02_轉折點45!B:B,MATCH(A841,02_轉折點45!A:A,0)),"")</f>
        <v/>
      </c>
      <c r="AB841" s="7" t="n">
        <f aca="false">COUNTIFS(05_訊號明細!A:A,A841,05_訊號明細!C:C,"TOP")</f>
        <v>0</v>
      </c>
      <c r="AC841" s="7" t="n">
        <f aca="false">COUNTIFS(05_訊號明細!A:A,A841,05_訊號明細!C:C,"BOTTOM")</f>
        <v>0</v>
      </c>
    </row>
    <row r="842" customFormat="false" ht="15" hidden="false" customHeight="false" outlineLevel="0" collapsed="false">
      <c r="A842" s="7" t="s">
        <v>883</v>
      </c>
      <c r="B842" s="7" t="n">
        <v>13123.1</v>
      </c>
      <c r="C842" s="7" t="n">
        <v>13231.71</v>
      </c>
      <c r="D842" s="7" t="n">
        <v>13026.04</v>
      </c>
      <c r="E842" s="7" t="n">
        <v>13030.21</v>
      </c>
      <c r="F842" s="7" t="n">
        <v>5782</v>
      </c>
      <c r="G842" s="7" t="n">
        <f aca="false">AVERAGE(E838:E842)</f>
        <v>13156.272</v>
      </c>
      <c r="H842" s="7" t="n">
        <f aca="false">AVERAGE(E833:E842)</f>
        <v>13026.946</v>
      </c>
      <c r="I842" s="7" t="n">
        <f aca="false">AVERAGE(E823:E842)</f>
        <v>13031.0055</v>
      </c>
      <c r="J842" s="7" t="n">
        <f aca="false">AVERAGE(E793:E842)</f>
        <v>12661.4418</v>
      </c>
      <c r="K842" s="7" t="n">
        <f aca="false">AVERAGE(E743:E842)</f>
        <v>12175.5177</v>
      </c>
      <c r="L842" s="7" t="n">
        <f aca="false">AVERAGE(E643:E842)</f>
        <v>12073.13995</v>
      </c>
      <c r="M842" s="7" t="n">
        <f aca="false">I842</f>
        <v>13031.0055</v>
      </c>
      <c r="N842" s="7" t="n">
        <f aca="false">I842+2*STDEV(E823:E842)</f>
        <v>13291.6157745056</v>
      </c>
      <c r="O842" s="7" t="n">
        <f aca="false">I842-2*STDEV(E823:E842)</f>
        <v>12770.3952254944</v>
      </c>
      <c r="P842" s="7" t="n">
        <f aca="false">MAX(E842-E841,0)</f>
        <v>0</v>
      </c>
      <c r="Q842" s="7" t="n">
        <f aca="false">MAX(E841-E842,0)</f>
        <v>83.4500000000007</v>
      </c>
      <c r="R842" s="7" t="n">
        <f aca="false">(R841*13+P842)/14</f>
        <v>56.1494191137687</v>
      </c>
      <c r="S842" s="7" t="n">
        <f aca="false">(S841*13+Q842)/14</f>
        <v>49.118157192067</v>
      </c>
      <c r="T842" s="7" t="n">
        <f aca="false">IF(S842=0,100,100-100/(1+R842/S842))</f>
        <v>53.3397092288292</v>
      </c>
      <c r="U842" s="7" t="n">
        <f aca="false">E842*2/13+U841*11/13</f>
        <v>13052.4923537688</v>
      </c>
      <c r="V842" s="7" t="n">
        <f aca="false">E842*2/27+V841*25/27</f>
        <v>12947.764168091</v>
      </c>
      <c r="W842" s="7" t="n">
        <f aca="false">U842-V842</f>
        <v>104.728185677845</v>
      </c>
      <c r="X842" s="7" t="n">
        <f aca="false">W842*2/10+X841*8/10</f>
        <v>119.806085439211</v>
      </c>
      <c r="Y842" s="7" t="n">
        <f aca="false">W842-X842</f>
        <v>-15.0778997613667</v>
      </c>
      <c r="Z842" s="8" t="s">
        <v>42</v>
      </c>
      <c r="AA842" s="7" t="str">
        <f aca="false">IFERROR(INDEX(02_轉折點45!B:B,MATCH(A842,02_轉折點45!A:A,0)),"")</f>
        <v/>
      </c>
      <c r="AB842" s="7" t="n">
        <f aca="false">COUNTIFS(05_訊號明細!A:A,A842,05_訊號明細!C:C,"TOP")</f>
        <v>0</v>
      </c>
      <c r="AC842" s="7" t="n">
        <f aca="false">COUNTIFS(05_訊號明細!A:A,A842,05_訊號明細!C:C,"BOTTOM")</f>
        <v>0</v>
      </c>
    </row>
    <row r="843" customFormat="false" ht="15" hidden="false" customHeight="false" outlineLevel="0" collapsed="false">
      <c r="A843" s="7" t="s">
        <v>884</v>
      </c>
      <c r="B843" s="7" t="n">
        <v>13014.07</v>
      </c>
      <c r="C843" s="7" t="n">
        <v>13064.02</v>
      </c>
      <c r="D843" s="7" t="n">
        <v>12938.45</v>
      </c>
      <c r="E843" s="7" t="n">
        <v>12982.48</v>
      </c>
      <c r="F843" s="7" t="n">
        <v>4746</v>
      </c>
      <c r="G843" s="7" t="n">
        <f aca="false">AVERAGE(E839:E843)</f>
        <v>13120.762</v>
      </c>
      <c r="H843" s="7" t="n">
        <f aca="false">AVERAGE(E834:E843)</f>
        <v>13026.596</v>
      </c>
      <c r="I843" s="7" t="n">
        <f aca="false">AVERAGE(E824:E843)</f>
        <v>13031.7695</v>
      </c>
      <c r="J843" s="7" t="n">
        <f aca="false">AVERAGE(E794:E843)</f>
        <v>12679.766</v>
      </c>
      <c r="K843" s="7" t="n">
        <f aca="false">AVERAGE(E744:E843)</f>
        <v>12188.9675</v>
      </c>
      <c r="L843" s="7" t="n">
        <f aca="false">AVERAGE(E644:E843)</f>
        <v>12076.80525</v>
      </c>
      <c r="M843" s="7" t="n">
        <f aca="false">I843</f>
        <v>13031.7695</v>
      </c>
      <c r="N843" s="7" t="n">
        <f aca="false">I843+2*STDEV(E824:E843)</f>
        <v>13291.6808433846</v>
      </c>
      <c r="O843" s="7" t="n">
        <f aca="false">I843-2*STDEV(E824:E843)</f>
        <v>12771.8581566154</v>
      </c>
      <c r="P843" s="7" t="n">
        <f aca="false">MAX(E843-E842,0)</f>
        <v>0</v>
      </c>
      <c r="Q843" s="7" t="n">
        <f aca="false">MAX(E842-E843,0)</f>
        <v>47.7299999999996</v>
      </c>
      <c r="R843" s="7" t="n">
        <f aca="false">(R842*13+P843)/14</f>
        <v>52.138746319928</v>
      </c>
      <c r="S843" s="7" t="n">
        <f aca="false">(S842*13+Q843)/14</f>
        <v>49.0190031069193</v>
      </c>
      <c r="T843" s="7" t="n">
        <f aca="false">IF(S843=0,100,100-100/(1+R843/S843))</f>
        <v>51.5420188916247</v>
      </c>
      <c r="U843" s="7" t="n">
        <f aca="false">E843*2/13+U842*11/13</f>
        <v>13041.7212224198</v>
      </c>
      <c r="V843" s="7" t="n">
        <f aca="false">E843*2/27+V842*25/27</f>
        <v>12950.3357111953</v>
      </c>
      <c r="W843" s="7" t="n">
        <f aca="false">U843-V843</f>
        <v>91.3855112244255</v>
      </c>
      <c r="X843" s="7" t="n">
        <f aca="false">W843*2/10+X842*8/10</f>
        <v>114.121970596254</v>
      </c>
      <c r="Y843" s="7" t="n">
        <f aca="false">W843-X843</f>
        <v>-22.7364593718286</v>
      </c>
      <c r="Z843" s="8" t="s">
        <v>42</v>
      </c>
      <c r="AA843" s="7" t="str">
        <f aca="false">IFERROR(INDEX(02_轉折點45!B:B,MATCH(A843,02_轉折點45!A:A,0)),"")</f>
        <v/>
      </c>
      <c r="AB843" s="7" t="n">
        <f aca="false">COUNTIFS(05_訊號明細!A:A,A843,05_訊號明細!C:C,"TOP")</f>
        <v>0</v>
      </c>
      <c r="AC843" s="7" t="n">
        <f aca="false">COUNTIFS(05_訊號明細!A:A,A843,05_訊號明細!C:C,"BOTTOM")</f>
        <v>0</v>
      </c>
    </row>
    <row r="844" customFormat="false" ht="15" hidden="false" customHeight="false" outlineLevel="0" collapsed="false">
      <c r="A844" s="7" t="s">
        <v>885</v>
      </c>
      <c r="B844" s="7" t="n">
        <v>13070.7</v>
      </c>
      <c r="C844" s="7" t="n">
        <v>13291.11</v>
      </c>
      <c r="D844" s="7" t="n">
        <v>13059.91</v>
      </c>
      <c r="E844" s="7" t="n">
        <v>13259.13</v>
      </c>
      <c r="F844" s="7" t="n">
        <v>4575</v>
      </c>
      <c r="G844" s="7" t="n">
        <f aca="false">AVERAGE(E840:E844)</f>
        <v>13123.39</v>
      </c>
      <c r="H844" s="7" t="n">
        <f aca="false">AVERAGE(E835:E844)</f>
        <v>13052.432</v>
      </c>
      <c r="I844" s="7" t="n">
        <f aca="false">AVERAGE(E825:E844)</f>
        <v>13041.596</v>
      </c>
      <c r="J844" s="7" t="n">
        <f aca="false">AVERAGE(E795:E844)</f>
        <v>12701.3458</v>
      </c>
      <c r="K844" s="7" t="n">
        <f aca="false">AVERAGE(E745:E844)</f>
        <v>12205.9255</v>
      </c>
      <c r="L844" s="7" t="n">
        <f aca="false">AVERAGE(E645:E844)</f>
        <v>12080.9025</v>
      </c>
      <c r="M844" s="7" t="n">
        <f aca="false">I844</f>
        <v>13041.596</v>
      </c>
      <c r="N844" s="7" t="n">
        <f aca="false">I844+2*STDEV(E825:E844)</f>
        <v>13320.5761466922</v>
      </c>
      <c r="O844" s="7" t="n">
        <f aca="false">I844-2*STDEV(E825:E844)</f>
        <v>12762.6158533078</v>
      </c>
      <c r="P844" s="7" t="n">
        <f aca="false">MAX(E844-E843,0)</f>
        <v>276.65</v>
      </c>
      <c r="Q844" s="7" t="n">
        <f aca="false">MAX(E843-E844,0)</f>
        <v>0</v>
      </c>
      <c r="R844" s="7" t="n">
        <f aca="false">(R843*13+P844)/14</f>
        <v>68.1752644399332</v>
      </c>
      <c r="S844" s="7" t="n">
        <f aca="false">(S843*13+Q844)/14</f>
        <v>45.5176457421394</v>
      </c>
      <c r="T844" s="7" t="n">
        <f aca="false">IF(S844=0,100,100-100/(1+R844/S844))</f>
        <v>59.9643938489695</v>
      </c>
      <c r="U844" s="7" t="n">
        <f aca="false">E844*2/13+U843*11/13</f>
        <v>13075.1687266629</v>
      </c>
      <c r="V844" s="7" t="n">
        <f aca="false">E844*2/27+V843*25/27</f>
        <v>12973.2093622179</v>
      </c>
      <c r="W844" s="7" t="n">
        <f aca="false">U844-V844</f>
        <v>101.959364444971</v>
      </c>
      <c r="X844" s="7" t="n">
        <f aca="false">W844*2/10+X843*8/10</f>
        <v>111.689449365997</v>
      </c>
      <c r="Y844" s="7" t="n">
        <f aca="false">W844-X844</f>
        <v>-9.7300849210268</v>
      </c>
      <c r="Z844" s="8" t="s">
        <v>42</v>
      </c>
      <c r="AA844" s="7" t="str">
        <f aca="false">IFERROR(INDEX(02_轉折點45!B:B,MATCH(A844,02_轉折點45!A:A,0)),"")</f>
        <v/>
      </c>
      <c r="AB844" s="7" t="n">
        <f aca="false">COUNTIFS(05_訊號明細!A:A,A844,05_訊號明細!C:C,"TOP")</f>
        <v>1</v>
      </c>
      <c r="AC844" s="7" t="n">
        <f aca="false">COUNTIFS(05_訊號明細!A:A,A844,05_訊號明細!C:C,"BOTTOM")</f>
        <v>0</v>
      </c>
    </row>
    <row r="845" customFormat="false" ht="15" hidden="false" customHeight="false" outlineLevel="0" collapsed="false">
      <c r="A845" s="7" t="s">
        <v>886</v>
      </c>
      <c r="B845" s="7" t="n">
        <v>13247.09</v>
      </c>
      <c r="C845" s="7" t="n">
        <v>13302.43</v>
      </c>
      <c r="D845" s="7" t="n">
        <v>13193.08</v>
      </c>
      <c r="E845" s="7" t="n">
        <v>13291.64</v>
      </c>
      <c r="F845" s="7" t="n">
        <v>4216</v>
      </c>
      <c r="G845" s="7" t="n">
        <f aca="false">AVERAGE(E841:E845)</f>
        <v>13135.424</v>
      </c>
      <c r="H845" s="7" t="n">
        <f aca="false">AVERAGE(E836:E845)</f>
        <v>13084.62</v>
      </c>
      <c r="I845" s="7" t="n">
        <f aca="false">AVERAGE(E826:E845)</f>
        <v>13053.6165</v>
      </c>
      <c r="J845" s="7" t="n">
        <f aca="false">AVERAGE(E796:E845)</f>
        <v>12727.7856</v>
      </c>
      <c r="K845" s="7" t="n">
        <f aca="false">AVERAGE(E746:E845)</f>
        <v>12221.7775</v>
      </c>
      <c r="L845" s="7" t="n">
        <f aca="false">AVERAGE(E646:E845)</f>
        <v>12084.26365</v>
      </c>
      <c r="M845" s="7" t="n">
        <f aca="false">I845</f>
        <v>13053.6165</v>
      </c>
      <c r="N845" s="7" t="n">
        <f aca="false">I845+2*STDEV(E826:E845)</f>
        <v>13354.223419504</v>
      </c>
      <c r="O845" s="7" t="n">
        <f aca="false">I845-2*STDEV(E826:E845)</f>
        <v>12753.009580496</v>
      </c>
      <c r="P845" s="7" t="n">
        <f aca="false">MAX(E845-E844,0)</f>
        <v>32.5100000000002</v>
      </c>
      <c r="Q845" s="7" t="n">
        <f aca="false">MAX(E844-E845,0)</f>
        <v>0</v>
      </c>
      <c r="R845" s="7" t="n">
        <f aca="false">(R844*13+P845)/14</f>
        <v>65.6277455513665</v>
      </c>
      <c r="S845" s="7" t="n">
        <f aca="false">(S844*13+Q845)/14</f>
        <v>42.2663853319866</v>
      </c>
      <c r="T845" s="7" t="n">
        <f aca="false">IF(S845=0,100,100-100/(1+R845/S845))</f>
        <v>60.8260570005594</v>
      </c>
      <c r="U845" s="7" t="n">
        <f aca="false">E845*2/13+U844*11/13</f>
        <v>13108.471999484</v>
      </c>
      <c r="V845" s="7" t="n">
        <f aca="false">E845*2/27+V844*25/27</f>
        <v>12996.7968168684</v>
      </c>
      <c r="W845" s="7" t="n">
        <f aca="false">U845-V845</f>
        <v>111.675182615543</v>
      </c>
      <c r="X845" s="7" t="n">
        <f aca="false">W845*2/10+X844*8/10</f>
        <v>111.686596015907</v>
      </c>
      <c r="Y845" s="7" t="n">
        <f aca="false">W845-X845</f>
        <v>-0.0114134003632955</v>
      </c>
      <c r="Z845" s="8" t="s">
        <v>42</v>
      </c>
      <c r="AA845" s="7" t="str">
        <f aca="false">IFERROR(INDEX(02_轉折點45!B:B,MATCH(A845,02_轉折點45!A:A,0)),"")</f>
        <v/>
      </c>
      <c r="AB845" s="7" t="n">
        <f aca="false">COUNTIFS(05_訊號明細!A:A,A845,05_訊號明細!C:C,"TOP")</f>
        <v>1</v>
      </c>
      <c r="AC845" s="7" t="n">
        <f aca="false">COUNTIFS(05_訊號明細!A:A,A845,05_訊號明細!C:C,"BOTTOM")</f>
        <v>0</v>
      </c>
    </row>
    <row r="846" customFormat="false" ht="15" hidden="false" customHeight="false" outlineLevel="0" collapsed="false">
      <c r="A846" s="7" t="s">
        <v>887</v>
      </c>
      <c r="B846" s="7" t="n">
        <v>13228.64</v>
      </c>
      <c r="C846" s="7" t="n">
        <v>13254.81</v>
      </c>
      <c r="D846" s="7" t="n">
        <v>13193.88</v>
      </c>
      <c r="E846" s="7" t="n">
        <v>13201.11</v>
      </c>
      <c r="F846" s="7" t="n">
        <v>4127</v>
      </c>
      <c r="G846" s="7" t="n">
        <f aca="false">AVERAGE(E842:E846)</f>
        <v>13152.914</v>
      </c>
      <c r="H846" s="7" t="n">
        <f aca="false">AVERAGE(E837:E846)</f>
        <v>13132.22</v>
      </c>
      <c r="I846" s="7" t="n">
        <f aca="false">AVERAGE(E827:E846)</f>
        <v>13065.4645</v>
      </c>
      <c r="J846" s="7" t="n">
        <f aca="false">AVERAGE(E797:E846)</f>
        <v>12750.652</v>
      </c>
      <c r="K846" s="7" t="n">
        <f aca="false">AVERAGE(E747:E846)</f>
        <v>12235.4465</v>
      </c>
      <c r="L846" s="7" t="n">
        <f aca="false">AVERAGE(E647:E846)</f>
        <v>12088.28685</v>
      </c>
      <c r="M846" s="7" t="n">
        <f aca="false">I846</f>
        <v>13065.4645</v>
      </c>
      <c r="N846" s="7" t="n">
        <f aca="false">I846+2*STDEV(E827:E846)</f>
        <v>13369.8790532502</v>
      </c>
      <c r="O846" s="7" t="n">
        <f aca="false">I846-2*STDEV(E827:E846)</f>
        <v>12761.0499467498</v>
      </c>
      <c r="P846" s="7" t="n">
        <f aca="false">MAX(E846-E845,0)</f>
        <v>0</v>
      </c>
      <c r="Q846" s="7" t="n">
        <f aca="false">MAX(E845-E846,0)</f>
        <v>90.5299999999988</v>
      </c>
      <c r="R846" s="7" t="n">
        <f aca="false">(R845*13+P846)/14</f>
        <v>60.9400494405546</v>
      </c>
      <c r="S846" s="7" t="n">
        <f aca="false">(S845*13+Q846)/14</f>
        <v>45.7137863797017</v>
      </c>
      <c r="T846" s="7" t="n">
        <f aca="false">IF(S846=0,100,100-100/(1+R846/S846))</f>
        <v>57.1381694543615</v>
      </c>
      <c r="U846" s="7" t="n">
        <f aca="false">E846*2/13+U845*11/13</f>
        <v>13122.7239995634</v>
      </c>
      <c r="V846" s="7" t="n">
        <f aca="false">E846*2/27+V845*25/27</f>
        <v>13011.93112673</v>
      </c>
      <c r="W846" s="7" t="n">
        <f aca="false">U846-V846</f>
        <v>110.792872833335</v>
      </c>
      <c r="X846" s="7" t="n">
        <f aca="false">W846*2/10+X845*8/10</f>
        <v>111.507851379392</v>
      </c>
      <c r="Y846" s="7" t="n">
        <f aca="false">W846-X846</f>
        <v>-0.714978546056884</v>
      </c>
      <c r="Z846" s="8" t="s">
        <v>42</v>
      </c>
      <c r="AA846" s="7" t="str">
        <f aca="false">IFERROR(INDEX(02_轉折點45!B:B,MATCH(A846,02_轉折點45!A:A,0)),"")</f>
        <v/>
      </c>
      <c r="AB846" s="7" t="n">
        <f aca="false">COUNTIFS(05_訊號明細!A:A,A846,05_訊號明細!C:C,"TOP")</f>
        <v>0</v>
      </c>
      <c r="AC846" s="7" t="n">
        <f aca="false">COUNTIFS(05_訊號明細!A:A,A846,05_訊號明細!C:C,"BOTTOM")</f>
        <v>0</v>
      </c>
    </row>
    <row r="847" customFormat="false" ht="15" hidden="false" customHeight="false" outlineLevel="0" collapsed="false">
      <c r="A847" s="7" t="s">
        <v>888</v>
      </c>
      <c r="B847" s="7" t="n">
        <v>13308.41</v>
      </c>
      <c r="C847" s="7" t="n">
        <v>13384.42</v>
      </c>
      <c r="D847" s="7" t="n">
        <v>13204.79</v>
      </c>
      <c r="E847" s="7" t="n">
        <v>13347.83</v>
      </c>
      <c r="F847" s="7" t="n">
        <v>4948</v>
      </c>
      <c r="G847" s="7" t="n">
        <f aca="false">AVERAGE(E843:E847)</f>
        <v>13216.438</v>
      </c>
      <c r="H847" s="7" t="n">
        <f aca="false">AVERAGE(E838:E847)</f>
        <v>13186.355</v>
      </c>
      <c r="I847" s="7" t="n">
        <f aca="false">AVERAGE(E828:E847)</f>
        <v>13090.4385</v>
      </c>
      <c r="J847" s="7" t="n">
        <f aca="false">AVERAGE(E798:E847)</f>
        <v>12776.7662</v>
      </c>
      <c r="K847" s="7" t="n">
        <f aca="false">AVERAGE(E748:E847)</f>
        <v>12251.5156</v>
      </c>
      <c r="L847" s="7" t="n">
        <f aca="false">AVERAGE(E648:E847)</f>
        <v>12093.38395</v>
      </c>
      <c r="M847" s="7" t="n">
        <f aca="false">I847</f>
        <v>13090.4385</v>
      </c>
      <c r="N847" s="7" t="n">
        <f aca="false">I847+2*STDEV(E828:E847)</f>
        <v>13401.7317623259</v>
      </c>
      <c r="O847" s="7" t="n">
        <f aca="false">I847-2*STDEV(E828:E847)</f>
        <v>12779.1452376741</v>
      </c>
      <c r="P847" s="7" t="n">
        <f aca="false">MAX(E847-E846,0)</f>
        <v>146.719999999999</v>
      </c>
      <c r="Q847" s="7" t="n">
        <f aca="false">MAX(E846-E847,0)</f>
        <v>0</v>
      </c>
      <c r="R847" s="7" t="n">
        <f aca="false">(R846*13+P847)/14</f>
        <v>67.0671887662293</v>
      </c>
      <c r="S847" s="7" t="n">
        <f aca="false">(S846*13+Q847)/14</f>
        <v>42.4485159240088</v>
      </c>
      <c r="T847" s="7" t="n">
        <f aca="false">IF(S847=0,100,100-100/(1+R847/S847))</f>
        <v>61.2397910929093</v>
      </c>
      <c r="U847" s="7" t="n">
        <f aca="false">E847*2/13+U846*11/13</f>
        <v>13157.3556919382</v>
      </c>
      <c r="V847" s="7" t="n">
        <f aca="false">E847*2/27+V846*25/27</f>
        <v>13036.81252475</v>
      </c>
      <c r="W847" s="7" t="n">
        <f aca="false">U847-V847</f>
        <v>120.543167188203</v>
      </c>
      <c r="X847" s="7" t="n">
        <f aca="false">W847*2/10+X846*8/10</f>
        <v>113.314914541155</v>
      </c>
      <c r="Y847" s="7" t="n">
        <f aca="false">W847-X847</f>
        <v>7.22825264704885</v>
      </c>
      <c r="Z847" s="8" t="s">
        <v>42</v>
      </c>
      <c r="AA847" s="7" t="str">
        <f aca="false">IFERROR(INDEX(02_轉折點45!B:B,MATCH(A847,02_轉折點45!A:A,0)),"")</f>
        <v/>
      </c>
      <c r="AB847" s="7" t="n">
        <f aca="false">COUNTIFS(05_訊號明細!A:A,A847,05_訊號明細!C:C,"TOP")</f>
        <v>1</v>
      </c>
      <c r="AC847" s="7" t="n">
        <f aca="false">COUNTIFS(05_訊號明細!A:A,A847,05_訊號明細!C:C,"BOTTOM")</f>
        <v>0</v>
      </c>
    </row>
    <row r="848" customFormat="false" ht="15" hidden="false" customHeight="false" outlineLevel="0" collapsed="false">
      <c r="A848" s="7" t="s">
        <v>889</v>
      </c>
      <c r="B848" s="7" t="n">
        <v>13376.85</v>
      </c>
      <c r="C848" s="7" t="n">
        <v>13411.7</v>
      </c>
      <c r="D848" s="7" t="n">
        <v>13306.08</v>
      </c>
      <c r="E848" s="7" t="n">
        <v>13389.78</v>
      </c>
      <c r="F848" s="7" t="n">
        <v>4489</v>
      </c>
      <c r="G848" s="7" t="n">
        <f aca="false">AVERAGE(E844:E848)</f>
        <v>13297.898</v>
      </c>
      <c r="H848" s="7" t="n">
        <f aca="false">AVERAGE(E839:E848)</f>
        <v>13209.33</v>
      </c>
      <c r="I848" s="7" t="n">
        <f aca="false">AVERAGE(E829:E848)</f>
        <v>13104.458</v>
      </c>
      <c r="J848" s="7" t="n">
        <f aca="false">AVERAGE(E799:E848)</f>
        <v>12805.7904</v>
      </c>
      <c r="K848" s="7" t="n">
        <f aca="false">AVERAGE(E749:E848)</f>
        <v>12271.9612</v>
      </c>
      <c r="L848" s="7" t="n">
        <f aca="false">AVERAGE(E649:E848)</f>
        <v>12099.89835</v>
      </c>
      <c r="M848" s="7" t="n">
        <f aca="false">I848</f>
        <v>13104.458</v>
      </c>
      <c r="N848" s="7" t="n">
        <f aca="false">I848+2*STDEV(E829:E848)</f>
        <v>13443.3748035529</v>
      </c>
      <c r="O848" s="7" t="n">
        <f aca="false">I848-2*STDEV(E829:E848)</f>
        <v>12765.5411964471</v>
      </c>
      <c r="P848" s="7" t="n">
        <f aca="false">MAX(E848-E847,0)</f>
        <v>41.9500000000007</v>
      </c>
      <c r="Q848" s="7" t="n">
        <f aca="false">MAX(E847-E848,0)</f>
        <v>0</v>
      </c>
      <c r="R848" s="7" t="n">
        <f aca="false">(R847*13+P848)/14</f>
        <v>65.2731038543558</v>
      </c>
      <c r="S848" s="7" t="n">
        <f aca="false">(S847*13+Q848)/14</f>
        <v>39.4164790722938</v>
      </c>
      <c r="T848" s="7" t="n">
        <f aca="false">IF(S848=0,100,100-100/(1+R848/S848))</f>
        <v>62.3491870247388</v>
      </c>
      <c r="U848" s="7" t="n">
        <f aca="false">E848*2/13+U847*11/13</f>
        <v>13193.1132777939</v>
      </c>
      <c r="V848" s="7" t="n">
        <f aca="false">E848*2/27+V847*25/27</f>
        <v>13062.9582636574</v>
      </c>
      <c r="W848" s="7" t="n">
        <f aca="false">U848-V848</f>
        <v>130.155014136457</v>
      </c>
      <c r="X848" s="7" t="n">
        <f aca="false">W848*2/10+X847*8/10</f>
        <v>116.682934460215</v>
      </c>
      <c r="Y848" s="7" t="n">
        <f aca="false">W848-X848</f>
        <v>13.4720796762419</v>
      </c>
      <c r="Z848" s="8" t="s">
        <v>42</v>
      </c>
      <c r="AA848" s="7" t="str">
        <f aca="false">IFERROR(INDEX(02_轉折點45!B:B,MATCH(A848,02_轉折點45!A:A,0)),"")</f>
        <v/>
      </c>
      <c r="AB848" s="7" t="n">
        <f aca="false">COUNTIFS(05_訊號明細!A:A,A848,05_訊號明細!C:C,"TOP")</f>
        <v>2</v>
      </c>
      <c r="AC848" s="7" t="n">
        <f aca="false">COUNTIFS(05_訊號明細!A:A,A848,05_訊號明細!C:C,"BOTTOM")</f>
        <v>0</v>
      </c>
    </row>
    <row r="849" customFormat="false" ht="15" hidden="false" customHeight="false" outlineLevel="0" collapsed="false">
      <c r="A849" s="7" t="s">
        <v>890</v>
      </c>
      <c r="B849" s="7" t="n">
        <v>13407.02</v>
      </c>
      <c r="C849" s="7" t="n">
        <v>13427.42</v>
      </c>
      <c r="D849" s="7" t="n">
        <v>13256.56</v>
      </c>
      <c r="E849" s="7" t="n">
        <v>13340.18</v>
      </c>
      <c r="F849" s="7" t="n">
        <v>4170</v>
      </c>
      <c r="G849" s="7" t="n">
        <f aca="false">AVERAGE(E845:E849)</f>
        <v>13314.108</v>
      </c>
      <c r="H849" s="7" t="n">
        <f aca="false">AVERAGE(E840:E849)</f>
        <v>13218.749</v>
      </c>
      <c r="I849" s="7" t="n">
        <f aca="false">AVERAGE(E830:E849)</f>
        <v>13117.491</v>
      </c>
      <c r="J849" s="7" t="n">
        <f aca="false">AVERAGE(E800:E849)</f>
        <v>12831.6966</v>
      </c>
      <c r="K849" s="7" t="n">
        <f aca="false">AVERAGE(E750:E849)</f>
        <v>12292.9258</v>
      </c>
      <c r="L849" s="7" t="n">
        <f aca="false">AVERAGE(E650:E849)</f>
        <v>12103.5919</v>
      </c>
      <c r="M849" s="7" t="n">
        <f aca="false">I849</f>
        <v>13117.491</v>
      </c>
      <c r="N849" s="7" t="n">
        <f aca="false">I849+2*STDEV(E830:E849)</f>
        <v>13472.0560038776</v>
      </c>
      <c r="O849" s="7" t="n">
        <f aca="false">I849-2*STDEV(E830:E849)</f>
        <v>12762.9259961224</v>
      </c>
      <c r="P849" s="7" t="n">
        <f aca="false">MAX(E849-E848,0)</f>
        <v>0</v>
      </c>
      <c r="Q849" s="7" t="n">
        <f aca="false">MAX(E848-E849,0)</f>
        <v>49.6000000000004</v>
      </c>
      <c r="R849" s="7" t="n">
        <f aca="false">(R848*13+P849)/14</f>
        <v>60.6107392933304</v>
      </c>
      <c r="S849" s="7" t="n">
        <f aca="false">(S848*13+Q849)/14</f>
        <v>40.1438734242729</v>
      </c>
      <c r="T849" s="7" t="n">
        <f aca="false">IF(S849=0,100,100-100/(1+R849/S849))</f>
        <v>60.1567885166818</v>
      </c>
      <c r="U849" s="7" t="n">
        <f aca="false">E849*2/13+U848*11/13</f>
        <v>13215.7389273641</v>
      </c>
      <c r="V849" s="7" t="n">
        <f aca="false">E849*2/27+V848*25/27</f>
        <v>13083.4932070902</v>
      </c>
      <c r="W849" s="7" t="n">
        <f aca="false">U849-V849</f>
        <v>132.245720273844</v>
      </c>
      <c r="X849" s="7" t="n">
        <f aca="false">W849*2/10+X848*8/10</f>
        <v>119.795491622941</v>
      </c>
      <c r="Y849" s="7" t="n">
        <f aca="false">W849-X849</f>
        <v>12.4502286509034</v>
      </c>
      <c r="Z849" s="8" t="s">
        <v>42</v>
      </c>
      <c r="AA849" s="7" t="str">
        <f aca="false">IFERROR(INDEX(02_轉折點45!B:B,MATCH(A849,02_轉折點45!A:A,0)),"")</f>
        <v/>
      </c>
      <c r="AB849" s="7" t="n">
        <f aca="false">COUNTIFS(05_訊號明細!A:A,A849,05_訊號明細!C:C,"TOP")</f>
        <v>0</v>
      </c>
      <c r="AC849" s="7" t="n">
        <f aca="false">COUNTIFS(05_訊號明細!A:A,A849,05_訊號明細!C:C,"BOTTOM")</f>
        <v>0</v>
      </c>
    </row>
    <row r="850" customFormat="false" ht="15" hidden="false" customHeight="false" outlineLevel="0" collapsed="false">
      <c r="A850" s="7" t="s">
        <v>891</v>
      </c>
      <c r="B850" s="7" t="n">
        <v>13352.26</v>
      </c>
      <c r="C850" s="7" t="n">
        <v>13419.81</v>
      </c>
      <c r="D850" s="7" t="n">
        <v>13297.85</v>
      </c>
      <c r="E850" s="7" t="n">
        <v>13413.51</v>
      </c>
      <c r="F850" s="7" t="n">
        <v>3979</v>
      </c>
      <c r="G850" s="7" t="n">
        <f aca="false">AVERAGE(E846:E850)</f>
        <v>13338.482</v>
      </c>
      <c r="H850" s="7" t="n">
        <f aca="false">AVERAGE(E841:E850)</f>
        <v>13236.953</v>
      </c>
      <c r="I850" s="7" t="n">
        <f aca="false">AVERAGE(E831:E850)</f>
        <v>13133.781</v>
      </c>
      <c r="J850" s="7" t="n">
        <f aca="false">AVERAGE(E801:E850)</f>
        <v>12854.1506</v>
      </c>
      <c r="K850" s="7" t="n">
        <f aca="false">AVERAGE(E751:E850)</f>
        <v>12316.215</v>
      </c>
      <c r="L850" s="7" t="n">
        <f aca="false">AVERAGE(E651:E850)</f>
        <v>12107.0701</v>
      </c>
      <c r="M850" s="7" t="n">
        <f aca="false">I850</f>
        <v>13133.781</v>
      </c>
      <c r="N850" s="7" t="n">
        <f aca="false">I850+2*STDEV(E831:E850)</f>
        <v>13511.7494427874</v>
      </c>
      <c r="O850" s="7" t="n">
        <f aca="false">I850-2*STDEV(E831:E850)</f>
        <v>12755.8125572126</v>
      </c>
      <c r="P850" s="7" t="n">
        <f aca="false">MAX(E850-E849,0)</f>
        <v>73.3299999999999</v>
      </c>
      <c r="Q850" s="7" t="n">
        <f aca="false">MAX(E849-E850,0)</f>
        <v>0</v>
      </c>
      <c r="R850" s="7" t="n">
        <f aca="false">(R849*13+P850)/14</f>
        <v>61.5192579152353</v>
      </c>
      <c r="S850" s="7" t="n">
        <f aca="false">(S849*13+Q850)/14</f>
        <v>37.2764538939677</v>
      </c>
      <c r="T850" s="7" t="n">
        <f aca="false">IF(S850=0,100,100-100/(1+R850/S850))</f>
        <v>62.2691580319225</v>
      </c>
      <c r="U850" s="7" t="n">
        <f aca="false">E850*2/13+U849*11/13</f>
        <v>13246.1652462311</v>
      </c>
      <c r="V850" s="7" t="n">
        <f aca="false">E850*2/27+V849*25/27</f>
        <v>13107.9388954539</v>
      </c>
      <c r="W850" s="7" t="n">
        <f aca="false">U850-V850</f>
        <v>138.226350777224</v>
      </c>
      <c r="X850" s="7" t="n">
        <f aca="false">W850*2/10+X849*8/10</f>
        <v>123.481663453797</v>
      </c>
      <c r="Y850" s="7" t="n">
        <f aca="false">W850-X850</f>
        <v>14.7446873234266</v>
      </c>
      <c r="Z850" s="8" t="s">
        <v>42</v>
      </c>
      <c r="AA850" s="7" t="str">
        <f aca="false">IFERROR(INDEX(02_轉折點45!B:B,MATCH(A850,02_轉折點45!A:A,0)),"")</f>
        <v/>
      </c>
      <c r="AB850" s="7" t="n">
        <f aca="false">COUNTIFS(05_訊號明細!A:A,A850,05_訊號明細!C:C,"TOP")</f>
        <v>0</v>
      </c>
      <c r="AC850" s="7" t="n">
        <f aca="false">COUNTIFS(05_訊號明細!A:A,A850,05_訊號明細!C:C,"BOTTOM")</f>
        <v>0</v>
      </c>
    </row>
    <row r="851" customFormat="false" ht="15" hidden="false" customHeight="false" outlineLevel="0" collapsed="false">
      <c r="A851" s="7" t="s">
        <v>892</v>
      </c>
      <c r="B851" s="7" t="n">
        <v>13385.37</v>
      </c>
      <c r="C851" s="7" t="n">
        <v>13498.44</v>
      </c>
      <c r="D851" s="7" t="n">
        <v>13384.77</v>
      </c>
      <c r="E851" s="7" t="n">
        <v>13426.01</v>
      </c>
      <c r="F851" s="7" t="n">
        <v>4068</v>
      </c>
      <c r="G851" s="7" t="n">
        <f aca="false">AVERAGE(E847:E851)</f>
        <v>13383.462</v>
      </c>
      <c r="H851" s="7" t="n">
        <f aca="false">AVERAGE(E842:E851)</f>
        <v>13268.188</v>
      </c>
      <c r="I851" s="7" t="n">
        <f aca="false">AVERAGE(E832:E851)</f>
        <v>13150.492</v>
      </c>
      <c r="J851" s="7" t="n">
        <f aca="false">AVERAGE(E802:E851)</f>
        <v>12876.6212</v>
      </c>
      <c r="K851" s="7" t="n">
        <f aca="false">AVERAGE(E752:E851)</f>
        <v>12339.7509</v>
      </c>
      <c r="L851" s="7" t="n">
        <f aca="false">AVERAGE(E652:E851)</f>
        <v>12109.4603</v>
      </c>
      <c r="M851" s="7" t="n">
        <f aca="false">I851</f>
        <v>13150.492</v>
      </c>
      <c r="N851" s="7" t="n">
        <f aca="false">I851+2*STDEV(E832:E851)</f>
        <v>13549.6055115465</v>
      </c>
      <c r="O851" s="7" t="n">
        <f aca="false">I851-2*STDEV(E832:E851)</f>
        <v>12751.3784884535</v>
      </c>
      <c r="P851" s="7" t="n">
        <f aca="false">MAX(E851-E850,0)</f>
        <v>12.5</v>
      </c>
      <c r="Q851" s="7" t="n">
        <f aca="false">MAX(E850-E851,0)</f>
        <v>0</v>
      </c>
      <c r="R851" s="7" t="n">
        <f aca="false">(R850*13+P851)/14</f>
        <v>58.0178823498614</v>
      </c>
      <c r="S851" s="7" t="n">
        <f aca="false">(S850*13+Q851)/14</f>
        <v>34.6138500443986</v>
      </c>
      <c r="T851" s="7" t="n">
        <f aca="false">IF(S851=0,100,100-100/(1+R851/S851))</f>
        <v>62.6328374200379</v>
      </c>
      <c r="U851" s="7" t="n">
        <f aca="false">E851*2/13+U850*11/13</f>
        <v>13273.8336698879</v>
      </c>
      <c r="V851" s="7" t="n">
        <f aca="false">E851*2/27+V850*25/27</f>
        <v>13131.4997180129</v>
      </c>
      <c r="W851" s="7" t="n">
        <f aca="false">U851-V851</f>
        <v>142.333951875004</v>
      </c>
      <c r="X851" s="7" t="n">
        <f aca="false">W851*2/10+X850*8/10</f>
        <v>127.252121138039</v>
      </c>
      <c r="Y851" s="7" t="n">
        <f aca="false">W851-X851</f>
        <v>15.0818307369649</v>
      </c>
      <c r="Z851" s="8" t="s">
        <v>42</v>
      </c>
      <c r="AA851" s="7" t="str">
        <f aca="false">IFERROR(INDEX(02_轉折點45!B:B,MATCH(A851,02_轉折點45!A:A,0)),"")</f>
        <v/>
      </c>
      <c r="AB851" s="7" t="n">
        <f aca="false">COUNTIFS(05_訊號明細!A:A,A851,05_訊號明細!C:C,"TOP")</f>
        <v>0</v>
      </c>
      <c r="AC851" s="7" t="n">
        <f aca="false">COUNTIFS(05_訊號明細!A:A,A851,05_訊號明細!C:C,"BOTTOM")</f>
        <v>0</v>
      </c>
    </row>
    <row r="852" customFormat="false" ht="15" hidden="false" customHeight="false" outlineLevel="0" collapsed="false">
      <c r="A852" s="7" t="s">
        <v>893</v>
      </c>
      <c r="B852" s="7" t="n">
        <v>13474.52</v>
      </c>
      <c r="C852" s="7" t="n">
        <v>13608.33</v>
      </c>
      <c r="D852" s="7" t="n">
        <v>13419.35</v>
      </c>
      <c r="E852" s="7" t="n">
        <v>13589.26</v>
      </c>
      <c r="F852" s="7" t="n">
        <v>4502</v>
      </c>
      <c r="G852" s="7" t="n">
        <f aca="false">AVERAGE(E848:E852)</f>
        <v>13431.748</v>
      </c>
      <c r="H852" s="7" t="n">
        <f aca="false">AVERAGE(E843:E852)</f>
        <v>13324.093</v>
      </c>
      <c r="I852" s="7" t="n">
        <f aca="false">AVERAGE(E833:E852)</f>
        <v>13175.5195</v>
      </c>
      <c r="J852" s="7" t="n">
        <f aca="false">AVERAGE(E803:E852)</f>
        <v>12905.363</v>
      </c>
      <c r="K852" s="7" t="n">
        <f aca="false">AVERAGE(E753:E852)</f>
        <v>12363.2847</v>
      </c>
      <c r="L852" s="7" t="n">
        <f aca="false">AVERAGE(E653:E852)</f>
        <v>12112.7027</v>
      </c>
      <c r="M852" s="7" t="n">
        <f aca="false">I852</f>
        <v>13175.5195</v>
      </c>
      <c r="N852" s="7" t="n">
        <f aca="false">I852+2*STDEV(E833:E852)</f>
        <v>13618.668020641</v>
      </c>
      <c r="O852" s="7" t="n">
        <f aca="false">I852-2*STDEV(E833:E852)</f>
        <v>12732.370979359</v>
      </c>
      <c r="P852" s="7" t="n">
        <f aca="false">MAX(E852-E851,0)</f>
        <v>163.25</v>
      </c>
      <c r="Q852" s="7" t="n">
        <f aca="false">MAX(E851-E852,0)</f>
        <v>0</v>
      </c>
      <c r="R852" s="7" t="n">
        <f aca="false">(R851*13+P852)/14</f>
        <v>65.5344621820142</v>
      </c>
      <c r="S852" s="7" t="n">
        <f aca="false">(S851*13+Q852)/14</f>
        <v>32.1414321840844</v>
      </c>
      <c r="T852" s="7" t="n">
        <f aca="false">IF(S852=0,100,100-100/(1+R852/S852))</f>
        <v>67.0937928004885</v>
      </c>
      <c r="U852" s="7" t="n">
        <f aca="false">E852*2/13+U851*11/13</f>
        <v>13322.3607975974</v>
      </c>
      <c r="V852" s="7" t="n">
        <f aca="false">E852*2/27+V851*25/27</f>
        <v>13165.407887049</v>
      </c>
      <c r="W852" s="7" t="n">
        <f aca="false">U852-V852</f>
        <v>156.95291054848</v>
      </c>
      <c r="X852" s="7" t="n">
        <f aca="false">W852*2/10+X851*8/10</f>
        <v>133.192279020127</v>
      </c>
      <c r="Y852" s="7" t="n">
        <f aca="false">W852-X852</f>
        <v>23.7606315283529</v>
      </c>
      <c r="Z852" s="8" t="s">
        <v>42</v>
      </c>
      <c r="AA852" s="7" t="str">
        <f aca="false">IFERROR(INDEX(02_轉折點45!B:B,MATCH(A852,02_轉折點45!A:A,0)),"")</f>
        <v/>
      </c>
      <c r="AB852" s="7" t="n">
        <f aca="false">COUNTIFS(05_訊號明細!A:A,A852,05_訊號明細!C:C,"TOP")</f>
        <v>0</v>
      </c>
      <c r="AC852" s="7" t="n">
        <f aca="false">COUNTIFS(05_訊號明細!A:A,A852,05_訊號明細!C:C,"BOTTOM")</f>
        <v>0</v>
      </c>
    </row>
    <row r="853" customFormat="false" ht="15" hidden="false" customHeight="false" outlineLevel="0" collapsed="false">
      <c r="A853" s="7" t="s">
        <v>894</v>
      </c>
      <c r="B853" s="7" t="n">
        <v>13608.95</v>
      </c>
      <c r="C853" s="7" t="n">
        <v>13844.76</v>
      </c>
      <c r="D853" s="7" t="n">
        <v>13606.81</v>
      </c>
      <c r="E853" s="7" t="n">
        <v>13834.62</v>
      </c>
      <c r="F853" s="7" t="n">
        <v>4533</v>
      </c>
      <c r="G853" s="7" t="n">
        <f aca="false">AVERAGE(E849:E853)</f>
        <v>13520.716</v>
      </c>
      <c r="H853" s="7" t="n">
        <f aca="false">AVERAGE(E844:E853)</f>
        <v>13409.307</v>
      </c>
      <c r="I853" s="7" t="n">
        <f aca="false">AVERAGE(E834:E853)</f>
        <v>13217.9515</v>
      </c>
      <c r="J853" s="7" t="n">
        <f aca="false">AVERAGE(E804:E853)</f>
        <v>12937.7488</v>
      </c>
      <c r="K853" s="7" t="n">
        <f aca="false">AVERAGE(E754:E853)</f>
        <v>12392.0695</v>
      </c>
      <c r="L853" s="7" t="n">
        <f aca="false">AVERAGE(E654:E853)</f>
        <v>12117.3678</v>
      </c>
      <c r="M853" s="7" t="n">
        <f aca="false">I853</f>
        <v>13217.9515</v>
      </c>
      <c r="N853" s="7" t="n">
        <f aca="false">I853+2*STDEV(E834:E853)</f>
        <v>13740.1506268623</v>
      </c>
      <c r="O853" s="7" t="n">
        <f aca="false">I853-2*STDEV(E834:E853)</f>
        <v>12695.7523731377</v>
      </c>
      <c r="P853" s="7" t="n">
        <f aca="false">MAX(E853-E852,0)</f>
        <v>245.360000000001</v>
      </c>
      <c r="Q853" s="7" t="n">
        <f aca="false">MAX(E852-E853,0)</f>
        <v>0</v>
      </c>
      <c r="R853" s="7" t="n">
        <f aca="false">(R852*13+P853)/14</f>
        <v>78.3791434547275</v>
      </c>
      <c r="S853" s="7" t="n">
        <f aca="false">(S852*13+Q853)/14</f>
        <v>29.8456155995069</v>
      </c>
      <c r="T853" s="7" t="n">
        <f aca="false">IF(S853=0,100,100-100/(1+R853/S853))</f>
        <v>72.422562211896</v>
      </c>
      <c r="U853" s="7" t="n">
        <f aca="false">E853*2/13+U852*11/13</f>
        <v>13401.1699056594</v>
      </c>
      <c r="V853" s="7" t="n">
        <f aca="false">E853*2/27+V852*25/27</f>
        <v>13214.979154675</v>
      </c>
      <c r="W853" s="7" t="n">
        <f aca="false">U853-V853</f>
        <v>186.19075098441</v>
      </c>
      <c r="X853" s="7" t="n">
        <f aca="false">W853*2/10+X852*8/10</f>
        <v>143.791973412983</v>
      </c>
      <c r="Y853" s="7" t="n">
        <f aca="false">W853-X853</f>
        <v>42.3987775714261</v>
      </c>
      <c r="Z853" s="8" t="s">
        <v>42</v>
      </c>
      <c r="AA853" s="7" t="str">
        <f aca="false">IFERROR(INDEX(02_轉折點45!B:B,MATCH(A853,02_轉折點45!A:A,0)),"")</f>
        <v/>
      </c>
      <c r="AB853" s="7" t="n">
        <f aca="false">COUNTIFS(05_訊號明細!A:A,A853,05_訊號明細!C:C,"TOP")</f>
        <v>0</v>
      </c>
      <c r="AC853" s="7" t="n">
        <f aca="false">COUNTIFS(05_訊號明細!A:A,A853,05_訊號明細!C:C,"BOTTOM")</f>
        <v>0</v>
      </c>
    </row>
    <row r="854" customFormat="false" ht="15" hidden="false" customHeight="false" outlineLevel="0" collapsed="false">
      <c r="A854" s="7" t="s">
        <v>895</v>
      </c>
      <c r="B854" s="7" t="n">
        <v>13842.69</v>
      </c>
      <c r="C854" s="7" t="n">
        <v>13874.42</v>
      </c>
      <c r="D854" s="7" t="n">
        <v>13763.9</v>
      </c>
      <c r="E854" s="7" t="n">
        <v>13803.49</v>
      </c>
      <c r="F854" s="7" t="n">
        <v>3936</v>
      </c>
      <c r="G854" s="7" t="n">
        <f aca="false">AVERAGE(E850:E854)</f>
        <v>13613.378</v>
      </c>
      <c r="H854" s="7" t="n">
        <f aca="false">AVERAGE(E845:E854)</f>
        <v>13463.743</v>
      </c>
      <c r="I854" s="7" t="n">
        <f aca="false">AVERAGE(E835:E854)</f>
        <v>13258.0875</v>
      </c>
      <c r="J854" s="7" t="n">
        <f aca="false">AVERAGE(E805:E854)</f>
        <v>12973.901</v>
      </c>
      <c r="K854" s="7" t="n">
        <f aca="false">AVERAGE(E755:E854)</f>
        <v>12420.2499</v>
      </c>
      <c r="L854" s="7" t="n">
        <f aca="false">AVERAGE(E655:E854)</f>
        <v>12120.11895</v>
      </c>
      <c r="M854" s="7" t="n">
        <f aca="false">I854</f>
        <v>13258.0875</v>
      </c>
      <c r="N854" s="7" t="n">
        <f aca="false">I854+2*STDEV(E835:E854)</f>
        <v>13830.939316896</v>
      </c>
      <c r="O854" s="7" t="n">
        <f aca="false">I854-2*STDEV(E835:E854)</f>
        <v>12685.235683104</v>
      </c>
      <c r="P854" s="7" t="n">
        <f aca="false">MAX(E854-E853,0)</f>
        <v>0</v>
      </c>
      <c r="Q854" s="7" t="n">
        <f aca="false">MAX(E853-E854,0)</f>
        <v>31.130000000001</v>
      </c>
      <c r="R854" s="7" t="n">
        <f aca="false">(R853*13+P854)/14</f>
        <v>72.7806332079612</v>
      </c>
      <c r="S854" s="7" t="n">
        <f aca="false">(S853*13+Q854)/14</f>
        <v>29.9373573423994</v>
      </c>
      <c r="T854" s="7" t="n">
        <f aca="false">IF(S854=0,100,100-100/(1+R854/S854))</f>
        <v>70.854806269091</v>
      </c>
      <c r="U854" s="7" t="n">
        <f aca="false">E854*2/13+U853*11/13</f>
        <v>13463.0653047887</v>
      </c>
      <c r="V854" s="7" t="n">
        <f aca="false">E854*2/27+V853*25/27</f>
        <v>13258.572550625</v>
      </c>
      <c r="W854" s="7" t="n">
        <f aca="false">U854-V854</f>
        <v>204.492754163733</v>
      </c>
      <c r="X854" s="7" t="n">
        <f aca="false">W854*2/10+X853*8/10</f>
        <v>155.932129563133</v>
      </c>
      <c r="Y854" s="7" t="n">
        <f aca="false">W854-X854</f>
        <v>48.5606246006</v>
      </c>
      <c r="Z854" s="8" t="s">
        <v>42</v>
      </c>
      <c r="AA854" s="7" t="str">
        <f aca="false">IFERROR(INDEX(02_轉折點45!B:B,MATCH(A854,02_轉折點45!A:A,0)),"")</f>
        <v/>
      </c>
      <c r="AB854" s="7" t="n">
        <f aca="false">COUNTIFS(05_訊號明細!A:A,A854,05_訊號明細!C:C,"TOP")</f>
        <v>0</v>
      </c>
      <c r="AC854" s="7" t="n">
        <f aca="false">COUNTIFS(05_訊號明細!A:A,A854,05_訊號明細!C:C,"BOTTOM")</f>
        <v>0</v>
      </c>
    </row>
    <row r="855" customFormat="false" ht="15" hidden="false" customHeight="false" outlineLevel="0" collapsed="false">
      <c r="A855" s="7" t="s">
        <v>896</v>
      </c>
      <c r="B855" s="7" t="n">
        <v>13805.33</v>
      </c>
      <c r="C855" s="7" t="n">
        <v>13893.71</v>
      </c>
      <c r="D855" s="7" t="n">
        <v>13792.97</v>
      </c>
      <c r="E855" s="7" t="n">
        <v>13849.74</v>
      </c>
      <c r="F855" s="7" t="n">
        <v>4279</v>
      </c>
      <c r="G855" s="7" t="n">
        <f aca="false">AVERAGE(E851:E855)</f>
        <v>13700.624</v>
      </c>
      <c r="H855" s="7" t="n">
        <f aca="false">AVERAGE(E846:E855)</f>
        <v>13519.553</v>
      </c>
      <c r="I855" s="7" t="n">
        <f aca="false">AVERAGE(E836:E855)</f>
        <v>13302.0865</v>
      </c>
      <c r="J855" s="7" t="n">
        <f aca="false">AVERAGE(E806:E855)</f>
        <v>13014.2902</v>
      </c>
      <c r="K855" s="7" t="n">
        <f aca="false">AVERAGE(E756:E855)</f>
        <v>12450.5222</v>
      </c>
      <c r="L855" s="7" t="n">
        <f aca="false">AVERAGE(E656:E855)</f>
        <v>12122.81245</v>
      </c>
      <c r="M855" s="7" t="n">
        <f aca="false">I855</f>
        <v>13302.0865</v>
      </c>
      <c r="N855" s="7" t="n">
        <f aca="false">I855+2*STDEV(E836:E855)</f>
        <v>13915.439307042</v>
      </c>
      <c r="O855" s="7" t="n">
        <f aca="false">I855-2*STDEV(E836:E855)</f>
        <v>12688.733692958</v>
      </c>
      <c r="P855" s="7" t="n">
        <f aca="false">MAX(E855-E854,0)</f>
        <v>46.25</v>
      </c>
      <c r="Q855" s="7" t="n">
        <f aca="false">MAX(E854-E855,0)</f>
        <v>0</v>
      </c>
      <c r="R855" s="7" t="n">
        <f aca="false">(R854*13+P855)/14</f>
        <v>70.8855879788211</v>
      </c>
      <c r="S855" s="7" t="n">
        <f aca="false">(S854*13+Q855)/14</f>
        <v>27.7989746750851</v>
      </c>
      <c r="T855" s="7" t="n">
        <f aca="false">IF(S855=0,100,100-100/(1+R855/S855))</f>
        <v>71.8304728444933</v>
      </c>
      <c r="U855" s="7" t="n">
        <f aca="false">E855*2/13+U854*11/13</f>
        <v>13522.5537194366</v>
      </c>
      <c r="V855" s="7" t="n">
        <f aca="false">E855*2/27+V854*25/27</f>
        <v>13302.3627320602</v>
      </c>
      <c r="W855" s="7" t="n">
        <f aca="false">U855-V855</f>
        <v>220.190987376434</v>
      </c>
      <c r="X855" s="7" t="n">
        <f aca="false">W855*2/10+X854*8/10</f>
        <v>168.783901125794</v>
      </c>
      <c r="Y855" s="7" t="n">
        <f aca="false">W855-X855</f>
        <v>51.4070862506407</v>
      </c>
      <c r="Z855" s="8" t="s">
        <v>42</v>
      </c>
      <c r="AA855" s="7" t="str">
        <f aca="false">IFERROR(INDEX(02_轉折點45!B:B,MATCH(A855,02_轉折點45!A:A,0)),"")</f>
        <v/>
      </c>
      <c r="AB855" s="7" t="n">
        <f aca="false">COUNTIFS(05_訊號明細!A:A,A855,05_訊號明細!C:C,"TOP")</f>
        <v>0</v>
      </c>
      <c r="AC855" s="7" t="n">
        <f aca="false">COUNTIFS(05_訊號明細!A:A,A855,05_訊號明細!C:C,"BOTTOM")</f>
        <v>0</v>
      </c>
    </row>
    <row r="856" customFormat="false" ht="15" hidden="false" customHeight="false" outlineLevel="0" collapsed="false">
      <c r="A856" s="7" t="s">
        <v>897</v>
      </c>
      <c r="B856" s="7" t="n">
        <v>13773.68</v>
      </c>
      <c r="C856" s="7" t="n">
        <v>13827.1</v>
      </c>
      <c r="D856" s="7" t="n">
        <v>13662.91</v>
      </c>
      <c r="E856" s="7" t="n">
        <v>13672.54</v>
      </c>
      <c r="F856" s="7" t="n">
        <v>4347</v>
      </c>
      <c r="G856" s="7" t="n">
        <f aca="false">AVERAGE(E852:E856)</f>
        <v>13749.93</v>
      </c>
      <c r="H856" s="7" t="n">
        <f aca="false">AVERAGE(E847:E856)</f>
        <v>13566.696</v>
      </c>
      <c r="I856" s="7" t="n">
        <f aca="false">AVERAGE(E837:E856)</f>
        <v>13349.458</v>
      </c>
      <c r="J856" s="7" t="n">
        <f aca="false">AVERAGE(E807:E856)</f>
        <v>13049.2776</v>
      </c>
      <c r="K856" s="7" t="n">
        <f aca="false">AVERAGE(E757:E856)</f>
        <v>12480.4542</v>
      </c>
      <c r="L856" s="7" t="n">
        <f aca="false">AVERAGE(E657:E856)</f>
        <v>12125.1367</v>
      </c>
      <c r="M856" s="7" t="n">
        <f aca="false">I856</f>
        <v>13349.458</v>
      </c>
      <c r="N856" s="7" t="n">
        <f aca="false">I856+2*STDEV(E837:E856)</f>
        <v>13920.0367729961</v>
      </c>
      <c r="O856" s="7" t="n">
        <f aca="false">I856-2*STDEV(E837:E856)</f>
        <v>12778.8792270039</v>
      </c>
      <c r="P856" s="7" t="n">
        <f aca="false">MAX(E856-E855,0)</f>
        <v>0</v>
      </c>
      <c r="Q856" s="7" t="n">
        <f aca="false">MAX(E855-E856,0)</f>
        <v>177.199999999999</v>
      </c>
      <c r="R856" s="7" t="n">
        <f aca="false">(R855*13+P856)/14</f>
        <v>65.8223316946196</v>
      </c>
      <c r="S856" s="7" t="n">
        <f aca="false">(S855*13+Q856)/14</f>
        <v>38.4704764840075</v>
      </c>
      <c r="T856" s="7" t="n">
        <f aca="false">IF(S856=0,100,100-100/(1+R856/S856))</f>
        <v>63.1130111885401</v>
      </c>
      <c r="U856" s="7" t="n">
        <f aca="false">E856*2/13+U855*11/13</f>
        <v>13545.628531831</v>
      </c>
      <c r="V856" s="7" t="n">
        <f aca="false">E856*2/27+V855*25/27</f>
        <v>13329.7832704261</v>
      </c>
      <c r="W856" s="7" t="n">
        <f aca="false">U856-V856</f>
        <v>215.845261404891</v>
      </c>
      <c r="X856" s="7" t="n">
        <f aca="false">W856*2/10+X855*8/10</f>
        <v>178.196173181613</v>
      </c>
      <c r="Y856" s="7" t="n">
        <f aca="false">W856-X856</f>
        <v>37.6490882232779</v>
      </c>
      <c r="Z856" s="8" t="s">
        <v>42</v>
      </c>
      <c r="AA856" s="7" t="str">
        <f aca="false">IFERROR(INDEX(02_轉折點45!B:B,MATCH(A856,02_轉折點45!A:A,0)),"")</f>
        <v/>
      </c>
      <c r="AB856" s="7" t="n">
        <f aca="false">COUNTIFS(05_訊號明細!A:A,A856,05_訊號明細!C:C,"TOP")</f>
        <v>0</v>
      </c>
      <c r="AC856" s="7" t="n">
        <f aca="false">COUNTIFS(05_訊號明細!A:A,A856,05_訊號明細!C:C,"BOTTOM")</f>
        <v>0</v>
      </c>
    </row>
    <row r="857" customFormat="false" ht="15" hidden="false" customHeight="false" outlineLevel="0" collapsed="false">
      <c r="A857" s="7" t="s">
        <v>898</v>
      </c>
      <c r="B857" s="7" t="n">
        <v>13589.02</v>
      </c>
      <c r="C857" s="7" t="n">
        <v>13655.73</v>
      </c>
      <c r="D857" s="7" t="n">
        <v>13520.92</v>
      </c>
      <c r="E857" s="7" t="n">
        <v>13604.48</v>
      </c>
      <c r="F857" s="7" t="n">
        <v>4088</v>
      </c>
      <c r="G857" s="7" t="n">
        <f aca="false">AVERAGE(E853:E857)</f>
        <v>13752.974</v>
      </c>
      <c r="H857" s="7" t="n">
        <f aca="false">AVERAGE(E848:E857)</f>
        <v>13592.361</v>
      </c>
      <c r="I857" s="7" t="n">
        <f aca="false">AVERAGE(E838:E857)</f>
        <v>13389.358</v>
      </c>
      <c r="J857" s="7" t="n">
        <f aca="false">AVERAGE(E808:E857)</f>
        <v>13077.3714</v>
      </c>
      <c r="K857" s="7" t="n">
        <f aca="false">AVERAGE(E758:E857)</f>
        <v>12506.9885</v>
      </c>
      <c r="L857" s="7" t="n">
        <f aca="false">AVERAGE(E658:E857)</f>
        <v>12127.3633</v>
      </c>
      <c r="M857" s="7" t="n">
        <f aca="false">I857</f>
        <v>13389.358</v>
      </c>
      <c r="N857" s="7" t="n">
        <f aca="false">I857+2*STDEV(E838:E857)</f>
        <v>13909.4352329123</v>
      </c>
      <c r="O857" s="7" t="n">
        <f aca="false">I857-2*STDEV(E838:E857)</f>
        <v>12869.2807670877</v>
      </c>
      <c r="P857" s="7" t="n">
        <f aca="false">MAX(E857-E856,0)</f>
        <v>0</v>
      </c>
      <c r="Q857" s="7" t="n">
        <f aca="false">MAX(E856-E857,0)</f>
        <v>68.0600000000013</v>
      </c>
      <c r="R857" s="7" t="n">
        <f aca="false">(R856*13+P857)/14</f>
        <v>61.1207365735754</v>
      </c>
      <c r="S857" s="7" t="n">
        <f aca="false">(S856*13+Q857)/14</f>
        <v>40.5840138780071</v>
      </c>
      <c r="T857" s="7" t="n">
        <f aca="false">IF(S857=0,100,100-100/(1+R857/S857))</f>
        <v>60.0962455560741</v>
      </c>
      <c r="U857" s="7" t="n">
        <f aca="false">E857*2/13+U856*11/13</f>
        <v>13554.682603857</v>
      </c>
      <c r="V857" s="7" t="n">
        <f aca="false">E857*2/27+V856*25/27</f>
        <v>13350.1311763204</v>
      </c>
      <c r="W857" s="7" t="n">
        <f aca="false">U857-V857</f>
        <v>204.551427536531</v>
      </c>
      <c r="X857" s="7" t="n">
        <f aca="false">W857*2/10+X856*8/10</f>
        <v>183.467224052597</v>
      </c>
      <c r="Y857" s="7" t="n">
        <f aca="false">W857-X857</f>
        <v>21.0842034839345</v>
      </c>
      <c r="Z857" s="8" t="s">
        <v>42</v>
      </c>
      <c r="AA857" s="7" t="str">
        <f aca="false">IFERROR(INDEX(02_轉折點45!B:B,MATCH(A857,02_轉折點45!A:A,0)),"")</f>
        <v/>
      </c>
      <c r="AB857" s="7" t="n">
        <f aca="false">COUNTIFS(05_訊號明細!A:A,A857,05_訊號明細!C:C,"TOP")</f>
        <v>0</v>
      </c>
      <c r="AC857" s="7" t="n">
        <f aca="false">COUNTIFS(05_訊號明細!A:A,A857,05_訊號明細!C:C,"BOTTOM")</f>
        <v>0</v>
      </c>
    </row>
    <row r="858" customFormat="false" ht="15" hidden="false" customHeight="false" outlineLevel="0" collapsed="false">
      <c r="A858" s="7" t="s">
        <v>899</v>
      </c>
      <c r="B858" s="7" t="n">
        <v>13920.89</v>
      </c>
      <c r="C858" s="7" t="n">
        <v>13986.87</v>
      </c>
      <c r="D858" s="7" t="n">
        <v>13812.18</v>
      </c>
      <c r="E858" s="7" t="n">
        <v>13938.53</v>
      </c>
      <c r="F858" s="7" t="n">
        <v>4652</v>
      </c>
      <c r="G858" s="7" t="n">
        <f aca="false">AVERAGE(E854:E858)</f>
        <v>13773.756</v>
      </c>
      <c r="H858" s="7" t="n">
        <f aca="false">AVERAGE(E849:E858)</f>
        <v>13647.236</v>
      </c>
      <c r="I858" s="7" t="n">
        <f aca="false">AVERAGE(E839:E858)</f>
        <v>13428.283</v>
      </c>
      <c r="J858" s="7" t="n">
        <f aca="false">AVERAGE(E809:E858)</f>
        <v>13111.1156</v>
      </c>
      <c r="K858" s="7" t="n">
        <f aca="false">AVERAGE(E759:E858)</f>
        <v>12536.9762</v>
      </c>
      <c r="L858" s="7" t="n">
        <f aca="false">AVERAGE(E659:E858)</f>
        <v>12132.0151</v>
      </c>
      <c r="M858" s="7" t="n">
        <f aca="false">I858</f>
        <v>13428.283</v>
      </c>
      <c r="N858" s="7" t="n">
        <f aca="false">I858+2*STDEV(E839:E858)</f>
        <v>13990.8854118084</v>
      </c>
      <c r="O858" s="7" t="n">
        <f aca="false">I858-2*STDEV(E839:E858)</f>
        <v>12865.6805881916</v>
      </c>
      <c r="P858" s="7" t="n">
        <f aca="false">MAX(E858-E857,0)</f>
        <v>334.050000000001</v>
      </c>
      <c r="Q858" s="7" t="n">
        <f aca="false">MAX(E857-E858,0)</f>
        <v>0</v>
      </c>
      <c r="R858" s="7" t="n">
        <f aca="false">(R857*13+P858)/14</f>
        <v>80.6156839611772</v>
      </c>
      <c r="S858" s="7" t="n">
        <f aca="false">(S857*13+Q858)/14</f>
        <v>37.6851557438637</v>
      </c>
      <c r="T858" s="7" t="n">
        <f aca="false">IF(S858=0,100,100-100/(1+R858/S858))</f>
        <v>68.1446422207788</v>
      </c>
      <c r="U858" s="7" t="n">
        <f aca="false">E858*2/13+U857*11/13</f>
        <v>13613.7360494174</v>
      </c>
      <c r="V858" s="7" t="n">
        <f aca="false">E858*2/27+V857*25/27</f>
        <v>13393.7162743708</v>
      </c>
      <c r="W858" s="7" t="n">
        <f aca="false">U858-V858</f>
        <v>220.019775046661</v>
      </c>
      <c r="X858" s="7" t="n">
        <f aca="false">W858*2/10+X857*8/10</f>
        <v>190.77773425141</v>
      </c>
      <c r="Y858" s="7" t="n">
        <f aca="false">W858-X858</f>
        <v>29.2420407952517</v>
      </c>
      <c r="Z858" s="8" t="s">
        <v>42</v>
      </c>
      <c r="AA858" s="7" t="str">
        <f aca="false">IFERROR(INDEX(02_轉折點45!B:B,MATCH(A858,02_轉折點45!A:A,0)),"")</f>
        <v/>
      </c>
      <c r="AB858" s="7" t="n">
        <f aca="false">COUNTIFS(05_訊號明細!A:A,A858,05_訊號明細!C:C,"TOP")</f>
        <v>1</v>
      </c>
      <c r="AC858" s="7" t="n">
        <f aca="false">COUNTIFS(05_訊號明細!A:A,A858,05_訊號明細!C:C,"BOTTOM")</f>
        <v>0</v>
      </c>
    </row>
    <row r="859" customFormat="false" ht="15" hidden="false" customHeight="false" outlineLevel="0" collapsed="false">
      <c r="A859" s="7" t="s">
        <v>900</v>
      </c>
      <c r="B859" s="7" t="n">
        <v>13990.55</v>
      </c>
      <c r="C859" s="7" t="n">
        <v>14329.49</v>
      </c>
      <c r="D859" s="7" t="n">
        <v>13982.16</v>
      </c>
      <c r="E859" s="7" t="n">
        <v>14298.41</v>
      </c>
      <c r="F859" s="7" t="n">
        <v>4434</v>
      </c>
      <c r="G859" s="7" t="n">
        <f aca="false">AVERAGE(E855:E859)</f>
        <v>13872.74</v>
      </c>
      <c r="H859" s="7" t="n">
        <f aca="false">AVERAGE(E850:E859)</f>
        <v>13743.059</v>
      </c>
      <c r="I859" s="7" t="n">
        <f aca="false">AVERAGE(E840:E859)</f>
        <v>13480.904</v>
      </c>
      <c r="J859" s="7" t="n">
        <f aca="false">AVERAGE(E810:E859)</f>
        <v>13145.456</v>
      </c>
      <c r="K859" s="7" t="n">
        <f aca="false">AVERAGE(E760:E859)</f>
        <v>12571.3339</v>
      </c>
      <c r="L859" s="7" t="n">
        <f aca="false">AVERAGE(E660:E859)</f>
        <v>12136.61555</v>
      </c>
      <c r="M859" s="7" t="n">
        <f aca="false">I859</f>
        <v>13480.904</v>
      </c>
      <c r="N859" s="7" t="n">
        <f aca="false">I859+2*STDEV(E840:E859)</f>
        <v>14157.114472666</v>
      </c>
      <c r="O859" s="7" t="n">
        <f aca="false">I859-2*STDEV(E840:E859)</f>
        <v>12804.693527334</v>
      </c>
      <c r="P859" s="7" t="n">
        <f aca="false">MAX(E859-E858,0)</f>
        <v>359.879999999999</v>
      </c>
      <c r="Q859" s="7" t="n">
        <f aca="false">MAX(E858-E859,0)</f>
        <v>0</v>
      </c>
      <c r="R859" s="7" t="n">
        <f aca="false">(R858*13+P859)/14</f>
        <v>100.563135106807</v>
      </c>
      <c r="S859" s="7" t="n">
        <f aca="false">(S858*13+Q859)/14</f>
        <v>34.9933589050163</v>
      </c>
      <c r="T859" s="7" t="n">
        <f aca="false">IF(S859=0,100,100-100/(1+R859/S859))</f>
        <v>74.1854057527011</v>
      </c>
      <c r="U859" s="7" t="n">
        <f aca="false">E859*2/13+U858*11/13</f>
        <v>13719.0705033532</v>
      </c>
      <c r="V859" s="7" t="n">
        <f aca="false">E859*2/27+V858*25/27</f>
        <v>13460.7306244174</v>
      </c>
      <c r="W859" s="7" t="n">
        <f aca="false">U859-V859</f>
        <v>258.339878935833</v>
      </c>
      <c r="X859" s="7" t="n">
        <f aca="false">W859*2/10+X858*8/10</f>
        <v>204.290163188294</v>
      </c>
      <c r="Y859" s="7" t="n">
        <f aca="false">W859-X859</f>
        <v>54.0497157475383</v>
      </c>
      <c r="Z859" s="8" t="s">
        <v>42</v>
      </c>
      <c r="AA859" s="7" t="str">
        <f aca="false">IFERROR(INDEX(02_轉折點45!B:B,MATCH(A859,02_轉折點45!A:A,0)),"")</f>
        <v/>
      </c>
      <c r="AB859" s="7" t="n">
        <f aca="false">COUNTIFS(05_訊號明細!A:A,A859,05_訊號明細!C:C,"TOP")</f>
        <v>1</v>
      </c>
      <c r="AC859" s="7" t="n">
        <f aca="false">COUNTIFS(05_訊號明細!A:A,A859,05_訊號明細!C:C,"BOTTOM")</f>
        <v>0</v>
      </c>
    </row>
    <row r="860" customFormat="false" ht="15" hidden="false" customHeight="false" outlineLevel="0" collapsed="false">
      <c r="A860" s="7" t="s">
        <v>901</v>
      </c>
      <c r="B860" s="7" t="n">
        <v>14465.59</v>
      </c>
      <c r="C860" s="7" t="n">
        <v>14520.17</v>
      </c>
      <c r="D860" s="7" t="n">
        <v>14301.08</v>
      </c>
      <c r="E860" s="7" t="n">
        <v>14354.99</v>
      </c>
      <c r="F860" s="7" t="n">
        <v>4843</v>
      </c>
      <c r="G860" s="7" t="n">
        <f aca="false">AVERAGE(E856:E860)</f>
        <v>13973.79</v>
      </c>
      <c r="H860" s="7" t="n">
        <f aca="false">AVERAGE(E851:E860)</f>
        <v>13837.207</v>
      </c>
      <c r="I860" s="7" t="n">
        <f aca="false">AVERAGE(E841:E860)</f>
        <v>13537.08</v>
      </c>
      <c r="J860" s="7" t="n">
        <f aca="false">AVERAGE(E811:E860)</f>
        <v>13182.1582</v>
      </c>
      <c r="K860" s="7" t="n">
        <f aca="false">AVERAGE(E761:E860)</f>
        <v>12605.7358</v>
      </c>
      <c r="L860" s="7" t="n">
        <f aca="false">AVERAGE(E661:E860)</f>
        <v>12141.93055</v>
      </c>
      <c r="M860" s="7" t="n">
        <f aca="false">I860</f>
        <v>13537.08</v>
      </c>
      <c r="N860" s="7" t="n">
        <f aca="false">I860+2*STDEV(E841:E860)</f>
        <v>14306.3150296373</v>
      </c>
      <c r="O860" s="7" t="n">
        <f aca="false">I860-2*STDEV(E841:E860)</f>
        <v>12767.8449703627</v>
      </c>
      <c r="P860" s="7" t="n">
        <f aca="false">MAX(E860-E859,0)</f>
        <v>56.5799999999999</v>
      </c>
      <c r="Q860" s="7" t="n">
        <f aca="false">MAX(E859-E860,0)</f>
        <v>0</v>
      </c>
      <c r="R860" s="7" t="n">
        <f aca="false">(R859*13+P860)/14</f>
        <v>97.4214825991782</v>
      </c>
      <c r="S860" s="7" t="n">
        <f aca="false">(S859*13+Q860)/14</f>
        <v>32.4938332689437</v>
      </c>
      <c r="T860" s="7" t="n">
        <f aca="false">IF(S860=0,100,100-100/(1+R860/S860))</f>
        <v>74.988450705898</v>
      </c>
      <c r="U860" s="7" t="n">
        <f aca="false">E860*2/13+U859*11/13</f>
        <v>13816.9042720681</v>
      </c>
      <c r="V860" s="7" t="n">
        <f aca="false">E860*2/27+V859*25/27</f>
        <v>13526.9720596457</v>
      </c>
      <c r="W860" s="7" t="n">
        <f aca="false">U860-V860</f>
        <v>289.932212422382</v>
      </c>
      <c r="X860" s="7" t="n">
        <f aca="false">W860*2/10+X859*8/10</f>
        <v>221.418573035112</v>
      </c>
      <c r="Y860" s="7" t="n">
        <f aca="false">W860-X860</f>
        <v>68.51363938727</v>
      </c>
      <c r="Z860" s="8" t="s">
        <v>42</v>
      </c>
      <c r="AA860" s="7" t="str">
        <f aca="false">IFERROR(INDEX(02_轉折點45!B:B,MATCH(A860,02_轉折點45!A:A,0)),"")</f>
        <v/>
      </c>
      <c r="AB860" s="7" t="n">
        <f aca="false">COUNTIFS(05_訊號明細!A:A,A860,05_訊號明細!C:C,"TOP")</f>
        <v>0</v>
      </c>
      <c r="AC860" s="7" t="n">
        <f aca="false">COUNTIFS(05_訊號明細!A:A,A860,05_訊號明細!C:C,"BOTTOM")</f>
        <v>0</v>
      </c>
    </row>
    <row r="861" customFormat="false" ht="15" hidden="false" customHeight="false" outlineLevel="0" collapsed="false">
      <c r="A861" s="7" t="s">
        <v>902</v>
      </c>
      <c r="B861" s="7" t="n">
        <v>14293.56</v>
      </c>
      <c r="C861" s="7" t="n">
        <v>14375.38</v>
      </c>
      <c r="D861" s="7" t="n">
        <v>14216.16</v>
      </c>
      <c r="E861" s="7" t="n">
        <v>14254.09</v>
      </c>
      <c r="F861" s="7" t="n">
        <v>5906</v>
      </c>
      <c r="G861" s="7" t="n">
        <f aca="false">AVERAGE(E857:E861)</f>
        <v>14090.1</v>
      </c>
      <c r="H861" s="7" t="n">
        <f aca="false">AVERAGE(E852:E861)</f>
        <v>13920.015</v>
      </c>
      <c r="I861" s="7" t="n">
        <f aca="false">AVERAGE(E842:E861)</f>
        <v>13594.1015</v>
      </c>
      <c r="J861" s="7" t="n">
        <f aca="false">AVERAGE(E812:E861)</f>
        <v>13215.9878</v>
      </c>
      <c r="K861" s="7" t="n">
        <f aca="false">AVERAGE(E762:E861)</f>
        <v>12640.8645</v>
      </c>
      <c r="L861" s="7" t="n">
        <f aca="false">AVERAGE(E662:E861)</f>
        <v>12145.37165</v>
      </c>
      <c r="M861" s="7" t="n">
        <f aca="false">I861</f>
        <v>13594.1015</v>
      </c>
      <c r="N861" s="7" t="n">
        <f aca="false">I861+2*STDEV(E842:E861)</f>
        <v>14399.4091346936</v>
      </c>
      <c r="O861" s="7" t="n">
        <f aca="false">I861-2*STDEV(E842:E861)</f>
        <v>12788.7938653064</v>
      </c>
      <c r="P861" s="7" t="n">
        <f aca="false">MAX(E861-E860,0)</f>
        <v>0</v>
      </c>
      <c r="Q861" s="7" t="n">
        <f aca="false">MAX(E860-E861,0)</f>
        <v>100.9</v>
      </c>
      <c r="R861" s="7" t="n">
        <f aca="false">(R860*13+P861)/14</f>
        <v>90.4628052706655</v>
      </c>
      <c r="S861" s="7" t="n">
        <f aca="false">(S860*13+Q861)/14</f>
        <v>37.3799880354477</v>
      </c>
      <c r="T861" s="7" t="n">
        <f aca="false">IF(S861=0,100,100-100/(1+R861/S861))</f>
        <v>70.760973638973</v>
      </c>
      <c r="U861" s="7" t="n">
        <f aca="false">E861*2/13+U860*11/13</f>
        <v>13884.1636148269</v>
      </c>
      <c r="V861" s="7" t="n">
        <f aca="false">E861*2/27+V860*25/27</f>
        <v>13580.8326478201</v>
      </c>
      <c r="W861" s="7" t="n">
        <f aca="false">U861-V861</f>
        <v>303.330967006745</v>
      </c>
      <c r="X861" s="7" t="n">
        <f aca="false">W861*2/10+X860*8/10</f>
        <v>237.801051829438</v>
      </c>
      <c r="Y861" s="7" t="n">
        <f aca="false">W861-X861</f>
        <v>65.5299151773064</v>
      </c>
      <c r="Z861" s="8" t="s">
        <v>42</v>
      </c>
      <c r="AA861" s="7" t="str">
        <f aca="false">IFERROR(INDEX(02_轉折點45!B:B,MATCH(A861,02_轉折點45!A:A,0)),"")</f>
        <v/>
      </c>
      <c r="AB861" s="7" t="n">
        <f aca="false">COUNTIFS(05_訊號明細!A:A,A861,05_訊號明細!C:C,"TOP")</f>
        <v>0</v>
      </c>
      <c r="AC861" s="7" t="n">
        <f aca="false">COUNTIFS(05_訊號明細!A:A,A861,05_訊號明細!C:C,"BOTTOM")</f>
        <v>0</v>
      </c>
    </row>
    <row r="862" customFormat="false" ht="15" hidden="false" customHeight="false" outlineLevel="0" collapsed="false">
      <c r="A862" s="7" t="s">
        <v>903</v>
      </c>
      <c r="B862" s="7" t="n">
        <v>14269.09</v>
      </c>
      <c r="C862" s="7" t="n">
        <v>14493.31</v>
      </c>
      <c r="D862" s="7" t="n">
        <v>14219.94</v>
      </c>
      <c r="E862" s="7" t="n">
        <v>14441.51</v>
      </c>
      <c r="F862" s="7" t="n">
        <v>4610</v>
      </c>
      <c r="G862" s="7" t="n">
        <f aca="false">AVERAGE(E858:E862)</f>
        <v>14257.506</v>
      </c>
      <c r="H862" s="7" t="n">
        <f aca="false">AVERAGE(E853:E862)</f>
        <v>14005.24</v>
      </c>
      <c r="I862" s="7" t="n">
        <f aca="false">AVERAGE(E843:E862)</f>
        <v>13664.6665</v>
      </c>
      <c r="J862" s="7" t="n">
        <f aca="false">AVERAGE(E813:E862)</f>
        <v>13249.9892</v>
      </c>
      <c r="K862" s="7" t="n">
        <f aca="false">AVERAGE(E763:E862)</f>
        <v>12674.8761</v>
      </c>
      <c r="L862" s="7" t="n">
        <f aca="false">AVERAGE(E663:E862)</f>
        <v>12149.2433</v>
      </c>
      <c r="M862" s="7" t="n">
        <f aca="false">I862</f>
        <v>13664.6665</v>
      </c>
      <c r="N862" s="7" t="n">
        <f aca="false">I862+2*STDEV(E843:E862)</f>
        <v>14508.3440379823</v>
      </c>
      <c r="O862" s="7" t="n">
        <f aca="false">I862-2*STDEV(E843:E862)</f>
        <v>12820.9889620178</v>
      </c>
      <c r="P862" s="7" t="n">
        <f aca="false">MAX(E862-E861,0)</f>
        <v>187.42</v>
      </c>
      <c r="Q862" s="7" t="n">
        <f aca="false">MAX(E861-E862,0)</f>
        <v>0</v>
      </c>
      <c r="R862" s="7" t="n">
        <f aca="false">(R861*13+P862)/14</f>
        <v>97.3883191799037</v>
      </c>
      <c r="S862" s="7" t="n">
        <f aca="false">(S861*13+Q862)/14</f>
        <v>34.7099888900586</v>
      </c>
      <c r="T862" s="7" t="n">
        <f aca="false">IF(S862=0,100,100-100/(1+R862/S862))</f>
        <v>73.7241230435174</v>
      </c>
      <c r="U862" s="7" t="n">
        <f aca="false">E862*2/13+U861*11/13</f>
        <v>13969.9092125458</v>
      </c>
      <c r="V862" s="7" t="n">
        <f aca="false">E862*2/27+V861*25/27</f>
        <v>13644.5865257594</v>
      </c>
      <c r="W862" s="7" t="n">
        <f aca="false">U862-V862</f>
        <v>325.32268678644</v>
      </c>
      <c r="X862" s="7" t="n">
        <f aca="false">W862*2/10+X861*8/10</f>
        <v>255.305378820839</v>
      </c>
      <c r="Y862" s="7" t="n">
        <f aca="false">W862-X862</f>
        <v>70.017307965601</v>
      </c>
      <c r="Z862" s="8" t="s">
        <v>42</v>
      </c>
      <c r="AA862" s="7" t="str">
        <f aca="false">IFERROR(INDEX(02_轉折點45!B:B,MATCH(A862,02_轉折點45!A:A,0)),"")</f>
        <v/>
      </c>
      <c r="AB862" s="7" t="n">
        <f aca="false">COUNTIFS(05_訊號明細!A:A,A862,05_訊號明細!C:C,"TOP")</f>
        <v>0</v>
      </c>
      <c r="AC862" s="7" t="n">
        <f aca="false">COUNTIFS(05_訊號明細!A:A,A862,05_訊號明細!C:C,"BOTTOM")</f>
        <v>1</v>
      </c>
    </row>
    <row r="863" customFormat="false" ht="15" hidden="false" customHeight="false" outlineLevel="0" collapsed="false">
      <c r="A863" s="7" t="s">
        <v>904</v>
      </c>
      <c r="B863" s="7" t="n">
        <v>14517.08</v>
      </c>
      <c r="C863" s="7" t="n">
        <v>14595.81</v>
      </c>
      <c r="D863" s="7" t="n">
        <v>14442.15</v>
      </c>
      <c r="E863" s="7" t="n">
        <v>14546.64</v>
      </c>
      <c r="F863" s="7" t="n">
        <v>4427</v>
      </c>
      <c r="G863" s="7" t="n">
        <f aca="false">AVERAGE(E859:E863)</f>
        <v>14379.128</v>
      </c>
      <c r="H863" s="7" t="n">
        <f aca="false">AVERAGE(E854:E863)</f>
        <v>14076.442</v>
      </c>
      <c r="I863" s="7" t="n">
        <f aca="false">AVERAGE(E844:E863)</f>
        <v>13742.8745</v>
      </c>
      <c r="J863" s="7" t="n">
        <f aca="false">AVERAGE(E814:E863)</f>
        <v>13289.579</v>
      </c>
      <c r="K863" s="7" t="n">
        <f aca="false">AVERAGE(E764:E863)</f>
        <v>12709.258</v>
      </c>
      <c r="L863" s="7" t="n">
        <f aca="false">AVERAGE(E664:E863)</f>
        <v>12153.80045</v>
      </c>
      <c r="M863" s="7" t="n">
        <f aca="false">I863</f>
        <v>13742.8745</v>
      </c>
      <c r="N863" s="7" t="n">
        <f aca="false">I863+2*STDEV(E844:E863)</f>
        <v>14609.9542938264</v>
      </c>
      <c r="O863" s="7" t="n">
        <f aca="false">I863-2*STDEV(E844:E863)</f>
        <v>12875.7947061736</v>
      </c>
      <c r="P863" s="7" t="n">
        <f aca="false">MAX(E863-E862,0)</f>
        <v>105.129999999999</v>
      </c>
      <c r="Q863" s="7" t="n">
        <f aca="false">MAX(E862-E863,0)</f>
        <v>0</v>
      </c>
      <c r="R863" s="7" t="n">
        <f aca="false">(R862*13+P863)/14</f>
        <v>97.9412963813391</v>
      </c>
      <c r="S863" s="7" t="n">
        <f aca="false">(S862*13+Q863)/14</f>
        <v>32.2307039693401</v>
      </c>
      <c r="T863" s="7" t="n">
        <f aca="false">IF(S863=0,100,100-100/(1+R863/S863))</f>
        <v>75.2399103628187</v>
      </c>
      <c r="U863" s="7" t="n">
        <f aca="false">E863*2/13+U862*11/13</f>
        <v>14058.6370260003</v>
      </c>
      <c r="V863" s="7" t="n">
        <f aca="false">E863*2/27+V862*25/27</f>
        <v>13711.405301629</v>
      </c>
      <c r="W863" s="7" t="n">
        <f aca="false">U863-V863</f>
        <v>347.231724371255</v>
      </c>
      <c r="X863" s="7" t="n">
        <f aca="false">W863*2/10+X862*8/10</f>
        <v>273.690647930922</v>
      </c>
      <c r="Y863" s="7" t="n">
        <f aca="false">W863-X863</f>
        <v>73.5410764403331</v>
      </c>
      <c r="Z863" s="8" t="s">
        <v>42</v>
      </c>
      <c r="AA863" s="7" t="str">
        <f aca="false">IFERROR(INDEX(02_轉折點45!B:B,MATCH(A863,02_轉折點45!A:A,0)),"")</f>
        <v/>
      </c>
      <c r="AB863" s="7" t="n">
        <f aca="false">COUNTIFS(05_訊號明細!A:A,A863,05_訊號明細!C:C,"TOP")</f>
        <v>0</v>
      </c>
      <c r="AC863" s="7" t="n">
        <f aca="false">COUNTIFS(05_訊號明細!A:A,A863,05_訊號明細!C:C,"BOTTOM")</f>
        <v>0</v>
      </c>
    </row>
    <row r="864" customFormat="false" ht="15" hidden="false" customHeight="false" outlineLevel="0" collapsed="false">
      <c r="A864" s="7" t="s">
        <v>905</v>
      </c>
      <c r="B864" s="7" t="n">
        <v>14550.13</v>
      </c>
      <c r="C864" s="7" t="n">
        <v>14662.95</v>
      </c>
      <c r="D864" s="7" t="n">
        <v>14516.88</v>
      </c>
      <c r="E864" s="7" t="n">
        <v>14556.5</v>
      </c>
      <c r="F864" s="7" t="n">
        <v>4344</v>
      </c>
      <c r="G864" s="7" t="n">
        <f aca="false">AVERAGE(E860:E864)</f>
        <v>14430.746</v>
      </c>
      <c r="H864" s="7" t="n">
        <f aca="false">AVERAGE(E855:E864)</f>
        <v>14151.743</v>
      </c>
      <c r="I864" s="7" t="n">
        <f aca="false">AVERAGE(E845:E864)</f>
        <v>13807.743</v>
      </c>
      <c r="J864" s="7" t="n">
        <f aca="false">AVERAGE(E815:E864)</f>
        <v>13326.1244</v>
      </c>
      <c r="K864" s="7" t="n">
        <f aca="false">AVERAGE(E765:E864)</f>
        <v>12742.7652</v>
      </c>
      <c r="L864" s="7" t="n">
        <f aca="false">AVERAGE(E665:E864)</f>
        <v>12159.22865</v>
      </c>
      <c r="M864" s="7" t="n">
        <f aca="false">I864</f>
        <v>13807.743</v>
      </c>
      <c r="N864" s="7" t="n">
        <f aca="false">I864+2*STDEV(E845:E864)</f>
        <v>14715.6033265191</v>
      </c>
      <c r="O864" s="7" t="n">
        <f aca="false">I864-2*STDEV(E845:E864)</f>
        <v>12899.8826734809</v>
      </c>
      <c r="P864" s="7" t="n">
        <f aca="false">MAX(E864-E863,0)</f>
        <v>9.86000000000058</v>
      </c>
      <c r="Q864" s="7" t="n">
        <f aca="false">MAX(E863-E864,0)</f>
        <v>0</v>
      </c>
      <c r="R864" s="7" t="n">
        <f aca="false">(R863*13+P864)/14</f>
        <v>91.6497752112435</v>
      </c>
      <c r="S864" s="7" t="n">
        <f aca="false">(S863*13+Q864)/14</f>
        <v>29.928510828673</v>
      </c>
      <c r="T864" s="7" t="n">
        <f aca="false">IF(S864=0,100,100-100/(1+R864/S864))</f>
        <v>75.3833420395095</v>
      </c>
      <c r="U864" s="7" t="n">
        <f aca="false">E864*2/13+U863*11/13</f>
        <v>14135.2313296926</v>
      </c>
      <c r="V864" s="7" t="n">
        <f aca="false">E864*2/27+V863*25/27</f>
        <v>13774.0049089158</v>
      </c>
      <c r="W864" s="7" t="n">
        <f aca="false">U864-V864</f>
        <v>361.226420776782</v>
      </c>
      <c r="X864" s="7" t="n">
        <f aca="false">W864*2/10+X863*8/10</f>
        <v>291.197802500094</v>
      </c>
      <c r="Y864" s="7" t="n">
        <f aca="false">W864-X864</f>
        <v>70.0286182766882</v>
      </c>
      <c r="Z864" s="8" t="s">
        <v>42</v>
      </c>
      <c r="AA864" s="7" t="str">
        <f aca="false">IFERROR(INDEX(02_轉折點45!B:B,MATCH(A864,02_轉折點45!A:A,0)),"")</f>
        <v/>
      </c>
      <c r="AB864" s="7" t="n">
        <f aca="false">COUNTIFS(05_訊號明細!A:A,A864,05_訊號明細!C:C,"TOP")</f>
        <v>0</v>
      </c>
      <c r="AC864" s="7" t="n">
        <f aca="false">COUNTIFS(05_訊號明細!A:A,A864,05_訊號明細!C:C,"BOTTOM")</f>
        <v>0</v>
      </c>
    </row>
    <row r="865" customFormat="false" ht="15" hidden="false" customHeight="false" outlineLevel="0" collapsed="false">
      <c r="A865" s="7" t="s">
        <v>906</v>
      </c>
      <c r="B865" s="7" t="n">
        <v>14526.1</v>
      </c>
      <c r="C865" s="7" t="n">
        <v>14593.5</v>
      </c>
      <c r="D865" s="7" t="n">
        <v>14476.99</v>
      </c>
      <c r="E865" s="7" t="n">
        <v>14558.09</v>
      </c>
      <c r="F865" s="7" t="n">
        <v>4811</v>
      </c>
      <c r="G865" s="7" t="n">
        <f aca="false">AVERAGE(E861:E865)</f>
        <v>14471.366</v>
      </c>
      <c r="H865" s="7" t="n">
        <f aca="false">AVERAGE(E856:E865)</f>
        <v>14222.578</v>
      </c>
      <c r="I865" s="7" t="n">
        <f aca="false">AVERAGE(E846:E865)</f>
        <v>13871.0655</v>
      </c>
      <c r="J865" s="7" t="n">
        <f aca="false">AVERAGE(E816:E865)</f>
        <v>13361.9452</v>
      </c>
      <c r="K865" s="7" t="n">
        <f aca="false">AVERAGE(E766:E865)</f>
        <v>12774.3209</v>
      </c>
      <c r="L865" s="7" t="n">
        <f aca="false">AVERAGE(E666:E865)</f>
        <v>12164.48915</v>
      </c>
      <c r="M865" s="7" t="n">
        <f aca="false">I865</f>
        <v>13871.0655</v>
      </c>
      <c r="N865" s="7" t="n">
        <f aca="false">I865+2*STDEV(E846:E865)</f>
        <v>14803.6863461721</v>
      </c>
      <c r="O865" s="7" t="n">
        <f aca="false">I865-2*STDEV(E846:E865)</f>
        <v>12938.4446538279</v>
      </c>
      <c r="P865" s="7" t="n">
        <f aca="false">MAX(E865-E864,0)</f>
        <v>1.59000000000015</v>
      </c>
      <c r="Q865" s="7" t="n">
        <f aca="false">MAX(E864-E865,0)</f>
        <v>0</v>
      </c>
      <c r="R865" s="7" t="n">
        <f aca="false">(R864*13+P865)/14</f>
        <v>85.2169341247261</v>
      </c>
      <c r="S865" s="7" t="n">
        <f aca="false">(S864*13+Q865)/14</f>
        <v>27.7907600551963</v>
      </c>
      <c r="T865" s="7" t="n">
        <f aca="false">IF(S865=0,100,100-100/(1+R865/S865))</f>
        <v>75.40808149669</v>
      </c>
      <c r="U865" s="7" t="n">
        <f aca="false">E865*2/13+U864*11/13</f>
        <v>14200.2865097399</v>
      </c>
      <c r="V865" s="7" t="n">
        <f aca="false">E865*2/27+V864*25/27</f>
        <v>13832.0852860331</v>
      </c>
      <c r="W865" s="7" t="n">
        <f aca="false">U865-V865</f>
        <v>368.201223706734</v>
      </c>
      <c r="X865" s="7" t="n">
        <f aca="false">W865*2/10+X864*8/10</f>
        <v>306.598486741422</v>
      </c>
      <c r="Y865" s="7" t="n">
        <f aca="false">W865-X865</f>
        <v>61.6027369653119</v>
      </c>
      <c r="Z865" s="8" t="s">
        <v>42</v>
      </c>
      <c r="AA865" s="7" t="str">
        <f aca="false">IFERROR(INDEX(02_轉折點45!B:B,MATCH(A865,02_轉折點45!A:A,0)),"")</f>
        <v/>
      </c>
      <c r="AB865" s="7" t="n">
        <f aca="false">COUNTIFS(05_訊號明細!A:A,A865,05_訊號明細!C:C,"TOP")</f>
        <v>0</v>
      </c>
      <c r="AC865" s="7" t="n">
        <f aca="false">COUNTIFS(05_訊號明細!A:A,A865,05_訊號明細!C:C,"BOTTOM")</f>
        <v>0</v>
      </c>
    </row>
    <row r="866" customFormat="false" ht="15" hidden="false" customHeight="false" outlineLevel="0" collapsed="false">
      <c r="A866" s="7" t="s">
        <v>907</v>
      </c>
      <c r="B866" s="7" t="n">
        <v>14573.27</v>
      </c>
      <c r="C866" s="7" t="n">
        <v>14647.91</v>
      </c>
      <c r="D866" s="7" t="n">
        <v>14283.88</v>
      </c>
      <c r="E866" s="7" t="n">
        <v>14303.29</v>
      </c>
      <c r="F866" s="7" t="n">
        <v>5271</v>
      </c>
      <c r="G866" s="7" t="n">
        <f aca="false">AVERAGE(E862:E866)</f>
        <v>14481.206</v>
      </c>
      <c r="H866" s="7" t="n">
        <f aca="false">AVERAGE(E857:E866)</f>
        <v>14285.653</v>
      </c>
      <c r="I866" s="7" t="n">
        <f aca="false">AVERAGE(E847:E866)</f>
        <v>13926.1745</v>
      </c>
      <c r="J866" s="7" t="n">
        <f aca="false">AVERAGE(E817:E866)</f>
        <v>13394.5496</v>
      </c>
      <c r="K866" s="7" t="n">
        <f aca="false">AVERAGE(E767:E866)</f>
        <v>12802.7577</v>
      </c>
      <c r="L866" s="7" t="n">
        <f aca="false">AVERAGE(E667:E866)</f>
        <v>12169.7911</v>
      </c>
      <c r="M866" s="7" t="n">
        <f aca="false">I866</f>
        <v>13926.1745</v>
      </c>
      <c r="N866" s="7" t="n">
        <f aca="false">I866+2*STDEV(E847:E866)</f>
        <v>14821.6250377853</v>
      </c>
      <c r="O866" s="7" t="n">
        <f aca="false">I866-2*STDEV(E847:E866)</f>
        <v>13030.7239622147</v>
      </c>
      <c r="P866" s="7" t="n">
        <f aca="false">MAX(E866-E865,0)</f>
        <v>0</v>
      </c>
      <c r="Q866" s="7" t="n">
        <f aca="false">MAX(E865-E866,0)</f>
        <v>254.799999999999</v>
      </c>
      <c r="R866" s="7" t="n">
        <f aca="false">(R865*13+P866)/14</f>
        <v>79.1300102586742</v>
      </c>
      <c r="S866" s="7" t="n">
        <f aca="false">(S865*13+Q866)/14</f>
        <v>44.0057057655394</v>
      </c>
      <c r="T866" s="7" t="n">
        <f aca="false">IF(S866=0,100,100-100/(1+R866/S866))</f>
        <v>64.2624356389936</v>
      </c>
      <c r="U866" s="7" t="n">
        <f aca="false">E866*2/13+U865*11/13</f>
        <v>14216.1332005491</v>
      </c>
      <c r="V866" s="7" t="n">
        <f aca="false">E866*2/27+V865*25/27</f>
        <v>13866.9893389196</v>
      </c>
      <c r="W866" s="7" t="n">
        <f aca="false">U866-V866</f>
        <v>349.143861629551</v>
      </c>
      <c r="X866" s="7" t="n">
        <f aca="false">W866*2/10+X865*8/10</f>
        <v>315.107561719048</v>
      </c>
      <c r="Y866" s="7" t="n">
        <f aca="false">W866-X866</f>
        <v>34.0362999105032</v>
      </c>
      <c r="Z866" s="8" t="s">
        <v>42</v>
      </c>
      <c r="AA866" s="7" t="str">
        <f aca="false">IFERROR(INDEX(02_轉折點45!B:B,MATCH(A866,02_轉折點45!A:A,0)),"")</f>
        <v/>
      </c>
      <c r="AB866" s="7" t="n">
        <f aca="false">COUNTIFS(05_訊號明細!A:A,A866,05_訊號明細!C:C,"TOP")</f>
        <v>0</v>
      </c>
      <c r="AC866" s="7" t="n">
        <f aca="false">COUNTIFS(05_訊號明細!A:A,A866,05_訊號明細!C:C,"BOTTOM")</f>
        <v>0</v>
      </c>
    </row>
    <row r="867" customFormat="false" ht="15" hidden="false" customHeight="false" outlineLevel="0" collapsed="false">
      <c r="A867" s="7" t="s">
        <v>908</v>
      </c>
      <c r="B867" s="7" t="n">
        <v>14319.24</v>
      </c>
      <c r="C867" s="7" t="n">
        <v>14503.31</v>
      </c>
      <c r="D867" s="7" t="n">
        <v>14314.69</v>
      </c>
      <c r="E867" s="7" t="n">
        <v>14484.54</v>
      </c>
      <c r="F867" s="7" t="n">
        <v>4280</v>
      </c>
      <c r="G867" s="7" t="n">
        <f aca="false">AVERAGE(E863:E867)</f>
        <v>14489.812</v>
      </c>
      <c r="H867" s="7" t="n">
        <f aca="false">AVERAGE(E858:E867)</f>
        <v>14373.659</v>
      </c>
      <c r="I867" s="7" t="n">
        <f aca="false">AVERAGE(E848:E867)</f>
        <v>13983.01</v>
      </c>
      <c r="J867" s="7" t="n">
        <f aca="false">AVERAGE(E818:E867)</f>
        <v>13432.029</v>
      </c>
      <c r="K867" s="7" t="n">
        <f aca="false">AVERAGE(E768:E867)</f>
        <v>12832.1883</v>
      </c>
      <c r="L867" s="7" t="n">
        <f aca="false">AVERAGE(E668:E867)</f>
        <v>12177.7611</v>
      </c>
      <c r="M867" s="7" t="n">
        <f aca="false">I867</f>
        <v>13983.01</v>
      </c>
      <c r="N867" s="7" t="n">
        <f aca="false">I867+2*STDEV(E848:E867)</f>
        <v>14868.1367648018</v>
      </c>
      <c r="O867" s="7" t="n">
        <f aca="false">I867-2*STDEV(E848:E867)</f>
        <v>13097.8832351982</v>
      </c>
      <c r="P867" s="7" t="n">
        <f aca="false">MAX(E867-E866,0)</f>
        <v>181.25</v>
      </c>
      <c r="Q867" s="7" t="n">
        <f aca="false">MAX(E866-E867,0)</f>
        <v>0</v>
      </c>
      <c r="R867" s="7" t="n">
        <f aca="false">(R866*13+P867)/14</f>
        <v>86.4242952401975</v>
      </c>
      <c r="S867" s="7" t="n">
        <f aca="false">(S866*13+Q867)/14</f>
        <v>40.8624410680009</v>
      </c>
      <c r="T867" s="7" t="n">
        <f aca="false">IF(S867=0,100,100-100/(1+R867/S867))</f>
        <v>67.8973298764916</v>
      </c>
      <c r="U867" s="7" t="n">
        <f aca="false">E867*2/13+U866*11/13</f>
        <v>14257.4265543108</v>
      </c>
      <c r="V867" s="7" t="n">
        <f aca="false">E867*2/27+V866*25/27</f>
        <v>13912.7338323329</v>
      </c>
      <c r="W867" s="7" t="n">
        <f aca="false">U867-V867</f>
        <v>344.692721977863</v>
      </c>
      <c r="X867" s="7" t="n">
        <f aca="false">W867*2/10+X866*8/10</f>
        <v>321.024593770811</v>
      </c>
      <c r="Y867" s="7" t="n">
        <f aca="false">W867-X867</f>
        <v>23.668128207052</v>
      </c>
      <c r="Z867" s="8" t="s">
        <v>42</v>
      </c>
      <c r="AA867" s="7" t="str">
        <f aca="false">IFERROR(INDEX(02_轉折點45!B:B,MATCH(A867,02_轉折點45!A:A,0)),"")</f>
        <v/>
      </c>
      <c r="AB867" s="7" t="n">
        <f aca="false">COUNTIFS(05_訊號明細!A:A,A867,05_訊號明細!C:C,"TOP")</f>
        <v>0</v>
      </c>
      <c r="AC867" s="7" t="n">
        <f aca="false">COUNTIFS(05_訊號明細!A:A,A867,05_訊號明細!C:C,"BOTTOM")</f>
        <v>0</v>
      </c>
    </row>
    <row r="868" customFormat="false" ht="15" hidden="false" customHeight="false" outlineLevel="0" collapsed="false">
      <c r="A868" s="7" t="s">
        <v>909</v>
      </c>
      <c r="B868" s="7" t="n">
        <v>14574.24</v>
      </c>
      <c r="C868" s="7" t="n">
        <v>14672.85</v>
      </c>
      <c r="D868" s="7" t="n">
        <v>14487.48</v>
      </c>
      <c r="E868" s="7" t="n">
        <v>14528.36</v>
      </c>
      <c r="F868" s="7" t="n">
        <v>4413</v>
      </c>
      <c r="G868" s="7" t="n">
        <f aca="false">AVERAGE(E864:E868)</f>
        <v>14486.156</v>
      </c>
      <c r="H868" s="7" t="n">
        <f aca="false">AVERAGE(E859:E868)</f>
        <v>14432.642</v>
      </c>
      <c r="I868" s="7" t="n">
        <f aca="false">AVERAGE(E849:E868)</f>
        <v>14039.939</v>
      </c>
      <c r="J868" s="7" t="n">
        <f aca="false">AVERAGE(E819:E868)</f>
        <v>13465.6756</v>
      </c>
      <c r="K868" s="7" t="n">
        <f aca="false">AVERAGE(E769:E868)</f>
        <v>12861.9</v>
      </c>
      <c r="L868" s="7" t="n">
        <f aca="false">AVERAGE(E669:E868)</f>
        <v>12185.99395</v>
      </c>
      <c r="M868" s="7" t="n">
        <f aca="false">I868</f>
        <v>14039.939</v>
      </c>
      <c r="N868" s="7" t="n">
        <f aca="false">I868+2*STDEV(E849:E868)</f>
        <v>14910.7584773563</v>
      </c>
      <c r="O868" s="7" t="n">
        <f aca="false">I868-2*STDEV(E849:E868)</f>
        <v>13169.1195226437</v>
      </c>
      <c r="P868" s="7" t="n">
        <f aca="false">MAX(E868-E867,0)</f>
        <v>43.8199999999997</v>
      </c>
      <c r="Q868" s="7" t="n">
        <f aca="false">MAX(E867-E868,0)</f>
        <v>0</v>
      </c>
      <c r="R868" s="7" t="n">
        <f aca="false">(R867*13+P868)/14</f>
        <v>83.3811312944691</v>
      </c>
      <c r="S868" s="7" t="n">
        <f aca="false">(S867*13+Q868)/14</f>
        <v>37.9436952774294</v>
      </c>
      <c r="T868" s="7" t="n">
        <f aca="false">IF(S868=0,100,100-100/(1+R868/S868))</f>
        <v>68.7255309984362</v>
      </c>
      <c r="U868" s="7" t="n">
        <f aca="false">E868*2/13+U867*11/13</f>
        <v>14299.1086228784</v>
      </c>
      <c r="V868" s="7" t="n">
        <f aca="false">E868*2/27+V867*25/27</f>
        <v>13958.3357706786</v>
      </c>
      <c r="W868" s="7" t="n">
        <f aca="false">U868-V868</f>
        <v>340.772852199723</v>
      </c>
      <c r="X868" s="7" t="n">
        <f aca="false">W868*2/10+X867*8/10</f>
        <v>324.974245456593</v>
      </c>
      <c r="Y868" s="7" t="n">
        <f aca="false">W868-X868</f>
        <v>15.7986067431301</v>
      </c>
      <c r="Z868" s="8" t="s">
        <v>42</v>
      </c>
      <c r="AA868" s="7" t="str">
        <f aca="false">IFERROR(INDEX(02_轉折點45!B:B,MATCH(A868,02_轉折點45!A:A,0)),"")</f>
        <v/>
      </c>
      <c r="AB868" s="7" t="n">
        <f aca="false">COUNTIFS(05_訊號明細!A:A,A868,05_訊號明細!C:C,"TOP")</f>
        <v>0</v>
      </c>
      <c r="AC868" s="7" t="n">
        <f aca="false">COUNTIFS(05_訊號明細!A:A,A868,05_訊號明細!C:C,"BOTTOM")</f>
        <v>0</v>
      </c>
    </row>
    <row r="869" customFormat="false" ht="15" hidden="false" customHeight="false" outlineLevel="0" collapsed="false">
      <c r="A869" s="7" t="s">
        <v>910</v>
      </c>
      <c r="B869" s="7" t="n">
        <v>14617.35</v>
      </c>
      <c r="C869" s="7" t="n">
        <v>14789.6</v>
      </c>
      <c r="D869" s="7" t="n">
        <v>14571.36</v>
      </c>
      <c r="E869" s="7" t="n">
        <v>14784.3</v>
      </c>
      <c r="F869" s="7" t="n">
        <v>4723</v>
      </c>
      <c r="G869" s="7" t="n">
        <f aca="false">AVERAGE(E865:E869)</f>
        <v>14531.716</v>
      </c>
      <c r="H869" s="7" t="n">
        <f aca="false">AVERAGE(E860:E869)</f>
        <v>14481.231</v>
      </c>
      <c r="I869" s="7" t="n">
        <f aca="false">AVERAGE(E850:E869)</f>
        <v>14112.145</v>
      </c>
      <c r="J869" s="7" t="n">
        <f aca="false">AVERAGE(E820:E869)</f>
        <v>13502.0988</v>
      </c>
      <c r="K869" s="7" t="n">
        <f aca="false">AVERAGE(E770:E869)</f>
        <v>12895.6401</v>
      </c>
      <c r="L869" s="7" t="n">
        <f aca="false">AVERAGE(E670:E869)</f>
        <v>12195.32615</v>
      </c>
      <c r="M869" s="7" t="n">
        <f aca="false">I869</f>
        <v>14112.145</v>
      </c>
      <c r="N869" s="7" t="n">
        <f aca="false">I869+2*STDEV(E850:E869)</f>
        <v>14978.1324414672</v>
      </c>
      <c r="O869" s="7" t="n">
        <f aca="false">I869-2*STDEV(E850:E869)</f>
        <v>13246.1575585328</v>
      </c>
      <c r="P869" s="7" t="n">
        <f aca="false">MAX(E869-E868,0)</f>
        <v>255.939999999999</v>
      </c>
      <c r="Q869" s="7" t="n">
        <f aca="false">MAX(E868-E869,0)</f>
        <v>0</v>
      </c>
      <c r="R869" s="7" t="n">
        <f aca="false">(R868*13+P869)/14</f>
        <v>95.7067647734355</v>
      </c>
      <c r="S869" s="7" t="n">
        <f aca="false">(S868*13+Q869)/14</f>
        <v>35.2334313290416</v>
      </c>
      <c r="T869" s="7" t="n">
        <f aca="false">IF(S869=0,100,100-100/(1+R869/S869))</f>
        <v>73.0919668842813</v>
      </c>
      <c r="U869" s="7" t="n">
        <f aca="false">E869*2/13+U868*11/13</f>
        <v>14373.7534501278</v>
      </c>
      <c r="V869" s="7" t="n">
        <f aca="false">E869*2/27+V868*25/27</f>
        <v>14019.5183061839</v>
      </c>
      <c r="W869" s="7" t="n">
        <f aca="false">U869-V869</f>
        <v>354.235143943919</v>
      </c>
      <c r="X869" s="7" t="n">
        <f aca="false">W869*2/10+X868*8/10</f>
        <v>330.826425154058</v>
      </c>
      <c r="Y869" s="7" t="n">
        <f aca="false">W869-X869</f>
        <v>23.4087187898606</v>
      </c>
      <c r="Z869" s="8" t="s">
        <v>42</v>
      </c>
      <c r="AA869" s="7" t="str">
        <f aca="false">IFERROR(INDEX(02_轉折點45!B:B,MATCH(A869,02_轉折點45!A:A,0)),"")</f>
        <v/>
      </c>
      <c r="AB869" s="7" t="n">
        <f aca="false">COUNTIFS(05_訊號明細!A:A,A869,05_訊號明細!C:C,"TOP")</f>
        <v>1</v>
      </c>
      <c r="AC869" s="7" t="n">
        <f aca="false">COUNTIFS(05_訊號明細!A:A,A869,05_訊號明細!C:C,"BOTTOM")</f>
        <v>0</v>
      </c>
    </row>
    <row r="870" customFormat="false" ht="15" hidden="false" customHeight="false" outlineLevel="0" collapsed="false">
      <c r="A870" s="7" t="s">
        <v>911</v>
      </c>
      <c r="B870" s="7" t="n">
        <v>14911.26</v>
      </c>
      <c r="C870" s="7" t="n">
        <v>14931.83</v>
      </c>
      <c r="D870" s="7" t="n">
        <v>14770.14</v>
      </c>
      <c r="E870" s="7" t="n">
        <v>14900.85</v>
      </c>
      <c r="F870" s="7" t="n">
        <v>5522</v>
      </c>
      <c r="G870" s="7" t="n">
        <f aca="false">AVERAGE(E866:E870)</f>
        <v>14600.268</v>
      </c>
      <c r="H870" s="7" t="n">
        <f aca="false">AVERAGE(E861:E870)</f>
        <v>14535.817</v>
      </c>
      <c r="I870" s="7" t="n">
        <f aca="false">AVERAGE(E851:E870)</f>
        <v>14186.512</v>
      </c>
      <c r="J870" s="7" t="n">
        <f aca="false">AVERAGE(E821:E870)</f>
        <v>13536.4888</v>
      </c>
      <c r="K870" s="7" t="n">
        <f aca="false">AVERAGE(E771:E870)</f>
        <v>12931.6919</v>
      </c>
      <c r="L870" s="7" t="n">
        <f aca="false">AVERAGE(E671:E870)</f>
        <v>12204.1125</v>
      </c>
      <c r="M870" s="7" t="n">
        <f aca="false">I870</f>
        <v>14186.512</v>
      </c>
      <c r="N870" s="7" t="n">
        <f aca="false">I870+2*STDEV(E851:E870)</f>
        <v>15055.3337528681</v>
      </c>
      <c r="O870" s="7" t="n">
        <f aca="false">I870-2*STDEV(E851:E870)</f>
        <v>13317.6902471319</v>
      </c>
      <c r="P870" s="7" t="n">
        <f aca="false">MAX(E870-E869,0)</f>
        <v>116.550000000001</v>
      </c>
      <c r="Q870" s="7" t="n">
        <f aca="false">MAX(E869-E870,0)</f>
        <v>0</v>
      </c>
      <c r="R870" s="7" t="n">
        <f aca="false">(R869*13+P870)/14</f>
        <v>97.1955672896187</v>
      </c>
      <c r="S870" s="7" t="n">
        <f aca="false">(S869*13+Q870)/14</f>
        <v>32.7167576626814</v>
      </c>
      <c r="T870" s="7" t="n">
        <f aca="false">IF(S870=0,100,100-100/(1+R870/S870))</f>
        <v>74.8162788444483</v>
      </c>
      <c r="U870" s="7" t="n">
        <f aca="false">E870*2/13+U869*11/13</f>
        <v>14454.8452270312</v>
      </c>
      <c r="V870" s="7" t="n">
        <f aca="false">E870*2/27+V869*25/27</f>
        <v>14084.8021353555</v>
      </c>
      <c r="W870" s="7" t="n">
        <f aca="false">U870-V870</f>
        <v>370.043091675767</v>
      </c>
      <c r="X870" s="7" t="n">
        <f aca="false">W870*2/10+X869*8/10</f>
        <v>338.6697584584</v>
      </c>
      <c r="Y870" s="7" t="n">
        <f aca="false">W870-X870</f>
        <v>31.3733332173669</v>
      </c>
      <c r="Z870" s="8" t="s">
        <v>42</v>
      </c>
      <c r="AA870" s="7" t="str">
        <f aca="false">IFERROR(INDEX(02_轉折點45!B:B,MATCH(A870,02_轉折點45!A:A,0)),"")</f>
        <v/>
      </c>
      <c r="AB870" s="7" t="n">
        <f aca="false">COUNTIFS(05_訊號明細!A:A,A870,05_訊號明細!C:C,"TOP")</f>
        <v>0</v>
      </c>
      <c r="AC870" s="7" t="n">
        <f aca="false">COUNTIFS(05_訊號明細!A:A,A870,05_訊號明細!C:C,"BOTTOM")</f>
        <v>0</v>
      </c>
    </row>
    <row r="871" customFormat="false" ht="15" hidden="false" customHeight="false" outlineLevel="0" collapsed="false">
      <c r="A871" s="7" t="s">
        <v>912</v>
      </c>
      <c r="B871" s="7" t="n">
        <v>14894.1</v>
      </c>
      <c r="C871" s="7" t="n">
        <v>15017.1</v>
      </c>
      <c r="D871" s="7" t="n">
        <v>14784.62</v>
      </c>
      <c r="E871" s="7" t="n">
        <v>15005.69</v>
      </c>
      <c r="F871" s="7" t="n">
        <v>5773</v>
      </c>
      <c r="G871" s="7" t="n">
        <f aca="false">AVERAGE(E867:E871)</f>
        <v>14740.748</v>
      </c>
      <c r="H871" s="7" t="n">
        <f aca="false">AVERAGE(E862:E871)</f>
        <v>14610.977</v>
      </c>
      <c r="I871" s="7" t="n">
        <f aca="false">AVERAGE(E852:E871)</f>
        <v>14265.496</v>
      </c>
      <c r="J871" s="7" t="n">
        <f aca="false">AVERAGE(E822:E871)</f>
        <v>13573.6356</v>
      </c>
      <c r="K871" s="7" t="n">
        <f aca="false">AVERAGE(E772:E871)</f>
        <v>12965.5585</v>
      </c>
      <c r="L871" s="7" t="n">
        <f aca="false">AVERAGE(E672:E871)</f>
        <v>12216.1151</v>
      </c>
      <c r="M871" s="7" t="n">
        <f aca="false">I871</f>
        <v>14265.496</v>
      </c>
      <c r="N871" s="7" t="n">
        <f aca="false">I871+2*STDEV(E852:E871)</f>
        <v>15130.4223114679</v>
      </c>
      <c r="O871" s="7" t="n">
        <f aca="false">I871-2*STDEV(E852:E871)</f>
        <v>13400.5696885321</v>
      </c>
      <c r="P871" s="7" t="n">
        <f aca="false">MAX(E871-E870,0)</f>
        <v>104.84</v>
      </c>
      <c r="Q871" s="7" t="n">
        <f aca="false">MAX(E870-E871,0)</f>
        <v>0</v>
      </c>
      <c r="R871" s="7" t="n">
        <f aca="false">(R870*13+P871)/14</f>
        <v>97.7415981975031</v>
      </c>
      <c r="S871" s="7" t="n">
        <f aca="false">(S870*13+Q871)/14</f>
        <v>30.3798464010613</v>
      </c>
      <c r="T871" s="7" t="n">
        <f aca="false">IF(S871=0,100,100-100/(1+R871/S871))</f>
        <v>76.2882423810871</v>
      </c>
      <c r="U871" s="7" t="n">
        <f aca="false">E871*2/13+U870*11/13</f>
        <v>14539.5905767188</v>
      </c>
      <c r="V871" s="7" t="n">
        <f aca="false">E871*2/27+V870*25/27</f>
        <v>14153.0160512551</v>
      </c>
      <c r="W871" s="7" t="n">
        <f aca="false">U871-V871</f>
        <v>386.574525463675</v>
      </c>
      <c r="X871" s="7" t="n">
        <f aca="false">W871*2/10+X870*8/10</f>
        <v>348.250711859455</v>
      </c>
      <c r="Y871" s="7" t="n">
        <f aca="false">W871-X871</f>
        <v>38.3238136042199</v>
      </c>
      <c r="Z871" s="8" t="s">
        <v>42</v>
      </c>
      <c r="AA871" s="7" t="str">
        <f aca="false">IFERROR(INDEX(02_轉折點45!B:B,MATCH(A871,02_轉折點45!A:A,0)),"")</f>
        <v/>
      </c>
      <c r="AB871" s="7" t="n">
        <f aca="false">COUNTIFS(05_訊號明細!A:A,A871,05_訊號明細!C:C,"TOP")</f>
        <v>0</v>
      </c>
      <c r="AC871" s="7" t="n">
        <f aca="false">COUNTIFS(05_訊號明細!A:A,A871,05_訊號明細!C:C,"BOTTOM")</f>
        <v>0</v>
      </c>
    </row>
    <row r="872" customFormat="false" ht="15" hidden="false" customHeight="false" outlineLevel="0" collapsed="false">
      <c r="A872" s="7" t="s">
        <v>913</v>
      </c>
      <c r="B872" s="7" t="n">
        <v>14949.7</v>
      </c>
      <c r="C872" s="7" t="n">
        <v>15246.62</v>
      </c>
      <c r="D872" s="7" t="n">
        <v>14930.12</v>
      </c>
      <c r="E872" s="7" t="n">
        <v>15185.48</v>
      </c>
      <c r="F872" s="7" t="n">
        <v>5668</v>
      </c>
      <c r="G872" s="7" t="n">
        <f aca="false">AVERAGE(E868:E872)</f>
        <v>14880.936</v>
      </c>
      <c r="H872" s="7" t="n">
        <f aca="false">AVERAGE(E863:E872)</f>
        <v>14685.374</v>
      </c>
      <c r="I872" s="7" t="n">
        <f aca="false">AVERAGE(E853:E872)</f>
        <v>14345.307</v>
      </c>
      <c r="J872" s="7" t="n">
        <f aca="false">AVERAGE(E823:E872)</f>
        <v>13615.3436</v>
      </c>
      <c r="K872" s="7" t="n">
        <f aca="false">AVERAGE(E773:E872)</f>
        <v>12998.6879</v>
      </c>
      <c r="L872" s="7" t="n">
        <f aca="false">AVERAGE(E673:E872)</f>
        <v>12229.6209</v>
      </c>
      <c r="M872" s="7" t="n">
        <f aca="false">I872</f>
        <v>14345.307</v>
      </c>
      <c r="N872" s="7" t="n">
        <f aca="false">I872+2*STDEV(E853:E872)</f>
        <v>15241.5145368691</v>
      </c>
      <c r="O872" s="7" t="n">
        <f aca="false">I872-2*STDEV(E853:E872)</f>
        <v>13449.0994631309</v>
      </c>
      <c r="P872" s="7" t="n">
        <f aca="false">MAX(E872-E871,0)</f>
        <v>179.789999999999</v>
      </c>
      <c r="Q872" s="7" t="n">
        <f aca="false">MAX(E871-E872,0)</f>
        <v>0</v>
      </c>
      <c r="R872" s="7" t="n">
        <f aca="false">(R871*13+P872)/14</f>
        <v>103.602198326253</v>
      </c>
      <c r="S872" s="7" t="n">
        <f aca="false">(S871*13+Q872)/14</f>
        <v>28.2098573724141</v>
      </c>
      <c r="T872" s="7" t="n">
        <f aca="false">IF(S872=0,100,100-100/(1+R872/S872))</f>
        <v>78.5984239280024</v>
      </c>
      <c r="U872" s="7" t="n">
        <f aca="false">E872*2/13+U871*11/13</f>
        <v>14638.9581803005</v>
      </c>
      <c r="V872" s="7" t="n">
        <f aca="false">E872*2/27+V871*25/27</f>
        <v>14229.4948622732</v>
      </c>
      <c r="W872" s="7" t="n">
        <f aca="false">U872-V872</f>
        <v>409.463318027267</v>
      </c>
      <c r="X872" s="7" t="n">
        <f aca="false">W872*2/10+X871*8/10</f>
        <v>360.493233093017</v>
      </c>
      <c r="Y872" s="7" t="n">
        <f aca="false">W872-X872</f>
        <v>48.9700849342494</v>
      </c>
      <c r="Z872" s="8" t="s">
        <v>42</v>
      </c>
      <c r="AA872" s="7" t="str">
        <f aca="false">IFERROR(INDEX(02_轉折點45!B:B,MATCH(A872,02_轉折點45!A:A,0)),"")</f>
        <v/>
      </c>
      <c r="AB872" s="7" t="n">
        <f aca="false">COUNTIFS(05_訊號明細!A:A,A872,05_訊號明細!C:C,"TOP")</f>
        <v>0</v>
      </c>
      <c r="AC872" s="7" t="n">
        <f aca="false">COUNTIFS(05_訊號明細!A:A,A872,05_訊號明細!C:C,"BOTTOM")</f>
        <v>0</v>
      </c>
    </row>
    <row r="873" customFormat="false" ht="15" hidden="false" customHeight="false" outlineLevel="0" collapsed="false">
      <c r="A873" s="7" t="s">
        <v>914</v>
      </c>
      <c r="B873" s="7" t="n">
        <v>15272.65</v>
      </c>
      <c r="C873" s="7" t="n">
        <v>15284.65</v>
      </c>
      <c r="D873" s="7" t="n">
        <v>15073.45</v>
      </c>
      <c r="E873" s="7" t="n">
        <v>15083.92</v>
      </c>
      <c r="F873" s="7" t="n">
        <v>8077</v>
      </c>
      <c r="G873" s="7" t="n">
        <f aca="false">AVERAGE(E869:E873)</f>
        <v>14992.048</v>
      </c>
      <c r="H873" s="7" t="n">
        <f aca="false">AVERAGE(E864:E873)</f>
        <v>14739.102</v>
      </c>
      <c r="I873" s="7" t="n">
        <f aca="false">AVERAGE(E854:E873)</f>
        <v>14407.772</v>
      </c>
      <c r="J873" s="7" t="n">
        <f aca="false">AVERAGE(E824:E873)</f>
        <v>13657.678</v>
      </c>
      <c r="K873" s="7" t="n">
        <f aca="false">AVERAGE(E774:E873)</f>
        <v>13031.0607</v>
      </c>
      <c r="L873" s="7" t="n">
        <f aca="false">AVERAGE(E674:E873)</f>
        <v>12243.327</v>
      </c>
      <c r="M873" s="7" t="n">
        <f aca="false">I873</f>
        <v>14407.772</v>
      </c>
      <c r="N873" s="7" t="n">
        <f aca="false">I873+2*STDEV(E854:E873)</f>
        <v>15327.9382533672</v>
      </c>
      <c r="O873" s="7" t="n">
        <f aca="false">I873-2*STDEV(E854:E873)</f>
        <v>13487.6057466328</v>
      </c>
      <c r="P873" s="7" t="n">
        <f aca="false">MAX(E873-E872,0)</f>
        <v>0</v>
      </c>
      <c r="Q873" s="7" t="n">
        <f aca="false">MAX(E872-E873,0)</f>
        <v>101.559999999999</v>
      </c>
      <c r="R873" s="7" t="n">
        <f aca="false">(R872*13+P873)/14</f>
        <v>96.202041302949</v>
      </c>
      <c r="S873" s="7" t="n">
        <f aca="false">(S872*13+Q873)/14</f>
        <v>33.4491532743845</v>
      </c>
      <c r="T873" s="7" t="n">
        <f aca="false">IF(S873=0,100,100-100/(1+R873/S873))</f>
        <v>74.2006594050833</v>
      </c>
      <c r="U873" s="7" t="n">
        <f aca="false">E873*2/13+U872*11/13</f>
        <v>14707.4138448696</v>
      </c>
      <c r="V873" s="7" t="n">
        <f aca="false">E873*2/27+V872*25/27</f>
        <v>14292.7856132159</v>
      </c>
      <c r="W873" s="7" t="n">
        <f aca="false">U873-V873</f>
        <v>414.628231653698</v>
      </c>
      <c r="X873" s="7" t="n">
        <f aca="false">W873*2/10+X872*8/10</f>
        <v>371.320232805154</v>
      </c>
      <c r="Y873" s="7" t="n">
        <f aca="false">W873-X873</f>
        <v>43.3079988485446</v>
      </c>
      <c r="Z873" s="8" t="s">
        <v>42</v>
      </c>
      <c r="AA873" s="7" t="str">
        <f aca="false">IFERROR(INDEX(02_轉折點45!B:B,MATCH(A873,02_轉折點45!A:A,0)),"")</f>
        <v/>
      </c>
      <c r="AB873" s="7" t="n">
        <f aca="false">COUNTIFS(05_訊號明細!A:A,A873,05_訊號明細!C:C,"TOP")</f>
        <v>0</v>
      </c>
      <c r="AC873" s="7" t="n">
        <f aca="false">COUNTIFS(05_訊號明細!A:A,A873,05_訊號明細!C:C,"BOTTOM")</f>
        <v>0</v>
      </c>
    </row>
    <row r="874" customFormat="false" ht="15" hidden="false" customHeight="false" outlineLevel="0" collapsed="false">
      <c r="A874" s="7" t="s">
        <v>915</v>
      </c>
      <c r="B874" s="7" t="n">
        <v>15036.48</v>
      </c>
      <c r="C874" s="7" t="n">
        <v>15127.42</v>
      </c>
      <c r="D874" s="7" t="n">
        <v>14946.72</v>
      </c>
      <c r="E874" s="7" t="n">
        <v>15070.15</v>
      </c>
      <c r="F874" s="7" t="n">
        <v>5238</v>
      </c>
      <c r="G874" s="7" t="n">
        <f aca="false">AVERAGE(E870:E874)</f>
        <v>15049.218</v>
      </c>
      <c r="H874" s="7" t="n">
        <f aca="false">AVERAGE(E865:E874)</f>
        <v>14790.467</v>
      </c>
      <c r="I874" s="7" t="n">
        <f aca="false">AVERAGE(E855:E874)</f>
        <v>14471.105</v>
      </c>
      <c r="J874" s="7" t="n">
        <f aca="false">AVERAGE(E825:E874)</f>
        <v>13697.829</v>
      </c>
      <c r="K874" s="7" t="n">
        <f aca="false">AVERAGE(E775:E874)</f>
        <v>13063.6153</v>
      </c>
      <c r="L874" s="7" t="n">
        <f aca="false">AVERAGE(E675:E874)</f>
        <v>12257.3176</v>
      </c>
      <c r="M874" s="7" t="n">
        <f aca="false">I874</f>
        <v>14471.105</v>
      </c>
      <c r="N874" s="7" t="n">
        <f aca="false">I874+2*STDEV(E855:E874)</f>
        <v>15390.5120958246</v>
      </c>
      <c r="O874" s="7" t="n">
        <f aca="false">I874-2*STDEV(E855:E874)</f>
        <v>13551.6979041754</v>
      </c>
      <c r="P874" s="7" t="n">
        <f aca="false">MAX(E874-E873,0)</f>
        <v>0</v>
      </c>
      <c r="Q874" s="7" t="n">
        <f aca="false">MAX(E873-E874,0)</f>
        <v>13.7700000000004</v>
      </c>
      <c r="R874" s="7" t="n">
        <f aca="false">(R873*13+P874)/14</f>
        <v>89.330466924167</v>
      </c>
      <c r="S874" s="7" t="n">
        <f aca="false">(S873*13+Q874)/14</f>
        <v>32.0434994690713</v>
      </c>
      <c r="T874" s="7" t="n">
        <f aca="false">IF(S874=0,100,100-100/(1+R874/S874))</f>
        <v>73.5993636681083</v>
      </c>
      <c r="U874" s="7" t="n">
        <f aca="false">E874*2/13+U873*11/13</f>
        <v>14763.2194071974</v>
      </c>
      <c r="V874" s="7" t="n">
        <f aca="false">E874*2/27+V873*25/27</f>
        <v>14350.3681603851</v>
      </c>
      <c r="W874" s="7" t="n">
        <f aca="false">U874-V874</f>
        <v>412.851246812257</v>
      </c>
      <c r="X874" s="7" t="n">
        <f aca="false">W874*2/10+X873*8/10</f>
        <v>379.626435606574</v>
      </c>
      <c r="Y874" s="7" t="n">
        <f aca="false">W874-X874</f>
        <v>33.2248112056829</v>
      </c>
      <c r="Z874" s="8" t="s">
        <v>42</v>
      </c>
      <c r="AA874" s="7" t="str">
        <f aca="false">IFERROR(INDEX(02_轉折點45!B:B,MATCH(A874,02_轉折點45!A:A,0)),"")</f>
        <v/>
      </c>
      <c r="AB874" s="7" t="n">
        <f aca="false">COUNTIFS(05_訊號明細!A:A,A874,05_訊號明細!C:C,"TOP")</f>
        <v>0</v>
      </c>
      <c r="AC874" s="7" t="n">
        <f aca="false">COUNTIFS(05_訊號明細!A:A,A874,05_訊號明細!C:C,"BOTTOM")</f>
        <v>0</v>
      </c>
    </row>
    <row r="875" customFormat="false" ht="15" hidden="false" customHeight="false" outlineLevel="0" collapsed="false">
      <c r="A875" s="7" t="s">
        <v>916</v>
      </c>
      <c r="B875" s="7" t="n">
        <v>15019.01</v>
      </c>
      <c r="C875" s="7" t="n">
        <v>15038.9</v>
      </c>
      <c r="D875" s="7" t="n">
        <v>14826.02</v>
      </c>
      <c r="E875" s="7" t="n">
        <v>14867.45</v>
      </c>
      <c r="F875" s="7" t="n">
        <v>5195</v>
      </c>
      <c r="G875" s="7" t="n">
        <f aca="false">AVERAGE(E871:E875)</f>
        <v>15042.538</v>
      </c>
      <c r="H875" s="7" t="n">
        <f aca="false">AVERAGE(E866:E875)</f>
        <v>14821.403</v>
      </c>
      <c r="I875" s="7" t="n">
        <f aca="false">AVERAGE(E856:E875)</f>
        <v>14521.9905</v>
      </c>
      <c r="J875" s="7" t="n">
        <f aca="false">AVERAGE(E826:E875)</f>
        <v>13734.1534</v>
      </c>
      <c r="K875" s="7" t="n">
        <f aca="false">AVERAGE(E776:E875)</f>
        <v>13091.775</v>
      </c>
      <c r="L875" s="7" t="n">
        <f aca="false">AVERAGE(E676:E875)</f>
        <v>12270.28175</v>
      </c>
      <c r="M875" s="7" t="n">
        <f aca="false">I875</f>
        <v>14521.9905</v>
      </c>
      <c r="N875" s="7" t="n">
        <f aca="false">I875+2*STDEV(E856:E875)</f>
        <v>15408.6670743815</v>
      </c>
      <c r="O875" s="7" t="n">
        <f aca="false">I875-2*STDEV(E856:E875)</f>
        <v>13635.3139256185</v>
      </c>
      <c r="P875" s="7" t="n">
        <f aca="false">MAX(E875-E874,0)</f>
        <v>0</v>
      </c>
      <c r="Q875" s="7" t="n">
        <f aca="false">MAX(E874-E875,0)</f>
        <v>202.699999999999</v>
      </c>
      <c r="R875" s="7" t="n">
        <f aca="false">(R874*13+P875)/14</f>
        <v>82.9497192867265</v>
      </c>
      <c r="S875" s="7" t="n">
        <f aca="false">(S874*13+Q875)/14</f>
        <v>44.2332495069947</v>
      </c>
      <c r="T875" s="7" t="n">
        <f aca="false">IF(S875=0,100,100-100/(1+R875/S875))</f>
        <v>65.220776078331</v>
      </c>
      <c r="U875" s="7" t="n">
        <f aca="false">E875*2/13+U874*11/13</f>
        <v>14779.2548830132</v>
      </c>
      <c r="V875" s="7" t="n">
        <f aca="false">E875*2/27+V874*25/27</f>
        <v>14388.6705188751</v>
      </c>
      <c r="W875" s="7" t="n">
        <f aca="false">U875-V875</f>
        <v>390.584364138056</v>
      </c>
      <c r="X875" s="7" t="n">
        <f aca="false">W875*2/10+X874*8/10</f>
        <v>381.818021312871</v>
      </c>
      <c r="Y875" s="7" t="n">
        <f aca="false">W875-X875</f>
        <v>8.76634282518546</v>
      </c>
      <c r="Z875" s="8" t="s">
        <v>42</v>
      </c>
      <c r="AA875" s="7" t="str">
        <f aca="false">IFERROR(INDEX(02_轉折點45!B:B,MATCH(A875,02_轉折點45!A:A,0)),"")</f>
        <v/>
      </c>
      <c r="AB875" s="7" t="n">
        <f aca="false">COUNTIFS(05_訊號明細!A:A,A875,05_訊號明細!C:C,"TOP")</f>
        <v>0</v>
      </c>
      <c r="AC875" s="7" t="n">
        <f aca="false">COUNTIFS(05_訊號明細!A:A,A875,05_訊號明細!C:C,"BOTTOM")</f>
        <v>0</v>
      </c>
    </row>
    <row r="876" customFormat="false" ht="15" hidden="false" customHeight="false" outlineLevel="0" collapsed="false">
      <c r="A876" s="7" t="s">
        <v>917</v>
      </c>
      <c r="B876" s="7" t="n">
        <v>14797.89</v>
      </c>
      <c r="C876" s="7" t="n">
        <v>15044.22</v>
      </c>
      <c r="D876" s="7" t="n">
        <v>14794.95</v>
      </c>
      <c r="E876" s="7" t="n">
        <v>15042.32</v>
      </c>
      <c r="F876" s="7" t="n">
        <v>4500</v>
      </c>
      <c r="G876" s="7" t="n">
        <f aca="false">AVERAGE(E872:E876)</f>
        <v>15049.864</v>
      </c>
      <c r="H876" s="7" t="n">
        <f aca="false">AVERAGE(E867:E876)</f>
        <v>14895.306</v>
      </c>
      <c r="I876" s="7" t="n">
        <f aca="false">AVERAGE(E857:E876)</f>
        <v>14590.4795</v>
      </c>
      <c r="J876" s="7" t="n">
        <f aca="false">AVERAGE(E827:E876)</f>
        <v>13775.7168</v>
      </c>
      <c r="K876" s="7" t="n">
        <f aca="false">AVERAGE(E777:E876)</f>
        <v>13120.5322</v>
      </c>
      <c r="L876" s="7" t="n">
        <f aca="false">AVERAGE(E677:E876)</f>
        <v>12285.00115</v>
      </c>
      <c r="M876" s="7" t="n">
        <f aca="false">I876</f>
        <v>14590.4795</v>
      </c>
      <c r="N876" s="7" t="n">
        <f aca="false">I876+2*STDEV(E857:E876)</f>
        <v>15409.9516889369</v>
      </c>
      <c r="O876" s="7" t="n">
        <f aca="false">I876-2*STDEV(E857:E876)</f>
        <v>13771.0073110631</v>
      </c>
      <c r="P876" s="7" t="n">
        <f aca="false">MAX(E876-E875,0)</f>
        <v>174.869999999999</v>
      </c>
      <c r="Q876" s="7" t="n">
        <f aca="false">MAX(E875-E876,0)</f>
        <v>0</v>
      </c>
      <c r="R876" s="7" t="n">
        <f aca="false">(R875*13+P876)/14</f>
        <v>89.5154536233888</v>
      </c>
      <c r="S876" s="7" t="n">
        <f aca="false">(S875*13+Q876)/14</f>
        <v>41.0737316850665</v>
      </c>
      <c r="T876" s="7" t="n">
        <f aca="false">IF(S876=0,100,100-100/(1+R876/S876))</f>
        <v>68.5473712175712</v>
      </c>
      <c r="U876" s="7" t="n">
        <f aca="false">E876*2/13+U875*11/13</f>
        <v>14819.7264394727</v>
      </c>
      <c r="V876" s="7" t="n">
        <f aca="false">E876*2/27+V875*25/27</f>
        <v>14437.0889989584</v>
      </c>
      <c r="W876" s="7" t="n">
        <f aca="false">U876-V876</f>
        <v>382.637440514241</v>
      </c>
      <c r="X876" s="7" t="n">
        <f aca="false">W876*2/10+X875*8/10</f>
        <v>381.981905153145</v>
      </c>
      <c r="Y876" s="7" t="n">
        <f aca="false">W876-X876</f>
        <v>0.655535361096668</v>
      </c>
      <c r="Z876" s="8" t="s">
        <v>42</v>
      </c>
      <c r="AA876" s="7" t="str">
        <f aca="false">IFERROR(INDEX(02_轉折點45!B:B,MATCH(A876,02_轉折點45!A:A,0)),"")</f>
        <v/>
      </c>
      <c r="AB876" s="7" t="n">
        <f aca="false">COUNTIFS(05_訊號明細!A:A,A876,05_訊號明細!C:C,"TOP")</f>
        <v>0</v>
      </c>
      <c r="AC876" s="7" t="n">
        <f aca="false">COUNTIFS(05_訊號明細!A:A,A876,05_訊號明細!C:C,"BOTTOM")</f>
        <v>0</v>
      </c>
    </row>
    <row r="877" customFormat="false" ht="15" hidden="false" customHeight="false" outlineLevel="0" collapsed="false">
      <c r="A877" s="7" t="s">
        <v>918</v>
      </c>
      <c r="B877" s="7" t="n">
        <v>14879.23</v>
      </c>
      <c r="C877" s="7" t="n">
        <v>14983.73</v>
      </c>
      <c r="D877" s="7" t="n">
        <v>14821.81</v>
      </c>
      <c r="E877" s="7" t="n">
        <v>14891.48</v>
      </c>
      <c r="F877" s="7" t="n">
        <v>7735</v>
      </c>
      <c r="G877" s="7" t="n">
        <f aca="false">AVERAGE(E873:E877)</f>
        <v>14991.064</v>
      </c>
      <c r="H877" s="7" t="n">
        <f aca="false">AVERAGE(E868:E877)</f>
        <v>14936</v>
      </c>
      <c r="I877" s="7" t="n">
        <f aca="false">AVERAGE(E858:E877)</f>
        <v>14654.8295</v>
      </c>
      <c r="J877" s="7" t="n">
        <f aca="false">AVERAGE(E828:E877)</f>
        <v>13816.5794</v>
      </c>
      <c r="K877" s="7" t="n">
        <f aca="false">AVERAGE(E778:E877)</f>
        <v>13150.3231</v>
      </c>
      <c r="L877" s="7" t="n">
        <f aca="false">AVERAGE(E678:E877)</f>
        <v>12299.402</v>
      </c>
      <c r="M877" s="7" t="n">
        <f aca="false">I877</f>
        <v>14654.8295</v>
      </c>
      <c r="N877" s="7" t="n">
        <f aca="false">I877+2*STDEV(E858:E877)</f>
        <v>15339.3004846751</v>
      </c>
      <c r="O877" s="7" t="n">
        <f aca="false">I877-2*STDEV(E858:E877)</f>
        <v>13970.3585153249</v>
      </c>
      <c r="P877" s="7" t="n">
        <f aca="false">MAX(E877-E876,0)</f>
        <v>0</v>
      </c>
      <c r="Q877" s="7" t="n">
        <f aca="false">MAX(E876-E877,0)</f>
        <v>150.84</v>
      </c>
      <c r="R877" s="7" t="n">
        <f aca="false">(R876*13+P877)/14</f>
        <v>83.1214926502896</v>
      </c>
      <c r="S877" s="7" t="n">
        <f aca="false">(S876*13+Q877)/14</f>
        <v>48.9141794218475</v>
      </c>
      <c r="T877" s="7" t="n">
        <f aca="false">IF(S877=0,100,100-100/(1+R877/S877))</f>
        <v>62.9538149394025</v>
      </c>
      <c r="U877" s="7" t="n">
        <f aca="false">E877*2/13+U876*11/13</f>
        <v>14830.7654487846</v>
      </c>
      <c r="V877" s="7" t="n">
        <f aca="false">E877*2/27+V876*25/27</f>
        <v>14470.7475916282</v>
      </c>
      <c r="W877" s="7" t="n">
        <f aca="false">U877-V877</f>
        <v>360.017857156392</v>
      </c>
      <c r="X877" s="7" t="n">
        <f aca="false">W877*2/10+X876*8/10</f>
        <v>377.589095553794</v>
      </c>
      <c r="Y877" s="7" t="n">
        <f aca="false">W877-X877</f>
        <v>-17.5712383974022</v>
      </c>
      <c r="Z877" s="8" t="s">
        <v>42</v>
      </c>
      <c r="AA877" s="7" t="str">
        <f aca="false">IFERROR(INDEX(02_轉折點45!B:B,MATCH(A877,02_轉折點45!A:A,0)),"")</f>
        <v/>
      </c>
      <c r="AB877" s="7" t="n">
        <f aca="false">COUNTIFS(05_訊號明細!A:A,A877,05_訊號明細!C:C,"TOP")</f>
        <v>0</v>
      </c>
      <c r="AC877" s="7" t="n">
        <f aca="false">COUNTIFS(05_訊號明細!A:A,A877,05_訊號明細!C:C,"BOTTOM")</f>
        <v>0</v>
      </c>
    </row>
    <row r="878" customFormat="false" ht="15" hidden="false" customHeight="false" outlineLevel="0" collapsed="false">
      <c r="A878" s="7" t="s">
        <v>919</v>
      </c>
      <c r="B878" s="7" t="n">
        <v>14866.66</v>
      </c>
      <c r="C878" s="7" t="n">
        <v>14982.82</v>
      </c>
      <c r="D878" s="7" t="n">
        <v>14687.02</v>
      </c>
      <c r="E878" s="7" t="n">
        <v>14689.02</v>
      </c>
      <c r="F878" s="7" t="n">
        <v>4431</v>
      </c>
      <c r="G878" s="7" t="n">
        <f aca="false">AVERAGE(E874:E878)</f>
        <v>14912.084</v>
      </c>
      <c r="H878" s="7" t="n">
        <f aca="false">AVERAGE(E869:E878)</f>
        <v>14952.066</v>
      </c>
      <c r="I878" s="7" t="n">
        <f aca="false">AVERAGE(E859:E878)</f>
        <v>14692.354</v>
      </c>
      <c r="J878" s="7" t="n">
        <f aca="false">AVERAGE(E829:E878)</f>
        <v>13848.172</v>
      </c>
      <c r="K878" s="7" t="n">
        <f aca="false">AVERAGE(E779:E878)</f>
        <v>13176.194</v>
      </c>
      <c r="L878" s="7" t="n">
        <f aca="false">AVERAGE(E679:E878)</f>
        <v>12311.55015</v>
      </c>
      <c r="M878" s="7" t="n">
        <f aca="false">I878</f>
        <v>14692.354</v>
      </c>
      <c r="N878" s="7" t="n">
        <f aca="false">I878+2*STDEV(E859:E878)</f>
        <v>15288.0048632412</v>
      </c>
      <c r="O878" s="7" t="n">
        <f aca="false">I878-2*STDEV(E859:E878)</f>
        <v>14096.7031367588</v>
      </c>
      <c r="P878" s="7" t="n">
        <f aca="false">MAX(E878-E877,0)</f>
        <v>0</v>
      </c>
      <c r="Q878" s="7" t="n">
        <f aca="false">MAX(E877-E878,0)</f>
        <v>202.459999999999</v>
      </c>
      <c r="R878" s="7" t="n">
        <f aca="false">(R877*13+P878)/14</f>
        <v>77.1842431752689</v>
      </c>
      <c r="S878" s="7" t="n">
        <f aca="false">(S877*13+Q878)/14</f>
        <v>59.8817380345726</v>
      </c>
      <c r="T878" s="7" t="n">
        <f aca="false">IF(S878=0,100,100-100/(1+R878/S878))</f>
        <v>56.3117430700062</v>
      </c>
      <c r="U878" s="7" t="n">
        <f aca="false">E878*2/13+U877*11/13</f>
        <v>14808.9584566639</v>
      </c>
      <c r="V878" s="7" t="n">
        <f aca="false">E878*2/27+V877*25/27</f>
        <v>14486.9159181742</v>
      </c>
      <c r="W878" s="7" t="n">
        <f aca="false">U878-V878</f>
        <v>322.042538489628</v>
      </c>
      <c r="X878" s="7" t="n">
        <f aca="false">W878*2/10+X877*8/10</f>
        <v>366.479784140961</v>
      </c>
      <c r="Y878" s="7" t="n">
        <f aca="false">W878-X878</f>
        <v>-44.4372456513329</v>
      </c>
      <c r="Z878" s="8" t="s">
        <v>42</v>
      </c>
      <c r="AA878" s="7" t="str">
        <f aca="false">IFERROR(INDEX(02_轉折點45!B:B,MATCH(A878,02_轉折點45!A:A,0)),"")</f>
        <v/>
      </c>
      <c r="AB878" s="7" t="n">
        <f aca="false">COUNTIFS(05_訊號明細!A:A,A878,05_訊號明細!C:C,"TOP")</f>
        <v>1</v>
      </c>
      <c r="AC878" s="7" t="n">
        <f aca="false">COUNTIFS(05_訊號明細!A:A,A878,05_訊號明細!C:C,"BOTTOM")</f>
        <v>0</v>
      </c>
    </row>
    <row r="879" customFormat="false" ht="15" hidden="false" customHeight="false" outlineLevel="0" collapsed="false">
      <c r="A879" s="7" t="s">
        <v>920</v>
      </c>
      <c r="B879" s="7" t="n">
        <v>14751.57</v>
      </c>
      <c r="C879" s="7" t="n">
        <v>14972.31</v>
      </c>
      <c r="D879" s="7" t="n">
        <v>14726.75</v>
      </c>
      <c r="E879" s="7" t="n">
        <v>14945.91</v>
      </c>
      <c r="F879" s="7" t="n">
        <v>5054</v>
      </c>
      <c r="G879" s="7" t="n">
        <f aca="false">AVERAGE(E875:E879)</f>
        <v>14887.236</v>
      </c>
      <c r="H879" s="7" t="n">
        <f aca="false">AVERAGE(E870:E879)</f>
        <v>14968.227</v>
      </c>
      <c r="I879" s="7" t="n">
        <f aca="false">AVERAGE(E860:E879)</f>
        <v>14724.729</v>
      </c>
      <c r="J879" s="7" t="n">
        <f aca="false">AVERAGE(E830:E879)</f>
        <v>13885.4998</v>
      </c>
      <c r="K879" s="7" t="n">
        <f aca="false">AVERAGE(E780:E879)</f>
        <v>13202.0221</v>
      </c>
      <c r="L879" s="7" t="n">
        <f aca="false">AVERAGE(E680:E879)</f>
        <v>12324.67375</v>
      </c>
      <c r="M879" s="7" t="n">
        <f aca="false">I879</f>
        <v>14724.729</v>
      </c>
      <c r="N879" s="7" t="n">
        <f aca="false">I879+2*STDEV(E860:E879)</f>
        <v>15300.2718968749</v>
      </c>
      <c r="O879" s="7" t="n">
        <f aca="false">I879-2*STDEV(E860:E879)</f>
        <v>14149.1861031251</v>
      </c>
      <c r="P879" s="7" t="n">
        <f aca="false">MAX(E879-E878,0)</f>
        <v>256.889999999999</v>
      </c>
      <c r="Q879" s="7" t="n">
        <f aca="false">MAX(E878-E879,0)</f>
        <v>0</v>
      </c>
      <c r="R879" s="7" t="n">
        <f aca="false">(R878*13+P879)/14</f>
        <v>90.0203686627497</v>
      </c>
      <c r="S879" s="7" t="n">
        <f aca="false">(S878*13+Q879)/14</f>
        <v>55.6044710321032</v>
      </c>
      <c r="T879" s="7" t="n">
        <f aca="false">IF(S879=0,100,100-100/(1+R879/S879))</f>
        <v>61.8166302200788</v>
      </c>
      <c r="U879" s="7" t="n">
        <f aca="false">E879*2/13+U878*11/13</f>
        <v>14830.0279248694</v>
      </c>
      <c r="V879" s="7" t="n">
        <f aca="false">E879*2/27+V878*25/27</f>
        <v>14520.915479791</v>
      </c>
      <c r="W879" s="7" t="n">
        <f aca="false">U879-V879</f>
        <v>309.112445078465</v>
      </c>
      <c r="X879" s="7" t="n">
        <f aca="false">W879*2/10+X878*8/10</f>
        <v>355.006316328462</v>
      </c>
      <c r="Y879" s="7" t="n">
        <f aca="false">W879-X879</f>
        <v>-45.8938712499971</v>
      </c>
      <c r="Z879" s="8" t="s">
        <v>42</v>
      </c>
      <c r="AA879" s="7" t="str">
        <f aca="false">IFERROR(INDEX(02_轉折點45!B:B,MATCH(A879,02_轉折點45!A:A,0)),"")</f>
        <v/>
      </c>
      <c r="AB879" s="7" t="n">
        <f aca="false">COUNTIFS(05_訊號明細!A:A,A879,05_訊號明細!C:C,"TOP")</f>
        <v>0</v>
      </c>
      <c r="AC879" s="7" t="n">
        <f aca="false">COUNTIFS(05_訊號明細!A:A,A879,05_訊號明細!C:C,"BOTTOM")</f>
        <v>0</v>
      </c>
    </row>
    <row r="880" customFormat="false" ht="15" hidden="false" customHeight="false" outlineLevel="0" collapsed="false">
      <c r="A880" s="7" t="s">
        <v>921</v>
      </c>
      <c r="B880" s="7" t="n">
        <v>14876.25</v>
      </c>
      <c r="C880" s="7" t="n">
        <v>15051.08</v>
      </c>
      <c r="D880" s="7" t="n">
        <v>14865.81</v>
      </c>
      <c r="E880" s="7" t="n">
        <v>14964.57</v>
      </c>
      <c r="F880" s="7" t="n">
        <v>4533</v>
      </c>
      <c r="G880" s="7" t="n">
        <f aca="false">AVERAGE(E876:E880)</f>
        <v>14906.66</v>
      </c>
      <c r="H880" s="7" t="n">
        <f aca="false">AVERAGE(E871:E880)</f>
        <v>14974.599</v>
      </c>
      <c r="I880" s="7" t="n">
        <f aca="false">AVERAGE(E861:E880)</f>
        <v>14755.208</v>
      </c>
      <c r="J880" s="7" t="n">
        <f aca="false">AVERAGE(E831:E880)</f>
        <v>13923.037</v>
      </c>
      <c r="K880" s="7" t="n">
        <f aca="false">AVERAGE(E781:E880)</f>
        <v>13223.6364</v>
      </c>
      <c r="L880" s="7" t="n">
        <f aca="false">AVERAGE(E681:E880)</f>
        <v>12336.55515</v>
      </c>
      <c r="M880" s="7" t="n">
        <f aca="false">I880</f>
        <v>14755.208</v>
      </c>
      <c r="N880" s="7" t="n">
        <f aca="false">I880+2*STDEV(E861:E880)</f>
        <v>15312.5840164273</v>
      </c>
      <c r="O880" s="7" t="n">
        <f aca="false">I880-2*STDEV(E861:E880)</f>
        <v>14197.8319835726</v>
      </c>
      <c r="P880" s="7" t="n">
        <f aca="false">MAX(E880-E879,0)</f>
        <v>18.6599999999999</v>
      </c>
      <c r="Q880" s="7" t="n">
        <f aca="false">MAX(E879-E880,0)</f>
        <v>0</v>
      </c>
      <c r="R880" s="7" t="n">
        <f aca="false">(R879*13+P880)/14</f>
        <v>84.9231994725533</v>
      </c>
      <c r="S880" s="7" t="n">
        <f aca="false">(S879*13+Q880)/14</f>
        <v>51.6327231012386</v>
      </c>
      <c r="T880" s="7" t="n">
        <f aca="false">IF(S880=0,100,100-100/(1+R880/S880))</f>
        <v>62.189319856605</v>
      </c>
      <c r="U880" s="7" t="n">
        <f aca="false">E880*2/13+U879*11/13</f>
        <v>14850.7267056588</v>
      </c>
      <c r="V880" s="7" t="n">
        <f aca="false">E880*2/27+V879*25/27</f>
        <v>14553.7787775842</v>
      </c>
      <c r="W880" s="7" t="n">
        <f aca="false">U880-V880</f>
        <v>296.947928074522</v>
      </c>
      <c r="X880" s="7" t="n">
        <f aca="false">W880*2/10+X879*8/10</f>
        <v>343.394638677674</v>
      </c>
      <c r="Y880" s="7" t="n">
        <f aca="false">W880-X880</f>
        <v>-46.4467106031519</v>
      </c>
      <c r="Z880" s="8" t="s">
        <v>42</v>
      </c>
      <c r="AA880" s="7" t="str">
        <f aca="false">IFERROR(INDEX(02_轉折點45!B:B,MATCH(A880,02_轉折點45!A:A,0)),"")</f>
        <v/>
      </c>
      <c r="AB880" s="7" t="n">
        <f aca="false">COUNTIFS(05_訊號明細!A:A,A880,05_訊號明細!C:C,"TOP")</f>
        <v>0</v>
      </c>
      <c r="AC880" s="7" t="n">
        <f aca="false">COUNTIFS(05_訊號明細!A:A,A880,05_訊號明細!C:C,"BOTTOM")</f>
        <v>0</v>
      </c>
    </row>
    <row r="881" customFormat="false" ht="15" hidden="false" customHeight="false" outlineLevel="0" collapsed="false">
      <c r="A881" s="7" t="s">
        <v>922</v>
      </c>
      <c r="B881" s="7" t="n">
        <v>14965.55</v>
      </c>
      <c r="C881" s="7" t="n">
        <v>14986.89</v>
      </c>
      <c r="D881" s="7" t="n">
        <v>14876.94</v>
      </c>
      <c r="E881" s="7" t="n">
        <v>14939.95</v>
      </c>
      <c r="F881" s="7" t="n">
        <v>4388</v>
      </c>
      <c r="G881" s="7" t="n">
        <f aca="false">AVERAGE(E877:E881)</f>
        <v>14886.186</v>
      </c>
      <c r="H881" s="7" t="n">
        <f aca="false">AVERAGE(E872:E881)</f>
        <v>14968.025</v>
      </c>
      <c r="I881" s="7" t="n">
        <f aca="false">AVERAGE(E862:E881)</f>
        <v>14789.501</v>
      </c>
      <c r="J881" s="7" t="n">
        <f aca="false">AVERAGE(E832:E881)</f>
        <v>13960.0002</v>
      </c>
      <c r="K881" s="7" t="n">
        <f aca="false">AVERAGE(E782:E881)</f>
        <v>13247.3023</v>
      </c>
      <c r="L881" s="7" t="n">
        <f aca="false">AVERAGE(E682:E881)</f>
        <v>12347.5563</v>
      </c>
      <c r="M881" s="7" t="n">
        <f aca="false">I881</f>
        <v>14789.501</v>
      </c>
      <c r="N881" s="7" t="n">
        <f aca="false">I881+2*STDEV(E862:E881)</f>
        <v>15299.4366558337</v>
      </c>
      <c r="O881" s="7" t="n">
        <f aca="false">I881-2*STDEV(E862:E881)</f>
        <v>14279.5653441663</v>
      </c>
      <c r="P881" s="7" t="n">
        <f aca="false">MAX(E881-E880,0)</f>
        <v>0</v>
      </c>
      <c r="Q881" s="7" t="n">
        <f aca="false">MAX(E880-E881,0)</f>
        <v>24.619999999999</v>
      </c>
      <c r="R881" s="7" t="n">
        <f aca="false">(R880*13+P881)/14</f>
        <v>78.8572566530852</v>
      </c>
      <c r="S881" s="7" t="n">
        <f aca="false">(S880*13+Q881)/14</f>
        <v>49.7032428797215</v>
      </c>
      <c r="T881" s="7" t="n">
        <f aca="false">IF(S881=0,100,100-100/(1+R881/S881))</f>
        <v>61.3386358482233</v>
      </c>
      <c r="U881" s="7" t="n">
        <f aca="false">E881*2/13+U880*11/13</f>
        <v>14864.4533663266</v>
      </c>
      <c r="V881" s="7" t="n">
        <f aca="false">E881*2/27+V880*25/27</f>
        <v>14582.3840533187</v>
      </c>
      <c r="W881" s="7" t="n">
        <f aca="false">U881-V881</f>
        <v>282.069313007907</v>
      </c>
      <c r="X881" s="7" t="n">
        <f aca="false">W881*2/10+X880*8/10</f>
        <v>331.12957354372</v>
      </c>
      <c r="Y881" s="7" t="n">
        <f aca="false">W881-X881</f>
        <v>-49.0602605358133</v>
      </c>
      <c r="Z881" s="8" t="s">
        <v>42</v>
      </c>
      <c r="AA881" s="7" t="str">
        <f aca="false">IFERROR(INDEX(02_轉折點45!B:B,MATCH(A881,02_轉折點45!A:A,0)),"")</f>
        <v/>
      </c>
      <c r="AB881" s="7" t="n">
        <f aca="false">COUNTIFS(05_訊號明細!A:A,A881,05_訊號明細!C:C,"TOP")</f>
        <v>0</v>
      </c>
      <c r="AC881" s="7" t="n">
        <f aca="false">COUNTIFS(05_訊號明細!A:A,A881,05_訊號明細!C:C,"BOTTOM")</f>
        <v>0</v>
      </c>
    </row>
    <row r="882" customFormat="false" ht="15" hidden="false" customHeight="false" outlineLevel="0" collapsed="false">
      <c r="A882" s="7" t="s">
        <v>923</v>
      </c>
      <c r="B882" s="7" t="n">
        <v>15085.24</v>
      </c>
      <c r="C882" s="7" t="n">
        <v>15213.75</v>
      </c>
      <c r="D882" s="7" t="n">
        <v>15081.57</v>
      </c>
      <c r="E882" s="7" t="n">
        <v>15179.21</v>
      </c>
      <c r="F882" s="7" t="n">
        <v>4661</v>
      </c>
      <c r="G882" s="7" t="n">
        <f aca="false">AVERAGE(E878:E882)</f>
        <v>14943.732</v>
      </c>
      <c r="H882" s="7" t="n">
        <f aca="false">AVERAGE(E873:E882)</f>
        <v>14967.398</v>
      </c>
      <c r="I882" s="7" t="n">
        <f aca="false">AVERAGE(E863:E882)</f>
        <v>14826.386</v>
      </c>
      <c r="J882" s="7" t="n">
        <f aca="false">AVERAGE(E833:E882)</f>
        <v>14001.8102</v>
      </c>
      <c r="K882" s="7" t="n">
        <f aca="false">AVERAGE(E783:E882)</f>
        <v>13274.4493</v>
      </c>
      <c r="L882" s="7" t="n">
        <f aca="false">AVERAGE(E683:E882)</f>
        <v>12363.28425</v>
      </c>
      <c r="M882" s="7" t="n">
        <f aca="false">I882</f>
        <v>14826.386</v>
      </c>
      <c r="N882" s="7" t="n">
        <f aca="false">I882+2*STDEV(E863:E882)</f>
        <v>15337.0570912391</v>
      </c>
      <c r="O882" s="7" t="n">
        <f aca="false">I882-2*STDEV(E863:E882)</f>
        <v>14315.7149087609</v>
      </c>
      <c r="P882" s="7" t="n">
        <f aca="false">MAX(E882-E881,0)</f>
        <v>239.259999999998</v>
      </c>
      <c r="Q882" s="7" t="n">
        <f aca="false">MAX(E881-E882,0)</f>
        <v>0</v>
      </c>
      <c r="R882" s="7" t="n">
        <f aca="false">(R881*13+P882)/14</f>
        <v>90.314595463579</v>
      </c>
      <c r="S882" s="7" t="n">
        <f aca="false">(S881*13+Q882)/14</f>
        <v>46.1530112454557</v>
      </c>
      <c r="T882" s="7" t="n">
        <f aca="false">IF(S882=0,100,100-100/(1+R882/S882))</f>
        <v>66.180244265689</v>
      </c>
      <c r="U882" s="7" t="n">
        <f aca="false">E882*2/13+U881*11/13</f>
        <v>14912.8774638148</v>
      </c>
      <c r="V882" s="7" t="n">
        <f aca="false">E882*2/27+V881*25/27</f>
        <v>14626.5933827025</v>
      </c>
      <c r="W882" s="7" t="n">
        <f aca="false">U882-V882</f>
        <v>286.284081112317</v>
      </c>
      <c r="X882" s="7" t="n">
        <f aca="false">W882*2/10+X881*8/10</f>
        <v>322.16047505744</v>
      </c>
      <c r="Y882" s="7" t="n">
        <f aca="false">W882-X882</f>
        <v>-35.8763939451227</v>
      </c>
      <c r="Z882" s="8" t="s">
        <v>42</v>
      </c>
      <c r="AA882" s="7" t="str">
        <f aca="false">IFERROR(INDEX(02_轉折點45!B:B,MATCH(A882,02_轉折點45!A:A,0)),"")</f>
        <v/>
      </c>
      <c r="AB882" s="7" t="n">
        <f aca="false">COUNTIFS(05_訊號明細!A:A,A882,05_訊號明細!C:C,"TOP")</f>
        <v>0</v>
      </c>
      <c r="AC882" s="7" t="n">
        <f aca="false">COUNTIFS(05_訊號明細!A:A,A882,05_訊號明細!C:C,"BOTTOM")</f>
        <v>0</v>
      </c>
    </row>
    <row r="883" customFormat="false" ht="15" hidden="false" customHeight="false" outlineLevel="0" collapsed="false">
      <c r="A883" s="7" t="s">
        <v>924</v>
      </c>
      <c r="B883" s="7" t="n">
        <v>15190.54</v>
      </c>
      <c r="C883" s="7" t="n">
        <v>15232.96</v>
      </c>
      <c r="D883" s="7" t="n">
        <v>15153.6</v>
      </c>
      <c r="E883" s="7" t="n">
        <v>15208.69</v>
      </c>
      <c r="F883" s="7" t="n">
        <v>2902</v>
      </c>
      <c r="G883" s="7" t="n">
        <f aca="false">AVERAGE(E879:E883)</f>
        <v>15047.666</v>
      </c>
      <c r="H883" s="7" t="n">
        <f aca="false">AVERAGE(E874:E883)</f>
        <v>14979.875</v>
      </c>
      <c r="I883" s="7" t="n">
        <f aca="false">AVERAGE(E864:E883)</f>
        <v>14859.4885</v>
      </c>
      <c r="J883" s="7" t="n">
        <f aca="false">AVERAGE(E834:E883)</f>
        <v>14046.2644</v>
      </c>
      <c r="K883" s="7" t="n">
        <f aca="false">AVERAGE(E784:E883)</f>
        <v>13299.2535</v>
      </c>
      <c r="L883" s="7" t="n">
        <f aca="false">AVERAGE(E684:E883)</f>
        <v>12378.6557</v>
      </c>
      <c r="M883" s="7" t="n">
        <f aca="false">I883</f>
        <v>14859.4885</v>
      </c>
      <c r="N883" s="7" t="n">
        <f aca="false">I883+2*STDEV(E864:E883)</f>
        <v>15379.551571085</v>
      </c>
      <c r="O883" s="7" t="n">
        <f aca="false">I883-2*STDEV(E864:E883)</f>
        <v>14339.425428915</v>
      </c>
      <c r="P883" s="7" t="n">
        <f aca="false">MAX(E883-E882,0)</f>
        <v>29.4800000000014</v>
      </c>
      <c r="Q883" s="7" t="n">
        <f aca="false">MAX(E882-E883,0)</f>
        <v>0</v>
      </c>
      <c r="R883" s="7" t="n">
        <f aca="false">(R882*13+P883)/14</f>
        <v>85.9692672161806</v>
      </c>
      <c r="S883" s="7" t="n">
        <f aca="false">(S882*13+Q883)/14</f>
        <v>42.856367585066</v>
      </c>
      <c r="T883" s="7" t="n">
        <f aca="false">IF(S883=0,100,100-100/(1+R883/S883))</f>
        <v>66.7330437368423</v>
      </c>
      <c r="U883" s="7" t="n">
        <f aca="false">E883*2/13+U882*11/13</f>
        <v>14958.3870847664</v>
      </c>
      <c r="V883" s="7" t="n">
        <f aca="false">E883*2/27+V882*25/27</f>
        <v>14669.7116506505</v>
      </c>
      <c r="W883" s="7" t="n">
        <f aca="false">U883-V883</f>
        <v>288.675434115916</v>
      </c>
      <c r="X883" s="7" t="n">
        <f aca="false">W883*2/10+X882*8/10</f>
        <v>315.463466869135</v>
      </c>
      <c r="Y883" s="7" t="n">
        <f aca="false">W883-X883</f>
        <v>-26.7880327532191</v>
      </c>
      <c r="Z883" s="8" t="s">
        <v>42</v>
      </c>
      <c r="AA883" s="7" t="str">
        <f aca="false">IFERROR(INDEX(02_轉折點45!B:B,MATCH(A883,02_轉折點45!A:A,0)),"")</f>
        <v/>
      </c>
      <c r="AB883" s="7" t="n">
        <f aca="false">COUNTIFS(05_訊號明細!A:A,A883,05_訊號明細!C:C,"TOP")</f>
        <v>2</v>
      </c>
      <c r="AC883" s="7" t="n">
        <f aca="false">COUNTIFS(05_訊號明細!A:A,A883,05_訊號明細!C:C,"BOTTOM")</f>
        <v>0</v>
      </c>
    </row>
    <row r="884" customFormat="false" ht="15" hidden="false" customHeight="false" outlineLevel="0" collapsed="false">
      <c r="A884" s="7" t="s">
        <v>925</v>
      </c>
      <c r="B884" s="7" t="n">
        <v>15165.36</v>
      </c>
      <c r="C884" s="7" t="n">
        <v>15275.18</v>
      </c>
      <c r="D884" s="7" t="n">
        <v>15162.66</v>
      </c>
      <c r="E884" s="7" t="n">
        <v>15203.78</v>
      </c>
      <c r="F884" s="7" t="n">
        <v>5339</v>
      </c>
      <c r="G884" s="7" t="n">
        <f aca="false">AVERAGE(E880:E884)</f>
        <v>15099.24</v>
      </c>
      <c r="H884" s="7" t="n">
        <f aca="false">AVERAGE(E875:E884)</f>
        <v>14993.238</v>
      </c>
      <c r="I884" s="7" t="n">
        <f aca="false">AVERAGE(E865:E884)</f>
        <v>14891.8525</v>
      </c>
      <c r="J884" s="7" t="n">
        <f aca="false">AVERAGE(E835:E884)</f>
        <v>14090.3246</v>
      </c>
      <c r="K884" s="7" t="n">
        <f aca="false">AVERAGE(E785:E884)</f>
        <v>13326.3375</v>
      </c>
      <c r="L884" s="7" t="n">
        <f aca="false">AVERAGE(E685:E884)</f>
        <v>12395.03715</v>
      </c>
      <c r="M884" s="7" t="n">
        <f aca="false">I884</f>
        <v>14891.8525</v>
      </c>
      <c r="N884" s="7" t="n">
        <f aca="false">I884+2*STDEV(E865:E884)</f>
        <v>15413.0853757202</v>
      </c>
      <c r="O884" s="7" t="n">
        <f aca="false">I884-2*STDEV(E865:E884)</f>
        <v>14370.6196242798</v>
      </c>
      <c r="P884" s="7" t="n">
        <f aca="false">MAX(E884-E883,0)</f>
        <v>0</v>
      </c>
      <c r="Q884" s="7" t="n">
        <f aca="false">MAX(E883-E884,0)</f>
        <v>4.90999999999985</v>
      </c>
      <c r="R884" s="7" t="n">
        <f aca="false">(R883*13+P884)/14</f>
        <v>79.8286052721677</v>
      </c>
      <c r="S884" s="7" t="n">
        <f aca="false">(S883*13+Q884)/14</f>
        <v>40.1459127575613</v>
      </c>
      <c r="T884" s="7" t="n">
        <f aca="false">IF(S884=0,100,100-100/(1+R884/S884))</f>
        <v>66.5379670476248</v>
      </c>
      <c r="U884" s="7" t="n">
        <f aca="false">E884*2/13+U883*11/13</f>
        <v>14996.1398409562</v>
      </c>
      <c r="V884" s="7" t="n">
        <f aca="false">E884*2/27+V883*25/27</f>
        <v>14709.2722691208</v>
      </c>
      <c r="W884" s="7" t="n">
        <f aca="false">U884-V884</f>
        <v>286.867571835366</v>
      </c>
      <c r="X884" s="7" t="n">
        <f aca="false">W884*2/10+X883*8/10</f>
        <v>309.744287862381</v>
      </c>
      <c r="Y884" s="7" t="n">
        <f aca="false">W884-X884</f>
        <v>-22.876716027015</v>
      </c>
      <c r="Z884" s="8" t="s">
        <v>42</v>
      </c>
      <c r="AA884" s="7" t="str">
        <f aca="false">IFERROR(INDEX(02_轉折點45!B:B,MATCH(A884,02_轉折點45!A:A,0)),"")</f>
        <v/>
      </c>
      <c r="AB884" s="7" t="n">
        <f aca="false">COUNTIFS(05_訊號明細!A:A,A884,05_訊號明細!C:C,"TOP")</f>
        <v>0</v>
      </c>
      <c r="AC884" s="7" t="n">
        <f aca="false">COUNTIFS(05_訊號明細!A:A,A884,05_訊號明細!C:C,"BOTTOM")</f>
        <v>0</v>
      </c>
    </row>
    <row r="885" customFormat="false" ht="15" hidden="false" customHeight="false" outlineLevel="0" collapsed="false">
      <c r="A885" s="7" t="s">
        <v>926</v>
      </c>
      <c r="B885" s="7" t="n">
        <v>15054.1</v>
      </c>
      <c r="C885" s="7" t="n">
        <v>15106.45</v>
      </c>
      <c r="D885" s="7" t="n">
        <v>14969.14</v>
      </c>
      <c r="E885" s="7" t="n">
        <v>15089.45</v>
      </c>
      <c r="F885" s="7" t="n">
        <v>6113</v>
      </c>
      <c r="G885" s="7" t="n">
        <f aca="false">AVERAGE(E881:E885)</f>
        <v>15124.216</v>
      </c>
      <c r="H885" s="7" t="n">
        <f aca="false">AVERAGE(E876:E885)</f>
        <v>15015.438</v>
      </c>
      <c r="I885" s="7" t="n">
        <f aca="false">AVERAGE(E866:E885)</f>
        <v>14918.4205</v>
      </c>
      <c r="J885" s="7" t="n">
        <f aca="false">AVERAGE(E836:E885)</f>
        <v>14132.7184</v>
      </c>
      <c r="K885" s="7" t="n">
        <f aca="false">AVERAGE(E786:E885)</f>
        <v>13353.4203</v>
      </c>
      <c r="L885" s="7" t="n">
        <f aca="false">AVERAGE(E686:E885)</f>
        <v>12411.1775</v>
      </c>
      <c r="M885" s="7" t="n">
        <f aca="false">I885</f>
        <v>14918.4205</v>
      </c>
      <c r="N885" s="7" t="n">
        <f aca="false">I885+2*STDEV(E866:E885)</f>
        <v>15421.8880171867</v>
      </c>
      <c r="O885" s="7" t="n">
        <f aca="false">I885-2*STDEV(E866:E885)</f>
        <v>14414.9529828133</v>
      </c>
      <c r="P885" s="7" t="n">
        <f aca="false">MAX(E885-E884,0)</f>
        <v>0</v>
      </c>
      <c r="Q885" s="7" t="n">
        <f aca="false">MAX(E884-E885,0)</f>
        <v>114.33</v>
      </c>
      <c r="R885" s="7" t="n">
        <f aca="false">(R884*13+P885)/14</f>
        <v>74.1265620384414</v>
      </c>
      <c r="S885" s="7" t="n">
        <f aca="false">(S884*13+Q885)/14</f>
        <v>45.4447761320212</v>
      </c>
      <c r="T885" s="7" t="n">
        <f aca="false">IF(S885=0,100,100-100/(1+R885/S885))</f>
        <v>61.9935874036682</v>
      </c>
      <c r="U885" s="7" t="n">
        <f aca="false">E885*2/13+U884*11/13</f>
        <v>15010.4952500399</v>
      </c>
      <c r="V885" s="7" t="n">
        <f aca="false">E885*2/27+V884*25/27</f>
        <v>14737.4335825193</v>
      </c>
      <c r="W885" s="7" t="n">
        <f aca="false">U885-V885</f>
        <v>273.061667520571</v>
      </c>
      <c r="X885" s="7" t="n">
        <f aca="false">W885*2/10+X884*8/10</f>
        <v>302.407763794019</v>
      </c>
      <c r="Y885" s="7" t="n">
        <f aca="false">W885-X885</f>
        <v>-29.346096273448</v>
      </c>
      <c r="Z885" s="8" t="s">
        <v>42</v>
      </c>
      <c r="AA885" s="7" t="str">
        <f aca="false">IFERROR(INDEX(02_轉折點45!B:B,MATCH(A885,02_轉折點45!A:A,0)),"")</f>
        <v/>
      </c>
      <c r="AB885" s="7" t="n">
        <f aca="false">COUNTIFS(05_訊號明細!A:A,A885,05_訊號明細!C:C,"TOP")</f>
        <v>0</v>
      </c>
      <c r="AC885" s="7" t="n">
        <f aca="false">COUNTIFS(05_訊號明細!A:A,A885,05_訊號明細!C:C,"BOTTOM")</f>
        <v>0</v>
      </c>
    </row>
    <row r="886" customFormat="false" ht="15" hidden="false" customHeight="false" outlineLevel="0" collapsed="false">
      <c r="A886" s="7" t="s">
        <v>927</v>
      </c>
      <c r="B886" s="7" t="n">
        <v>15070.5</v>
      </c>
      <c r="C886" s="7" t="n">
        <v>15210.63</v>
      </c>
      <c r="D886" s="7" t="n">
        <v>15032.56</v>
      </c>
      <c r="E886" s="7" t="n">
        <v>15036.85</v>
      </c>
      <c r="F886" s="7" t="n">
        <v>5098</v>
      </c>
      <c r="G886" s="7" t="n">
        <f aca="false">AVERAGE(E882:E886)</f>
        <v>15143.596</v>
      </c>
      <c r="H886" s="7" t="n">
        <f aca="false">AVERAGE(E877:E886)</f>
        <v>15014.891</v>
      </c>
      <c r="I886" s="7" t="n">
        <f aca="false">AVERAGE(E867:E886)</f>
        <v>14955.0985</v>
      </c>
      <c r="J886" s="7" t="n">
        <f aca="false">AVERAGE(E837:E886)</f>
        <v>14178.9532</v>
      </c>
      <c r="K886" s="7" t="n">
        <f aca="false">AVERAGE(E787:E886)</f>
        <v>13380.7396</v>
      </c>
      <c r="L886" s="7" t="n">
        <f aca="false">AVERAGE(E687:E886)</f>
        <v>12426.5954</v>
      </c>
      <c r="M886" s="7" t="n">
        <f aca="false">I886</f>
        <v>14955.0985</v>
      </c>
      <c r="N886" s="7" t="n">
        <f aca="false">I886+2*STDEV(E867:E886)</f>
        <v>15368.7503545971</v>
      </c>
      <c r="O886" s="7" t="n">
        <f aca="false">I886-2*STDEV(E867:E886)</f>
        <v>14541.446645403</v>
      </c>
      <c r="P886" s="7" t="n">
        <f aca="false">MAX(E886-E885,0)</f>
        <v>0</v>
      </c>
      <c r="Q886" s="7" t="n">
        <f aca="false">MAX(E885-E886,0)</f>
        <v>52.6000000000004</v>
      </c>
      <c r="R886" s="7" t="n">
        <f aca="false">(R885*13+P886)/14</f>
        <v>68.8318076071242</v>
      </c>
      <c r="S886" s="7" t="n">
        <f aca="false">(S885*13+Q886)/14</f>
        <v>45.9558635511626</v>
      </c>
      <c r="T886" s="7" t="n">
        <f aca="false">IF(S886=0,100,100-100/(1+R886/S886))</f>
        <v>59.9644603924479</v>
      </c>
      <c r="U886" s="7" t="n">
        <f aca="false">E886*2/13+U885*11/13</f>
        <v>15014.5498269568</v>
      </c>
      <c r="V886" s="7" t="n">
        <f aca="false">E886*2/27+V885*25/27</f>
        <v>14759.6125764067</v>
      </c>
      <c r="W886" s="7" t="n">
        <f aca="false">U886-V886</f>
        <v>254.937250550054</v>
      </c>
      <c r="X886" s="7" t="n">
        <f aca="false">W886*2/10+X885*8/10</f>
        <v>292.913661145226</v>
      </c>
      <c r="Y886" s="7" t="n">
        <f aca="false">W886-X886</f>
        <v>-37.976410595172</v>
      </c>
      <c r="Z886" s="8" t="s">
        <v>42</v>
      </c>
      <c r="AA886" s="7" t="str">
        <f aca="false">IFERROR(INDEX(02_轉折點45!B:B,MATCH(A886,02_轉折點45!A:A,0)),"")</f>
        <v/>
      </c>
      <c r="AB886" s="7" t="n">
        <f aca="false">COUNTIFS(05_訊號明細!A:A,A886,05_訊號明細!C:C,"TOP")</f>
        <v>0</v>
      </c>
      <c r="AC886" s="7" t="n">
        <f aca="false">COUNTIFS(05_訊號明細!A:A,A886,05_訊號明細!C:C,"BOTTOM")</f>
        <v>0</v>
      </c>
    </row>
    <row r="887" customFormat="false" ht="15" hidden="false" customHeight="false" outlineLevel="0" collapsed="false">
      <c r="A887" s="7" t="s">
        <v>928</v>
      </c>
      <c r="B887" s="7" t="n">
        <v>15031.95</v>
      </c>
      <c r="C887" s="7" t="n">
        <v>15066.44</v>
      </c>
      <c r="D887" s="7" t="n">
        <v>14924.64</v>
      </c>
      <c r="E887" s="7" t="n">
        <v>15045.64</v>
      </c>
      <c r="F887" s="7" t="n">
        <v>5275</v>
      </c>
      <c r="G887" s="7" t="n">
        <f aca="false">AVERAGE(E883:E887)</f>
        <v>15116.882</v>
      </c>
      <c r="H887" s="7" t="n">
        <f aca="false">AVERAGE(E878:E887)</f>
        <v>15030.307</v>
      </c>
      <c r="I887" s="7" t="n">
        <f aca="false">AVERAGE(E868:E887)</f>
        <v>14983.1535</v>
      </c>
      <c r="J887" s="7" t="n">
        <f aca="false">AVERAGE(E838:E887)</f>
        <v>14223.7364</v>
      </c>
      <c r="K887" s="7" t="n">
        <f aca="false">AVERAGE(E788:E887)</f>
        <v>13406.1729</v>
      </c>
      <c r="L887" s="7" t="n">
        <f aca="false">AVERAGE(E688:E887)</f>
        <v>12442.5659</v>
      </c>
      <c r="M887" s="7" t="n">
        <f aca="false">I887</f>
        <v>14983.1535</v>
      </c>
      <c r="N887" s="7" t="n">
        <f aca="false">I887+2*STDEV(E868:E887)</f>
        <v>15333.7299037621</v>
      </c>
      <c r="O887" s="7" t="n">
        <f aca="false">I887-2*STDEV(E868:E887)</f>
        <v>14632.5770962379</v>
      </c>
      <c r="P887" s="7" t="n">
        <f aca="false">MAX(E887-E886,0)</f>
        <v>8.78999999999905</v>
      </c>
      <c r="Q887" s="7" t="n">
        <f aca="false">MAX(E886-E887,0)</f>
        <v>0</v>
      </c>
      <c r="R887" s="7" t="n">
        <f aca="false">(R886*13+P887)/14</f>
        <v>64.5431070637581</v>
      </c>
      <c r="S887" s="7" t="n">
        <f aca="false">(S886*13+Q887)/14</f>
        <v>42.6733018689367</v>
      </c>
      <c r="T887" s="7" t="n">
        <f aca="false">IF(S887=0,100,100-100/(1+R887/S887))</f>
        <v>60.1989077103628</v>
      </c>
      <c r="U887" s="7" t="n">
        <f aca="false">E887*2/13+U886*11/13</f>
        <v>15019.3329305019</v>
      </c>
      <c r="V887" s="7" t="n">
        <f aca="false">E887*2/27+V886*25/27</f>
        <v>14780.7997929692</v>
      </c>
      <c r="W887" s="7" t="n">
        <f aca="false">U887-V887</f>
        <v>238.533137532697</v>
      </c>
      <c r="X887" s="7" t="n">
        <f aca="false">W887*2/10+X886*8/10</f>
        <v>282.03755642272</v>
      </c>
      <c r="Y887" s="7" t="n">
        <f aca="false">W887-X887</f>
        <v>-43.5044188900234</v>
      </c>
      <c r="Z887" s="8" t="s">
        <v>42</v>
      </c>
      <c r="AA887" s="7" t="str">
        <f aca="false">IFERROR(INDEX(02_轉折點45!B:B,MATCH(A887,02_轉折點45!A:A,0)),"")</f>
        <v/>
      </c>
      <c r="AB887" s="7" t="n">
        <f aca="false">COUNTIFS(05_訊號明細!A:A,A887,05_訊號明細!C:C,"TOP")</f>
        <v>0</v>
      </c>
      <c r="AC887" s="7" t="n">
        <f aca="false">COUNTIFS(05_訊號明細!A:A,A887,05_訊號明細!C:C,"BOTTOM")</f>
        <v>0</v>
      </c>
    </row>
    <row r="888" customFormat="false" ht="15" hidden="false" customHeight="false" outlineLevel="0" collapsed="false">
      <c r="A888" s="7" t="s">
        <v>929</v>
      </c>
      <c r="B888" s="7" t="n">
        <v>15068.13</v>
      </c>
      <c r="C888" s="7" t="n">
        <v>15135.29</v>
      </c>
      <c r="D888" s="7" t="n">
        <v>14974.16</v>
      </c>
      <c r="E888" s="7" t="n">
        <v>15119.06</v>
      </c>
      <c r="F888" s="7" t="n">
        <v>4841</v>
      </c>
      <c r="G888" s="7" t="n">
        <f aca="false">AVERAGE(E884:E888)</f>
        <v>15098.956</v>
      </c>
      <c r="H888" s="7" t="n">
        <f aca="false">AVERAGE(E879:E888)</f>
        <v>15073.311</v>
      </c>
      <c r="I888" s="7" t="n">
        <f aca="false">AVERAGE(E869:E888)</f>
        <v>15012.6885</v>
      </c>
      <c r="J888" s="7" t="n">
        <f aca="false">AVERAGE(E839:E888)</f>
        <v>14262.917</v>
      </c>
      <c r="K888" s="7" t="n">
        <f aca="false">AVERAGE(E789:E888)</f>
        <v>13431.4546</v>
      </c>
      <c r="L888" s="7" t="n">
        <f aca="false">AVERAGE(E689:E888)</f>
        <v>12459.97225</v>
      </c>
      <c r="M888" s="7" t="n">
        <f aca="false">I888</f>
        <v>15012.6885</v>
      </c>
      <c r="N888" s="7" t="n">
        <f aca="false">I888+2*STDEV(E869:E888)</f>
        <v>15294.7785361139</v>
      </c>
      <c r="O888" s="7" t="n">
        <f aca="false">I888-2*STDEV(E869:E888)</f>
        <v>14730.5984638861</v>
      </c>
      <c r="P888" s="7" t="n">
        <f aca="false">MAX(E888-E887,0)</f>
        <v>73.4200000000001</v>
      </c>
      <c r="Q888" s="7" t="n">
        <f aca="false">MAX(E887-E888,0)</f>
        <v>0</v>
      </c>
      <c r="R888" s="7" t="n">
        <f aca="false">(R887*13+P888)/14</f>
        <v>65.1771708449182</v>
      </c>
      <c r="S888" s="7" t="n">
        <f aca="false">(S887*13+Q888)/14</f>
        <v>39.6252088782983</v>
      </c>
      <c r="T888" s="7" t="n">
        <f aca="false">IF(S888=0,100,100-100/(1+R888/S888))</f>
        <v>62.1905447348155</v>
      </c>
      <c r="U888" s="7" t="n">
        <f aca="false">E888*2/13+U887*11/13</f>
        <v>15034.6755565785</v>
      </c>
      <c r="V888" s="7" t="n">
        <f aca="false">E888*2/27+V887*25/27</f>
        <v>14805.8561046011</v>
      </c>
      <c r="W888" s="7" t="n">
        <f aca="false">U888-V888</f>
        <v>228.819451977417</v>
      </c>
      <c r="X888" s="7" t="n">
        <f aca="false">W888*2/10+X887*8/10</f>
        <v>271.39393553366</v>
      </c>
      <c r="Y888" s="7" t="n">
        <f aca="false">W888-X888</f>
        <v>-42.5744835562426</v>
      </c>
      <c r="Z888" s="8" t="s">
        <v>42</v>
      </c>
      <c r="AA888" s="7" t="str">
        <f aca="false">IFERROR(INDEX(02_轉折點45!B:B,MATCH(A888,02_轉折點45!A:A,0)),"")</f>
        <v/>
      </c>
      <c r="AB888" s="7" t="n">
        <f aca="false">COUNTIFS(05_訊號明細!A:A,A888,05_訊號明細!C:C,"TOP")</f>
        <v>0</v>
      </c>
      <c r="AC888" s="7" t="n">
        <f aca="false">COUNTIFS(05_訊號明細!A:A,A888,05_訊號明細!C:C,"BOTTOM")</f>
        <v>0</v>
      </c>
    </row>
    <row r="889" customFormat="false" ht="15" hidden="false" customHeight="false" outlineLevel="0" collapsed="false">
      <c r="A889" s="7" t="s">
        <v>930</v>
      </c>
      <c r="B889" s="7" t="n">
        <v>15279.35</v>
      </c>
      <c r="C889" s="7" t="n">
        <v>15364.09</v>
      </c>
      <c r="D889" s="7" t="n">
        <v>15209.71</v>
      </c>
      <c r="E889" s="7" t="n">
        <v>15307.23</v>
      </c>
      <c r="F889" s="7" t="n">
        <v>5231</v>
      </c>
      <c r="G889" s="7" t="n">
        <f aca="false">AVERAGE(E885:E889)</f>
        <v>15119.646</v>
      </c>
      <c r="H889" s="7" t="n">
        <f aca="false">AVERAGE(E880:E889)</f>
        <v>15109.443</v>
      </c>
      <c r="I889" s="7" t="n">
        <f aca="false">AVERAGE(E870:E889)</f>
        <v>15038.835</v>
      </c>
      <c r="J889" s="7" t="n">
        <f aca="false">AVERAGE(E840:E889)</f>
        <v>14304.1418</v>
      </c>
      <c r="K889" s="7" t="n">
        <f aca="false">AVERAGE(E790:E889)</f>
        <v>13457.648</v>
      </c>
      <c r="L889" s="7" t="n">
        <f aca="false">AVERAGE(E690:E889)</f>
        <v>12479.00015</v>
      </c>
      <c r="M889" s="7" t="n">
        <f aca="false">I889</f>
        <v>15038.835</v>
      </c>
      <c r="N889" s="7" t="n">
        <f aca="false">I889+2*STDEV(E870:E889)</f>
        <v>15328.6265200895</v>
      </c>
      <c r="O889" s="7" t="n">
        <f aca="false">I889-2*STDEV(E870:E889)</f>
        <v>14749.0434799105</v>
      </c>
      <c r="P889" s="7" t="n">
        <f aca="false">MAX(E889-E888,0)</f>
        <v>188.17</v>
      </c>
      <c r="Q889" s="7" t="n">
        <f aca="false">MAX(E888-E889,0)</f>
        <v>0</v>
      </c>
      <c r="R889" s="7" t="n">
        <f aca="false">(R888*13+P889)/14</f>
        <v>73.9623729274241</v>
      </c>
      <c r="S889" s="7" t="n">
        <f aca="false">(S888*13+Q889)/14</f>
        <v>36.7948368155627</v>
      </c>
      <c r="T889" s="7" t="n">
        <f aca="false">IF(S889=0,100,100-100/(1+R889/S889))</f>
        <v>66.7788337202196</v>
      </c>
      <c r="U889" s="7" t="n">
        <f aca="false">E889*2/13+U888*11/13</f>
        <v>15076.6070094126</v>
      </c>
      <c r="V889" s="7" t="n">
        <f aca="false">E889*2/27+V888*25/27</f>
        <v>14842.9949116677</v>
      </c>
      <c r="W889" s="7" t="n">
        <f aca="false">U889-V889</f>
        <v>233.612097744903</v>
      </c>
      <c r="X889" s="7" t="n">
        <f aca="false">W889*2/10+X888*8/10</f>
        <v>263.837567975908</v>
      </c>
      <c r="Y889" s="7" t="n">
        <f aca="false">W889-X889</f>
        <v>-30.2254702310055</v>
      </c>
      <c r="Z889" s="8" t="s">
        <v>42</v>
      </c>
      <c r="AA889" s="7" t="str">
        <f aca="false">IFERROR(INDEX(02_轉折點45!B:B,MATCH(A889,02_轉折點45!A:A,0)),"")</f>
        <v/>
      </c>
      <c r="AB889" s="7" t="n">
        <f aca="false">COUNTIFS(05_訊號明細!A:A,A889,05_訊號明細!C:C,"TOP")</f>
        <v>1</v>
      </c>
      <c r="AC889" s="7" t="n">
        <f aca="false">COUNTIFS(05_訊號明細!A:A,A889,05_訊號明細!C:C,"BOTTOM")</f>
        <v>0</v>
      </c>
    </row>
    <row r="890" customFormat="false" ht="15" hidden="false" customHeight="false" outlineLevel="0" collapsed="false">
      <c r="A890" s="7" t="s">
        <v>931</v>
      </c>
      <c r="B890" s="7" t="n">
        <v>15432.48</v>
      </c>
      <c r="C890" s="7" t="n">
        <v>15602.74</v>
      </c>
      <c r="D890" s="7" t="n">
        <v>15420.71</v>
      </c>
      <c r="E890" s="7" t="n">
        <v>15571.98</v>
      </c>
      <c r="F890" s="7" t="n">
        <v>5184</v>
      </c>
      <c r="G890" s="7" t="n">
        <f aca="false">AVERAGE(E886:E890)</f>
        <v>15216.152</v>
      </c>
      <c r="H890" s="7" t="n">
        <f aca="false">AVERAGE(E881:E890)</f>
        <v>15170.184</v>
      </c>
      <c r="I890" s="7" t="n">
        <f aca="false">AVERAGE(E871:E890)</f>
        <v>15072.3915</v>
      </c>
      <c r="J890" s="7" t="n">
        <f aca="false">AVERAGE(E841:E890)</f>
        <v>14350.952</v>
      </c>
      <c r="K890" s="7" t="n">
        <f aca="false">AVERAGE(E791:E890)</f>
        <v>13488.943</v>
      </c>
      <c r="L890" s="7" t="n">
        <f aca="false">AVERAGE(E691:E890)</f>
        <v>12500.30385</v>
      </c>
      <c r="M890" s="7" t="n">
        <f aca="false">I890</f>
        <v>15072.3915</v>
      </c>
      <c r="N890" s="7" t="n">
        <f aca="false">I890+2*STDEV(E871:E890)</f>
        <v>15439.9105797066</v>
      </c>
      <c r="O890" s="7" t="n">
        <f aca="false">I890-2*STDEV(E871:E890)</f>
        <v>14704.8724202934</v>
      </c>
      <c r="P890" s="7" t="n">
        <f aca="false">MAX(E890-E889,0)</f>
        <v>264.75</v>
      </c>
      <c r="Q890" s="7" t="n">
        <f aca="false">MAX(E889-E890,0)</f>
        <v>0</v>
      </c>
      <c r="R890" s="7" t="n">
        <f aca="false">(R889*13+P890)/14</f>
        <v>87.5900605754652</v>
      </c>
      <c r="S890" s="7" t="n">
        <f aca="false">(S889*13+Q890)/14</f>
        <v>34.1666341858797</v>
      </c>
      <c r="T890" s="7" t="n">
        <f aca="false">IF(S890=0,100,100-100/(1+R890/S890))</f>
        <v>71.9385991440966</v>
      </c>
      <c r="U890" s="7" t="n">
        <f aca="false">E890*2/13+U889*11/13</f>
        <v>15152.8182387337</v>
      </c>
      <c r="V890" s="7" t="n">
        <f aca="false">E890*2/27+V889*25/27</f>
        <v>14896.9938070997</v>
      </c>
      <c r="W890" s="7" t="n">
        <f aca="false">U890-V890</f>
        <v>255.824431634017</v>
      </c>
      <c r="X890" s="7" t="n">
        <f aca="false">W890*2/10+X889*8/10</f>
        <v>262.23494070753</v>
      </c>
      <c r="Y890" s="7" t="n">
        <f aca="false">W890-X890</f>
        <v>-6.41050907351303</v>
      </c>
      <c r="Z890" s="8" t="s">
        <v>42</v>
      </c>
      <c r="AA890" s="7" t="str">
        <f aca="false">IFERROR(INDEX(02_轉折點45!B:B,MATCH(A890,02_轉折點45!A:A,0)),"")</f>
        <v/>
      </c>
      <c r="AB890" s="7" t="n">
        <f aca="false">COUNTIFS(05_訊號明細!A:A,A890,05_訊號明細!C:C,"TOP")</f>
        <v>1</v>
      </c>
      <c r="AC890" s="7" t="n">
        <f aca="false">COUNTIFS(05_訊號明細!A:A,A890,05_訊號明細!C:C,"BOTTOM")</f>
        <v>0</v>
      </c>
    </row>
    <row r="891" customFormat="false" ht="15" hidden="false" customHeight="false" outlineLevel="0" collapsed="false">
      <c r="A891" s="7" t="s">
        <v>932</v>
      </c>
      <c r="B891" s="7" t="n">
        <v>15610</v>
      </c>
      <c r="C891" s="7" t="n">
        <v>15720.06</v>
      </c>
      <c r="D891" s="7" t="n">
        <v>15531</v>
      </c>
      <c r="E891" s="7" t="n">
        <v>15565.6</v>
      </c>
      <c r="F891" s="7" t="n">
        <v>5367</v>
      </c>
      <c r="G891" s="7" t="n">
        <f aca="false">AVERAGE(E887:E891)</f>
        <v>15321.902</v>
      </c>
      <c r="H891" s="7" t="n">
        <f aca="false">AVERAGE(E882:E891)</f>
        <v>15232.749</v>
      </c>
      <c r="I891" s="7" t="n">
        <f aca="false">AVERAGE(E872:E891)</f>
        <v>15100.387</v>
      </c>
      <c r="J891" s="7" t="n">
        <f aca="false">AVERAGE(E842:E891)</f>
        <v>14399.9908</v>
      </c>
      <c r="K891" s="7" t="n">
        <f aca="false">AVERAGE(E792:E891)</f>
        <v>13521.0172</v>
      </c>
      <c r="L891" s="7" t="n">
        <f aca="false">AVERAGE(E692:E891)</f>
        <v>12521.8613</v>
      </c>
      <c r="M891" s="7" t="n">
        <f aca="false">I891</f>
        <v>15100.387</v>
      </c>
      <c r="N891" s="7" t="n">
        <f aca="false">I891+2*STDEV(E872:E891)</f>
        <v>15527.0544719559</v>
      </c>
      <c r="O891" s="7" t="n">
        <f aca="false">I891-2*STDEV(E872:E891)</f>
        <v>14673.7195280441</v>
      </c>
      <c r="P891" s="7" t="n">
        <f aca="false">MAX(E891-E890,0)</f>
        <v>0</v>
      </c>
      <c r="Q891" s="7" t="n">
        <f aca="false">MAX(E890-E891,0)</f>
        <v>6.3799999999992</v>
      </c>
      <c r="R891" s="7" t="n">
        <f aca="false">(R890*13+P891)/14</f>
        <v>81.3336276772177</v>
      </c>
      <c r="S891" s="7" t="n">
        <f aca="false">(S890*13+Q891)/14</f>
        <v>32.1818746011739</v>
      </c>
      <c r="T891" s="7" t="n">
        <f aca="false">IF(S891=0,100,100-100/(1+R891/S891))</f>
        <v>71.6497976441585</v>
      </c>
      <c r="U891" s="7" t="n">
        <f aca="false">E891*2/13+U890*11/13</f>
        <v>15216.3231250824</v>
      </c>
      <c r="V891" s="7" t="n">
        <f aca="false">E891*2/27+V890*25/27</f>
        <v>14946.520191759</v>
      </c>
      <c r="W891" s="7" t="n">
        <f aca="false">U891-V891</f>
        <v>269.802933323394</v>
      </c>
      <c r="X891" s="7" t="n">
        <f aca="false">W891*2/10+X890*8/10</f>
        <v>263.748539230703</v>
      </c>
      <c r="Y891" s="7" t="n">
        <f aca="false">W891-X891</f>
        <v>6.05439409269081</v>
      </c>
      <c r="Z891" s="8" t="s">
        <v>42</v>
      </c>
      <c r="AA891" s="7" t="str">
        <f aca="false">IFERROR(INDEX(02_轉折點45!B:B,MATCH(A891,02_轉折點45!A:A,0)),"")</f>
        <v/>
      </c>
      <c r="AB891" s="7" t="n">
        <f aca="false">COUNTIFS(05_訊號明細!A:A,A891,05_訊號明細!C:C,"TOP")</f>
        <v>0</v>
      </c>
      <c r="AC891" s="7" t="n">
        <f aca="false">COUNTIFS(05_訊號明細!A:A,A891,05_訊號明細!C:C,"BOTTOM")</f>
        <v>0</v>
      </c>
    </row>
    <row r="892" customFormat="false" ht="15" hidden="false" customHeight="false" outlineLevel="0" collapsed="false">
      <c r="A892" s="7" t="s">
        <v>933</v>
      </c>
      <c r="B892" s="7" t="n">
        <v>15608.28</v>
      </c>
      <c r="C892" s="7" t="n">
        <v>15745.67</v>
      </c>
      <c r="D892" s="7" t="n">
        <v>15576.51</v>
      </c>
      <c r="E892" s="7" t="n">
        <v>15713.28</v>
      </c>
      <c r="F892" s="7" t="n">
        <v>4593</v>
      </c>
      <c r="G892" s="7" t="n">
        <f aca="false">AVERAGE(E888:E892)</f>
        <v>15455.43</v>
      </c>
      <c r="H892" s="7" t="n">
        <f aca="false">AVERAGE(E883:E892)</f>
        <v>15286.156</v>
      </c>
      <c r="I892" s="7" t="n">
        <f aca="false">AVERAGE(E873:E892)</f>
        <v>15126.777</v>
      </c>
      <c r="J892" s="7" t="n">
        <f aca="false">AVERAGE(E843:E892)</f>
        <v>14453.6522</v>
      </c>
      <c r="K892" s="7" t="n">
        <f aca="false">AVERAGE(E793:E892)</f>
        <v>13557.547</v>
      </c>
      <c r="L892" s="7" t="n">
        <f aca="false">AVERAGE(E693:E892)</f>
        <v>12544.06895</v>
      </c>
      <c r="M892" s="7" t="n">
        <f aca="false">I892</f>
        <v>15126.777</v>
      </c>
      <c r="N892" s="7" t="n">
        <f aca="false">I892+2*STDEV(E873:E892)</f>
        <v>15633.4031455675</v>
      </c>
      <c r="O892" s="7" t="n">
        <f aca="false">I892-2*STDEV(E873:E892)</f>
        <v>14620.1508544325</v>
      </c>
      <c r="P892" s="7" t="n">
        <f aca="false">MAX(E892-E891,0)</f>
        <v>147.68</v>
      </c>
      <c r="Q892" s="7" t="n">
        <f aca="false">MAX(E891-E892,0)</f>
        <v>0</v>
      </c>
      <c r="R892" s="7" t="n">
        <f aca="false">(R891*13+P892)/14</f>
        <v>86.0726542717022</v>
      </c>
      <c r="S892" s="7" t="n">
        <f aca="false">(S891*13+Q892)/14</f>
        <v>29.8831692725187</v>
      </c>
      <c r="T892" s="7" t="n">
        <f aca="false">IF(S892=0,100,100-100/(1+R892/S892))</f>
        <v>74.2288327061707</v>
      </c>
      <c r="U892" s="7" t="n">
        <f aca="false">E892*2/13+U891*11/13</f>
        <v>15292.7780289159</v>
      </c>
      <c r="V892" s="7" t="n">
        <f aca="false">E892*2/27+V891*25/27</f>
        <v>15003.3172145917</v>
      </c>
      <c r="W892" s="7" t="n">
        <f aca="false">U892-V892</f>
        <v>289.460814324204</v>
      </c>
      <c r="X892" s="7" t="n">
        <f aca="false">W892*2/10+X891*8/10</f>
        <v>268.890994249403</v>
      </c>
      <c r="Y892" s="7" t="n">
        <f aca="false">W892-X892</f>
        <v>20.569820074801</v>
      </c>
      <c r="Z892" s="8" t="s">
        <v>42</v>
      </c>
      <c r="AA892" s="7" t="str">
        <f aca="false">IFERROR(INDEX(02_轉折點45!B:B,MATCH(A892,02_轉折點45!A:A,0)),"")</f>
        <v/>
      </c>
      <c r="AB892" s="7" t="n">
        <f aca="false">COUNTIFS(05_訊號明細!A:A,A892,05_訊號明細!C:C,"TOP")</f>
        <v>1</v>
      </c>
      <c r="AC892" s="7" t="n">
        <f aca="false">COUNTIFS(05_訊號明細!A:A,A892,05_訊號明細!C:C,"BOTTOM")</f>
        <v>0</v>
      </c>
    </row>
    <row r="893" customFormat="false" ht="15" hidden="false" customHeight="false" outlineLevel="0" collapsed="false">
      <c r="A893" s="7" t="s">
        <v>934</v>
      </c>
      <c r="B893" s="7" t="n">
        <v>15671.72</v>
      </c>
      <c r="C893" s="7" t="n">
        <v>15895.68</v>
      </c>
      <c r="D893" s="7" t="n">
        <v>15607.71</v>
      </c>
      <c r="E893" s="7" t="n">
        <v>15841.35</v>
      </c>
      <c r="F893" s="7" t="n">
        <v>4824</v>
      </c>
      <c r="G893" s="7" t="n">
        <f aca="false">AVERAGE(E889:E893)</f>
        <v>15599.888</v>
      </c>
      <c r="H893" s="7" t="n">
        <f aca="false">AVERAGE(E884:E893)</f>
        <v>15349.422</v>
      </c>
      <c r="I893" s="7" t="n">
        <f aca="false">AVERAGE(E874:E893)</f>
        <v>15164.6485</v>
      </c>
      <c r="J893" s="7" t="n">
        <f aca="false">AVERAGE(E844:E893)</f>
        <v>14510.8296</v>
      </c>
      <c r="K893" s="7" t="n">
        <f aca="false">AVERAGE(E794:E893)</f>
        <v>13595.2978</v>
      </c>
      <c r="L893" s="7" t="n">
        <f aca="false">AVERAGE(E694:E893)</f>
        <v>12565.80655</v>
      </c>
      <c r="M893" s="7" t="n">
        <f aca="false">I893</f>
        <v>15164.6485</v>
      </c>
      <c r="N893" s="7" t="n">
        <f aca="false">I893+2*STDEV(E874:E893)</f>
        <v>15762.7640641997</v>
      </c>
      <c r="O893" s="7" t="n">
        <f aca="false">I893-2*STDEV(E874:E893)</f>
        <v>14566.5329358003</v>
      </c>
      <c r="P893" s="7" t="n">
        <f aca="false">MAX(E893-E892,0)</f>
        <v>128.07</v>
      </c>
      <c r="Q893" s="7" t="n">
        <f aca="false">MAX(E892-E893,0)</f>
        <v>0</v>
      </c>
      <c r="R893" s="7" t="n">
        <f aca="false">(R892*13+P893)/14</f>
        <v>89.0724646808663</v>
      </c>
      <c r="S893" s="7" t="n">
        <f aca="false">(S892*13+Q893)/14</f>
        <v>27.7486571816245</v>
      </c>
      <c r="T893" s="7" t="n">
        <f aca="false">IF(S893=0,100,100-100/(1+R893/S893))</f>
        <v>76.2468834922787</v>
      </c>
      <c r="U893" s="7" t="n">
        <f aca="false">E893*2/13+U892*11/13</f>
        <v>15377.173716775</v>
      </c>
      <c r="V893" s="7" t="n">
        <f aca="false">E893*2/27+V892*25/27</f>
        <v>15065.3937172145</v>
      </c>
      <c r="W893" s="7" t="n">
        <f aca="false">U893-V893</f>
        <v>311.77999956046</v>
      </c>
      <c r="X893" s="7" t="n">
        <f aca="false">W893*2/10+X892*8/10</f>
        <v>277.468795311614</v>
      </c>
      <c r="Y893" s="7" t="n">
        <f aca="false">W893-X893</f>
        <v>34.3112042488457</v>
      </c>
      <c r="Z893" s="8" t="s">
        <v>42</v>
      </c>
      <c r="AA893" s="7" t="str">
        <f aca="false">IFERROR(INDEX(02_轉折點45!B:B,MATCH(A893,02_轉折點45!A:A,0)),"")</f>
        <v/>
      </c>
      <c r="AB893" s="7" t="n">
        <f aca="false">COUNTIFS(05_訊號明細!A:A,A893,05_訊號明細!C:C,"TOP")</f>
        <v>0</v>
      </c>
      <c r="AC893" s="7" t="n">
        <f aca="false">COUNTIFS(05_訊號明細!A:A,A893,05_訊號明細!C:C,"BOTTOM")</f>
        <v>0</v>
      </c>
    </row>
    <row r="894" customFormat="false" ht="15" hidden="false" customHeight="false" outlineLevel="0" collapsed="false">
      <c r="A894" s="7" t="s">
        <v>935</v>
      </c>
      <c r="B894" s="7" t="n">
        <v>15888.16</v>
      </c>
      <c r="C894" s="7" t="n">
        <v>15932.05</v>
      </c>
      <c r="D894" s="7" t="n">
        <v>15781.96</v>
      </c>
      <c r="E894" s="7" t="n">
        <v>15826.35</v>
      </c>
      <c r="F894" s="7" t="n">
        <v>5112</v>
      </c>
      <c r="G894" s="7" t="n">
        <f aca="false">AVERAGE(E890:E894)</f>
        <v>15703.712</v>
      </c>
      <c r="H894" s="7" t="n">
        <f aca="false">AVERAGE(E885:E894)</f>
        <v>15411.679</v>
      </c>
      <c r="I894" s="7" t="n">
        <f aca="false">AVERAGE(E875:E894)</f>
        <v>15202.4585</v>
      </c>
      <c r="J894" s="7" t="n">
        <f aca="false">AVERAGE(E845:E894)</f>
        <v>14562.174</v>
      </c>
      <c r="K894" s="7" t="n">
        <f aca="false">AVERAGE(E795:E894)</f>
        <v>13631.7599</v>
      </c>
      <c r="L894" s="7" t="n">
        <f aca="false">AVERAGE(E695:E894)</f>
        <v>12589.1144</v>
      </c>
      <c r="M894" s="7" t="n">
        <f aca="false">I894</f>
        <v>15202.4585</v>
      </c>
      <c r="N894" s="7" t="n">
        <f aca="false">I894+2*STDEV(E875:E894)</f>
        <v>15867.3055453705</v>
      </c>
      <c r="O894" s="7" t="n">
        <f aca="false">I894-2*STDEV(E875:E894)</f>
        <v>14537.6114546295</v>
      </c>
      <c r="P894" s="7" t="n">
        <f aca="false">MAX(E894-E893,0)</f>
        <v>0</v>
      </c>
      <c r="Q894" s="7" t="n">
        <f aca="false">MAX(E893-E894,0)</f>
        <v>15</v>
      </c>
      <c r="R894" s="7" t="n">
        <f aca="false">(R893*13+P894)/14</f>
        <v>82.7101457750901</v>
      </c>
      <c r="S894" s="7" t="n">
        <f aca="false">(S893*13+Q894)/14</f>
        <v>26.8380388115084</v>
      </c>
      <c r="T894" s="7" t="n">
        <f aca="false">IF(S894=0,100,100-100/(1+R894/S894))</f>
        <v>75.5011560321269</v>
      </c>
      <c r="U894" s="7" t="n">
        <f aca="false">E894*2/13+U893*11/13</f>
        <v>15446.2777603481</v>
      </c>
      <c r="V894" s="7" t="n">
        <f aca="false">E894*2/27+V893*25/27</f>
        <v>15121.7608492727</v>
      </c>
      <c r="W894" s="7" t="n">
        <f aca="false">U894-V894</f>
        <v>324.516911075356</v>
      </c>
      <c r="X894" s="7" t="n">
        <f aca="false">W894*2/10+X893*8/10</f>
        <v>286.878418464363</v>
      </c>
      <c r="Y894" s="7" t="n">
        <f aca="false">W894-X894</f>
        <v>37.6384926109932</v>
      </c>
      <c r="Z894" s="8" t="s">
        <v>42</v>
      </c>
      <c r="AA894" s="7" t="str">
        <f aca="false">IFERROR(INDEX(02_轉折點45!B:B,MATCH(A894,02_轉折點45!A:A,0)),"")</f>
        <v/>
      </c>
      <c r="AB894" s="7" t="n">
        <f aca="false">COUNTIFS(05_訊號明細!A:A,A894,05_訊號明細!C:C,"TOP")</f>
        <v>0</v>
      </c>
      <c r="AC894" s="7" t="n">
        <f aca="false">COUNTIFS(05_訊號明細!A:A,A894,05_訊號明細!C:C,"BOTTOM")</f>
        <v>0</v>
      </c>
    </row>
    <row r="895" customFormat="false" ht="15" hidden="false" customHeight="false" outlineLevel="0" collapsed="false">
      <c r="A895" s="7" t="s">
        <v>936</v>
      </c>
      <c r="B895" s="7" t="n">
        <v>15717.67</v>
      </c>
      <c r="C895" s="7" t="n">
        <v>15771.84</v>
      </c>
      <c r="D895" s="7" t="n">
        <v>15429.87</v>
      </c>
      <c r="E895" s="7" t="n">
        <v>15466.09</v>
      </c>
      <c r="F895" s="7" t="n">
        <v>5128</v>
      </c>
      <c r="G895" s="7" t="n">
        <f aca="false">AVERAGE(E891:E895)</f>
        <v>15682.534</v>
      </c>
      <c r="H895" s="7" t="n">
        <f aca="false">AVERAGE(E886:E895)</f>
        <v>15449.343</v>
      </c>
      <c r="I895" s="7" t="n">
        <f aca="false">AVERAGE(E876:E895)</f>
        <v>15232.3905</v>
      </c>
      <c r="J895" s="7" t="n">
        <f aca="false">AVERAGE(E846:E895)</f>
        <v>14605.663</v>
      </c>
      <c r="K895" s="7" t="n">
        <f aca="false">AVERAGE(E796:E895)</f>
        <v>13666.7243</v>
      </c>
      <c r="L895" s="7" t="n">
        <f aca="false">AVERAGE(E696:E895)</f>
        <v>12611.58875</v>
      </c>
      <c r="M895" s="7" t="n">
        <f aca="false">I895</f>
        <v>15232.3905</v>
      </c>
      <c r="N895" s="7" t="n">
        <f aca="false">I895+2*STDEV(E876:E895)</f>
        <v>15887.5650368895</v>
      </c>
      <c r="O895" s="7" t="n">
        <f aca="false">I895-2*STDEV(E876:E895)</f>
        <v>14577.2159631105</v>
      </c>
      <c r="P895" s="7" t="n">
        <f aca="false">MAX(E895-E894,0)</f>
        <v>0</v>
      </c>
      <c r="Q895" s="7" t="n">
        <f aca="false">MAX(E894-E895,0)</f>
        <v>360.26</v>
      </c>
      <c r="R895" s="7" t="n">
        <f aca="false">(R894*13+P895)/14</f>
        <v>76.8022782197265</v>
      </c>
      <c r="S895" s="7" t="n">
        <f aca="false">(S894*13+Q895)/14</f>
        <v>50.653893182115</v>
      </c>
      <c r="T895" s="7" t="n">
        <f aca="false">IF(S895=0,100,100-100/(1+R895/S895))</f>
        <v>60.2577947972293</v>
      </c>
      <c r="U895" s="7" t="n">
        <f aca="false">E895*2/13+U894*11/13</f>
        <v>15449.3257972176</v>
      </c>
      <c r="V895" s="7" t="n">
        <f aca="false">E895*2/27+V894*25/27</f>
        <v>15147.2667122895</v>
      </c>
      <c r="W895" s="7" t="n">
        <f aca="false">U895-V895</f>
        <v>302.059084928049</v>
      </c>
      <c r="X895" s="7" t="n">
        <f aca="false">W895*2/10+X894*8/10</f>
        <v>289.9145517571</v>
      </c>
      <c r="Y895" s="7" t="n">
        <f aca="false">W895-X895</f>
        <v>12.1445331709489</v>
      </c>
      <c r="Z895" s="8" t="s">
        <v>42</v>
      </c>
      <c r="AA895" s="7" t="str">
        <f aca="false">IFERROR(INDEX(02_轉折點45!B:B,MATCH(A895,02_轉折點45!A:A,0)),"")</f>
        <v/>
      </c>
      <c r="AB895" s="7" t="n">
        <f aca="false">COUNTIFS(05_訊號明細!A:A,A895,05_訊號明細!C:C,"TOP")</f>
        <v>0</v>
      </c>
      <c r="AC895" s="7" t="n">
        <f aca="false">COUNTIFS(05_訊號明細!A:A,A895,05_訊號明細!C:C,"BOTTOM")</f>
        <v>0</v>
      </c>
    </row>
    <row r="896" customFormat="false" ht="15" hidden="false" customHeight="false" outlineLevel="0" collapsed="false">
      <c r="A896" s="7" t="s">
        <v>937</v>
      </c>
      <c r="B896" s="7" t="n">
        <v>15554.95</v>
      </c>
      <c r="C896" s="7" t="n">
        <v>15600.54</v>
      </c>
      <c r="D896" s="7" t="n">
        <v>15410.57</v>
      </c>
      <c r="E896" s="7" t="n">
        <v>15425.67</v>
      </c>
      <c r="F896" s="7" t="n">
        <v>5254</v>
      </c>
      <c r="G896" s="7" t="n">
        <f aca="false">AVERAGE(E892:E896)</f>
        <v>15654.548</v>
      </c>
      <c r="H896" s="7" t="n">
        <f aca="false">AVERAGE(E887:E896)</f>
        <v>15488.225</v>
      </c>
      <c r="I896" s="7" t="n">
        <f aca="false">AVERAGE(E877:E896)</f>
        <v>15251.558</v>
      </c>
      <c r="J896" s="7" t="n">
        <f aca="false">AVERAGE(E847:E896)</f>
        <v>14650.1542</v>
      </c>
      <c r="K896" s="7" t="n">
        <f aca="false">AVERAGE(E797:E896)</f>
        <v>13700.4031</v>
      </c>
      <c r="L896" s="7" t="n">
        <f aca="false">AVERAGE(E697:E896)</f>
        <v>12632.56845</v>
      </c>
      <c r="M896" s="7" t="n">
        <f aca="false">I896</f>
        <v>15251.558</v>
      </c>
      <c r="N896" s="7" t="n">
        <f aca="false">I896+2*STDEV(E877:E896)</f>
        <v>15905.7489039771</v>
      </c>
      <c r="O896" s="7" t="n">
        <f aca="false">I896-2*STDEV(E877:E896)</f>
        <v>14597.3670960229</v>
      </c>
      <c r="P896" s="7" t="n">
        <f aca="false">MAX(E896-E895,0)</f>
        <v>0</v>
      </c>
      <c r="Q896" s="7" t="n">
        <f aca="false">MAX(E895-E896,0)</f>
        <v>40.4200000000001</v>
      </c>
      <c r="R896" s="7" t="n">
        <f aca="false">(R895*13+P896)/14</f>
        <v>71.3164012040318</v>
      </c>
      <c r="S896" s="7" t="n">
        <f aca="false">(S895*13+Q896)/14</f>
        <v>49.9229008119639</v>
      </c>
      <c r="T896" s="7" t="n">
        <f aca="false">IF(S896=0,100,100-100/(1+R896/S896))</f>
        <v>58.8228404635839</v>
      </c>
      <c r="U896" s="7" t="n">
        <f aca="false">E896*2/13+U895*11/13</f>
        <v>15445.6864437995</v>
      </c>
      <c r="V896" s="7" t="n">
        <f aca="false">E896*2/27+V895*25/27</f>
        <v>15167.8891780459</v>
      </c>
      <c r="W896" s="7" t="n">
        <f aca="false">U896-V896</f>
        <v>277.797265753628</v>
      </c>
      <c r="X896" s="7" t="n">
        <f aca="false">W896*2/10+X895*8/10</f>
        <v>287.491094556406</v>
      </c>
      <c r="Y896" s="7" t="n">
        <f aca="false">W896-X896</f>
        <v>-9.69382880277721</v>
      </c>
      <c r="Z896" s="8" t="s">
        <v>42</v>
      </c>
      <c r="AA896" s="7" t="str">
        <f aca="false">IFERROR(INDEX(02_轉折點45!B:B,MATCH(A896,02_轉折點45!A:A,0)),"")</f>
        <v/>
      </c>
      <c r="AB896" s="7" t="n">
        <f aca="false">COUNTIFS(05_訊號明細!A:A,A896,05_訊號明細!C:C,"TOP")</f>
        <v>0</v>
      </c>
      <c r="AC896" s="7" t="n">
        <f aca="false">COUNTIFS(05_訊號明細!A:A,A896,05_訊號明細!C:C,"BOTTOM")</f>
        <v>0</v>
      </c>
    </row>
    <row r="897" customFormat="false" ht="15" hidden="false" customHeight="false" outlineLevel="0" collapsed="false">
      <c r="A897" s="7" t="s">
        <v>938</v>
      </c>
      <c r="B897" s="7" t="n">
        <v>15475.15</v>
      </c>
      <c r="C897" s="7" t="n">
        <v>15504.67</v>
      </c>
      <c r="D897" s="7" t="n">
        <v>15374.66</v>
      </c>
      <c r="E897" s="7" t="n">
        <v>15448.02</v>
      </c>
      <c r="F897" s="7" t="n">
        <v>4083</v>
      </c>
      <c r="G897" s="7" t="n">
        <f aca="false">AVERAGE(E893:E897)</f>
        <v>15601.496</v>
      </c>
      <c r="H897" s="7" t="n">
        <f aca="false">AVERAGE(E888:E897)</f>
        <v>15528.463</v>
      </c>
      <c r="I897" s="7" t="n">
        <f aca="false">AVERAGE(E878:E897)</f>
        <v>15279.385</v>
      </c>
      <c r="J897" s="7" t="n">
        <f aca="false">AVERAGE(E848:E897)</f>
        <v>14692.158</v>
      </c>
      <c r="K897" s="7" t="n">
        <f aca="false">AVERAGE(E798:E897)</f>
        <v>13734.4621</v>
      </c>
      <c r="L897" s="7" t="n">
        <f aca="false">AVERAGE(E698:E897)</f>
        <v>12651.89585</v>
      </c>
      <c r="M897" s="7" t="n">
        <f aca="false">I897</f>
        <v>15279.385</v>
      </c>
      <c r="N897" s="7" t="n">
        <f aca="false">I897+2*STDEV(E878:E897)</f>
        <v>15916.2013533175</v>
      </c>
      <c r="O897" s="7" t="n">
        <f aca="false">I897-2*STDEV(E878:E897)</f>
        <v>14642.5686466825</v>
      </c>
      <c r="P897" s="7" t="n">
        <f aca="false">MAX(E897-E896,0)</f>
        <v>22.3500000000004</v>
      </c>
      <c r="Q897" s="7" t="n">
        <f aca="false">MAX(E896-E897,0)</f>
        <v>0</v>
      </c>
      <c r="R897" s="7" t="n">
        <f aca="false">(R896*13+P897)/14</f>
        <v>67.8188011180295</v>
      </c>
      <c r="S897" s="7" t="n">
        <f aca="false">(S896*13+Q897)/14</f>
        <v>46.3569793253951</v>
      </c>
      <c r="T897" s="7" t="n">
        <f aca="false">IF(S897=0,100,100-100/(1+R897/S897))</f>
        <v>59.3985877343177</v>
      </c>
      <c r="U897" s="7" t="n">
        <f aca="false">E897*2/13+U896*11/13</f>
        <v>15446.0454524457</v>
      </c>
      <c r="V897" s="7" t="n">
        <f aca="false">E897*2/27+V896*25/27</f>
        <v>15188.6396093017</v>
      </c>
      <c r="W897" s="7" t="n">
        <f aca="false">U897-V897</f>
        <v>257.405843143997</v>
      </c>
      <c r="X897" s="7" t="n">
        <f aca="false">W897*2/10+X896*8/10</f>
        <v>281.474044273924</v>
      </c>
      <c r="Y897" s="7" t="n">
        <f aca="false">W897-X897</f>
        <v>-24.0682011299268</v>
      </c>
      <c r="Z897" s="8" t="s">
        <v>42</v>
      </c>
      <c r="AA897" s="7" t="str">
        <f aca="false">IFERROR(INDEX(02_轉折點45!B:B,MATCH(A897,02_轉折點45!A:A,0)),"")</f>
        <v/>
      </c>
      <c r="AB897" s="7" t="n">
        <f aca="false">COUNTIFS(05_訊號明細!A:A,A897,05_訊號明細!C:C,"TOP")</f>
        <v>0</v>
      </c>
      <c r="AC897" s="7" t="n">
        <f aca="false">COUNTIFS(05_訊號明細!A:A,A897,05_訊號明細!C:C,"BOTTOM")</f>
        <v>0</v>
      </c>
    </row>
    <row r="898" customFormat="false" ht="15" hidden="false" customHeight="false" outlineLevel="0" collapsed="false">
      <c r="A898" s="7" t="s">
        <v>939</v>
      </c>
      <c r="B898" s="7" t="n">
        <v>15483.06</v>
      </c>
      <c r="C898" s="7" t="n">
        <v>15622.69</v>
      </c>
      <c r="D898" s="7" t="n">
        <v>15482.04</v>
      </c>
      <c r="E898" s="7" t="n">
        <v>15561.42</v>
      </c>
      <c r="F898" s="7" t="n">
        <v>3812</v>
      </c>
      <c r="G898" s="7" t="n">
        <f aca="false">AVERAGE(E894:E898)</f>
        <v>15545.51</v>
      </c>
      <c r="H898" s="7" t="n">
        <f aca="false">AVERAGE(E889:E898)</f>
        <v>15572.699</v>
      </c>
      <c r="I898" s="7" t="n">
        <f aca="false">AVERAGE(E879:E898)</f>
        <v>15323.005</v>
      </c>
      <c r="J898" s="7" t="n">
        <f aca="false">AVERAGE(E849:E898)</f>
        <v>14735.5908</v>
      </c>
      <c r="K898" s="7" t="n">
        <f aca="false">AVERAGE(E799:E898)</f>
        <v>13770.6906</v>
      </c>
      <c r="L898" s="7" t="n">
        <f aca="false">AVERAGE(E699:E898)</f>
        <v>12671.83705</v>
      </c>
      <c r="M898" s="7" t="n">
        <f aca="false">I898</f>
        <v>15323.005</v>
      </c>
      <c r="N898" s="7" t="n">
        <f aca="false">I898+2*STDEV(E879:E898)</f>
        <v>15906.86698663</v>
      </c>
      <c r="O898" s="7" t="n">
        <f aca="false">I898-2*STDEV(E879:E898)</f>
        <v>14739.14301337</v>
      </c>
      <c r="P898" s="7" t="n">
        <f aca="false">MAX(E898-E897,0)</f>
        <v>113.4</v>
      </c>
      <c r="Q898" s="7" t="n">
        <f aca="false">MAX(E897-E898,0)</f>
        <v>0</v>
      </c>
      <c r="R898" s="7" t="n">
        <f aca="false">(R897*13+P898)/14</f>
        <v>71.0746010381703</v>
      </c>
      <c r="S898" s="7" t="n">
        <f aca="false">(S897*13+Q898)/14</f>
        <v>43.0457665164383</v>
      </c>
      <c r="T898" s="7" t="n">
        <f aca="false">IF(S898=0,100,100-100/(1+R898/S898))</f>
        <v>62.2803821624215</v>
      </c>
      <c r="U898" s="7" t="n">
        <f aca="false">E898*2/13+U897*11/13</f>
        <v>15463.7953828387</v>
      </c>
      <c r="V898" s="7" t="n">
        <f aca="false">E898*2/27+V897*25/27</f>
        <v>15216.2529715757</v>
      </c>
      <c r="W898" s="7" t="n">
        <f aca="false">U898-V898</f>
        <v>247.542411263019</v>
      </c>
      <c r="X898" s="7" t="n">
        <f aca="false">W898*2/10+X897*8/10</f>
        <v>274.687717671743</v>
      </c>
      <c r="Y898" s="7" t="n">
        <f aca="false">W898-X898</f>
        <v>-27.145306408724</v>
      </c>
      <c r="Z898" s="8" t="s">
        <v>42</v>
      </c>
      <c r="AA898" s="7" t="str">
        <f aca="false">IFERROR(INDEX(02_轉折點45!B:B,MATCH(A898,02_轉折點45!A:A,0)),"")</f>
        <v/>
      </c>
      <c r="AB898" s="7" t="n">
        <f aca="false">COUNTIFS(05_訊號明細!A:A,A898,05_訊號明細!C:C,"TOP")</f>
        <v>1</v>
      </c>
      <c r="AC898" s="7" t="n">
        <f aca="false">COUNTIFS(05_訊號明細!A:A,A898,05_訊號明細!C:C,"BOTTOM")</f>
        <v>0</v>
      </c>
    </row>
    <row r="899" customFormat="false" ht="15" hidden="false" customHeight="false" outlineLevel="0" collapsed="false">
      <c r="A899" s="7" t="s">
        <v>940</v>
      </c>
      <c r="B899" s="7" t="n">
        <v>15514.04</v>
      </c>
      <c r="C899" s="7" t="n">
        <v>15571.16</v>
      </c>
      <c r="D899" s="7" t="n">
        <v>15411.91</v>
      </c>
      <c r="E899" s="7" t="n">
        <v>15499.26</v>
      </c>
      <c r="F899" s="7" t="n">
        <v>4322</v>
      </c>
      <c r="G899" s="7" t="n">
        <f aca="false">AVERAGE(E895:E899)</f>
        <v>15480.092</v>
      </c>
      <c r="H899" s="7" t="n">
        <f aca="false">AVERAGE(E890:E899)</f>
        <v>15591.902</v>
      </c>
      <c r="I899" s="7" t="n">
        <f aca="false">AVERAGE(E880:E899)</f>
        <v>15350.6725</v>
      </c>
      <c r="J899" s="7" t="n">
        <f aca="false">AVERAGE(E850:E899)</f>
        <v>14778.7724</v>
      </c>
      <c r="K899" s="7" t="n">
        <f aca="false">AVERAGE(E800:E899)</f>
        <v>13805.2345</v>
      </c>
      <c r="L899" s="7" t="n">
        <f aca="false">AVERAGE(E700:E899)</f>
        <v>12691.90585</v>
      </c>
      <c r="M899" s="7" t="n">
        <f aca="false">I899</f>
        <v>15350.6725</v>
      </c>
      <c r="N899" s="7" t="n">
        <f aca="false">I899+2*STDEV(E880:E899)</f>
        <v>15911.274763956</v>
      </c>
      <c r="O899" s="7" t="n">
        <f aca="false">I899-2*STDEV(E880:E899)</f>
        <v>14790.070236044</v>
      </c>
      <c r="P899" s="7" t="n">
        <f aca="false">MAX(E899-E898,0)</f>
        <v>0</v>
      </c>
      <c r="Q899" s="7" t="n">
        <f aca="false">MAX(E898-E899,0)</f>
        <v>62.1599999999999</v>
      </c>
      <c r="R899" s="7" t="n">
        <f aca="false">(R898*13+P899)/14</f>
        <v>65.9978438211581</v>
      </c>
      <c r="S899" s="7" t="n">
        <f aca="false">(S898*13+Q899)/14</f>
        <v>44.4110689081213</v>
      </c>
      <c r="T899" s="7" t="n">
        <f aca="false">IF(S899=0,100,100-100/(1+R899/S899))</f>
        <v>59.7758298580329</v>
      </c>
      <c r="U899" s="7" t="n">
        <f aca="false">E899*2/13+U898*11/13</f>
        <v>15469.2514777866</v>
      </c>
      <c r="V899" s="7" t="n">
        <f aca="false">E899*2/27+V898*25/27</f>
        <v>15237.2164551627</v>
      </c>
      <c r="W899" s="7" t="n">
        <f aca="false">U899-V899</f>
        <v>232.035022623924</v>
      </c>
      <c r="X899" s="7" t="n">
        <f aca="false">W899*2/10+X898*8/10</f>
        <v>266.157178662179</v>
      </c>
      <c r="Y899" s="7" t="n">
        <f aca="false">W899-X899</f>
        <v>-34.1221560382549</v>
      </c>
      <c r="Z899" s="8" t="s">
        <v>42</v>
      </c>
      <c r="AA899" s="7" t="str">
        <f aca="false">IFERROR(INDEX(02_轉折點45!B:B,MATCH(A899,02_轉折點45!A:A,0)),"")</f>
        <v/>
      </c>
      <c r="AB899" s="7" t="n">
        <f aca="false">COUNTIFS(05_訊號明細!A:A,A899,05_訊號明細!C:C,"TOP")</f>
        <v>0</v>
      </c>
      <c r="AC899" s="7" t="n">
        <f aca="false">COUNTIFS(05_訊號明細!A:A,A899,05_訊號明細!C:C,"BOTTOM")</f>
        <v>0</v>
      </c>
    </row>
    <row r="900" customFormat="false" ht="15" hidden="false" customHeight="false" outlineLevel="0" collapsed="false">
      <c r="A900" s="7" t="s">
        <v>941</v>
      </c>
      <c r="B900" s="7" t="n">
        <v>15734.03</v>
      </c>
      <c r="C900" s="7" t="n">
        <v>15795.51</v>
      </c>
      <c r="D900" s="7" t="n">
        <v>15416.05</v>
      </c>
      <c r="E900" s="7" t="n">
        <v>15464.93</v>
      </c>
      <c r="F900" s="7" t="n">
        <v>5116</v>
      </c>
      <c r="G900" s="7" t="n">
        <f aca="false">AVERAGE(E896:E900)</f>
        <v>15479.86</v>
      </c>
      <c r="H900" s="7" t="n">
        <f aca="false">AVERAGE(E891:E900)</f>
        <v>15581.197</v>
      </c>
      <c r="I900" s="7" t="n">
        <f aca="false">AVERAGE(E881:E900)</f>
        <v>15375.6905</v>
      </c>
      <c r="J900" s="7" t="n">
        <f aca="false">AVERAGE(E851:E900)</f>
        <v>14819.8008</v>
      </c>
      <c r="K900" s="7" t="n">
        <f aca="false">AVERAGE(E801:E900)</f>
        <v>13836.9757</v>
      </c>
      <c r="L900" s="7" t="n">
        <f aca="false">AVERAGE(E701:E900)</f>
        <v>12714.03315</v>
      </c>
      <c r="M900" s="7" t="n">
        <f aca="false">I900</f>
        <v>15375.6905</v>
      </c>
      <c r="N900" s="7" t="n">
        <f aca="false">I900+2*STDEV(E881:E900)</f>
        <v>15907.6713853897</v>
      </c>
      <c r="O900" s="7" t="n">
        <f aca="false">I900-2*STDEV(E881:E900)</f>
        <v>14843.7096146103</v>
      </c>
      <c r="P900" s="7" t="n">
        <f aca="false">MAX(E900-E899,0)</f>
        <v>0</v>
      </c>
      <c r="Q900" s="7" t="n">
        <f aca="false">MAX(E899-E900,0)</f>
        <v>34.3299999999999</v>
      </c>
      <c r="R900" s="7" t="n">
        <f aca="false">(R899*13+P900)/14</f>
        <v>61.2837121196468</v>
      </c>
      <c r="S900" s="7" t="n">
        <f aca="false">(S899*13+Q900)/14</f>
        <v>43.6909925575412</v>
      </c>
      <c r="T900" s="7" t="n">
        <f aca="false">IF(S900=0,100,100-100/(1+R900/S900))</f>
        <v>58.3795041939893</v>
      </c>
      <c r="U900" s="7" t="n">
        <f aca="false">E900*2/13+U899*11/13</f>
        <v>15468.5866350502</v>
      </c>
      <c r="V900" s="7" t="n">
        <f aca="false">E900*2/27+V899*25/27</f>
        <v>15254.0841251506</v>
      </c>
      <c r="W900" s="7" t="n">
        <f aca="false">U900-V900</f>
        <v>214.502509899576</v>
      </c>
      <c r="X900" s="7" t="n">
        <f aca="false">W900*2/10+X899*8/10</f>
        <v>255.826244909659</v>
      </c>
      <c r="Y900" s="7" t="n">
        <f aca="false">W900-X900</f>
        <v>-41.3237350100828</v>
      </c>
      <c r="Z900" s="8" t="s">
        <v>42</v>
      </c>
      <c r="AA900" s="7" t="str">
        <f aca="false">IFERROR(INDEX(02_轉折點45!B:B,MATCH(A900,02_轉折點45!A:A,0)),"")</f>
        <v/>
      </c>
      <c r="AB900" s="7" t="n">
        <f aca="false">COUNTIFS(05_訊號明細!A:A,A900,05_訊號明細!C:C,"TOP")</f>
        <v>0</v>
      </c>
      <c r="AC900" s="7" t="n">
        <f aca="false">COUNTIFS(05_訊號明細!A:A,A900,05_訊號明細!C:C,"BOTTOM")</f>
        <v>0</v>
      </c>
    </row>
    <row r="901" customFormat="false" ht="15" hidden="false" customHeight="false" outlineLevel="0" collapsed="false">
      <c r="A901" s="7" t="s">
        <v>942</v>
      </c>
      <c r="B901" s="7" t="n">
        <v>15630.17</v>
      </c>
      <c r="C901" s="7" t="n">
        <v>15788.48</v>
      </c>
      <c r="D901" s="7" t="n">
        <v>15617.75</v>
      </c>
      <c r="E901" s="7" t="n">
        <v>15750.93</v>
      </c>
      <c r="F901" s="7" t="n">
        <v>4454</v>
      </c>
      <c r="G901" s="7" t="n">
        <f aca="false">AVERAGE(E897:E901)</f>
        <v>15544.912</v>
      </c>
      <c r="H901" s="7" t="n">
        <f aca="false">AVERAGE(E892:E901)</f>
        <v>15599.73</v>
      </c>
      <c r="I901" s="7" t="n">
        <f aca="false">AVERAGE(E882:E901)</f>
        <v>15416.2395</v>
      </c>
      <c r="J901" s="7" t="n">
        <f aca="false">AVERAGE(E852:E901)</f>
        <v>14866.2992</v>
      </c>
      <c r="K901" s="7" t="n">
        <f aca="false">AVERAGE(E802:E901)</f>
        <v>13871.4602</v>
      </c>
      <c r="L901" s="7" t="n">
        <f aca="false">AVERAGE(E702:E901)</f>
        <v>12738.15295</v>
      </c>
      <c r="M901" s="7" t="n">
        <f aca="false">I901</f>
        <v>15416.2395</v>
      </c>
      <c r="N901" s="7" t="n">
        <f aca="false">I901+2*STDEV(E882:E901)</f>
        <v>15931.7500527523</v>
      </c>
      <c r="O901" s="7" t="n">
        <f aca="false">I901-2*STDEV(E882:E901)</f>
        <v>14900.7289472477</v>
      </c>
      <c r="P901" s="7" t="n">
        <f aca="false">MAX(E901-E900,0)</f>
        <v>286</v>
      </c>
      <c r="Q901" s="7" t="n">
        <f aca="false">MAX(E900-E901,0)</f>
        <v>0</v>
      </c>
      <c r="R901" s="7" t="n">
        <f aca="false">(R900*13+P901)/14</f>
        <v>77.334875539672</v>
      </c>
      <c r="S901" s="7" t="n">
        <f aca="false">(S900*13+Q901)/14</f>
        <v>40.5702073748597</v>
      </c>
      <c r="T901" s="7" t="n">
        <f aca="false">IF(S901=0,100,100-100/(1+R901/S901))</f>
        <v>65.5907901746114</v>
      </c>
      <c r="U901" s="7" t="n">
        <f aca="false">E901*2/13+U900*11/13</f>
        <v>15512.0240758117</v>
      </c>
      <c r="V901" s="7" t="n">
        <f aca="false">E901*2/27+V900*25/27</f>
        <v>15290.8875232876</v>
      </c>
      <c r="W901" s="7" t="n">
        <f aca="false">U901-V901</f>
        <v>221.136552524094</v>
      </c>
      <c r="X901" s="7" t="n">
        <f aca="false">W901*2/10+X900*8/10</f>
        <v>248.888306432546</v>
      </c>
      <c r="Y901" s="7" t="n">
        <f aca="false">W901-X901</f>
        <v>-27.7517539084512</v>
      </c>
      <c r="Z901" s="8" t="s">
        <v>42</v>
      </c>
      <c r="AA901" s="7" t="str">
        <f aca="false">IFERROR(INDEX(02_轉折點45!B:B,MATCH(A901,02_轉折點45!A:A,0)),"")</f>
        <v/>
      </c>
      <c r="AB901" s="7" t="n">
        <f aca="false">COUNTIFS(05_訊號明細!A:A,A901,05_訊號明細!C:C,"TOP")</f>
        <v>0</v>
      </c>
      <c r="AC901" s="7" t="n">
        <f aca="false">COUNTIFS(05_訊號明細!A:A,A901,05_訊號明細!C:C,"BOTTOM")</f>
        <v>0</v>
      </c>
    </row>
    <row r="902" customFormat="false" ht="15" hidden="false" customHeight="false" outlineLevel="0" collapsed="false">
      <c r="A902" s="7" t="s">
        <v>943</v>
      </c>
      <c r="B902" s="7" t="n">
        <v>15774.3</v>
      </c>
      <c r="C902" s="7" t="n">
        <v>15803.55</v>
      </c>
      <c r="D902" s="7" t="n">
        <v>15702.74</v>
      </c>
      <c r="E902" s="7" t="n">
        <v>15757</v>
      </c>
      <c r="F902" s="7" t="n">
        <v>4934</v>
      </c>
      <c r="G902" s="7" t="n">
        <f aca="false">AVERAGE(E898:E902)</f>
        <v>15606.708</v>
      </c>
      <c r="H902" s="7" t="n">
        <f aca="false">AVERAGE(E893:E902)</f>
        <v>15604.102</v>
      </c>
      <c r="I902" s="7" t="n">
        <f aca="false">AVERAGE(E883:E902)</f>
        <v>15445.129</v>
      </c>
      <c r="J902" s="7" t="n">
        <f aca="false">AVERAGE(E853:E902)</f>
        <v>14909.654</v>
      </c>
      <c r="K902" s="7" t="n">
        <f aca="false">AVERAGE(E803:E902)</f>
        <v>13907.5085</v>
      </c>
      <c r="L902" s="7" t="n">
        <f aca="false">AVERAGE(E703:E902)</f>
        <v>12762.9812</v>
      </c>
      <c r="M902" s="7" t="n">
        <f aca="false">I902</f>
        <v>15445.129</v>
      </c>
      <c r="N902" s="7" t="n">
        <f aca="false">I902+2*STDEV(E883:E902)</f>
        <v>15969.3950107798</v>
      </c>
      <c r="O902" s="7" t="n">
        <f aca="false">I902-2*STDEV(E883:E902)</f>
        <v>14920.8629892202</v>
      </c>
      <c r="P902" s="7" t="n">
        <f aca="false">MAX(E902-E901,0)</f>
        <v>6.06999999999971</v>
      </c>
      <c r="Q902" s="7" t="n">
        <f aca="false">MAX(E901-E902,0)</f>
        <v>0</v>
      </c>
      <c r="R902" s="7" t="n">
        <f aca="false">(R901*13+P902)/14</f>
        <v>72.2445272868383</v>
      </c>
      <c r="S902" s="7" t="n">
        <f aca="false">(S901*13+Q902)/14</f>
        <v>37.6723354195125</v>
      </c>
      <c r="T902" s="7" t="n">
        <f aca="false">IF(S902=0,100,100-100/(1+R902/S902))</f>
        <v>65.7265186687903</v>
      </c>
      <c r="U902" s="7" t="n">
        <f aca="false">E902*2/13+U901*11/13</f>
        <v>15549.712679533</v>
      </c>
      <c r="V902" s="7" t="n">
        <f aca="false">E902*2/27+V901*25/27</f>
        <v>15325.4143734144</v>
      </c>
      <c r="W902" s="7" t="n">
        <f aca="false">U902-V902</f>
        <v>224.298306118528</v>
      </c>
      <c r="X902" s="7" t="n">
        <f aca="false">W902*2/10+X901*8/10</f>
        <v>243.970306369742</v>
      </c>
      <c r="Y902" s="7" t="n">
        <f aca="false">W902-X902</f>
        <v>-19.6720002512143</v>
      </c>
      <c r="Z902" s="8" t="s">
        <v>42</v>
      </c>
      <c r="AA902" s="7" t="str">
        <f aca="false">IFERROR(INDEX(02_轉折點45!B:B,MATCH(A902,02_轉折點45!A:A,0)),"")</f>
        <v/>
      </c>
      <c r="AB902" s="7" t="n">
        <f aca="false">COUNTIFS(05_訊號明細!A:A,A902,05_訊號明細!C:C,"TOP")</f>
        <v>0</v>
      </c>
      <c r="AC902" s="7" t="n">
        <f aca="false">COUNTIFS(05_訊號明細!A:A,A902,05_訊號明細!C:C,"BOTTOM")</f>
        <v>0</v>
      </c>
    </row>
    <row r="903" customFormat="false" ht="15" hidden="false" customHeight="false" outlineLevel="0" collapsed="false">
      <c r="A903" s="7" t="s">
        <v>944</v>
      </c>
      <c r="B903" s="7" t="n">
        <v>15696.98</v>
      </c>
      <c r="C903" s="7" t="n">
        <v>15748.43</v>
      </c>
      <c r="D903" s="7" t="n">
        <v>15636.57</v>
      </c>
      <c r="E903" s="7" t="n">
        <v>15718.01</v>
      </c>
      <c r="F903" s="7" t="n">
        <v>4634</v>
      </c>
      <c r="G903" s="7" t="n">
        <f aca="false">AVERAGE(E899:E903)</f>
        <v>15638.026</v>
      </c>
      <c r="H903" s="7" t="n">
        <f aca="false">AVERAGE(E894:E903)</f>
        <v>15591.768</v>
      </c>
      <c r="I903" s="7" t="n">
        <f aca="false">AVERAGE(E884:E903)</f>
        <v>15470.595</v>
      </c>
      <c r="J903" s="7" t="n">
        <f aca="false">AVERAGE(E854:E903)</f>
        <v>14947.3218</v>
      </c>
      <c r="K903" s="7" t="n">
        <f aca="false">AVERAGE(E804:E903)</f>
        <v>13942.5353</v>
      </c>
      <c r="L903" s="7" t="n">
        <f aca="false">AVERAGE(E704:E903)</f>
        <v>12787.64315</v>
      </c>
      <c r="M903" s="7" t="n">
        <f aca="false">I903</f>
        <v>15470.595</v>
      </c>
      <c r="N903" s="7" t="n">
        <f aca="false">I903+2*STDEV(E884:E903)</f>
        <v>15995.9822424673</v>
      </c>
      <c r="O903" s="7" t="n">
        <f aca="false">I903-2*STDEV(E884:E903)</f>
        <v>14945.2077575327</v>
      </c>
      <c r="P903" s="7" t="n">
        <f aca="false">MAX(E903-E902,0)</f>
        <v>0</v>
      </c>
      <c r="Q903" s="7" t="n">
        <f aca="false">MAX(E902-E903,0)</f>
        <v>38.9899999999998</v>
      </c>
      <c r="R903" s="7" t="n">
        <f aca="false">(R902*13+P903)/14</f>
        <v>67.084203909207</v>
      </c>
      <c r="S903" s="7" t="n">
        <f aca="false">(S902*13+Q903)/14</f>
        <v>37.7664543181188</v>
      </c>
      <c r="T903" s="7" t="n">
        <f aca="false">IF(S903=0,100,100-100/(1+R903/S903))</f>
        <v>63.9807179500603</v>
      </c>
      <c r="U903" s="7" t="n">
        <f aca="false">E903*2/13+U902*11/13</f>
        <v>15575.6045749894</v>
      </c>
      <c r="V903" s="7" t="n">
        <f aca="false">E903*2/27+V902*25/27</f>
        <v>15354.4955309393</v>
      </c>
      <c r="W903" s="7" t="n">
        <f aca="false">U903-V903</f>
        <v>221.109044050138</v>
      </c>
      <c r="X903" s="7" t="n">
        <f aca="false">W903*2/10+X902*8/10</f>
        <v>239.398053905821</v>
      </c>
      <c r="Y903" s="7" t="n">
        <f aca="false">W903-X903</f>
        <v>-18.2890098556837</v>
      </c>
      <c r="Z903" s="8" t="s">
        <v>42</v>
      </c>
      <c r="AA903" s="7" t="str">
        <f aca="false">IFERROR(INDEX(02_轉折點45!B:B,MATCH(A903,02_轉折點45!A:A,0)),"")</f>
        <v/>
      </c>
      <c r="AB903" s="7" t="n">
        <f aca="false">COUNTIFS(05_訊號明細!A:A,A903,05_訊號明細!C:C,"TOP")</f>
        <v>0</v>
      </c>
      <c r="AC903" s="7" t="n">
        <f aca="false">COUNTIFS(05_訊號明細!A:A,A903,05_訊號明細!C:C,"BOTTOM")</f>
        <v>0</v>
      </c>
    </row>
    <row r="904" customFormat="false" ht="15" hidden="false" customHeight="false" outlineLevel="0" collapsed="false">
      <c r="A904" s="7" t="s">
        <v>945</v>
      </c>
      <c r="B904" s="7" t="n">
        <v>15561.15</v>
      </c>
      <c r="C904" s="7" t="n">
        <v>15561.36</v>
      </c>
      <c r="D904" s="7" t="n">
        <v>15321.44</v>
      </c>
      <c r="E904" s="7" t="n">
        <v>15370.74</v>
      </c>
      <c r="F904" s="7" t="n">
        <v>5482</v>
      </c>
      <c r="G904" s="7" t="n">
        <f aca="false">AVERAGE(E900:E904)</f>
        <v>15612.322</v>
      </c>
      <c r="H904" s="7" t="n">
        <f aca="false">AVERAGE(E895:E904)</f>
        <v>15546.207</v>
      </c>
      <c r="I904" s="7" t="n">
        <f aca="false">AVERAGE(E885:E904)</f>
        <v>15478.943</v>
      </c>
      <c r="J904" s="7" t="n">
        <f aca="false">AVERAGE(E855:E904)</f>
        <v>14978.6668</v>
      </c>
      <c r="K904" s="7" t="n">
        <f aca="false">AVERAGE(E805:E904)</f>
        <v>13976.2839</v>
      </c>
      <c r="L904" s="7" t="n">
        <f aca="false">AVERAGE(E705:E904)</f>
        <v>12809.32895</v>
      </c>
      <c r="M904" s="7" t="n">
        <f aca="false">I904</f>
        <v>15478.943</v>
      </c>
      <c r="N904" s="7" t="n">
        <f aca="false">I904+2*STDEV(E885:E904)</f>
        <v>15991.6320570563</v>
      </c>
      <c r="O904" s="7" t="n">
        <f aca="false">I904-2*STDEV(E885:E904)</f>
        <v>14966.2539429437</v>
      </c>
      <c r="P904" s="7" t="n">
        <f aca="false">MAX(E904-E903,0)</f>
        <v>0</v>
      </c>
      <c r="Q904" s="7" t="n">
        <f aca="false">MAX(E903-E904,0)</f>
        <v>347.27</v>
      </c>
      <c r="R904" s="7" t="n">
        <f aca="false">(R903*13+P904)/14</f>
        <v>62.2924750585494</v>
      </c>
      <c r="S904" s="7" t="n">
        <f aca="false">(S903*13+Q904)/14</f>
        <v>59.8738504382532</v>
      </c>
      <c r="T904" s="7" t="n">
        <f aca="false">IF(S904=0,100,100-100/(1+R904/S904))</f>
        <v>50.9898900578619</v>
      </c>
      <c r="U904" s="7" t="n">
        <f aca="false">E904*2/13+U903*11/13</f>
        <v>15544.086948068</v>
      </c>
      <c r="V904" s="7" t="n">
        <f aca="false">E904*2/27+V903*25/27</f>
        <v>15355.6988249438</v>
      </c>
      <c r="W904" s="7" t="n">
        <f aca="false">U904-V904</f>
        <v>188.388123124189</v>
      </c>
      <c r="X904" s="7" t="n">
        <f aca="false">W904*2/10+X903*8/10</f>
        <v>229.196067749495</v>
      </c>
      <c r="Y904" s="7" t="n">
        <f aca="false">W904-X904</f>
        <v>-40.8079446253062</v>
      </c>
      <c r="Z904" s="8" t="s">
        <v>42</v>
      </c>
      <c r="AA904" s="7" t="str">
        <f aca="false">IFERROR(INDEX(02_轉折點45!B:B,MATCH(A904,02_轉折點45!A:A,0)),"")</f>
        <v/>
      </c>
      <c r="AB904" s="7" t="n">
        <f aca="false">COUNTIFS(05_訊號明細!A:A,A904,05_訊號明細!C:C,"TOP")</f>
        <v>0</v>
      </c>
      <c r="AC904" s="7" t="n">
        <f aca="false">COUNTIFS(05_訊號明細!A:A,A904,05_訊號明細!C:C,"BOTTOM")</f>
        <v>0</v>
      </c>
    </row>
    <row r="905" customFormat="false" ht="15" hidden="false" customHeight="false" outlineLevel="0" collapsed="false">
      <c r="A905" s="7" t="s">
        <v>946</v>
      </c>
      <c r="B905" s="7" t="n">
        <v>15287.77</v>
      </c>
      <c r="C905" s="7" t="n">
        <v>15436.59</v>
      </c>
      <c r="D905" s="7" t="n">
        <v>15270.72</v>
      </c>
      <c r="E905" s="7" t="n">
        <v>15353.54</v>
      </c>
      <c r="F905" s="7" t="n">
        <v>6037</v>
      </c>
      <c r="G905" s="7" t="n">
        <f aca="false">AVERAGE(E901:E905)</f>
        <v>15590.044</v>
      </c>
      <c r="H905" s="7" t="n">
        <f aca="false">AVERAGE(E896:E905)</f>
        <v>15534.952</v>
      </c>
      <c r="I905" s="7" t="n">
        <f aca="false">AVERAGE(E886:E905)</f>
        <v>15492.1475</v>
      </c>
      <c r="J905" s="7" t="n">
        <f aca="false">AVERAGE(E856:E905)</f>
        <v>15008.7428</v>
      </c>
      <c r="K905" s="7" t="n">
        <f aca="false">AVERAGE(E806:E905)</f>
        <v>14011.5165</v>
      </c>
      <c r="L905" s="7" t="n">
        <f aca="false">AVERAGE(E706:E905)</f>
        <v>12832.63635</v>
      </c>
      <c r="M905" s="7" t="n">
        <f aca="false">I905</f>
        <v>15492.1475</v>
      </c>
      <c r="N905" s="7" t="n">
        <f aca="false">I905+2*STDEV(E886:E905)</f>
        <v>15975.3542810118</v>
      </c>
      <c r="O905" s="7" t="n">
        <f aca="false">I905-2*STDEV(E886:E905)</f>
        <v>15008.9407189882</v>
      </c>
      <c r="P905" s="7" t="n">
        <f aca="false">MAX(E905-E904,0)</f>
        <v>0</v>
      </c>
      <c r="Q905" s="7" t="n">
        <f aca="false">MAX(E904-E905,0)</f>
        <v>17.1999999999989</v>
      </c>
      <c r="R905" s="7" t="n">
        <f aca="false">(R904*13+P905)/14</f>
        <v>57.8430125543673</v>
      </c>
      <c r="S905" s="7" t="n">
        <f aca="false">(S904*13+Q905)/14</f>
        <v>56.8257182640921</v>
      </c>
      <c r="T905" s="7" t="n">
        <f aca="false">IF(S905=0,100,100-100/(1+R905/S905))</f>
        <v>50.4435796415527</v>
      </c>
      <c r="U905" s="7" t="n">
        <f aca="false">E905*2/13+U904*11/13</f>
        <v>15514.7720329806</v>
      </c>
      <c r="V905" s="7" t="n">
        <f aca="false">E905*2/27+V904*25/27</f>
        <v>15355.538911985</v>
      </c>
      <c r="W905" s="7" t="n">
        <f aca="false">U905-V905</f>
        <v>159.233120995605</v>
      </c>
      <c r="X905" s="7" t="n">
        <f aca="false">W905*2/10+X904*8/10</f>
        <v>215.203478398717</v>
      </c>
      <c r="Y905" s="7" t="n">
        <f aca="false">W905-X905</f>
        <v>-55.970357403112</v>
      </c>
      <c r="Z905" s="8" t="s">
        <v>42</v>
      </c>
      <c r="AA905" s="7" t="str">
        <f aca="false">IFERROR(INDEX(02_轉折點45!B:B,MATCH(A905,02_轉折點45!A:A,0)),"")</f>
        <v/>
      </c>
      <c r="AB905" s="7" t="n">
        <f aca="false">COUNTIFS(05_訊號明細!A:A,A905,05_訊號明細!C:C,"TOP")</f>
        <v>0</v>
      </c>
      <c r="AC905" s="7" t="n">
        <f aca="false">COUNTIFS(05_訊號明細!A:A,A905,05_訊號明細!C:C,"BOTTOM")</f>
        <v>0</v>
      </c>
    </row>
    <row r="906" customFormat="false" ht="15" hidden="false" customHeight="false" outlineLevel="0" collapsed="false">
      <c r="A906" s="7" t="s">
        <v>947</v>
      </c>
      <c r="B906" s="7" t="n">
        <v>15420.74</v>
      </c>
      <c r="C906" s="7" t="n">
        <v>15523.31</v>
      </c>
      <c r="D906" s="7" t="n">
        <v>15258.69</v>
      </c>
      <c r="E906" s="7" t="n">
        <v>15274.92</v>
      </c>
      <c r="F906" s="7" t="n">
        <v>5349</v>
      </c>
      <c r="G906" s="7" t="n">
        <f aca="false">AVERAGE(E902:E906)</f>
        <v>15494.842</v>
      </c>
      <c r="H906" s="7" t="n">
        <f aca="false">AVERAGE(E897:E906)</f>
        <v>15519.877</v>
      </c>
      <c r="I906" s="7" t="n">
        <f aca="false">AVERAGE(E887:E906)</f>
        <v>15504.051</v>
      </c>
      <c r="J906" s="7" t="n">
        <f aca="false">AVERAGE(E857:E906)</f>
        <v>15040.7904</v>
      </c>
      <c r="K906" s="7" t="n">
        <f aca="false">AVERAGE(E807:E906)</f>
        <v>14045.034</v>
      </c>
      <c r="L906" s="7" t="n">
        <f aca="false">AVERAGE(E707:E906)</f>
        <v>12853.6983</v>
      </c>
      <c r="M906" s="7" t="n">
        <f aca="false">I906</f>
        <v>15504.051</v>
      </c>
      <c r="N906" s="7" t="n">
        <f aca="false">I906+2*STDEV(E887:E906)</f>
        <v>15950.352732907</v>
      </c>
      <c r="O906" s="7" t="n">
        <f aca="false">I906-2*STDEV(E887:E906)</f>
        <v>15057.749267093</v>
      </c>
      <c r="P906" s="7" t="n">
        <f aca="false">MAX(E906-E905,0)</f>
        <v>0</v>
      </c>
      <c r="Q906" s="7" t="n">
        <f aca="false">MAX(E905-E906,0)</f>
        <v>78.6200000000008</v>
      </c>
      <c r="R906" s="7" t="n">
        <f aca="false">(R905*13+P906)/14</f>
        <v>53.7113688004839</v>
      </c>
      <c r="S906" s="7" t="n">
        <f aca="false">(S905*13+Q906)/14</f>
        <v>58.3824526737999</v>
      </c>
      <c r="T906" s="7" t="n">
        <f aca="false">IF(S906=0,100,100-100/(1+R906/S906))</f>
        <v>47.9164400803359</v>
      </c>
      <c r="U906" s="7" t="n">
        <f aca="false">E906*2/13+U905*11/13</f>
        <v>15477.8717202144</v>
      </c>
      <c r="V906" s="7" t="n">
        <f aca="false">E906*2/27+V905*25/27</f>
        <v>15349.5671407269</v>
      </c>
      <c r="W906" s="7" t="n">
        <f aca="false">U906-V906</f>
        <v>128.304579487507</v>
      </c>
      <c r="X906" s="7" t="n">
        <f aca="false">W906*2/10+X905*8/10</f>
        <v>197.823698616475</v>
      </c>
      <c r="Y906" s="7" t="n">
        <f aca="false">W906-X906</f>
        <v>-69.5191191289677</v>
      </c>
      <c r="Z906" s="8" t="s">
        <v>42</v>
      </c>
      <c r="AA906" s="7" t="str">
        <f aca="false">IFERROR(INDEX(02_轉折點45!B:B,MATCH(A906,02_轉折點45!A:A,0)),"")</f>
        <v/>
      </c>
      <c r="AB906" s="7" t="n">
        <f aca="false">COUNTIFS(05_訊號明細!A:A,A906,05_訊號明細!C:C,"TOP")</f>
        <v>1</v>
      </c>
      <c r="AC906" s="7" t="n">
        <f aca="false">COUNTIFS(05_訊號明細!A:A,A906,05_訊號明細!C:C,"BOTTOM")</f>
        <v>0</v>
      </c>
    </row>
    <row r="907" customFormat="false" ht="15" hidden="false" customHeight="false" outlineLevel="0" collapsed="false">
      <c r="A907" s="7" t="s">
        <v>948</v>
      </c>
      <c r="B907" s="7" t="n">
        <v>15355.62</v>
      </c>
      <c r="C907" s="7" t="n">
        <v>15410.85</v>
      </c>
      <c r="D907" s="7" t="n">
        <v>15258.92</v>
      </c>
      <c r="E907" s="7" t="n">
        <v>15407.85</v>
      </c>
      <c r="F907" s="7" t="n">
        <v>4892</v>
      </c>
      <c r="G907" s="7" t="n">
        <f aca="false">AVERAGE(E903:E907)</f>
        <v>15425.012</v>
      </c>
      <c r="H907" s="7" t="n">
        <f aca="false">AVERAGE(E898:E907)</f>
        <v>15515.86</v>
      </c>
      <c r="I907" s="7" t="n">
        <f aca="false">AVERAGE(E888:E907)</f>
        <v>15522.1615</v>
      </c>
      <c r="J907" s="7" t="n">
        <f aca="false">AVERAGE(E858:E907)</f>
        <v>15076.8578</v>
      </c>
      <c r="K907" s="7" t="n">
        <f aca="false">AVERAGE(E808:E907)</f>
        <v>14077.1146</v>
      </c>
      <c r="L907" s="7" t="n">
        <f aca="false">AVERAGE(E708:E907)</f>
        <v>12874.99885</v>
      </c>
      <c r="M907" s="7" t="n">
        <f aca="false">I907</f>
        <v>15522.1615</v>
      </c>
      <c r="N907" s="7" t="n">
        <f aca="false">I907+2*STDEV(E888:E907)</f>
        <v>15916.5121476155</v>
      </c>
      <c r="O907" s="7" t="n">
        <f aca="false">I907-2*STDEV(E888:E907)</f>
        <v>15127.8108523845</v>
      </c>
      <c r="P907" s="7" t="n">
        <f aca="false">MAX(E907-E906,0)</f>
        <v>132.93</v>
      </c>
      <c r="Q907" s="7" t="n">
        <f aca="false">MAX(E906-E907,0)</f>
        <v>0</v>
      </c>
      <c r="R907" s="7" t="n">
        <f aca="false">(R906*13+P907)/14</f>
        <v>59.3698424575922</v>
      </c>
      <c r="S907" s="7" t="n">
        <f aca="false">(S906*13+Q907)/14</f>
        <v>54.2122774828142</v>
      </c>
      <c r="T907" s="7" t="n">
        <f aca="false">IF(S907=0,100,100-100/(1+R907/S907))</f>
        <v>52.2704123578095</v>
      </c>
      <c r="U907" s="7" t="n">
        <f aca="false">E907*2/13+U906*11/13</f>
        <v>15467.0991478737</v>
      </c>
      <c r="V907" s="7" t="n">
        <f aca="false">E907*2/27+V906*25/27</f>
        <v>15353.8843895619</v>
      </c>
      <c r="W907" s="7" t="n">
        <f aca="false">U907-V907</f>
        <v>113.214758311788</v>
      </c>
      <c r="X907" s="7" t="n">
        <f aca="false">W907*2/10+X906*8/10</f>
        <v>180.901910555537</v>
      </c>
      <c r="Y907" s="7" t="n">
        <f aca="false">W907-X907</f>
        <v>-67.6871522437497</v>
      </c>
      <c r="Z907" s="8" t="s">
        <v>42</v>
      </c>
      <c r="AA907" s="7" t="str">
        <f aca="false">IFERROR(INDEX(02_轉折點45!B:B,MATCH(A907,02_轉折點45!A:A,0)),"")</f>
        <v/>
      </c>
      <c r="AB907" s="7" t="n">
        <f aca="false">COUNTIFS(05_訊號明細!A:A,A907,05_訊號明細!C:C,"TOP")</f>
        <v>0</v>
      </c>
      <c r="AC907" s="7" t="n">
        <f aca="false">COUNTIFS(05_訊號明細!A:A,A907,05_訊號明細!C:C,"BOTTOM")</f>
        <v>0</v>
      </c>
    </row>
    <row r="908" customFormat="false" ht="15" hidden="false" customHeight="false" outlineLevel="0" collapsed="false">
      <c r="A908" s="7" t="s">
        <v>949</v>
      </c>
      <c r="B908" s="7" t="n">
        <v>15279.41</v>
      </c>
      <c r="C908" s="7" t="n">
        <v>15295.8</v>
      </c>
      <c r="D908" s="7" t="n">
        <v>15148.25</v>
      </c>
      <c r="E908" s="7" t="n">
        <v>15273.05</v>
      </c>
      <c r="F908" s="7" t="n">
        <v>5285</v>
      </c>
      <c r="G908" s="7" t="n">
        <f aca="false">AVERAGE(E904:E908)</f>
        <v>15336.02</v>
      </c>
      <c r="H908" s="7" t="n">
        <f aca="false">AVERAGE(E899:E908)</f>
        <v>15487.023</v>
      </c>
      <c r="I908" s="7" t="n">
        <f aca="false">AVERAGE(E889:E908)</f>
        <v>15529.861</v>
      </c>
      <c r="J908" s="7" t="n">
        <f aca="false">AVERAGE(E859:E908)</f>
        <v>15103.5482</v>
      </c>
      <c r="K908" s="7" t="n">
        <f aca="false">AVERAGE(E809:E908)</f>
        <v>14107.3319</v>
      </c>
      <c r="L908" s="7" t="n">
        <f aca="false">AVERAGE(E709:E908)</f>
        <v>12895.8472</v>
      </c>
      <c r="M908" s="7" t="n">
        <f aca="false">I908</f>
        <v>15529.861</v>
      </c>
      <c r="N908" s="7" t="n">
        <f aca="false">I908+2*STDEV(E889:E908)</f>
        <v>15896.0832886028</v>
      </c>
      <c r="O908" s="7" t="n">
        <f aca="false">I908-2*STDEV(E889:E908)</f>
        <v>15163.6387113972</v>
      </c>
      <c r="P908" s="7" t="n">
        <f aca="false">MAX(E908-E907,0)</f>
        <v>0</v>
      </c>
      <c r="Q908" s="7" t="n">
        <f aca="false">MAX(E907-E908,0)</f>
        <v>134.800000000001</v>
      </c>
      <c r="R908" s="7" t="n">
        <f aca="false">(R907*13+P908)/14</f>
        <v>55.129139424907</v>
      </c>
      <c r="S908" s="7" t="n">
        <f aca="false">(S907*13+Q908)/14</f>
        <v>59.968543376899</v>
      </c>
      <c r="T908" s="7" t="n">
        <f aca="false">IF(S908=0,100,100-100/(1+R908/S908))</f>
        <v>47.8976970542816</v>
      </c>
      <c r="U908" s="7" t="n">
        <f aca="false">E908*2/13+U907*11/13</f>
        <v>15437.2454328162</v>
      </c>
      <c r="V908" s="7" t="n">
        <f aca="false">E908*2/27+V907*25/27</f>
        <v>15347.8966570018</v>
      </c>
      <c r="W908" s="7" t="n">
        <f aca="false">U908-V908</f>
        <v>89.3487758144402</v>
      </c>
      <c r="X908" s="7" t="n">
        <f aca="false">W908*2/10+X907*8/10</f>
        <v>162.591283607318</v>
      </c>
      <c r="Y908" s="7" t="n">
        <f aca="false">W908-X908</f>
        <v>-73.2425077928777</v>
      </c>
      <c r="Z908" s="8" t="s">
        <v>42</v>
      </c>
      <c r="AA908" s="7" t="str">
        <f aca="false">IFERROR(INDEX(02_轉折點45!B:B,MATCH(A908,02_轉折點45!A:A,0)),"")</f>
        <v/>
      </c>
      <c r="AB908" s="7" t="n">
        <f aca="false">COUNTIFS(05_訊號明細!A:A,A908,05_訊號明細!C:C,"TOP")</f>
        <v>0</v>
      </c>
      <c r="AC908" s="7" t="n">
        <f aca="false">COUNTIFS(05_訊號明細!A:A,A908,05_訊號明細!C:C,"BOTTOM")</f>
        <v>0</v>
      </c>
    </row>
    <row r="909" customFormat="false" ht="15" hidden="false" customHeight="false" outlineLevel="0" collapsed="false">
      <c r="A909" s="7" t="s">
        <v>950</v>
      </c>
      <c r="B909" s="7" t="n">
        <v>15286.99</v>
      </c>
      <c r="C909" s="7" t="n">
        <v>15288.76</v>
      </c>
      <c r="D909" s="7" t="n">
        <v>15077.91</v>
      </c>
      <c r="E909" s="7" t="n">
        <v>15101.71</v>
      </c>
      <c r="F909" s="7" t="n">
        <v>5591</v>
      </c>
      <c r="G909" s="7" t="n">
        <f aca="false">AVERAGE(E905:E909)</f>
        <v>15282.214</v>
      </c>
      <c r="H909" s="7" t="n">
        <f aca="false">AVERAGE(E900:E909)</f>
        <v>15447.268</v>
      </c>
      <c r="I909" s="7" t="n">
        <f aca="false">AVERAGE(E890:E909)</f>
        <v>15519.585</v>
      </c>
      <c r="J909" s="7" t="n">
        <f aca="false">AVERAGE(E860:E909)</f>
        <v>15119.6142</v>
      </c>
      <c r="K909" s="7" t="n">
        <f aca="false">AVERAGE(E810:E909)</f>
        <v>14132.5351</v>
      </c>
      <c r="L909" s="7" t="n">
        <f aca="false">AVERAGE(E710:E909)</f>
        <v>12916.1222</v>
      </c>
      <c r="M909" s="7" t="n">
        <f aca="false">I909</f>
        <v>15519.585</v>
      </c>
      <c r="N909" s="7" t="n">
        <f aca="false">I909+2*STDEV(E890:E909)</f>
        <v>15921.8682009261</v>
      </c>
      <c r="O909" s="7" t="n">
        <f aca="false">I909-2*STDEV(E890:E909)</f>
        <v>15117.3017990739</v>
      </c>
      <c r="P909" s="7" t="n">
        <f aca="false">MAX(E909-E908,0)</f>
        <v>0</v>
      </c>
      <c r="Q909" s="7" t="n">
        <f aca="false">MAX(E908-E909,0)</f>
        <v>171.34</v>
      </c>
      <c r="R909" s="7" t="n">
        <f aca="false">(R908*13+P909)/14</f>
        <v>51.1913437516994</v>
      </c>
      <c r="S909" s="7" t="n">
        <f aca="false">(S908*13+Q909)/14</f>
        <v>67.9236474214062</v>
      </c>
      <c r="T909" s="7" t="n">
        <f aca="false">IF(S909=0,100,100-100/(1+R909/S909))</f>
        <v>42.9764072914255</v>
      </c>
      <c r="U909" s="7" t="n">
        <f aca="false">E909*2/13+U908*11/13</f>
        <v>15385.6245969983</v>
      </c>
      <c r="V909" s="7" t="n">
        <f aca="false">E909*2/27+V908*25/27</f>
        <v>15329.660608335</v>
      </c>
      <c r="W909" s="7" t="n">
        <f aca="false">U909-V909</f>
        <v>55.9639886633595</v>
      </c>
      <c r="X909" s="7" t="n">
        <f aca="false">W909*2/10+X908*8/10</f>
        <v>141.265824618526</v>
      </c>
      <c r="Y909" s="7" t="n">
        <f aca="false">W909-X909</f>
        <v>-85.3018359551667</v>
      </c>
      <c r="Z909" s="8" t="s">
        <v>42</v>
      </c>
      <c r="AA909" s="7" t="str">
        <f aca="false">IFERROR(INDEX(02_轉折點45!B:B,MATCH(A909,02_轉折點45!A:A,0)),"")</f>
        <v/>
      </c>
      <c r="AB909" s="7" t="n">
        <f aca="false">COUNTIFS(05_訊號明細!A:A,A909,05_訊號明細!C:C,"TOP")</f>
        <v>0</v>
      </c>
      <c r="AC909" s="7" t="n">
        <f aca="false">COUNTIFS(05_訊號明細!A:A,A909,05_訊號明細!C:C,"BOTTOM")</f>
        <v>0</v>
      </c>
    </row>
    <row r="910" customFormat="false" ht="15" hidden="false" customHeight="false" outlineLevel="0" collapsed="false">
      <c r="A910" s="7" t="s">
        <v>951</v>
      </c>
      <c r="B910" s="7" t="n">
        <v>15217.29</v>
      </c>
      <c r="C910" s="7" t="n">
        <v>15366.29</v>
      </c>
      <c r="D910" s="7" t="n">
        <v>15072.49</v>
      </c>
      <c r="E910" s="7" t="n">
        <v>15128.84</v>
      </c>
      <c r="F910" s="7" t="n">
        <v>5299</v>
      </c>
      <c r="G910" s="7" t="n">
        <f aca="false">AVERAGE(E906:E910)</f>
        <v>15237.274</v>
      </c>
      <c r="H910" s="7" t="n">
        <f aca="false">AVERAGE(E901:E910)</f>
        <v>15413.659</v>
      </c>
      <c r="I910" s="7" t="n">
        <f aca="false">AVERAGE(E891:E910)</f>
        <v>15497.428</v>
      </c>
      <c r="J910" s="7" t="n">
        <f aca="false">AVERAGE(E861:E910)</f>
        <v>15135.0912</v>
      </c>
      <c r="K910" s="7" t="n">
        <f aca="false">AVERAGE(E811:E910)</f>
        <v>14158.6247</v>
      </c>
      <c r="L910" s="7" t="n">
        <f aca="false">AVERAGE(E711:E910)</f>
        <v>12935.21475</v>
      </c>
      <c r="M910" s="7" t="n">
        <f aca="false">I910</f>
        <v>15497.428</v>
      </c>
      <c r="N910" s="7" t="n">
        <f aca="false">I910+2*STDEV(E891:E910)</f>
        <v>15934.8411351528</v>
      </c>
      <c r="O910" s="7" t="n">
        <f aca="false">I910-2*STDEV(E891:E910)</f>
        <v>15060.0148648472</v>
      </c>
      <c r="P910" s="7" t="n">
        <f aca="false">MAX(E910-E909,0)</f>
        <v>27.130000000001</v>
      </c>
      <c r="Q910" s="7" t="n">
        <f aca="false">MAX(E909-E910,0)</f>
        <v>0</v>
      </c>
      <c r="R910" s="7" t="n">
        <f aca="false">(R909*13+P910)/14</f>
        <v>49.4726763408638</v>
      </c>
      <c r="S910" s="7" t="n">
        <f aca="false">(S909*13+Q910)/14</f>
        <v>63.0719583198772</v>
      </c>
      <c r="T910" s="7" t="n">
        <f aca="false">IF(S910=0,100,100-100/(1+R910/S910))</f>
        <v>43.9582717470239</v>
      </c>
      <c r="U910" s="7" t="n">
        <f aca="false">E910*2/13+U909*11/13</f>
        <v>15346.1192743832</v>
      </c>
      <c r="V910" s="7" t="n">
        <f aca="false">E910*2/27+V909*25/27</f>
        <v>15314.7850077176</v>
      </c>
      <c r="W910" s="7" t="n">
        <f aca="false">U910-V910</f>
        <v>31.3342666656372</v>
      </c>
      <c r="X910" s="7" t="n">
        <f aca="false">W910*2/10+X909*8/10</f>
        <v>119.279513027948</v>
      </c>
      <c r="Y910" s="7" t="n">
        <f aca="false">W910-X910</f>
        <v>-87.9452463623112</v>
      </c>
      <c r="Z910" s="8" t="s">
        <v>42</v>
      </c>
      <c r="AA910" s="7" t="str">
        <f aca="false">IFERROR(INDEX(02_轉折點45!B:B,MATCH(A910,02_轉折點45!A:A,0)),"")</f>
        <v/>
      </c>
      <c r="AB910" s="7" t="n">
        <f aca="false">COUNTIFS(05_訊號明細!A:A,A910,05_訊號明細!C:C,"TOP")</f>
        <v>0</v>
      </c>
      <c r="AC910" s="7" t="n">
        <f aca="false">COUNTIFS(05_訊號明細!A:A,A910,05_訊號明細!C:C,"BOTTOM")</f>
        <v>0</v>
      </c>
    </row>
    <row r="911" customFormat="false" ht="15" hidden="false" customHeight="false" outlineLevel="0" collapsed="false">
      <c r="A911" s="7" t="s">
        <v>952</v>
      </c>
      <c r="B911" s="7" t="n">
        <v>15010.52</v>
      </c>
      <c r="C911" s="7" t="n">
        <v>15102.53</v>
      </c>
      <c r="D911" s="7" t="n">
        <v>14973.67</v>
      </c>
      <c r="E911" s="7" t="n">
        <v>15028.07</v>
      </c>
      <c r="F911" s="7" t="n">
        <v>4639</v>
      </c>
      <c r="G911" s="7" t="n">
        <f aca="false">AVERAGE(E907:E911)</f>
        <v>15187.904</v>
      </c>
      <c r="H911" s="7" t="n">
        <f aca="false">AVERAGE(E902:E911)</f>
        <v>15341.373</v>
      </c>
      <c r="I911" s="7" t="n">
        <f aca="false">AVERAGE(E892:E911)</f>
        <v>15470.5515</v>
      </c>
      <c r="J911" s="7" t="n">
        <f aca="false">AVERAGE(E862:E911)</f>
        <v>15150.5708</v>
      </c>
      <c r="K911" s="7" t="n">
        <f aca="false">AVERAGE(E812:E911)</f>
        <v>14183.2793</v>
      </c>
      <c r="L911" s="7" t="n">
        <f aca="false">AVERAGE(E712:E911)</f>
        <v>12953.2038</v>
      </c>
      <c r="M911" s="7" t="n">
        <f aca="false">I911</f>
        <v>15470.5515</v>
      </c>
      <c r="N911" s="7" t="n">
        <f aca="false">I911+2*STDEV(E892:E911)</f>
        <v>15953.9650805542</v>
      </c>
      <c r="O911" s="7" t="n">
        <f aca="false">I911-2*STDEV(E892:E911)</f>
        <v>14987.1379194458</v>
      </c>
      <c r="P911" s="7" t="n">
        <f aca="false">MAX(E911-E910,0)</f>
        <v>0</v>
      </c>
      <c r="Q911" s="7" t="n">
        <f aca="false">MAX(E910-E911,0)</f>
        <v>100.77</v>
      </c>
      <c r="R911" s="7" t="n">
        <f aca="false">(R910*13+P911)/14</f>
        <v>45.9389137450878</v>
      </c>
      <c r="S911" s="7" t="n">
        <f aca="false">(S910*13+Q911)/14</f>
        <v>65.7646755827431</v>
      </c>
      <c r="T911" s="7" t="n">
        <f aca="false">IF(S911=0,100,100-100/(1+R911/S911))</f>
        <v>41.1257274914103</v>
      </c>
      <c r="U911" s="7" t="n">
        <f aca="false">E911*2/13+U910*11/13</f>
        <v>15297.1886167858</v>
      </c>
      <c r="V911" s="7" t="n">
        <f aca="false">E911*2/27+V910*25/27</f>
        <v>15293.5468589977</v>
      </c>
      <c r="W911" s="7" t="n">
        <f aca="false">U911-V911</f>
        <v>3.64175778804201</v>
      </c>
      <c r="X911" s="7" t="n">
        <f aca="false">W911*2/10+X910*8/10</f>
        <v>96.1519619799671</v>
      </c>
      <c r="Y911" s="7" t="n">
        <f aca="false">W911-X911</f>
        <v>-92.5102041919251</v>
      </c>
      <c r="Z911" s="8" t="s">
        <v>42</v>
      </c>
      <c r="AA911" s="7" t="str">
        <f aca="false">IFERROR(INDEX(02_轉折點45!B:B,MATCH(A911,02_轉折點45!A:A,0)),"")</f>
        <v/>
      </c>
      <c r="AB911" s="7" t="n">
        <f aca="false">COUNTIFS(05_訊號明細!A:A,A911,05_訊號明細!C:C,"TOP")</f>
        <v>0</v>
      </c>
      <c r="AC911" s="7" t="n">
        <f aca="false">COUNTIFS(05_訊號明細!A:A,A911,05_訊號明細!C:C,"BOTTOM")</f>
        <v>0</v>
      </c>
    </row>
    <row r="912" customFormat="false" ht="15" hidden="false" customHeight="false" outlineLevel="0" collapsed="false">
      <c r="A912" s="7" t="s">
        <v>953</v>
      </c>
      <c r="B912" s="7" t="n">
        <v>14988.42</v>
      </c>
      <c r="C912" s="7" t="n">
        <v>15206.26</v>
      </c>
      <c r="D912" s="7" t="n">
        <v>14972.01</v>
      </c>
      <c r="E912" s="7" t="n">
        <v>15205.59</v>
      </c>
      <c r="F912" s="7" t="n">
        <v>4272</v>
      </c>
      <c r="G912" s="7" t="n">
        <f aca="false">AVERAGE(E908:E912)</f>
        <v>15147.452</v>
      </c>
      <c r="H912" s="7" t="n">
        <f aca="false">AVERAGE(E903:E912)</f>
        <v>15286.232</v>
      </c>
      <c r="I912" s="7" t="n">
        <f aca="false">AVERAGE(E893:E912)</f>
        <v>15445.167</v>
      </c>
      <c r="J912" s="7" t="n">
        <f aca="false">AVERAGE(E863:E912)</f>
        <v>15165.8524</v>
      </c>
      <c r="K912" s="7" t="n">
        <f aca="false">AVERAGE(E813:E912)</f>
        <v>14207.9208</v>
      </c>
      <c r="L912" s="7" t="n">
        <f aca="false">AVERAGE(E713:E912)</f>
        <v>12970.8818</v>
      </c>
      <c r="M912" s="7" t="n">
        <f aca="false">I912</f>
        <v>15445.167</v>
      </c>
      <c r="N912" s="7" t="n">
        <f aca="false">I912+2*STDEV(E893:E912)</f>
        <v>15928.2320586717</v>
      </c>
      <c r="O912" s="7" t="n">
        <f aca="false">I912-2*STDEV(E893:E912)</f>
        <v>14962.1019413283</v>
      </c>
      <c r="P912" s="7" t="n">
        <f aca="false">MAX(E912-E911,0)</f>
        <v>177.52</v>
      </c>
      <c r="Q912" s="7" t="n">
        <f aca="false">MAX(E911-E912,0)</f>
        <v>0</v>
      </c>
      <c r="R912" s="7" t="n">
        <f aca="false">(R911*13+P912)/14</f>
        <v>55.3375627632959</v>
      </c>
      <c r="S912" s="7" t="n">
        <f aca="false">(S911*13+Q912)/14</f>
        <v>61.0671987554043</v>
      </c>
      <c r="T912" s="7" t="n">
        <f aca="false">IF(S912=0,100,100-100/(1+R912/S912))</f>
        <v>47.5389168289357</v>
      </c>
      <c r="U912" s="7" t="n">
        <f aca="false">E912*2/13+U911*11/13</f>
        <v>15283.0965218957</v>
      </c>
      <c r="V912" s="7" t="n">
        <f aca="false">E912*2/27+V911*25/27</f>
        <v>15287.031536109</v>
      </c>
      <c r="W912" s="7" t="n">
        <f aca="false">U912-V912</f>
        <v>-3.93501421335532</v>
      </c>
      <c r="X912" s="7" t="n">
        <f aca="false">W912*2/10+X911*8/10</f>
        <v>76.1345667413026</v>
      </c>
      <c r="Y912" s="7" t="n">
        <f aca="false">W912-X912</f>
        <v>-80.069580954658</v>
      </c>
      <c r="Z912" s="8" t="s">
        <v>42</v>
      </c>
      <c r="AA912" s="7" t="str">
        <f aca="false">IFERROR(INDEX(02_轉折點45!B:B,MATCH(A912,02_轉折點45!A:A,0)),"")</f>
        <v/>
      </c>
      <c r="AB912" s="7" t="n">
        <f aca="false">COUNTIFS(05_訊號明細!A:A,A912,05_訊號明細!C:C,"TOP")</f>
        <v>1</v>
      </c>
      <c r="AC912" s="7" t="n">
        <f aca="false">COUNTIFS(05_訊號明細!A:A,A912,05_訊號明細!C:C,"BOTTOM")</f>
        <v>0</v>
      </c>
    </row>
    <row r="913" customFormat="false" ht="15" hidden="false" customHeight="false" outlineLevel="0" collapsed="false">
      <c r="A913" s="7" t="s">
        <v>954</v>
      </c>
      <c r="B913" s="7" t="n">
        <v>15172.08</v>
      </c>
      <c r="C913" s="7" t="n">
        <v>15192.88</v>
      </c>
      <c r="D913" s="7" t="n">
        <v>15014.36</v>
      </c>
      <c r="E913" s="7" t="n">
        <v>15037.65</v>
      </c>
      <c r="F913" s="7" t="n">
        <v>4473</v>
      </c>
      <c r="G913" s="7" t="n">
        <f aca="false">AVERAGE(E909:E913)</f>
        <v>15100.372</v>
      </c>
      <c r="H913" s="7" t="n">
        <f aca="false">AVERAGE(E904:E913)</f>
        <v>15218.196</v>
      </c>
      <c r="I913" s="7" t="n">
        <f aca="false">AVERAGE(E894:E913)</f>
        <v>15404.982</v>
      </c>
      <c r="J913" s="7" t="n">
        <f aca="false">AVERAGE(E864:E913)</f>
        <v>15175.6726</v>
      </c>
      <c r="K913" s="7" t="n">
        <f aca="false">AVERAGE(E814:E913)</f>
        <v>14232.6258</v>
      </c>
      <c r="L913" s="7" t="n">
        <f aca="false">AVERAGE(E714:E913)</f>
        <v>12989.04055</v>
      </c>
      <c r="M913" s="7" t="n">
        <f aca="false">I913</f>
        <v>15404.982</v>
      </c>
      <c r="N913" s="7" t="n">
        <f aca="false">I913+2*STDEV(E894:E913)</f>
        <v>15882.9676291872</v>
      </c>
      <c r="O913" s="7" t="n">
        <f aca="false">I913-2*STDEV(E894:E913)</f>
        <v>14926.9963708128</v>
      </c>
      <c r="P913" s="7" t="n">
        <f aca="false">MAX(E913-E912,0)</f>
        <v>0</v>
      </c>
      <c r="Q913" s="7" t="n">
        <f aca="false">MAX(E912-E913,0)</f>
        <v>167.940000000001</v>
      </c>
      <c r="R913" s="7" t="n">
        <f aca="false">(R912*13+P913)/14</f>
        <v>51.3848797087747</v>
      </c>
      <c r="S913" s="7" t="n">
        <f aca="false">(S912*13+Q913)/14</f>
        <v>68.7009702728755</v>
      </c>
      <c r="T913" s="7" t="n">
        <f aca="false">IF(S913=0,100,100-100/(1+R913/S913))</f>
        <v>42.7901203319347</v>
      </c>
      <c r="U913" s="7" t="n">
        <f aca="false">E913*2/13+U912*11/13</f>
        <v>15245.3355185271</v>
      </c>
      <c r="V913" s="7" t="n">
        <f aca="false">E913*2/27+V912*25/27</f>
        <v>15268.5588297306</v>
      </c>
      <c r="W913" s="7" t="n">
        <f aca="false">U913-V913</f>
        <v>-23.2233112034737</v>
      </c>
      <c r="X913" s="7" t="n">
        <f aca="false">W913*2/10+X912*8/10</f>
        <v>56.2629911523474</v>
      </c>
      <c r="Y913" s="7" t="n">
        <f aca="false">W913-X913</f>
        <v>-79.4863023558211</v>
      </c>
      <c r="Z913" s="8" t="s">
        <v>42</v>
      </c>
      <c r="AA913" s="7" t="str">
        <f aca="false">IFERROR(INDEX(02_轉折點45!B:B,MATCH(A913,02_轉折點45!A:A,0)),"")</f>
        <v/>
      </c>
      <c r="AB913" s="7" t="n">
        <f aca="false">COUNTIFS(05_訊號明細!A:A,A913,05_訊號明細!C:C,"TOP")</f>
        <v>0</v>
      </c>
      <c r="AC913" s="7" t="n">
        <f aca="false">COUNTIFS(05_訊號明細!A:A,A913,05_訊號明細!C:C,"BOTTOM")</f>
        <v>0</v>
      </c>
    </row>
    <row r="914" customFormat="false" ht="15" hidden="false" customHeight="false" outlineLevel="0" collapsed="false">
      <c r="A914" s="7" t="s">
        <v>955</v>
      </c>
      <c r="B914" s="7" t="n">
        <v>15021.63</v>
      </c>
      <c r="C914" s="7" t="n">
        <v>15077.05</v>
      </c>
      <c r="D914" s="7" t="n">
        <v>14874.02</v>
      </c>
      <c r="E914" s="7" t="n">
        <v>14876.47</v>
      </c>
      <c r="F914" s="7" t="n">
        <v>6244</v>
      </c>
      <c r="G914" s="7" t="n">
        <f aca="false">AVERAGE(E910:E914)</f>
        <v>15055.324</v>
      </c>
      <c r="H914" s="7" t="n">
        <f aca="false">AVERAGE(E905:E914)</f>
        <v>15168.769</v>
      </c>
      <c r="I914" s="7" t="n">
        <f aca="false">AVERAGE(E895:E914)</f>
        <v>15357.488</v>
      </c>
      <c r="J914" s="7" t="n">
        <f aca="false">AVERAGE(E865:E914)</f>
        <v>15182.072</v>
      </c>
      <c r="K914" s="7" t="n">
        <f aca="false">AVERAGE(E815:E914)</f>
        <v>14254.0982</v>
      </c>
      <c r="L914" s="7" t="n">
        <f aca="false">AVERAGE(E715:E914)</f>
        <v>13007.46475</v>
      </c>
      <c r="M914" s="7" t="n">
        <f aca="false">I914</f>
        <v>15357.488</v>
      </c>
      <c r="N914" s="7" t="n">
        <f aca="false">I914+2*STDEV(E895:E914)</f>
        <v>15847.7927570258</v>
      </c>
      <c r="O914" s="7" t="n">
        <f aca="false">I914-2*STDEV(E895:E914)</f>
        <v>14867.1832429742</v>
      </c>
      <c r="P914" s="7" t="n">
        <f aca="false">MAX(E914-E913,0)</f>
        <v>0</v>
      </c>
      <c r="Q914" s="7" t="n">
        <f aca="false">MAX(E913-E914,0)</f>
        <v>161.18</v>
      </c>
      <c r="R914" s="7" t="n">
        <f aca="false">(R913*13+P914)/14</f>
        <v>47.714531158148</v>
      </c>
      <c r="S914" s="7" t="n">
        <f aca="false">(S913*13+Q914)/14</f>
        <v>75.3066152533844</v>
      </c>
      <c r="T914" s="7" t="n">
        <f aca="false">IF(S914=0,100,100-100/(1+R914/S914))</f>
        <v>38.7856336491391</v>
      </c>
      <c r="U914" s="7" t="n">
        <f aca="false">E914*2/13+U913*11/13</f>
        <v>15188.5869772152</v>
      </c>
      <c r="V914" s="7" t="n">
        <f aca="false">E914*2/27+V913*25/27</f>
        <v>15239.5152127135</v>
      </c>
      <c r="W914" s="7" t="n">
        <f aca="false">U914-V914</f>
        <v>-50.9282354982533</v>
      </c>
      <c r="X914" s="7" t="n">
        <f aca="false">W914*2/10+X913*8/10</f>
        <v>34.8247458222272</v>
      </c>
      <c r="Y914" s="7" t="n">
        <f aca="false">W914-X914</f>
        <v>-85.7529813204806</v>
      </c>
      <c r="Z914" s="7" t="s">
        <v>78</v>
      </c>
      <c r="AA914" s="7" t="str">
        <f aca="false">IFERROR(INDEX(02_轉折點45!B:B,MATCH(A914,02_轉折點45!A:A,0)),"")</f>
        <v/>
      </c>
      <c r="AB914" s="7" t="n">
        <f aca="false">COUNTIFS(05_訊號明細!A:A,A914,05_訊號明細!C:C,"TOP")</f>
        <v>2</v>
      </c>
      <c r="AC914" s="7" t="n">
        <f aca="false">COUNTIFS(05_訊號明細!A:A,A914,05_訊號明細!C:C,"BOTTOM")</f>
        <v>0</v>
      </c>
    </row>
    <row r="915" customFormat="false" ht="15" hidden="false" customHeight="false" outlineLevel="0" collapsed="false">
      <c r="A915" s="7" t="s">
        <v>956</v>
      </c>
      <c r="B915" s="7" t="n">
        <v>14943.34</v>
      </c>
      <c r="C915" s="7" t="n">
        <v>14949.58</v>
      </c>
      <c r="D915" s="7" t="n">
        <v>14698.29</v>
      </c>
      <c r="E915" s="7" t="n">
        <v>14715.81</v>
      </c>
      <c r="F915" s="7" t="n">
        <v>5280</v>
      </c>
      <c r="G915" s="7" t="n">
        <f aca="false">AVERAGE(E911:E915)</f>
        <v>14972.718</v>
      </c>
      <c r="H915" s="7" t="n">
        <f aca="false">AVERAGE(E906:E915)</f>
        <v>15104.996</v>
      </c>
      <c r="I915" s="7" t="n">
        <f aca="false">AVERAGE(E896:E915)</f>
        <v>15319.974</v>
      </c>
      <c r="J915" s="7" t="n">
        <f aca="false">AVERAGE(E866:E915)</f>
        <v>15185.2264</v>
      </c>
      <c r="K915" s="7" t="n">
        <f aca="false">AVERAGE(E816:E915)</f>
        <v>14273.5858</v>
      </c>
      <c r="L915" s="7" t="n">
        <f aca="false">AVERAGE(E716:E915)</f>
        <v>13023.31275</v>
      </c>
      <c r="M915" s="7" t="n">
        <f aca="false">I915</f>
        <v>15319.974</v>
      </c>
      <c r="N915" s="7" t="n">
        <f aca="false">I915+2*STDEV(E896:E915)</f>
        <v>15884.4867088178</v>
      </c>
      <c r="O915" s="7" t="n">
        <f aca="false">I915-2*STDEV(E896:E915)</f>
        <v>14755.4612911822</v>
      </c>
      <c r="P915" s="7" t="n">
        <f aca="false">MAX(E915-E914,0)</f>
        <v>0</v>
      </c>
      <c r="Q915" s="7" t="n">
        <f aca="false">MAX(E914-E915,0)</f>
        <v>160.66</v>
      </c>
      <c r="R915" s="7" t="n">
        <f aca="false">(R914*13+P915)/14</f>
        <v>44.3063503611374</v>
      </c>
      <c r="S915" s="7" t="n">
        <f aca="false">(S914*13+Q915)/14</f>
        <v>81.4032855924284</v>
      </c>
      <c r="T915" s="7" t="n">
        <f aca="false">IF(S915=0,100,100-100/(1+R915/S915))</f>
        <v>35.2449913843543</v>
      </c>
      <c r="U915" s="7" t="n">
        <f aca="false">E915*2/13+U914*11/13</f>
        <v>15115.8520576437</v>
      </c>
      <c r="V915" s="7" t="n">
        <f aca="false">E915*2/27+V914*25/27</f>
        <v>15200.722233994</v>
      </c>
      <c r="W915" s="7" t="n">
        <f aca="false">U915-V915</f>
        <v>-84.8701763503104</v>
      </c>
      <c r="X915" s="7" t="n">
        <f aca="false">W915*2/10+X914*8/10</f>
        <v>10.8857613877197</v>
      </c>
      <c r="Y915" s="7" t="n">
        <f aca="false">W915-X915</f>
        <v>-95.7559377380301</v>
      </c>
      <c r="Z915" s="7" t="s">
        <v>78</v>
      </c>
      <c r="AA915" s="7" t="str">
        <f aca="false">IFERROR(INDEX(02_轉折點45!B:B,MATCH(A915,02_轉折點45!A:A,0)),"")</f>
        <v/>
      </c>
      <c r="AB915" s="7" t="n">
        <f aca="false">COUNTIFS(05_訊號明細!A:A,A915,05_訊號明細!C:C,"TOP")</f>
        <v>0</v>
      </c>
      <c r="AC915" s="7" t="n">
        <f aca="false">COUNTIFS(05_訊號明細!A:A,A915,05_訊號明細!C:C,"BOTTOM")</f>
        <v>0</v>
      </c>
    </row>
    <row r="916" customFormat="false" ht="15" hidden="false" customHeight="false" outlineLevel="0" collapsed="false">
      <c r="A916" s="7" t="s">
        <v>957</v>
      </c>
      <c r="B916" s="7" t="n">
        <v>14589.71</v>
      </c>
      <c r="C916" s="7" t="n">
        <v>14744.57</v>
      </c>
      <c r="D916" s="7" t="n">
        <v>14557.83</v>
      </c>
      <c r="E916" s="7" t="n">
        <v>14694.84</v>
      </c>
      <c r="F916" s="7" t="n">
        <v>4802</v>
      </c>
      <c r="G916" s="7" t="n">
        <f aca="false">AVERAGE(E912:E916)</f>
        <v>14906.072</v>
      </c>
      <c r="H916" s="7" t="n">
        <f aca="false">AVERAGE(E907:E916)</f>
        <v>15046.988</v>
      </c>
      <c r="I916" s="7" t="n">
        <f aca="false">AVERAGE(E897:E916)</f>
        <v>15283.4325</v>
      </c>
      <c r="J916" s="7" t="n">
        <f aca="false">AVERAGE(E867:E916)</f>
        <v>15193.0574</v>
      </c>
      <c r="K916" s="7" t="n">
        <f aca="false">AVERAGE(E817:E916)</f>
        <v>14293.8035</v>
      </c>
      <c r="L916" s="7" t="n">
        <f aca="false">AVERAGE(E717:E916)</f>
        <v>13039.7591</v>
      </c>
      <c r="M916" s="7" t="n">
        <f aca="false">I916</f>
        <v>15283.4325</v>
      </c>
      <c r="N916" s="7" t="n">
        <f aca="false">I916+2*STDEV(E897:E916)</f>
        <v>15910.3077233058</v>
      </c>
      <c r="O916" s="7" t="n">
        <f aca="false">I916-2*STDEV(E897:E916)</f>
        <v>14656.5572766942</v>
      </c>
      <c r="P916" s="7" t="n">
        <f aca="false">MAX(E916-E915,0)</f>
        <v>0</v>
      </c>
      <c r="Q916" s="7" t="n">
        <f aca="false">MAX(E915-E916,0)</f>
        <v>20.9699999999993</v>
      </c>
      <c r="R916" s="7" t="n">
        <f aca="false">(R915*13+P916)/14</f>
        <v>41.1416110496276</v>
      </c>
      <c r="S916" s="7" t="n">
        <f aca="false">(S915*13+Q916)/14</f>
        <v>77.0866223358263</v>
      </c>
      <c r="T916" s="7" t="n">
        <f aca="false">IF(S916=0,100,100-100/(1+R916/S916))</f>
        <v>34.7984655369886</v>
      </c>
      <c r="U916" s="7" t="n">
        <f aca="false">E916*2/13+U915*11/13</f>
        <v>15051.0809718523</v>
      </c>
      <c r="V916" s="7" t="n">
        <f aca="false">E916*2/27+V915*25/27</f>
        <v>15163.2494759203</v>
      </c>
      <c r="W916" s="7" t="n">
        <f aca="false">U916-V916</f>
        <v>-112.168504068013</v>
      </c>
      <c r="X916" s="7" t="n">
        <f aca="false">W916*2/10+X915*8/10</f>
        <v>-13.7250917034269</v>
      </c>
      <c r="Y916" s="7" t="n">
        <f aca="false">W916-X916</f>
        <v>-98.4434123645863</v>
      </c>
      <c r="Z916" s="7" t="s">
        <v>78</v>
      </c>
      <c r="AA916" s="7" t="str">
        <f aca="false">IFERROR(INDEX(02_轉折點45!B:B,MATCH(A916,02_轉折點45!A:A,0)),"")</f>
        <v/>
      </c>
      <c r="AB916" s="7" t="n">
        <f aca="false">COUNTIFS(05_訊號明細!A:A,A916,05_訊號明細!C:C,"TOP")</f>
        <v>1</v>
      </c>
      <c r="AC916" s="7" t="n">
        <f aca="false">COUNTIFS(05_訊號明細!A:A,A916,05_訊號明細!C:C,"BOTTOM")</f>
        <v>0</v>
      </c>
    </row>
    <row r="917" customFormat="false" ht="15" hidden="false" customHeight="false" outlineLevel="0" collapsed="false">
      <c r="A917" s="7" t="s">
        <v>958</v>
      </c>
      <c r="B917" s="7" t="n">
        <v>14762.01</v>
      </c>
      <c r="C917" s="7" t="n">
        <v>14958.87</v>
      </c>
      <c r="D917" s="7" t="n">
        <v>14739.37</v>
      </c>
      <c r="E917" s="7" t="n">
        <v>14936.69</v>
      </c>
      <c r="F917" s="7" t="n">
        <v>4363</v>
      </c>
      <c r="G917" s="7" t="n">
        <f aca="false">AVERAGE(E913:E917)</f>
        <v>14852.292</v>
      </c>
      <c r="H917" s="7" t="n">
        <f aca="false">AVERAGE(E908:E917)</f>
        <v>14999.872</v>
      </c>
      <c r="I917" s="7" t="n">
        <f aca="false">AVERAGE(E898:E917)</f>
        <v>15257.866</v>
      </c>
      <c r="J917" s="7" t="n">
        <f aca="false">AVERAGE(E868:E917)</f>
        <v>15202.1004</v>
      </c>
      <c r="K917" s="7" t="n">
        <f aca="false">AVERAGE(E818:E917)</f>
        <v>14317.0647</v>
      </c>
      <c r="L917" s="7" t="n">
        <f aca="false">AVERAGE(E718:E917)</f>
        <v>13057.9978</v>
      </c>
      <c r="M917" s="7" t="n">
        <f aca="false">I917</f>
        <v>15257.866</v>
      </c>
      <c r="N917" s="7" t="n">
        <f aca="false">I917+2*STDEV(E898:E917)</f>
        <v>15898.0449205954</v>
      </c>
      <c r="O917" s="7" t="n">
        <f aca="false">I917-2*STDEV(E898:E917)</f>
        <v>14617.6870794046</v>
      </c>
      <c r="P917" s="7" t="n">
        <f aca="false">MAX(E917-E916,0)</f>
        <v>241.85</v>
      </c>
      <c r="Q917" s="7" t="n">
        <f aca="false">MAX(E916-E917,0)</f>
        <v>0</v>
      </c>
      <c r="R917" s="7" t="n">
        <f aca="false">(R916*13+P917)/14</f>
        <v>55.4779245460828</v>
      </c>
      <c r="S917" s="7" t="n">
        <f aca="false">(S916*13+Q917)/14</f>
        <v>71.5804350261244</v>
      </c>
      <c r="T917" s="7" t="n">
        <f aca="false">IF(S917=0,100,100-100/(1+R917/S917))</f>
        <v>43.6633407930587</v>
      </c>
      <c r="U917" s="7" t="n">
        <f aca="false">E917*2/13+U916*11/13</f>
        <v>15033.4823607981</v>
      </c>
      <c r="V917" s="7" t="n">
        <f aca="false">E917*2/27+V916*25/27</f>
        <v>15146.4672925188</v>
      </c>
      <c r="W917" s="7" t="n">
        <f aca="false">U917-V917</f>
        <v>-112.984931720712</v>
      </c>
      <c r="X917" s="7" t="n">
        <f aca="false">W917*2/10+X916*8/10</f>
        <v>-33.5770597068838</v>
      </c>
      <c r="Y917" s="7" t="n">
        <f aca="false">W917-X917</f>
        <v>-79.4078720138279</v>
      </c>
      <c r="Z917" s="8" t="s">
        <v>42</v>
      </c>
      <c r="AA917" s="7" t="str">
        <f aca="false">IFERROR(INDEX(02_轉折點45!B:B,MATCH(A917,02_轉折點45!A:A,0)),"")</f>
        <v/>
      </c>
      <c r="AB917" s="7" t="n">
        <f aca="false">COUNTIFS(05_訊號明細!A:A,A917,05_訊號明細!C:C,"TOP")</f>
        <v>0</v>
      </c>
      <c r="AC917" s="7" t="n">
        <f aca="false">COUNTIFS(05_訊號明細!A:A,A917,05_訊號明細!C:C,"BOTTOM")</f>
        <v>0</v>
      </c>
    </row>
    <row r="918" customFormat="false" ht="15" hidden="false" customHeight="false" outlineLevel="0" collapsed="false">
      <c r="A918" s="7" t="s">
        <v>959</v>
      </c>
      <c r="B918" s="7" t="n">
        <v>15035.07</v>
      </c>
      <c r="C918" s="7" t="n">
        <v>15037.79</v>
      </c>
      <c r="D918" s="7" t="n">
        <v>14883.98</v>
      </c>
      <c r="E918" s="7" t="n">
        <v>14908.96</v>
      </c>
      <c r="F918" s="7" t="n">
        <v>4282</v>
      </c>
      <c r="G918" s="7" t="n">
        <f aca="false">AVERAGE(E914:E918)</f>
        <v>14826.554</v>
      </c>
      <c r="H918" s="7" t="n">
        <f aca="false">AVERAGE(E909:E918)</f>
        <v>14963.463</v>
      </c>
      <c r="I918" s="7" t="n">
        <f aca="false">AVERAGE(E899:E918)</f>
        <v>15225.243</v>
      </c>
      <c r="J918" s="7" t="n">
        <f aca="false">AVERAGE(E869:E918)</f>
        <v>15209.7124</v>
      </c>
      <c r="K918" s="7" t="n">
        <f aca="false">AVERAGE(E819:E918)</f>
        <v>14337.694</v>
      </c>
      <c r="L918" s="7" t="n">
        <f aca="false">AVERAGE(E719:E918)</f>
        <v>13078.0109</v>
      </c>
      <c r="M918" s="7" t="n">
        <f aca="false">I918</f>
        <v>15225.243</v>
      </c>
      <c r="N918" s="7" t="n">
        <f aca="false">I918+2*STDEV(E899:E918)</f>
        <v>15866.7860662198</v>
      </c>
      <c r="O918" s="7" t="n">
        <f aca="false">I918-2*STDEV(E899:E918)</f>
        <v>14583.6999337802</v>
      </c>
      <c r="P918" s="7" t="n">
        <f aca="false">MAX(E918-E917,0)</f>
        <v>0</v>
      </c>
      <c r="Q918" s="7" t="n">
        <f aca="false">MAX(E917-E918,0)</f>
        <v>27.7300000000014</v>
      </c>
      <c r="R918" s="7" t="n">
        <f aca="false">(R917*13+P918)/14</f>
        <v>51.515215649934</v>
      </c>
      <c r="S918" s="7" t="n">
        <f aca="false">(S917*13+Q918)/14</f>
        <v>68.4482610956871</v>
      </c>
      <c r="T918" s="7" t="n">
        <f aca="false">IF(S918=0,100,100-100/(1+R918/S918))</f>
        <v>42.9424163482444</v>
      </c>
      <c r="U918" s="7" t="n">
        <f aca="false">E918*2/13+U917*11/13</f>
        <v>15014.3250745215</v>
      </c>
      <c r="V918" s="7" t="n">
        <f aca="false">E918*2/27+V917*25/27</f>
        <v>15128.8741597397</v>
      </c>
      <c r="W918" s="7" t="n">
        <f aca="false">U918-V918</f>
        <v>-114.549085218172</v>
      </c>
      <c r="X918" s="7" t="n">
        <f aca="false">W918*2/10+X917*8/10</f>
        <v>-49.7714648091415</v>
      </c>
      <c r="Y918" s="7" t="n">
        <f aca="false">W918-X918</f>
        <v>-64.7776204090305</v>
      </c>
      <c r="Z918" s="8" t="s">
        <v>42</v>
      </c>
      <c r="AA918" s="7" t="str">
        <f aca="false">IFERROR(INDEX(02_轉折點45!B:B,MATCH(A918,02_轉折點45!A:A,0)),"")</f>
        <v/>
      </c>
      <c r="AB918" s="7" t="n">
        <f aca="false">COUNTIFS(05_訊號明細!A:A,A918,05_訊號明細!C:C,"TOP")</f>
        <v>0</v>
      </c>
      <c r="AC918" s="7" t="n">
        <f aca="false">COUNTIFS(05_訊號明細!A:A,A918,05_訊號明細!C:C,"BOTTOM")</f>
        <v>0</v>
      </c>
    </row>
    <row r="919" customFormat="false" ht="15" hidden="false" customHeight="false" outlineLevel="0" collapsed="false">
      <c r="A919" s="7" t="s">
        <v>960</v>
      </c>
      <c r="B919" s="7" t="n">
        <v>14947.58</v>
      </c>
      <c r="C919" s="7" t="n">
        <v>15188.86</v>
      </c>
      <c r="D919" s="7" t="n">
        <v>14947.58</v>
      </c>
      <c r="E919" s="7" t="n">
        <v>15148.06</v>
      </c>
      <c r="F919" s="7" t="n">
        <v>4128</v>
      </c>
      <c r="G919" s="7" t="n">
        <f aca="false">AVERAGE(E915:E919)</f>
        <v>14880.872</v>
      </c>
      <c r="H919" s="7" t="n">
        <f aca="false">AVERAGE(E910:E919)</f>
        <v>14968.098</v>
      </c>
      <c r="I919" s="7" t="n">
        <f aca="false">AVERAGE(E900:E919)</f>
        <v>15207.683</v>
      </c>
      <c r="J919" s="7" t="n">
        <f aca="false">AVERAGE(E870:E919)</f>
        <v>15216.9876</v>
      </c>
      <c r="K919" s="7" t="n">
        <f aca="false">AVERAGE(E820:E919)</f>
        <v>14359.5432</v>
      </c>
      <c r="L919" s="7" t="n">
        <f aca="false">AVERAGE(E720:E919)</f>
        <v>13100.2982</v>
      </c>
      <c r="M919" s="7" t="n">
        <f aca="false">I919</f>
        <v>15207.683</v>
      </c>
      <c r="N919" s="7" t="n">
        <f aca="false">I919+2*STDEV(E900:E919)</f>
        <v>15836.7504768961</v>
      </c>
      <c r="O919" s="7" t="n">
        <f aca="false">I919-2*STDEV(E900:E919)</f>
        <v>14578.6155231039</v>
      </c>
      <c r="P919" s="7" t="n">
        <f aca="false">MAX(E919-E918,0)</f>
        <v>239.1</v>
      </c>
      <c r="Q919" s="7" t="n">
        <f aca="false">MAX(E918-E919,0)</f>
        <v>0</v>
      </c>
      <c r="R919" s="7" t="n">
        <f aca="false">(R918*13+P919)/14</f>
        <v>64.9141288177959</v>
      </c>
      <c r="S919" s="7" t="n">
        <f aca="false">(S918*13+Q919)/14</f>
        <v>63.5590995888523</v>
      </c>
      <c r="T919" s="7" t="n">
        <f aca="false">IF(S919=0,100,100-100/(1+R919/S919))</f>
        <v>50.5273585967088</v>
      </c>
      <c r="U919" s="7" t="n">
        <f aca="false">E919*2/13+U918*11/13</f>
        <v>15034.8996784413</v>
      </c>
      <c r="V919" s="7" t="n">
        <f aca="false">E919*2/27+V918*25/27</f>
        <v>15130.2953330923</v>
      </c>
      <c r="W919" s="7" t="n">
        <f aca="false">U919-V919</f>
        <v>-95.3956546510162</v>
      </c>
      <c r="X919" s="7" t="n">
        <f aca="false">W919*2/10+X918*8/10</f>
        <v>-58.8963027775164</v>
      </c>
      <c r="Y919" s="7" t="n">
        <f aca="false">W919-X919</f>
        <v>-36.4993518734998</v>
      </c>
      <c r="Z919" s="8" t="s">
        <v>42</v>
      </c>
      <c r="AA919" s="7" t="str">
        <f aca="false">IFERROR(INDEX(02_轉折點45!B:B,MATCH(A919,02_轉折點45!A:A,0)),"")</f>
        <v/>
      </c>
      <c r="AB919" s="7" t="n">
        <f aca="false">COUNTIFS(05_訊號明細!A:A,A919,05_訊號明細!C:C,"TOP")</f>
        <v>0</v>
      </c>
      <c r="AC919" s="7" t="n">
        <f aca="false">COUNTIFS(05_訊號明細!A:A,A919,05_訊號明細!C:C,"BOTTOM")</f>
        <v>0</v>
      </c>
    </row>
    <row r="920" customFormat="false" ht="15" hidden="false" customHeight="false" outlineLevel="0" collapsed="false">
      <c r="A920" s="7" t="s">
        <v>961</v>
      </c>
      <c r="B920" s="7" t="n">
        <v>15278.93</v>
      </c>
      <c r="C920" s="7" t="n">
        <v>15279.24</v>
      </c>
      <c r="D920" s="7" t="n">
        <v>14814.83</v>
      </c>
      <c r="E920" s="7" t="n">
        <v>14816.44</v>
      </c>
      <c r="F920" s="7" t="n">
        <v>4384</v>
      </c>
      <c r="G920" s="7" t="n">
        <f aca="false">AVERAGE(E916:E920)</f>
        <v>14900.998</v>
      </c>
      <c r="H920" s="7" t="n">
        <f aca="false">AVERAGE(E911:E920)</f>
        <v>14936.858</v>
      </c>
      <c r="I920" s="7" t="n">
        <f aca="false">AVERAGE(E901:E920)</f>
        <v>15175.2585</v>
      </c>
      <c r="J920" s="7" t="n">
        <f aca="false">AVERAGE(E871:E920)</f>
        <v>15215.2994</v>
      </c>
      <c r="K920" s="7" t="n">
        <f aca="false">AVERAGE(E821:E920)</f>
        <v>14375.8941</v>
      </c>
      <c r="L920" s="7" t="n">
        <f aca="false">AVERAGE(E721:E920)</f>
        <v>13120.09525</v>
      </c>
      <c r="M920" s="7" t="n">
        <f aca="false">I920</f>
        <v>15175.2585</v>
      </c>
      <c r="N920" s="7" t="n">
        <f aca="false">I920+2*STDEV(E901:E920)</f>
        <v>15815.2529213334</v>
      </c>
      <c r="O920" s="7" t="n">
        <f aca="false">I920-2*STDEV(E901:E920)</f>
        <v>14535.2640786666</v>
      </c>
      <c r="P920" s="7" t="n">
        <f aca="false">MAX(E920-E919,0)</f>
        <v>0</v>
      </c>
      <c r="Q920" s="7" t="n">
        <f aca="false">MAX(E919-E920,0)</f>
        <v>331.619999999999</v>
      </c>
      <c r="R920" s="7" t="n">
        <f aca="false">(R919*13+P920)/14</f>
        <v>60.2774053308105</v>
      </c>
      <c r="S920" s="7" t="n">
        <f aca="false">(S919*13+Q920)/14</f>
        <v>82.706306761077</v>
      </c>
      <c r="T920" s="7" t="n">
        <f aca="false">IF(S920=0,100,100-100/(1+R920/S920))</f>
        <v>42.1568334245467</v>
      </c>
      <c r="U920" s="7" t="n">
        <f aca="false">E920*2/13+U919*11/13</f>
        <v>15001.2904971426</v>
      </c>
      <c r="V920" s="7" t="n">
        <f aca="false">E920*2/27+V919*25/27</f>
        <v>15107.0467899003</v>
      </c>
      <c r="W920" s="7" t="n">
        <f aca="false">U920-V920</f>
        <v>-105.756292757653</v>
      </c>
      <c r="X920" s="7" t="n">
        <f aca="false">W920*2/10+X919*8/10</f>
        <v>-68.2683007735437</v>
      </c>
      <c r="Y920" s="7" t="n">
        <f aca="false">W920-X920</f>
        <v>-37.4879919841091</v>
      </c>
      <c r="Z920" s="8" t="s">
        <v>42</v>
      </c>
      <c r="AA920" s="7" t="str">
        <f aca="false">IFERROR(INDEX(02_轉折點45!B:B,MATCH(A920,02_轉折點45!A:A,0)),"")</f>
        <v/>
      </c>
      <c r="AB920" s="7" t="n">
        <f aca="false">COUNTIFS(05_訊號明細!A:A,A920,05_訊號明細!C:C,"TOP")</f>
        <v>1</v>
      </c>
      <c r="AC920" s="7" t="n">
        <f aca="false">COUNTIFS(05_訊號明細!A:A,A920,05_訊號明細!C:C,"BOTTOM")</f>
        <v>0</v>
      </c>
    </row>
    <row r="921" customFormat="false" ht="15" hidden="false" customHeight="false" outlineLevel="0" collapsed="false">
      <c r="A921" s="7" t="s">
        <v>962</v>
      </c>
      <c r="B921" s="7" t="n">
        <v>14858.93</v>
      </c>
      <c r="C921" s="7" t="n">
        <v>15001.29</v>
      </c>
      <c r="D921" s="7" t="n">
        <v>14715.36</v>
      </c>
      <c r="E921" s="7" t="n">
        <v>14941.83</v>
      </c>
      <c r="F921" s="7" t="n">
        <v>3970</v>
      </c>
      <c r="G921" s="7" t="n">
        <f aca="false">AVERAGE(E917:E921)</f>
        <v>14950.396</v>
      </c>
      <c r="H921" s="7" t="n">
        <f aca="false">AVERAGE(E912:E921)</f>
        <v>14928.234</v>
      </c>
      <c r="I921" s="7" t="n">
        <f aca="false">AVERAGE(E902:E921)</f>
        <v>15134.8035</v>
      </c>
      <c r="J921" s="7" t="n">
        <f aca="false">AVERAGE(E872:E921)</f>
        <v>15214.0222</v>
      </c>
      <c r="K921" s="7" t="n">
        <f aca="false">AVERAGE(E822:E921)</f>
        <v>14393.8289</v>
      </c>
      <c r="L921" s="7" t="n">
        <f aca="false">AVERAGE(E722:E921)</f>
        <v>13139.9194</v>
      </c>
      <c r="M921" s="7" t="n">
        <f aca="false">I921</f>
        <v>15134.8035</v>
      </c>
      <c r="N921" s="7" t="n">
        <f aca="false">I921+2*STDEV(E902:E921)</f>
        <v>15721.6640375538</v>
      </c>
      <c r="O921" s="7" t="n">
        <f aca="false">I921-2*STDEV(E902:E921)</f>
        <v>14547.9429624462</v>
      </c>
      <c r="P921" s="7" t="n">
        <f aca="false">MAX(E921-E920,0)</f>
        <v>125.389999999999</v>
      </c>
      <c r="Q921" s="7" t="n">
        <f aca="false">MAX(E920-E921,0)</f>
        <v>0</v>
      </c>
      <c r="R921" s="7" t="n">
        <f aca="false">(R920*13+P921)/14</f>
        <v>64.9283049500382</v>
      </c>
      <c r="S921" s="7" t="n">
        <f aca="false">(S920*13+Q921)/14</f>
        <v>76.7987134210001</v>
      </c>
      <c r="T921" s="7" t="n">
        <f aca="false">IF(S921=0,100,100-100/(1+R921/S921))</f>
        <v>45.8122281102798</v>
      </c>
      <c r="U921" s="7" t="n">
        <f aca="false">E921*2/13+U920*11/13</f>
        <v>14992.1427283514</v>
      </c>
      <c r="V921" s="7" t="n">
        <f aca="false">E921*2/27+V920*25/27</f>
        <v>15094.8085091669</v>
      </c>
      <c r="W921" s="7" t="n">
        <f aca="false">U921-V921</f>
        <v>-102.665780815469</v>
      </c>
      <c r="X921" s="7" t="n">
        <f aca="false">W921*2/10+X920*8/10</f>
        <v>-75.1477967819287</v>
      </c>
      <c r="Y921" s="7" t="n">
        <f aca="false">W921-X921</f>
        <v>-27.51798403354</v>
      </c>
      <c r="Z921" s="8" t="s">
        <v>42</v>
      </c>
      <c r="AA921" s="7" t="str">
        <f aca="false">IFERROR(INDEX(02_轉折點45!B:B,MATCH(A921,02_轉折點45!A:A,0)),"")</f>
        <v/>
      </c>
      <c r="AB921" s="7" t="n">
        <f aca="false">COUNTIFS(05_訊號明細!A:A,A921,05_訊號明細!C:C,"TOP")</f>
        <v>0</v>
      </c>
      <c r="AC921" s="7" t="n">
        <f aca="false">COUNTIFS(05_訊號明細!A:A,A921,05_訊號明細!C:C,"BOTTOM")</f>
        <v>0</v>
      </c>
    </row>
    <row r="922" customFormat="false" ht="15" hidden="false" customHeight="false" outlineLevel="0" collapsed="false">
      <c r="A922" s="7" t="s">
        <v>963</v>
      </c>
      <c r="B922" s="7" t="n">
        <v>15035.48</v>
      </c>
      <c r="C922" s="7" t="n">
        <v>15086.23</v>
      </c>
      <c r="D922" s="7" t="n">
        <v>14948.92</v>
      </c>
      <c r="E922" s="7" t="n">
        <v>15052.46</v>
      </c>
      <c r="F922" s="7" t="n">
        <v>3667</v>
      </c>
      <c r="G922" s="7" t="n">
        <f aca="false">AVERAGE(E918:E922)</f>
        <v>14973.55</v>
      </c>
      <c r="H922" s="7" t="n">
        <f aca="false">AVERAGE(E913:E922)</f>
        <v>14912.921</v>
      </c>
      <c r="I922" s="7" t="n">
        <f aca="false">AVERAGE(E903:E922)</f>
        <v>15099.5765</v>
      </c>
      <c r="J922" s="7" t="n">
        <f aca="false">AVERAGE(E873:E922)</f>
        <v>15211.3618</v>
      </c>
      <c r="K922" s="7" t="n">
        <f aca="false">AVERAGE(E823:E922)</f>
        <v>14413.3527</v>
      </c>
      <c r="L922" s="7" t="n">
        <f aca="false">AVERAGE(E723:E922)</f>
        <v>13159.8842</v>
      </c>
      <c r="M922" s="7" t="n">
        <f aca="false">I922</f>
        <v>15099.5765</v>
      </c>
      <c r="N922" s="7" t="n">
        <f aca="false">I922+2*STDEV(E903:E922)</f>
        <v>15608.6020431198</v>
      </c>
      <c r="O922" s="7" t="n">
        <f aca="false">I922-2*STDEV(E903:E922)</f>
        <v>14590.5509568802</v>
      </c>
      <c r="P922" s="7" t="n">
        <f aca="false">MAX(E922-E921,0)</f>
        <v>110.629999999999</v>
      </c>
      <c r="Q922" s="7" t="n">
        <f aca="false">MAX(E921-E922,0)</f>
        <v>0</v>
      </c>
      <c r="R922" s="7" t="n">
        <f aca="false">(R921*13+P922)/14</f>
        <v>68.1927117393212</v>
      </c>
      <c r="S922" s="7" t="n">
        <f aca="false">(S921*13+Q922)/14</f>
        <v>71.3130910337858</v>
      </c>
      <c r="T922" s="7" t="n">
        <f aca="false">IF(S922=0,100,100-100/(1+R922/S922))</f>
        <v>48.8816310029986</v>
      </c>
      <c r="U922" s="7" t="n">
        <f aca="false">E922*2/13+U921*11/13</f>
        <v>15001.4223086051</v>
      </c>
      <c r="V922" s="7" t="n">
        <f aca="false">E922*2/27+V921*25/27</f>
        <v>15091.671582562</v>
      </c>
      <c r="W922" s="7" t="n">
        <f aca="false">U922-V922</f>
        <v>-90.2492739568879</v>
      </c>
      <c r="X922" s="7" t="n">
        <f aca="false">W922*2/10+X921*8/10</f>
        <v>-78.1680922169205</v>
      </c>
      <c r="Y922" s="7" t="n">
        <f aca="false">W922-X922</f>
        <v>-12.0811817399674</v>
      </c>
      <c r="Z922" s="8" t="s">
        <v>42</v>
      </c>
      <c r="AA922" s="7" t="str">
        <f aca="false">IFERROR(INDEX(02_轉折點45!B:B,MATCH(A922,02_轉折點45!A:A,0)),"")</f>
        <v/>
      </c>
      <c r="AB922" s="7" t="n">
        <f aca="false">COUNTIFS(05_訊號明細!A:A,A922,05_訊號明細!C:C,"TOP")</f>
        <v>1</v>
      </c>
      <c r="AC922" s="7" t="n">
        <f aca="false">COUNTIFS(05_訊號明細!A:A,A922,05_訊號明細!C:C,"BOTTOM")</f>
        <v>0</v>
      </c>
    </row>
    <row r="923" customFormat="false" ht="15" hidden="false" customHeight="false" outlineLevel="0" collapsed="false">
      <c r="A923" s="7" t="s">
        <v>964</v>
      </c>
      <c r="B923" s="7" t="n">
        <v>15043.02</v>
      </c>
      <c r="C923" s="7" t="n">
        <v>15391.56</v>
      </c>
      <c r="D923" s="7" t="n">
        <v>15034.54</v>
      </c>
      <c r="E923" s="7" t="n">
        <v>15376.55</v>
      </c>
      <c r="F923" s="7" t="n">
        <v>4748</v>
      </c>
      <c r="G923" s="7" t="n">
        <f aca="false">AVERAGE(E919:E923)</f>
        <v>15067.068</v>
      </c>
      <c r="H923" s="7" t="n">
        <f aca="false">AVERAGE(E914:E923)</f>
        <v>14946.811</v>
      </c>
      <c r="I923" s="7" t="n">
        <f aca="false">AVERAGE(E904:E923)</f>
        <v>15082.5035</v>
      </c>
      <c r="J923" s="7" t="n">
        <f aca="false">AVERAGE(E874:E923)</f>
        <v>15217.2144</v>
      </c>
      <c r="K923" s="7" t="n">
        <f aca="false">AVERAGE(E824:E923)</f>
        <v>14437.4462</v>
      </c>
      <c r="L923" s="7" t="n">
        <f aca="false">AVERAGE(E724:E923)</f>
        <v>13182.7792</v>
      </c>
      <c r="M923" s="7" t="n">
        <f aca="false">I923</f>
        <v>15082.5035</v>
      </c>
      <c r="N923" s="7" t="n">
        <f aca="false">I923+2*STDEV(E904:E923)</f>
        <v>15522.4036910853</v>
      </c>
      <c r="O923" s="7" t="n">
        <f aca="false">I923-2*STDEV(E904:E923)</f>
        <v>14642.6033089147</v>
      </c>
      <c r="P923" s="7" t="n">
        <f aca="false">MAX(E923-E922,0)</f>
        <v>324.09</v>
      </c>
      <c r="Q923" s="7" t="n">
        <f aca="false">MAX(E922-E923,0)</f>
        <v>0</v>
      </c>
      <c r="R923" s="7" t="n">
        <f aca="false">(R922*13+P923)/14</f>
        <v>86.4710894722268</v>
      </c>
      <c r="S923" s="7" t="n">
        <f aca="false">(S922*13+Q923)/14</f>
        <v>66.2192988170868</v>
      </c>
      <c r="T923" s="7" t="n">
        <f aca="false">IF(S923=0,100,100-100/(1+R923/S923))</f>
        <v>56.6316520908858</v>
      </c>
      <c r="U923" s="7" t="n">
        <f aca="false">E923*2/13+U922*11/13</f>
        <v>15059.1342611274</v>
      </c>
      <c r="V923" s="7" t="n">
        <f aca="false">E923*2/27+V922*25/27</f>
        <v>15112.7736875574</v>
      </c>
      <c r="W923" s="7" t="n">
        <f aca="false">U923-V923</f>
        <v>-53.6394264299997</v>
      </c>
      <c r="X923" s="7" t="n">
        <f aca="false">W923*2/10+X922*8/10</f>
        <v>-73.2623590595364</v>
      </c>
      <c r="Y923" s="7" t="n">
        <f aca="false">W923-X923</f>
        <v>19.6229326295367</v>
      </c>
      <c r="Z923" s="8" t="s">
        <v>42</v>
      </c>
      <c r="AA923" s="7" t="str">
        <f aca="false">IFERROR(INDEX(02_轉折點45!B:B,MATCH(A923,02_轉折點45!A:A,0)),"")</f>
        <v/>
      </c>
      <c r="AB923" s="7" t="n">
        <f aca="false">COUNTIFS(05_訊號明細!A:A,A923,05_訊號明細!C:C,"TOP")</f>
        <v>0</v>
      </c>
      <c r="AC923" s="7" t="n">
        <f aca="false">COUNTIFS(05_訊號明細!A:A,A923,05_訊號明細!C:C,"BOTTOM")</f>
        <v>0</v>
      </c>
    </row>
    <row r="924" customFormat="false" ht="15" hidden="false" customHeight="false" outlineLevel="0" collapsed="false">
      <c r="A924" s="7" t="s">
        <v>965</v>
      </c>
      <c r="B924" s="7" t="n">
        <v>15386.67</v>
      </c>
      <c r="C924" s="7" t="n">
        <v>15484.83</v>
      </c>
      <c r="D924" s="7" t="n">
        <v>15341.94</v>
      </c>
      <c r="E924" s="7" t="n">
        <v>15462.43</v>
      </c>
      <c r="F924" s="7" t="n">
        <v>4365</v>
      </c>
      <c r="G924" s="7" t="n">
        <f aca="false">AVERAGE(E920:E924)</f>
        <v>15129.942</v>
      </c>
      <c r="H924" s="7" t="n">
        <f aca="false">AVERAGE(E915:E924)</f>
        <v>15005.407</v>
      </c>
      <c r="I924" s="7" t="n">
        <f aca="false">AVERAGE(E905:E924)</f>
        <v>15087.088</v>
      </c>
      <c r="J924" s="7" t="n">
        <f aca="false">AVERAGE(E875:E924)</f>
        <v>15225.06</v>
      </c>
      <c r="K924" s="7" t="n">
        <f aca="false">AVERAGE(E825:E924)</f>
        <v>14461.4445</v>
      </c>
      <c r="L924" s="7" t="n">
        <f aca="false">AVERAGE(E725:E924)</f>
        <v>13202.06155</v>
      </c>
      <c r="M924" s="7" t="n">
        <f aca="false">I924</f>
        <v>15087.088</v>
      </c>
      <c r="N924" s="7" t="n">
        <f aca="false">I924+2*STDEV(E905:E924)</f>
        <v>15541.3140876237</v>
      </c>
      <c r="O924" s="7" t="n">
        <f aca="false">I924-2*STDEV(E905:E924)</f>
        <v>14632.8619123763</v>
      </c>
      <c r="P924" s="7" t="n">
        <f aca="false">MAX(E924-E923,0)</f>
        <v>85.880000000001</v>
      </c>
      <c r="Q924" s="7" t="n">
        <f aca="false">MAX(E923-E924,0)</f>
        <v>0</v>
      </c>
      <c r="R924" s="7" t="n">
        <f aca="false">(R923*13+P924)/14</f>
        <v>86.4288687956392</v>
      </c>
      <c r="S924" s="7" t="n">
        <f aca="false">(S923*13+Q924)/14</f>
        <v>61.4893489015806</v>
      </c>
      <c r="T924" s="7" t="n">
        <f aca="false">IF(S924=0,100,100-100/(1+R924/S924))</f>
        <v>58.4301718484428</v>
      </c>
      <c r="U924" s="7" t="n">
        <f aca="false">E924*2/13+U923*11/13</f>
        <v>15121.1797594155</v>
      </c>
      <c r="V924" s="7" t="n">
        <f aca="false">E924*2/27+V923*25/27</f>
        <v>15138.6741551457</v>
      </c>
      <c r="W924" s="7" t="n">
        <f aca="false">U924-V924</f>
        <v>-17.4943957302476</v>
      </c>
      <c r="X924" s="7" t="n">
        <f aca="false">W924*2/10+X923*8/10</f>
        <v>-62.1087663936786</v>
      </c>
      <c r="Y924" s="7" t="n">
        <f aca="false">W924-X924</f>
        <v>44.6143706634311</v>
      </c>
      <c r="Z924" s="8" t="s">
        <v>42</v>
      </c>
      <c r="AA924" s="7" t="str">
        <f aca="false">IFERROR(INDEX(02_轉折點45!B:B,MATCH(A924,02_轉折點45!A:A,0)),"")</f>
        <v/>
      </c>
      <c r="AB924" s="7" t="n">
        <f aca="false">COUNTIFS(05_訊號明細!A:A,A924,05_訊號明細!C:C,"TOP")</f>
        <v>0</v>
      </c>
      <c r="AC924" s="7" t="n">
        <f aca="false">COUNTIFS(05_訊號明細!A:A,A924,05_訊號明細!C:C,"BOTTOM")</f>
        <v>0</v>
      </c>
    </row>
    <row r="925" customFormat="false" ht="15" hidden="false" customHeight="false" outlineLevel="0" collapsed="false">
      <c r="A925" s="7" t="s">
        <v>966</v>
      </c>
      <c r="B925" s="7" t="n">
        <v>15475.43</v>
      </c>
      <c r="C925" s="7" t="n">
        <v>15575.01</v>
      </c>
      <c r="D925" s="7" t="n">
        <v>15466.41</v>
      </c>
      <c r="E925" s="7" t="n">
        <v>15501.07</v>
      </c>
      <c r="F925" s="7" t="n">
        <v>4569</v>
      </c>
      <c r="G925" s="7" t="n">
        <f aca="false">AVERAGE(E921:E925)</f>
        <v>15266.868</v>
      </c>
      <c r="H925" s="7" t="n">
        <f aca="false">AVERAGE(E916:E925)</f>
        <v>15083.933</v>
      </c>
      <c r="I925" s="7" t="n">
        <f aca="false">AVERAGE(E906:E925)</f>
        <v>15094.4645</v>
      </c>
      <c r="J925" s="7" t="n">
        <f aca="false">AVERAGE(E876:E925)</f>
        <v>15237.7324</v>
      </c>
      <c r="K925" s="7" t="n">
        <f aca="false">AVERAGE(E826:E925)</f>
        <v>14485.9429</v>
      </c>
      <c r="L925" s="7" t="n">
        <f aca="false">AVERAGE(E726:E925)</f>
        <v>13220.48185</v>
      </c>
      <c r="M925" s="7" t="n">
        <f aca="false">I925</f>
        <v>15094.4645</v>
      </c>
      <c r="N925" s="7" t="n">
        <f aca="false">I925+2*STDEV(E906:E925)</f>
        <v>15571.1465703009</v>
      </c>
      <c r="O925" s="7" t="n">
        <f aca="false">I925-2*STDEV(E906:E925)</f>
        <v>14617.7824296991</v>
      </c>
      <c r="P925" s="7" t="n">
        <f aca="false">MAX(E925-E924,0)</f>
        <v>38.6399999999994</v>
      </c>
      <c r="Q925" s="7" t="n">
        <f aca="false">MAX(E924-E925,0)</f>
        <v>0</v>
      </c>
      <c r="R925" s="7" t="n">
        <f aca="false">(R924*13+P925)/14</f>
        <v>83.0153781673792</v>
      </c>
      <c r="S925" s="7" t="n">
        <f aca="false">(S924*13+Q925)/14</f>
        <v>57.0972525514677</v>
      </c>
      <c r="T925" s="7" t="n">
        <f aca="false">IF(S925=0,100,100-100/(1+R925/S925))</f>
        <v>59.2490325400853</v>
      </c>
      <c r="U925" s="7" t="n">
        <f aca="false">E925*2/13+U924*11/13</f>
        <v>15179.6244118131</v>
      </c>
      <c r="V925" s="7" t="n">
        <f aca="false">E925*2/27+V924*25/27</f>
        <v>15165.5182918016</v>
      </c>
      <c r="W925" s="7" t="n">
        <f aca="false">U925-V925</f>
        <v>14.1061200115</v>
      </c>
      <c r="X925" s="7" t="n">
        <f aca="false">W925*2/10+X924*8/10</f>
        <v>-46.8657891126429</v>
      </c>
      <c r="Y925" s="7" t="n">
        <f aca="false">W925-X925</f>
        <v>60.9719091241429</v>
      </c>
      <c r="Z925" s="8" t="s">
        <v>42</v>
      </c>
      <c r="AA925" s="7" t="str">
        <f aca="false">IFERROR(INDEX(02_轉折點45!B:B,MATCH(A925,02_轉折點45!A:A,0)),"")</f>
        <v/>
      </c>
      <c r="AB925" s="7" t="n">
        <f aca="false">COUNTIFS(05_訊號明細!A:A,A925,05_訊號明細!C:C,"TOP")</f>
        <v>0</v>
      </c>
      <c r="AC925" s="7" t="n">
        <f aca="false">COUNTIFS(05_訊號明細!A:A,A925,05_訊號明細!C:C,"BOTTOM")</f>
        <v>0</v>
      </c>
    </row>
    <row r="926" customFormat="false" ht="15" hidden="false" customHeight="false" outlineLevel="0" collapsed="false">
      <c r="A926" s="7" t="s">
        <v>967</v>
      </c>
      <c r="B926" s="7" t="n">
        <v>15600.95</v>
      </c>
      <c r="C926" s="7" t="n">
        <v>15618.85</v>
      </c>
      <c r="D926" s="7" t="n">
        <v>15429.36</v>
      </c>
      <c r="E926" s="7" t="n">
        <v>15490.86</v>
      </c>
      <c r="F926" s="7" t="n">
        <v>4034</v>
      </c>
      <c r="G926" s="7" t="n">
        <f aca="false">AVERAGE(E922:E926)</f>
        <v>15376.674</v>
      </c>
      <c r="H926" s="7" t="n">
        <f aca="false">AVERAGE(E917:E926)</f>
        <v>15163.535</v>
      </c>
      <c r="I926" s="7" t="n">
        <f aca="false">AVERAGE(E907:E926)</f>
        <v>15105.2615</v>
      </c>
      <c r="J926" s="7" t="n">
        <f aca="false">AVERAGE(E877:E926)</f>
        <v>15246.7032</v>
      </c>
      <c r="K926" s="7" t="n">
        <f aca="false">AVERAGE(E827:E926)</f>
        <v>14511.21</v>
      </c>
      <c r="L926" s="7" t="n">
        <f aca="false">AVERAGE(E727:E926)</f>
        <v>13239.43145</v>
      </c>
      <c r="M926" s="7" t="n">
        <f aca="false">I926</f>
        <v>15105.2615</v>
      </c>
      <c r="N926" s="7" t="n">
        <f aca="false">I926+2*STDEV(E907:E926)</f>
        <v>15608.2120013743</v>
      </c>
      <c r="O926" s="7" t="n">
        <f aca="false">I926-2*STDEV(E907:E926)</f>
        <v>14602.3109986257</v>
      </c>
      <c r="P926" s="7" t="n">
        <f aca="false">MAX(E926-E925,0)</f>
        <v>0</v>
      </c>
      <c r="Q926" s="7" t="n">
        <f aca="false">MAX(E925-E926,0)</f>
        <v>10.2099999999991</v>
      </c>
      <c r="R926" s="7" t="n">
        <f aca="false">(R925*13+P926)/14</f>
        <v>77.0857082982807</v>
      </c>
      <c r="S926" s="7" t="n">
        <f aca="false">(S925*13+Q926)/14</f>
        <v>53.7481630835057</v>
      </c>
      <c r="T926" s="7" t="n">
        <f aca="false">IF(S926=0,100,100-100/(1+R926/S926))</f>
        <v>58.9187704102532</v>
      </c>
      <c r="U926" s="7" t="n">
        <f aca="false">E926*2/13+U925*11/13</f>
        <v>15227.5068099957</v>
      </c>
      <c r="V926" s="7" t="n">
        <f aca="false">E926*2/27+V925*25/27</f>
        <v>15189.6176775941</v>
      </c>
      <c r="W926" s="7" t="n">
        <f aca="false">U926-V926</f>
        <v>37.8891324016277</v>
      </c>
      <c r="X926" s="7" t="n">
        <f aca="false">W926*2/10+X925*8/10</f>
        <v>-29.9148048097888</v>
      </c>
      <c r="Y926" s="7" t="n">
        <f aca="false">W926-X926</f>
        <v>67.8039372114164</v>
      </c>
      <c r="Z926" s="8" t="s">
        <v>42</v>
      </c>
      <c r="AA926" s="7" t="str">
        <f aca="false">IFERROR(INDEX(02_轉折點45!B:B,MATCH(A926,02_轉折點45!A:A,0)),"")</f>
        <v/>
      </c>
      <c r="AB926" s="7" t="n">
        <f aca="false">COUNTIFS(05_訊號明細!A:A,A926,05_訊號明細!C:C,"TOP")</f>
        <v>0</v>
      </c>
      <c r="AC926" s="7" t="n">
        <f aca="false">COUNTIFS(05_訊號明細!A:A,A926,05_訊號明細!C:C,"BOTTOM")</f>
        <v>0</v>
      </c>
    </row>
    <row r="927" customFormat="false" ht="15" hidden="false" customHeight="false" outlineLevel="0" collapsed="false">
      <c r="A927" s="7" t="s">
        <v>968</v>
      </c>
      <c r="B927" s="7" t="n">
        <v>15460.52</v>
      </c>
      <c r="C927" s="7" t="n">
        <v>15556.85</v>
      </c>
      <c r="D927" s="7" t="n">
        <v>15419.96</v>
      </c>
      <c r="E927" s="7" t="n">
        <v>15508.24</v>
      </c>
      <c r="F927" s="7" t="n">
        <v>4380</v>
      </c>
      <c r="G927" s="7" t="n">
        <f aca="false">AVERAGE(E923:E927)</f>
        <v>15467.83</v>
      </c>
      <c r="H927" s="7" t="n">
        <f aca="false">AVERAGE(E918:E927)</f>
        <v>15220.69</v>
      </c>
      <c r="I927" s="7" t="n">
        <f aca="false">AVERAGE(E908:E927)</f>
        <v>15110.281</v>
      </c>
      <c r="J927" s="7" t="n">
        <f aca="false">AVERAGE(E878:E927)</f>
        <v>15259.0384</v>
      </c>
      <c r="K927" s="7" t="n">
        <f aca="false">AVERAGE(E828:E927)</f>
        <v>14537.8089</v>
      </c>
      <c r="L927" s="7" t="n">
        <f aca="false">AVERAGE(E728:E927)</f>
        <v>13257.6169</v>
      </c>
      <c r="M927" s="7" t="n">
        <f aca="false">I927</f>
        <v>15110.281</v>
      </c>
      <c r="N927" s="7" t="n">
        <f aca="false">I927+2*STDEV(E908:E927)</f>
        <v>15627.7412341152</v>
      </c>
      <c r="O927" s="7" t="n">
        <f aca="false">I927-2*STDEV(E908:E927)</f>
        <v>14592.8207658848</v>
      </c>
      <c r="P927" s="7" t="n">
        <f aca="false">MAX(E927-E926,0)</f>
        <v>17.3799999999992</v>
      </c>
      <c r="Q927" s="7" t="n">
        <f aca="false">MAX(E926-E927,0)</f>
        <v>0</v>
      </c>
      <c r="R927" s="7" t="n">
        <f aca="false">(R926*13+P927)/14</f>
        <v>72.8210148484035</v>
      </c>
      <c r="S927" s="7" t="n">
        <f aca="false">(S926*13+Q927)/14</f>
        <v>49.909008577541</v>
      </c>
      <c r="T927" s="7" t="n">
        <f aca="false">IF(S927=0,100,100-100/(1+R927/S927))</f>
        <v>59.3343118624465</v>
      </c>
      <c r="U927" s="7" t="n">
        <f aca="false">E927*2/13+U926*11/13</f>
        <v>15270.6965315348</v>
      </c>
      <c r="V927" s="7" t="n">
        <f aca="false">E927*2/27+V926*25/27</f>
        <v>15213.2193311056</v>
      </c>
      <c r="W927" s="7" t="n">
        <f aca="false">U927-V927</f>
        <v>57.4772004292008</v>
      </c>
      <c r="X927" s="7" t="n">
        <f aca="false">W927*2/10+X926*8/10</f>
        <v>-12.4364037619909</v>
      </c>
      <c r="Y927" s="7" t="n">
        <f aca="false">W927-X927</f>
        <v>69.9136041911917</v>
      </c>
      <c r="Z927" s="8" t="s">
        <v>42</v>
      </c>
      <c r="AA927" s="7" t="str">
        <f aca="false">IFERROR(INDEX(02_轉折點45!B:B,MATCH(A927,02_轉折點45!A:A,0)),"")</f>
        <v/>
      </c>
      <c r="AB927" s="7" t="n">
        <f aca="false">COUNTIFS(05_訊號明細!A:A,A927,05_訊號明細!C:C,"TOP")</f>
        <v>0</v>
      </c>
      <c r="AC927" s="7" t="n">
        <f aca="false">COUNTIFS(05_訊號明細!A:A,A927,05_訊號明細!C:C,"BOTTOM")</f>
        <v>0</v>
      </c>
    </row>
    <row r="928" customFormat="false" ht="15" hidden="false" customHeight="false" outlineLevel="0" collapsed="false">
      <c r="A928" s="7" t="s">
        <v>969</v>
      </c>
      <c r="B928" s="7" t="n">
        <v>15467.32</v>
      </c>
      <c r="C928" s="7" t="n">
        <v>15487</v>
      </c>
      <c r="D928" s="7" t="n">
        <v>15289.48</v>
      </c>
      <c r="E928" s="7" t="n">
        <v>15371.44</v>
      </c>
      <c r="F928" s="7" t="n">
        <v>4215</v>
      </c>
      <c r="G928" s="7" t="n">
        <f aca="false">AVERAGE(E924:E928)</f>
        <v>15466.808</v>
      </c>
      <c r="H928" s="7" t="n">
        <f aca="false">AVERAGE(E919:E928)</f>
        <v>15266.938</v>
      </c>
      <c r="I928" s="7" t="n">
        <f aca="false">AVERAGE(E909:E928)</f>
        <v>15115.2005</v>
      </c>
      <c r="J928" s="7" t="n">
        <f aca="false">AVERAGE(E879:E928)</f>
        <v>15272.6868</v>
      </c>
      <c r="K928" s="7" t="n">
        <f aca="false">AVERAGE(E829:E928)</f>
        <v>14560.4294</v>
      </c>
      <c r="L928" s="7" t="n">
        <f aca="false">AVERAGE(E729:E928)</f>
        <v>13275.97865</v>
      </c>
      <c r="M928" s="7" t="n">
        <f aca="false">I928</f>
        <v>15115.2005</v>
      </c>
      <c r="N928" s="7" t="n">
        <f aca="false">I928+2*STDEV(E909:E928)</f>
        <v>15640.9802101839</v>
      </c>
      <c r="O928" s="7" t="n">
        <f aca="false">I928-2*STDEV(E909:E928)</f>
        <v>14589.4207898161</v>
      </c>
      <c r="P928" s="7" t="n">
        <f aca="false">MAX(E928-E927,0)</f>
        <v>0</v>
      </c>
      <c r="Q928" s="7" t="n">
        <f aca="false">MAX(E927-E928,0)</f>
        <v>136.799999999999</v>
      </c>
      <c r="R928" s="7" t="n">
        <f aca="false">(R927*13+P928)/14</f>
        <v>67.6195137878032</v>
      </c>
      <c r="S928" s="7" t="n">
        <f aca="false">(S927*13+Q928)/14</f>
        <v>56.1155079648594</v>
      </c>
      <c r="T928" s="7" t="n">
        <f aca="false">IF(S928=0,100,100-100/(1+R928/S928))</f>
        <v>54.6486458158707</v>
      </c>
      <c r="U928" s="7" t="n">
        <f aca="false">E928*2/13+U927*11/13</f>
        <v>15286.1955266833</v>
      </c>
      <c r="V928" s="7" t="n">
        <f aca="false">E928*2/27+V927*25/27</f>
        <v>15224.9393806533</v>
      </c>
      <c r="W928" s="7" t="n">
        <f aca="false">U928-V928</f>
        <v>61.2561460299585</v>
      </c>
      <c r="X928" s="7" t="n">
        <f aca="false">W928*2/10+X927*8/10</f>
        <v>2.30210619639901</v>
      </c>
      <c r="Y928" s="7" t="n">
        <f aca="false">W928-X928</f>
        <v>58.9540398335595</v>
      </c>
      <c r="Z928" s="8" t="s">
        <v>42</v>
      </c>
      <c r="AA928" s="7" t="str">
        <f aca="false">IFERROR(INDEX(02_轉折點45!B:B,MATCH(A928,02_轉折點45!A:A,0)),"")</f>
        <v/>
      </c>
      <c r="AB928" s="7" t="n">
        <f aca="false">COUNTIFS(05_訊號明細!A:A,A928,05_訊號明細!C:C,"TOP")</f>
        <v>0</v>
      </c>
      <c r="AC928" s="7" t="n">
        <f aca="false">COUNTIFS(05_訊號明細!A:A,A928,05_訊號明細!C:C,"BOTTOM")</f>
        <v>0</v>
      </c>
    </row>
    <row r="929" customFormat="false" ht="15" hidden="false" customHeight="false" outlineLevel="0" collapsed="false">
      <c r="A929" s="7" t="s">
        <v>970</v>
      </c>
      <c r="B929" s="7" t="n">
        <v>15174.22</v>
      </c>
      <c r="C929" s="7" t="n">
        <v>15288.2</v>
      </c>
      <c r="D929" s="7" t="n">
        <v>15138.73</v>
      </c>
      <c r="E929" s="7" t="n">
        <v>15258.52</v>
      </c>
      <c r="F929" s="7" t="n">
        <v>4321</v>
      </c>
      <c r="G929" s="7" t="n">
        <f aca="false">AVERAGE(E925:E929)</f>
        <v>15426.026</v>
      </c>
      <c r="H929" s="7" t="n">
        <f aca="false">AVERAGE(E920:E929)</f>
        <v>15277.984</v>
      </c>
      <c r="I929" s="7" t="n">
        <f aca="false">AVERAGE(E910:E929)</f>
        <v>15123.041</v>
      </c>
      <c r="J929" s="7" t="n">
        <f aca="false">AVERAGE(E880:E929)</f>
        <v>15278.939</v>
      </c>
      <c r="K929" s="7" t="n">
        <f aca="false">AVERAGE(E830:E929)</f>
        <v>14582.2194</v>
      </c>
      <c r="L929" s="7" t="n">
        <f aca="false">AVERAGE(E730:E929)</f>
        <v>13293.88695</v>
      </c>
      <c r="M929" s="7" t="n">
        <f aca="false">I929</f>
        <v>15123.041</v>
      </c>
      <c r="N929" s="7" t="n">
        <f aca="false">I929+2*STDEV(E910:E929)</f>
        <v>15652.6365674365</v>
      </c>
      <c r="O929" s="7" t="n">
        <f aca="false">I929-2*STDEV(E910:E929)</f>
        <v>14593.4454325635</v>
      </c>
      <c r="P929" s="7" t="n">
        <f aca="false">MAX(E929-E928,0)</f>
        <v>0</v>
      </c>
      <c r="Q929" s="7" t="n">
        <f aca="false">MAX(E928-E929,0)</f>
        <v>112.92</v>
      </c>
      <c r="R929" s="7" t="n">
        <f aca="false">(R928*13+P929)/14</f>
        <v>62.7895485172459</v>
      </c>
      <c r="S929" s="7" t="n">
        <f aca="false">(S928*13+Q929)/14</f>
        <v>60.1729716816552</v>
      </c>
      <c r="T929" s="7" t="n">
        <f aca="false">IF(S929=0,100,100-100/(1+R929/S929))</f>
        <v>51.0639733275465</v>
      </c>
      <c r="U929" s="7" t="n">
        <f aca="false">E929*2/13+U928*11/13</f>
        <v>15281.9377533474</v>
      </c>
      <c r="V929" s="7" t="n">
        <f aca="false">E929*2/27+V928*25/27</f>
        <v>15227.4268339383</v>
      </c>
      <c r="W929" s="7" t="n">
        <f aca="false">U929-V929</f>
        <v>54.5109194091274</v>
      </c>
      <c r="X929" s="7" t="n">
        <f aca="false">W929*2/10+X928*8/10</f>
        <v>12.7438688389447</v>
      </c>
      <c r="Y929" s="7" t="n">
        <f aca="false">W929-X929</f>
        <v>41.7670505701827</v>
      </c>
      <c r="Z929" s="8" t="s">
        <v>42</v>
      </c>
      <c r="AA929" s="7" t="str">
        <f aca="false">IFERROR(INDEX(02_轉折點45!B:B,MATCH(A929,02_轉折點45!A:A,0)),"")</f>
        <v/>
      </c>
      <c r="AB929" s="7" t="n">
        <f aca="false">COUNTIFS(05_訊號明細!A:A,A929,05_訊號明細!C:C,"TOP")</f>
        <v>1</v>
      </c>
      <c r="AC929" s="7" t="n">
        <f aca="false">COUNTIFS(05_訊號明細!A:A,A929,05_訊號明細!C:C,"BOTTOM")</f>
        <v>0</v>
      </c>
    </row>
    <row r="930" customFormat="false" ht="15" hidden="false" customHeight="false" outlineLevel="0" collapsed="false">
      <c r="A930" s="7" t="s">
        <v>971</v>
      </c>
      <c r="B930" s="7" t="n">
        <v>15265.57</v>
      </c>
      <c r="C930" s="7" t="n">
        <v>15374.22</v>
      </c>
      <c r="D930" s="7" t="n">
        <v>15244.06</v>
      </c>
      <c r="E930" s="7" t="n">
        <v>15280.23</v>
      </c>
      <c r="F930" s="7" t="n">
        <v>4160</v>
      </c>
      <c r="G930" s="7" t="n">
        <f aca="false">AVERAGE(E926:E930)</f>
        <v>15381.858</v>
      </c>
      <c r="H930" s="7" t="n">
        <f aca="false">AVERAGE(E921:E930)</f>
        <v>15324.363</v>
      </c>
      <c r="I930" s="7" t="n">
        <f aca="false">AVERAGE(E911:E930)</f>
        <v>15130.6105</v>
      </c>
      <c r="J930" s="7" t="n">
        <f aca="false">AVERAGE(E881:E930)</f>
        <v>15285.2522</v>
      </c>
      <c r="K930" s="7" t="n">
        <f aca="false">AVERAGE(E831:E930)</f>
        <v>14604.1446</v>
      </c>
      <c r="L930" s="7" t="n">
        <f aca="false">AVERAGE(E731:E930)</f>
        <v>13311.903</v>
      </c>
      <c r="M930" s="7" t="n">
        <f aca="false">I930</f>
        <v>15130.6105</v>
      </c>
      <c r="N930" s="7" t="n">
        <f aca="false">I930+2*STDEV(E911:E930)</f>
        <v>15664.8622178644</v>
      </c>
      <c r="O930" s="7" t="n">
        <f aca="false">I930-2*STDEV(E911:E930)</f>
        <v>14596.3587821356</v>
      </c>
      <c r="P930" s="7" t="n">
        <f aca="false">MAX(E930-E929,0)</f>
        <v>21.7099999999991</v>
      </c>
      <c r="Q930" s="7" t="n">
        <f aca="false">MAX(E929-E930,0)</f>
        <v>0</v>
      </c>
      <c r="R930" s="7" t="n">
        <f aca="false">(R929*13+P930)/14</f>
        <v>59.8552950517282</v>
      </c>
      <c r="S930" s="7" t="n">
        <f aca="false">(S929*13+Q930)/14</f>
        <v>55.8749022758227</v>
      </c>
      <c r="T930" s="7" t="n">
        <f aca="false">IF(S930=0,100,100-100/(1+R930/S930))</f>
        <v>51.7196863341725</v>
      </c>
      <c r="U930" s="7" t="n">
        <f aca="false">E930*2/13+U929*11/13</f>
        <v>15281.6750220632</v>
      </c>
      <c r="V930" s="7" t="n">
        <f aca="false">E930*2/27+V929*25/27</f>
        <v>15231.3381795725</v>
      </c>
      <c r="W930" s="7" t="n">
        <f aca="false">U930-V930</f>
        <v>50.3368424907094</v>
      </c>
      <c r="X930" s="7" t="n">
        <f aca="false">W930*2/10+X929*8/10</f>
        <v>20.2624635692976</v>
      </c>
      <c r="Y930" s="7" t="n">
        <f aca="false">W930-X930</f>
        <v>30.0743789214118</v>
      </c>
      <c r="Z930" s="8" t="s">
        <v>42</v>
      </c>
      <c r="AA930" s="7" t="str">
        <f aca="false">IFERROR(INDEX(02_轉折點45!B:B,MATCH(A930,02_轉折點45!A:A,0)),"")</f>
        <v/>
      </c>
      <c r="AB930" s="7" t="n">
        <f aca="false">COUNTIFS(05_訊號明細!A:A,A930,05_訊號明細!C:C,"TOP")</f>
        <v>0</v>
      </c>
      <c r="AC930" s="7" t="n">
        <f aca="false">COUNTIFS(05_訊號明細!A:A,A930,05_訊號明細!C:C,"BOTTOM")</f>
        <v>0</v>
      </c>
    </row>
    <row r="931" customFormat="false" ht="15" hidden="false" customHeight="false" outlineLevel="0" collapsed="false">
      <c r="A931" s="7" t="s">
        <v>972</v>
      </c>
      <c r="B931" s="7" t="n">
        <v>15409.77</v>
      </c>
      <c r="C931" s="7" t="n">
        <v>15482.84</v>
      </c>
      <c r="D931" s="7" t="n">
        <v>15328.35</v>
      </c>
      <c r="E931" s="7" t="n">
        <v>15461.87</v>
      </c>
      <c r="F931" s="7" t="n">
        <v>4539</v>
      </c>
      <c r="G931" s="7" t="n">
        <f aca="false">AVERAGE(E927:E931)</f>
        <v>15376.06</v>
      </c>
      <c r="H931" s="7" t="n">
        <f aca="false">AVERAGE(E922:E931)</f>
        <v>15376.367</v>
      </c>
      <c r="I931" s="7" t="n">
        <f aca="false">AVERAGE(E912:E931)</f>
        <v>15152.3005</v>
      </c>
      <c r="J931" s="7" t="n">
        <f aca="false">AVERAGE(E882:E931)</f>
        <v>15295.6906</v>
      </c>
      <c r="K931" s="7" t="n">
        <f aca="false">AVERAGE(E832:E931)</f>
        <v>14627.8454</v>
      </c>
      <c r="L931" s="7" t="n">
        <f aca="false">AVERAGE(E732:E931)</f>
        <v>13331.4451</v>
      </c>
      <c r="M931" s="7" t="n">
        <f aca="false">I931</f>
        <v>15152.3005</v>
      </c>
      <c r="N931" s="7" t="n">
        <f aca="false">I931+2*STDEV(E912:E931)</f>
        <v>15703.963525653</v>
      </c>
      <c r="O931" s="7" t="n">
        <f aca="false">I931-2*STDEV(E912:E931)</f>
        <v>14600.637474347</v>
      </c>
      <c r="P931" s="7" t="n">
        <f aca="false">MAX(E931-E930,0)</f>
        <v>181.640000000001</v>
      </c>
      <c r="Q931" s="7" t="n">
        <f aca="false">MAX(E930-E931,0)</f>
        <v>0</v>
      </c>
      <c r="R931" s="7" t="n">
        <f aca="false">(R930*13+P931)/14</f>
        <v>68.5542025480334</v>
      </c>
      <c r="S931" s="7" t="n">
        <f aca="false">(S930*13+Q931)/14</f>
        <v>51.8838378275496</v>
      </c>
      <c r="T931" s="7" t="n">
        <f aca="false">IF(S931=0,100,100-100/(1+R931/S931))</f>
        <v>56.9207223351101</v>
      </c>
      <c r="U931" s="7" t="n">
        <f aca="false">E931*2/13+U930*11/13</f>
        <v>15309.3973263612</v>
      </c>
      <c r="V931" s="7" t="n">
        <f aca="false">E931*2/27+V930*25/27</f>
        <v>15248.4146107153</v>
      </c>
      <c r="W931" s="7" t="n">
        <f aca="false">U931-V931</f>
        <v>60.9827156458996</v>
      </c>
      <c r="X931" s="7" t="n">
        <f aca="false">W931*2/10+X930*8/10</f>
        <v>28.406513984618</v>
      </c>
      <c r="Y931" s="7" t="n">
        <f aca="false">W931-X931</f>
        <v>32.5762016612816</v>
      </c>
      <c r="Z931" s="8" t="s">
        <v>42</v>
      </c>
      <c r="AA931" s="7" t="str">
        <f aca="false">IFERROR(INDEX(02_轉折點45!B:B,MATCH(A931,02_轉折點45!A:A,0)),"")</f>
        <v/>
      </c>
      <c r="AB931" s="7" t="n">
        <f aca="false">COUNTIFS(05_訊號明細!A:A,A931,05_訊號明細!C:C,"TOP")</f>
        <v>2</v>
      </c>
      <c r="AC931" s="7" t="n">
        <f aca="false">COUNTIFS(05_訊號明細!A:A,A931,05_訊號明細!C:C,"BOTTOM")</f>
        <v>0</v>
      </c>
    </row>
    <row r="932" customFormat="false" ht="15" hidden="false" customHeight="false" outlineLevel="0" collapsed="false">
      <c r="A932" s="7" t="s">
        <v>973</v>
      </c>
      <c r="B932" s="7" t="n">
        <v>15390.59</v>
      </c>
      <c r="C932" s="7" t="n">
        <v>15447.85</v>
      </c>
      <c r="D932" s="7" t="n">
        <v>15278.88</v>
      </c>
      <c r="E932" s="7" t="n">
        <v>15289.74</v>
      </c>
      <c r="F932" s="7" t="n">
        <v>4595</v>
      </c>
      <c r="G932" s="7" t="n">
        <f aca="false">AVERAGE(E928:E932)</f>
        <v>15332.36</v>
      </c>
      <c r="H932" s="7" t="n">
        <f aca="false">AVERAGE(E923:E932)</f>
        <v>15400.095</v>
      </c>
      <c r="I932" s="7" t="n">
        <f aca="false">AVERAGE(E913:E932)</f>
        <v>15156.508</v>
      </c>
      <c r="J932" s="7" t="n">
        <f aca="false">AVERAGE(E883:E932)</f>
        <v>15297.9012</v>
      </c>
      <c r="K932" s="7" t="n">
        <f aca="false">AVERAGE(E833:E932)</f>
        <v>14649.8557</v>
      </c>
      <c r="L932" s="7" t="n">
        <f aca="false">AVERAGE(E733:E932)</f>
        <v>13349.2696</v>
      </c>
      <c r="M932" s="7" t="n">
        <f aca="false">I932</f>
        <v>15156.508</v>
      </c>
      <c r="N932" s="7" t="n">
        <f aca="false">I932+2*STDEV(E913:E932)</f>
        <v>15711.1578620742</v>
      </c>
      <c r="O932" s="7" t="n">
        <f aca="false">I932-2*STDEV(E913:E932)</f>
        <v>14601.8581379258</v>
      </c>
      <c r="P932" s="7" t="n">
        <f aca="false">MAX(E932-E931,0)</f>
        <v>0</v>
      </c>
      <c r="Q932" s="7" t="n">
        <f aca="false">MAX(E931-E932,0)</f>
        <v>172.130000000001</v>
      </c>
      <c r="R932" s="7" t="n">
        <f aca="false">(R931*13+P932)/14</f>
        <v>63.6574737946025</v>
      </c>
      <c r="S932" s="7" t="n">
        <f aca="false">(S931*13+Q932)/14</f>
        <v>60.4728494112962</v>
      </c>
      <c r="T932" s="7" t="n">
        <f aca="false">IF(S932=0,100,100-100/(1+R932/S932))</f>
        <v>51.2827745473698</v>
      </c>
      <c r="U932" s="7" t="n">
        <f aca="false">E932*2/13+U931*11/13</f>
        <v>15306.3731223056</v>
      </c>
      <c r="V932" s="7" t="n">
        <f aca="false">E932*2/27+V931*25/27</f>
        <v>15251.4757506623</v>
      </c>
      <c r="W932" s="7" t="n">
        <f aca="false">U932-V932</f>
        <v>54.8973716433175</v>
      </c>
      <c r="X932" s="7" t="n">
        <f aca="false">W932*2/10+X931*8/10</f>
        <v>33.7046855163579</v>
      </c>
      <c r="Y932" s="7" t="n">
        <f aca="false">W932-X932</f>
        <v>21.1926861269596</v>
      </c>
      <c r="Z932" s="8" t="s">
        <v>42</v>
      </c>
      <c r="AA932" s="7" t="str">
        <f aca="false">IFERROR(INDEX(02_轉折點45!B:B,MATCH(A932,02_轉折點45!A:A,0)),"")</f>
        <v/>
      </c>
      <c r="AB932" s="7" t="n">
        <f aca="false">COUNTIFS(05_訊號明細!A:A,A932,05_訊號明細!C:C,"TOP")</f>
        <v>0</v>
      </c>
      <c r="AC932" s="7" t="n">
        <f aca="false">COUNTIFS(05_訊號明細!A:A,A932,05_訊號明細!C:C,"BOTTOM")</f>
        <v>0</v>
      </c>
    </row>
    <row r="933" customFormat="false" ht="15" hidden="false" customHeight="false" outlineLevel="0" collapsed="false">
      <c r="A933" s="7" t="s">
        <v>974</v>
      </c>
      <c r="B933" s="7" t="n">
        <v>15293.27</v>
      </c>
      <c r="C933" s="7" t="n">
        <v>15414.61</v>
      </c>
      <c r="D933" s="7" t="n">
        <v>15256.6</v>
      </c>
      <c r="E933" s="7" t="n">
        <v>15348.53</v>
      </c>
      <c r="F933" s="7" t="n">
        <v>4840</v>
      </c>
      <c r="G933" s="7" t="n">
        <f aca="false">AVERAGE(E929:E933)</f>
        <v>15327.778</v>
      </c>
      <c r="H933" s="7" t="n">
        <f aca="false">AVERAGE(E924:E933)</f>
        <v>15397.293</v>
      </c>
      <c r="I933" s="7" t="n">
        <f aca="false">AVERAGE(E914:E933)</f>
        <v>15172.052</v>
      </c>
      <c r="J933" s="7" t="n">
        <f aca="false">AVERAGE(E884:E933)</f>
        <v>15300.698</v>
      </c>
      <c r="K933" s="7" t="n">
        <f aca="false">AVERAGE(E834:E933)</f>
        <v>14673.4812</v>
      </c>
      <c r="L933" s="7" t="n">
        <f aca="false">AVERAGE(E734:E933)</f>
        <v>13366.81865</v>
      </c>
      <c r="M933" s="7" t="n">
        <f aca="false">I933</f>
        <v>15172.052</v>
      </c>
      <c r="N933" s="7" t="n">
        <f aca="false">I933+2*STDEV(E914:E933)</f>
        <v>15730.0910734707</v>
      </c>
      <c r="O933" s="7" t="n">
        <f aca="false">I933-2*STDEV(E914:E933)</f>
        <v>14614.0129265293</v>
      </c>
      <c r="P933" s="7" t="n">
        <f aca="false">MAX(E933-E932,0)</f>
        <v>58.7900000000009</v>
      </c>
      <c r="Q933" s="7" t="n">
        <f aca="false">MAX(E932-E933,0)</f>
        <v>0</v>
      </c>
      <c r="R933" s="7" t="n">
        <f aca="false">(R932*13+P933)/14</f>
        <v>63.3097970949881</v>
      </c>
      <c r="S933" s="7" t="n">
        <f aca="false">(S932*13+Q933)/14</f>
        <v>56.1533601676322</v>
      </c>
      <c r="T933" s="7" t="n">
        <f aca="false">IF(S933=0,100,100-100/(1+R933/S933))</f>
        <v>52.9952485315718</v>
      </c>
      <c r="U933" s="7" t="n">
        <f aca="false">E933*2/13+U932*11/13</f>
        <v>15312.858795797</v>
      </c>
      <c r="V933" s="7" t="n">
        <f aca="false">E933*2/27+V932*25/27</f>
        <v>15258.6649543169</v>
      </c>
      <c r="W933" s="7" t="n">
        <f aca="false">U933-V933</f>
        <v>54.193841480117</v>
      </c>
      <c r="X933" s="7" t="n">
        <f aca="false">W933*2/10+X932*8/10</f>
        <v>37.8025167091097</v>
      </c>
      <c r="Y933" s="7" t="n">
        <f aca="false">W933-X933</f>
        <v>16.3913247710073</v>
      </c>
      <c r="Z933" s="8" t="s">
        <v>42</v>
      </c>
      <c r="AA933" s="7" t="str">
        <f aca="false">IFERROR(INDEX(02_轉折點45!B:B,MATCH(A933,02_轉折點45!A:A,0)),"")</f>
        <v/>
      </c>
      <c r="AB933" s="7" t="n">
        <f aca="false">COUNTIFS(05_訊號明細!A:A,A933,05_訊號明細!C:C,"TOP")</f>
        <v>0</v>
      </c>
      <c r="AC933" s="7" t="n">
        <f aca="false">COUNTIFS(05_訊號明細!A:A,A933,05_訊號明細!C:C,"BOTTOM")</f>
        <v>0</v>
      </c>
    </row>
    <row r="934" customFormat="false" ht="15" hidden="false" customHeight="false" outlineLevel="0" collapsed="false">
      <c r="A934" s="7" t="s">
        <v>975</v>
      </c>
      <c r="B934" s="7" t="n">
        <v>15433.01</v>
      </c>
      <c r="C934" s="7" t="n">
        <v>15512.82</v>
      </c>
      <c r="D934" s="7" t="n">
        <v>15337.18</v>
      </c>
      <c r="E934" s="7" t="n">
        <v>15473.89</v>
      </c>
      <c r="F934" s="7" t="n">
        <v>4649</v>
      </c>
      <c r="G934" s="7" t="n">
        <f aca="false">AVERAGE(E930:E934)</f>
        <v>15370.852</v>
      </c>
      <c r="H934" s="7" t="n">
        <f aca="false">AVERAGE(E925:E934)</f>
        <v>15398.439</v>
      </c>
      <c r="I934" s="7" t="n">
        <f aca="false">AVERAGE(E915:E934)</f>
        <v>15201.923</v>
      </c>
      <c r="J934" s="7" t="n">
        <f aca="false">AVERAGE(E885:E934)</f>
        <v>15306.1002</v>
      </c>
      <c r="K934" s="7" t="n">
        <f aca="false">AVERAGE(E835:E934)</f>
        <v>14698.2124</v>
      </c>
      <c r="L934" s="7" t="n">
        <f aca="false">AVERAGE(E735:E934)</f>
        <v>13385.40795</v>
      </c>
      <c r="M934" s="7" t="n">
        <f aca="false">I934</f>
        <v>15201.923</v>
      </c>
      <c r="N934" s="7" t="n">
        <f aca="false">I934+2*STDEV(E915:E934)</f>
        <v>15757.2944854269</v>
      </c>
      <c r="O934" s="7" t="n">
        <f aca="false">I934-2*STDEV(E915:E934)</f>
        <v>14646.5515145731</v>
      </c>
      <c r="P934" s="7" t="n">
        <f aca="false">MAX(E934-E933,0)</f>
        <v>125.359999999999</v>
      </c>
      <c r="Q934" s="7" t="n">
        <f aca="false">MAX(E933-E934,0)</f>
        <v>0</v>
      </c>
      <c r="R934" s="7" t="n">
        <f aca="false">(R933*13+P934)/14</f>
        <v>67.741954445346</v>
      </c>
      <c r="S934" s="7" t="n">
        <f aca="false">(S933*13+Q934)/14</f>
        <v>52.1424058699441</v>
      </c>
      <c r="T934" s="7" t="n">
        <f aca="false">IF(S934=0,100,100-100/(1+R934/S934))</f>
        <v>56.5060815832757</v>
      </c>
      <c r="U934" s="7" t="n">
        <f aca="false">E934*2/13+U933*11/13</f>
        <v>15337.6328272129</v>
      </c>
      <c r="V934" s="7" t="n">
        <f aca="false">E934*2/27+V933*25/27</f>
        <v>15274.6075502934</v>
      </c>
      <c r="W934" s="7" t="n">
        <f aca="false">U934-V934</f>
        <v>63.025276919434</v>
      </c>
      <c r="X934" s="7" t="n">
        <f aca="false">W934*2/10+X933*8/10</f>
        <v>42.8470687511746</v>
      </c>
      <c r="Y934" s="7" t="n">
        <f aca="false">W934-X934</f>
        <v>20.1782081682594</v>
      </c>
      <c r="Z934" s="8" t="s">
        <v>42</v>
      </c>
      <c r="AA934" s="7" t="str">
        <f aca="false">IFERROR(INDEX(02_轉折點45!B:B,MATCH(A934,02_轉折點45!A:A,0)),"")</f>
        <v/>
      </c>
      <c r="AB934" s="7" t="n">
        <f aca="false">COUNTIFS(05_訊號明細!A:A,A934,05_訊號明細!C:C,"TOP")</f>
        <v>0</v>
      </c>
      <c r="AC934" s="7" t="n">
        <f aca="false">COUNTIFS(05_訊號明細!A:A,A934,05_訊號明細!C:C,"BOTTOM")</f>
        <v>0</v>
      </c>
    </row>
    <row r="935" customFormat="false" ht="15" hidden="false" customHeight="false" outlineLevel="0" collapsed="false">
      <c r="A935" s="7" t="s">
        <v>976</v>
      </c>
      <c r="B935" s="7" t="n">
        <v>15425.95</v>
      </c>
      <c r="C935" s="7" t="n">
        <v>15435.45</v>
      </c>
      <c r="D935" s="7" t="n">
        <v>15173.71</v>
      </c>
      <c r="E935" s="7" t="n">
        <v>15202.4</v>
      </c>
      <c r="F935" s="7" t="n">
        <v>8162</v>
      </c>
      <c r="G935" s="7" t="n">
        <f aca="false">AVERAGE(E931:E935)</f>
        <v>15355.286</v>
      </c>
      <c r="H935" s="7" t="n">
        <f aca="false">AVERAGE(E926:E935)</f>
        <v>15368.572</v>
      </c>
      <c r="I935" s="7" t="n">
        <f aca="false">AVERAGE(E916:E935)</f>
        <v>15226.2525</v>
      </c>
      <c r="J935" s="7" t="n">
        <f aca="false">AVERAGE(E886:E935)</f>
        <v>15308.3592</v>
      </c>
      <c r="K935" s="7" t="n">
        <f aca="false">AVERAGE(E836:E935)</f>
        <v>14720.5388</v>
      </c>
      <c r="L935" s="7" t="n">
        <f aca="false">AVERAGE(E736:E935)</f>
        <v>13403.4812</v>
      </c>
      <c r="M935" s="7" t="n">
        <f aca="false">I935</f>
        <v>15226.2525</v>
      </c>
      <c r="N935" s="7" t="n">
        <f aca="false">I935+2*STDEV(E916:E935)</f>
        <v>15732.411191524</v>
      </c>
      <c r="O935" s="7" t="n">
        <f aca="false">I935-2*STDEV(E916:E935)</f>
        <v>14720.093808476</v>
      </c>
      <c r="P935" s="7" t="n">
        <f aca="false">MAX(E935-E934,0)</f>
        <v>0</v>
      </c>
      <c r="Q935" s="7" t="n">
        <f aca="false">MAX(E934-E935,0)</f>
        <v>271.49</v>
      </c>
      <c r="R935" s="7" t="n">
        <f aca="false">(R934*13+P935)/14</f>
        <v>62.9032434135356</v>
      </c>
      <c r="S935" s="7" t="n">
        <f aca="false">(S934*13+Q935)/14</f>
        <v>67.8100911649481</v>
      </c>
      <c r="T935" s="7" t="n">
        <f aca="false">IF(S935=0,100,100-100/(1+R935/S935))</f>
        <v>48.1230500441153</v>
      </c>
      <c r="U935" s="7" t="n">
        <f aca="false">E935*2/13+U934*11/13</f>
        <v>15316.8277768724</v>
      </c>
      <c r="V935" s="7" t="n">
        <f aca="false">E935*2/27+V934*25/27</f>
        <v>15269.2588428643</v>
      </c>
      <c r="W935" s="7" t="n">
        <f aca="false">U935-V935</f>
        <v>47.5689340081335</v>
      </c>
      <c r="X935" s="7" t="n">
        <f aca="false">W935*2/10+X934*8/10</f>
        <v>43.7914418025664</v>
      </c>
      <c r="Y935" s="7" t="n">
        <f aca="false">W935-X935</f>
        <v>3.77749220556715</v>
      </c>
      <c r="Z935" s="8" t="s">
        <v>42</v>
      </c>
      <c r="AA935" s="7" t="str">
        <f aca="false">IFERROR(INDEX(02_轉折點45!B:B,MATCH(A935,02_轉折點45!A:A,0)),"")</f>
        <v/>
      </c>
      <c r="AB935" s="7" t="n">
        <f aca="false">COUNTIFS(05_訊號明細!A:A,A935,05_訊號明細!C:C,"TOP")</f>
        <v>1</v>
      </c>
      <c r="AC935" s="7" t="n">
        <f aca="false">COUNTIFS(05_訊號明細!A:A,A935,05_訊號明細!C:C,"BOTTOM")</f>
        <v>0</v>
      </c>
    </row>
    <row r="936" customFormat="false" ht="15" hidden="false" customHeight="false" outlineLevel="0" collapsed="false">
      <c r="A936" s="7" t="s">
        <v>977</v>
      </c>
      <c r="B936" s="7" t="n">
        <v>15161.17</v>
      </c>
      <c r="C936" s="7" t="n">
        <v>15268.96</v>
      </c>
      <c r="D936" s="7" t="n">
        <v>15155.46</v>
      </c>
      <c r="E936" s="7" t="n">
        <v>15225.37</v>
      </c>
      <c r="F936" s="7" t="n">
        <v>4856</v>
      </c>
      <c r="G936" s="7" t="n">
        <f aca="false">AVERAGE(E932:E936)</f>
        <v>15307.986</v>
      </c>
      <c r="H936" s="7" t="n">
        <f aca="false">AVERAGE(E927:E936)</f>
        <v>15342.023</v>
      </c>
      <c r="I936" s="7" t="n">
        <f aca="false">AVERAGE(E917:E936)</f>
        <v>15252.779</v>
      </c>
      <c r="J936" s="7" t="n">
        <f aca="false">AVERAGE(E887:E936)</f>
        <v>15312.1296</v>
      </c>
      <c r="K936" s="7" t="n">
        <f aca="false">AVERAGE(E837:E936)</f>
        <v>14745.5414</v>
      </c>
      <c r="L936" s="7" t="n">
        <f aca="false">AVERAGE(E737:E936)</f>
        <v>13422.0908</v>
      </c>
      <c r="M936" s="7" t="n">
        <f aca="false">I936</f>
        <v>15252.779</v>
      </c>
      <c r="N936" s="7" t="n">
        <f aca="false">I936+2*STDEV(E917:E936)</f>
        <v>15692.9852625108</v>
      </c>
      <c r="O936" s="7" t="n">
        <f aca="false">I936-2*STDEV(E917:E936)</f>
        <v>14812.5727374892</v>
      </c>
      <c r="P936" s="7" t="n">
        <f aca="false">MAX(E936-E935,0)</f>
        <v>22.9700000000012</v>
      </c>
      <c r="Q936" s="7" t="n">
        <f aca="false">MAX(E935-E936,0)</f>
        <v>0</v>
      </c>
      <c r="R936" s="7" t="n">
        <f aca="false">(R935*13+P936)/14</f>
        <v>60.0508688839974</v>
      </c>
      <c r="S936" s="7" t="n">
        <f aca="false">(S935*13+Q936)/14</f>
        <v>62.9665132245947</v>
      </c>
      <c r="T936" s="7" t="n">
        <f aca="false">IF(S936=0,100,100-100/(1+R936/S936))</f>
        <v>48.8149461927163</v>
      </c>
      <c r="U936" s="7" t="n">
        <f aca="false">E936*2/13+U935*11/13</f>
        <v>15302.7573496613</v>
      </c>
      <c r="V936" s="7" t="n">
        <f aca="false">E936*2/27+V935*25/27</f>
        <v>15266.0078174669</v>
      </c>
      <c r="W936" s="7" t="n">
        <f aca="false">U936-V936</f>
        <v>36.7495321943461</v>
      </c>
      <c r="X936" s="7" t="n">
        <f aca="false">W936*2/10+X935*8/10</f>
        <v>42.3830598809223</v>
      </c>
      <c r="Y936" s="7" t="n">
        <f aca="false">W936-X936</f>
        <v>-5.63352768657621</v>
      </c>
      <c r="Z936" s="8" t="s">
        <v>42</v>
      </c>
      <c r="AA936" s="7" t="str">
        <f aca="false">IFERROR(INDEX(02_轉折點45!B:B,MATCH(A936,02_轉折點45!A:A,0)),"")</f>
        <v/>
      </c>
      <c r="AB936" s="7" t="n">
        <f aca="false">COUNTIFS(05_訊號明細!A:A,A936,05_訊號明細!C:C,"TOP")</f>
        <v>0</v>
      </c>
      <c r="AC936" s="7" t="n">
        <f aca="false">COUNTIFS(05_訊號明細!A:A,A936,05_訊號明細!C:C,"BOTTOM")</f>
        <v>0</v>
      </c>
    </row>
    <row r="937" customFormat="false" ht="15" hidden="false" customHeight="false" outlineLevel="0" collapsed="false">
      <c r="A937" s="7" t="s">
        <v>978</v>
      </c>
      <c r="B937" s="7" t="n">
        <v>15152.53</v>
      </c>
      <c r="C937" s="7" t="n">
        <v>15219.92</v>
      </c>
      <c r="D937" s="7" t="n">
        <v>15069.41</v>
      </c>
      <c r="E937" s="7" t="n">
        <v>15191.23</v>
      </c>
      <c r="F937" s="7" t="n">
        <v>4453</v>
      </c>
      <c r="G937" s="7" t="n">
        <f aca="false">AVERAGE(E933:E937)</f>
        <v>15288.284</v>
      </c>
      <c r="H937" s="7" t="n">
        <f aca="false">AVERAGE(E928:E937)</f>
        <v>15310.322</v>
      </c>
      <c r="I937" s="7" t="n">
        <f aca="false">AVERAGE(E918:E937)</f>
        <v>15265.506</v>
      </c>
      <c r="J937" s="7" t="n">
        <f aca="false">AVERAGE(E888:E937)</f>
        <v>15315.0414</v>
      </c>
      <c r="K937" s="7" t="n">
        <f aca="false">AVERAGE(E838:E937)</f>
        <v>14769.3889</v>
      </c>
      <c r="L937" s="7" t="n">
        <f aca="false">AVERAGE(E738:E937)</f>
        <v>13437.89665</v>
      </c>
      <c r="M937" s="7" t="n">
        <f aca="false">I937</f>
        <v>15265.506</v>
      </c>
      <c r="N937" s="7" t="n">
        <f aca="false">I937+2*STDEV(E918:E937)</f>
        <v>15681.2738685036</v>
      </c>
      <c r="O937" s="7" t="n">
        <f aca="false">I937-2*STDEV(E918:E937)</f>
        <v>14849.7381314964</v>
      </c>
      <c r="P937" s="7" t="n">
        <f aca="false">MAX(E937-E936,0)</f>
        <v>0</v>
      </c>
      <c r="Q937" s="7" t="n">
        <f aca="false">MAX(E936-E937,0)</f>
        <v>34.1400000000012</v>
      </c>
      <c r="R937" s="7" t="n">
        <f aca="false">(R936*13+P937)/14</f>
        <v>55.761521106569</v>
      </c>
      <c r="S937" s="7" t="n">
        <f aca="false">(S936*13+Q937)/14</f>
        <v>60.9074765656952</v>
      </c>
      <c r="T937" s="7" t="n">
        <f aca="false">IF(S937=0,100,100-100/(1+R937/S937))</f>
        <v>47.7946345808243</v>
      </c>
      <c r="U937" s="7" t="n">
        <f aca="false">E937*2/13+U936*11/13</f>
        <v>15285.5992958672</v>
      </c>
      <c r="V937" s="7" t="n">
        <f aca="false">E937*2/27+V936*25/27</f>
        <v>15260.4687198768</v>
      </c>
      <c r="W937" s="7" t="n">
        <f aca="false">U937-V937</f>
        <v>25.1305759904426</v>
      </c>
      <c r="X937" s="7" t="n">
        <f aca="false">W937*2/10+X936*8/10</f>
        <v>38.9325631028264</v>
      </c>
      <c r="Y937" s="7" t="n">
        <f aca="false">W937-X937</f>
        <v>-13.8019871123838</v>
      </c>
      <c r="Z937" s="8" t="s">
        <v>42</v>
      </c>
      <c r="AA937" s="7" t="str">
        <f aca="false">IFERROR(INDEX(02_轉折點45!B:B,MATCH(A937,02_轉折點45!A:A,0)),"")</f>
        <v/>
      </c>
      <c r="AB937" s="7" t="n">
        <f aca="false">COUNTIFS(05_訊號明細!A:A,A937,05_訊號明細!C:C,"TOP")</f>
        <v>0</v>
      </c>
      <c r="AC937" s="7" t="n">
        <f aca="false">COUNTIFS(05_訊號明細!A:A,A937,05_訊號明細!C:C,"BOTTOM")</f>
        <v>0</v>
      </c>
    </row>
    <row r="938" customFormat="false" ht="15" hidden="false" customHeight="false" outlineLevel="0" collapsed="false">
      <c r="A938" s="7" t="s">
        <v>979</v>
      </c>
      <c r="B938" s="7" t="n">
        <v>15225.34</v>
      </c>
      <c r="C938" s="7" t="n">
        <v>15245.19</v>
      </c>
      <c r="D938" s="7" t="n">
        <v>14967.6</v>
      </c>
      <c r="E938" s="7" t="n">
        <v>14969.92</v>
      </c>
      <c r="F938" s="7" t="n">
        <v>4782</v>
      </c>
      <c r="G938" s="7" t="n">
        <f aca="false">AVERAGE(E934:E938)</f>
        <v>15212.562</v>
      </c>
      <c r="H938" s="7" t="n">
        <f aca="false">AVERAGE(E929:E938)</f>
        <v>15270.17</v>
      </c>
      <c r="I938" s="7" t="n">
        <f aca="false">AVERAGE(E919:E938)</f>
        <v>15268.554</v>
      </c>
      <c r="J938" s="7" t="n">
        <f aca="false">AVERAGE(E889:E938)</f>
        <v>15312.0586</v>
      </c>
      <c r="K938" s="7" t="n">
        <f aca="false">AVERAGE(E839:E938)</f>
        <v>14787.4878</v>
      </c>
      <c r="L938" s="7" t="n">
        <f aca="false">AVERAGE(E739:E938)</f>
        <v>13452.5368</v>
      </c>
      <c r="M938" s="7" t="n">
        <f aca="false">I938</f>
        <v>15268.554</v>
      </c>
      <c r="N938" s="7" t="n">
        <f aca="false">I938+2*STDEV(E919:E938)</f>
        <v>15674.0839585221</v>
      </c>
      <c r="O938" s="7" t="n">
        <f aca="false">I938-2*STDEV(E919:E938)</f>
        <v>14863.0240414779</v>
      </c>
      <c r="P938" s="7" t="n">
        <f aca="false">MAX(E938-E937,0)</f>
        <v>0</v>
      </c>
      <c r="Q938" s="7" t="n">
        <f aca="false">MAX(E937-E938,0)</f>
        <v>221.31</v>
      </c>
      <c r="R938" s="7" t="n">
        <f aca="false">(R937*13+P938)/14</f>
        <v>51.7785553132426</v>
      </c>
      <c r="S938" s="7" t="n">
        <f aca="false">(S937*13+Q938)/14</f>
        <v>72.3647996681455</v>
      </c>
      <c r="T938" s="7" t="n">
        <f aca="false">IF(S938=0,100,100-100/(1+R938/S938))</f>
        <v>41.7086805177816</v>
      </c>
      <c r="U938" s="7" t="n">
        <f aca="false">E938*2/13+U937*11/13</f>
        <v>15237.0332503492</v>
      </c>
      <c r="V938" s="7" t="n">
        <f aca="false">E938*2/27+V937*25/27</f>
        <v>15238.9465924785</v>
      </c>
      <c r="W938" s="7" t="n">
        <f aca="false">U938-V938</f>
        <v>-1.91334212931361</v>
      </c>
      <c r="X938" s="7" t="n">
        <f aca="false">W938*2/10+X937*8/10</f>
        <v>30.7633820563984</v>
      </c>
      <c r="Y938" s="7" t="n">
        <f aca="false">W938-X938</f>
        <v>-32.676724185712</v>
      </c>
      <c r="Z938" s="8" t="s">
        <v>42</v>
      </c>
      <c r="AA938" s="7" t="str">
        <f aca="false">IFERROR(INDEX(02_轉折點45!B:B,MATCH(A938,02_轉折點45!A:A,0)),"")</f>
        <v/>
      </c>
      <c r="AB938" s="7" t="n">
        <f aca="false">COUNTIFS(05_訊號明細!A:A,A938,05_訊號明細!C:C,"TOP")</f>
        <v>0</v>
      </c>
      <c r="AC938" s="7" t="n">
        <f aca="false">COUNTIFS(05_訊號明細!A:A,A938,05_訊號明細!C:C,"BOTTOM")</f>
        <v>0</v>
      </c>
    </row>
    <row r="939" customFormat="false" ht="15" hidden="false" customHeight="false" outlineLevel="0" collapsed="false">
      <c r="A939" s="7" t="s">
        <v>980</v>
      </c>
      <c r="B939" s="7" t="n">
        <v>14813.49</v>
      </c>
      <c r="C939" s="7" t="n">
        <v>14849.25</v>
      </c>
      <c r="D939" s="7" t="n">
        <v>14691.69</v>
      </c>
      <c r="E939" s="7" t="n">
        <v>14694.24</v>
      </c>
      <c r="F939" s="7" t="n">
        <v>5015</v>
      </c>
      <c r="G939" s="7" t="n">
        <f aca="false">AVERAGE(E935:E939)</f>
        <v>15056.632</v>
      </c>
      <c r="H939" s="7" t="n">
        <f aca="false">AVERAGE(E930:E939)</f>
        <v>15213.742</v>
      </c>
      <c r="I939" s="7" t="n">
        <f aca="false">AVERAGE(E920:E939)</f>
        <v>15245.863</v>
      </c>
      <c r="J939" s="7" t="n">
        <f aca="false">AVERAGE(E890:E939)</f>
        <v>15299.7988</v>
      </c>
      <c r="K939" s="7" t="n">
        <f aca="false">AVERAGE(E840:E939)</f>
        <v>14801.9703</v>
      </c>
      <c r="L939" s="7" t="n">
        <f aca="false">AVERAGE(E740:E939)</f>
        <v>13466.0367</v>
      </c>
      <c r="M939" s="7" t="n">
        <f aca="false">I939</f>
        <v>15245.863</v>
      </c>
      <c r="N939" s="7" t="n">
        <f aca="false">I939+2*STDEV(E920:E939)</f>
        <v>15724.0568026894</v>
      </c>
      <c r="O939" s="7" t="n">
        <f aca="false">I939-2*STDEV(E920:E939)</f>
        <v>14767.6691973106</v>
      </c>
      <c r="P939" s="7" t="n">
        <f aca="false">MAX(E939-E938,0)</f>
        <v>0</v>
      </c>
      <c r="Q939" s="7" t="n">
        <f aca="false">MAX(E938-E939,0)</f>
        <v>275.68</v>
      </c>
      <c r="R939" s="7" t="n">
        <f aca="false">(R938*13+P939)/14</f>
        <v>48.0800870765825</v>
      </c>
      <c r="S939" s="7" t="n">
        <f aca="false">(S938*13+Q939)/14</f>
        <v>86.8873139775637</v>
      </c>
      <c r="T939" s="7" t="n">
        <f aca="false">IF(S939=0,100,100-100/(1+R939/S939))</f>
        <v>35.6234814488972</v>
      </c>
      <c r="U939" s="7" t="n">
        <f aca="false">E939*2/13+U938*11/13</f>
        <v>15153.5265964493</v>
      </c>
      <c r="V939" s="7" t="n">
        <f aca="false">E939*2/27+V938*25/27</f>
        <v>15198.5979559986</v>
      </c>
      <c r="W939" s="7" t="n">
        <f aca="false">U939-V939</f>
        <v>-45.0713595493035</v>
      </c>
      <c r="X939" s="7" t="n">
        <f aca="false">W939*2/10+X938*8/10</f>
        <v>15.596433735258</v>
      </c>
      <c r="Y939" s="7" t="n">
        <f aca="false">W939-X939</f>
        <v>-60.6677932845615</v>
      </c>
      <c r="Z939" s="7" t="s">
        <v>78</v>
      </c>
      <c r="AA939" s="7" t="str">
        <f aca="false">IFERROR(INDEX(02_轉折點45!B:B,MATCH(A939,02_轉折點45!A:A,0)),"")</f>
        <v/>
      </c>
      <c r="AB939" s="7" t="n">
        <f aca="false">COUNTIFS(05_訊號明細!A:A,A939,05_訊號明細!C:C,"TOP")</f>
        <v>2</v>
      </c>
      <c r="AC939" s="7" t="n">
        <f aca="false">COUNTIFS(05_訊號明細!A:A,A939,05_訊號明細!C:C,"BOTTOM")</f>
        <v>0</v>
      </c>
    </row>
    <row r="940" customFormat="false" ht="15" hidden="false" customHeight="false" outlineLevel="0" collapsed="false">
      <c r="A940" s="7" t="s">
        <v>981</v>
      </c>
      <c r="B940" s="7" t="n">
        <v>14756.62</v>
      </c>
      <c r="C940" s="7" t="n">
        <v>14855.92</v>
      </c>
      <c r="D940" s="7" t="n">
        <v>14686.84</v>
      </c>
      <c r="E940" s="7" t="n">
        <v>14701.1</v>
      </c>
      <c r="F940" s="7" t="n">
        <v>4303</v>
      </c>
      <c r="G940" s="7" t="n">
        <f aca="false">AVERAGE(E936:E940)</f>
        <v>14956.372</v>
      </c>
      <c r="H940" s="7" t="n">
        <f aca="false">AVERAGE(E931:E940)</f>
        <v>15155.829</v>
      </c>
      <c r="I940" s="7" t="n">
        <f aca="false">AVERAGE(E921:E940)</f>
        <v>15240.096</v>
      </c>
      <c r="J940" s="7" t="n">
        <f aca="false">AVERAGE(E891:E940)</f>
        <v>15282.3812</v>
      </c>
      <c r="K940" s="7" t="n">
        <f aca="false">AVERAGE(E841:E940)</f>
        <v>14816.6666</v>
      </c>
      <c r="L940" s="7" t="n">
        <f aca="false">AVERAGE(E741:E940)</f>
        <v>13480.6082</v>
      </c>
      <c r="M940" s="7" t="n">
        <f aca="false">I940</f>
        <v>15240.096</v>
      </c>
      <c r="N940" s="7" t="n">
        <f aca="false">I940+2*STDEV(E921:E940)</f>
        <v>15742.2758134407</v>
      </c>
      <c r="O940" s="7" t="n">
        <f aca="false">I940-2*STDEV(E921:E940)</f>
        <v>14737.9161865593</v>
      </c>
      <c r="P940" s="7" t="n">
        <f aca="false">MAX(E940-E939,0)</f>
        <v>6.86000000000058</v>
      </c>
      <c r="Q940" s="7" t="n">
        <f aca="false">MAX(E939-E940,0)</f>
        <v>0</v>
      </c>
      <c r="R940" s="7" t="n">
        <f aca="false">(R939*13+P940)/14</f>
        <v>45.1357951425409</v>
      </c>
      <c r="S940" s="7" t="n">
        <f aca="false">(S939*13+Q940)/14</f>
        <v>80.6810772648805</v>
      </c>
      <c r="T940" s="7" t="n">
        <f aca="false">IF(S940=0,100,100-100/(1+R940/S940))</f>
        <v>35.8741989678314</v>
      </c>
      <c r="U940" s="7" t="n">
        <f aca="false">E940*2/13+U939*11/13</f>
        <v>15083.9225046879</v>
      </c>
      <c r="V940" s="7" t="n">
        <f aca="false">E940*2/27+V939*25/27</f>
        <v>15161.7462555543</v>
      </c>
      <c r="W940" s="7" t="n">
        <f aca="false">U940-V940</f>
        <v>-77.8237508663951</v>
      </c>
      <c r="X940" s="7" t="n">
        <f aca="false">W940*2/10+X939*8/10</f>
        <v>-3.08760318507262</v>
      </c>
      <c r="Y940" s="7" t="n">
        <f aca="false">W940-X940</f>
        <v>-74.7361476813225</v>
      </c>
      <c r="Z940" s="7" t="s">
        <v>78</v>
      </c>
      <c r="AA940" s="7" t="str">
        <f aca="false">IFERROR(INDEX(02_轉折點45!B:B,MATCH(A940,02_轉折點45!A:A,0)),"")</f>
        <v/>
      </c>
      <c r="AB940" s="7" t="n">
        <f aca="false">COUNTIFS(05_訊號明細!A:A,A940,05_訊號明細!C:C,"TOP")</f>
        <v>0</v>
      </c>
      <c r="AC940" s="7" t="n">
        <f aca="false">COUNTIFS(05_訊號明細!A:A,A940,05_訊號明細!C:C,"BOTTOM")</f>
        <v>0</v>
      </c>
    </row>
    <row r="941" customFormat="false" ht="15" hidden="false" customHeight="false" outlineLevel="0" collapsed="false">
      <c r="A941" s="7" t="s">
        <v>982</v>
      </c>
      <c r="B941" s="7" t="n">
        <v>14662.69</v>
      </c>
      <c r="C941" s="7" t="n">
        <v>14771.12</v>
      </c>
      <c r="D941" s="7" t="n">
        <v>14615.45</v>
      </c>
      <c r="E941" s="7" t="n">
        <v>14768.9</v>
      </c>
      <c r="F941" s="7" t="n">
        <v>4100</v>
      </c>
      <c r="G941" s="7" t="n">
        <f aca="false">AVERAGE(E937:E941)</f>
        <v>14865.078</v>
      </c>
      <c r="H941" s="7" t="n">
        <f aca="false">AVERAGE(E932:E941)</f>
        <v>15086.532</v>
      </c>
      <c r="I941" s="7" t="n">
        <f aca="false">AVERAGE(E922:E941)</f>
        <v>15231.4495</v>
      </c>
      <c r="J941" s="7" t="n">
        <f aca="false">AVERAGE(E892:E941)</f>
        <v>15266.4472</v>
      </c>
      <c r="K941" s="7" t="n">
        <f aca="false">AVERAGE(E842:E941)</f>
        <v>14833.219</v>
      </c>
      <c r="L941" s="7" t="n">
        <f aca="false">AVERAGE(E742:E941)</f>
        <v>13496.70425</v>
      </c>
      <c r="M941" s="7" t="n">
        <f aca="false">I941</f>
        <v>15231.4495</v>
      </c>
      <c r="N941" s="7" t="n">
        <f aca="false">I941+2*STDEV(E922:E941)</f>
        <v>15760.4892474462</v>
      </c>
      <c r="O941" s="7" t="n">
        <f aca="false">I941-2*STDEV(E922:E941)</f>
        <v>14702.4097525538</v>
      </c>
      <c r="P941" s="7" t="n">
        <f aca="false">MAX(E941-E940,0)</f>
        <v>67.7999999999993</v>
      </c>
      <c r="Q941" s="7" t="n">
        <f aca="false">MAX(E940-E941,0)</f>
        <v>0</v>
      </c>
      <c r="R941" s="7" t="n">
        <f aca="false">(R940*13+P941)/14</f>
        <v>46.7546669180736</v>
      </c>
      <c r="S941" s="7" t="n">
        <f aca="false">(S940*13+Q941)/14</f>
        <v>74.9181431745319</v>
      </c>
      <c r="T941" s="7" t="n">
        <f aca="false">IF(S941=0,100,100-100/(1+R941/S941))</f>
        <v>38.4265530503393</v>
      </c>
      <c r="U941" s="7" t="n">
        <f aca="false">E941*2/13+U940*11/13</f>
        <v>15035.4575039667</v>
      </c>
      <c r="V941" s="7" t="n">
        <f aca="false">E941*2/27+V940*25/27</f>
        <v>15132.6465329206</v>
      </c>
      <c r="W941" s="7" t="n">
        <f aca="false">U941-V941</f>
        <v>-97.1890289539588</v>
      </c>
      <c r="X941" s="7" t="n">
        <f aca="false">W941*2/10+X940*8/10</f>
        <v>-21.9078883388499</v>
      </c>
      <c r="Y941" s="7" t="n">
        <f aca="false">W941-X941</f>
        <v>-75.2811406151089</v>
      </c>
      <c r="Z941" s="7" t="s">
        <v>78</v>
      </c>
      <c r="AA941" s="7" t="str">
        <f aca="false">IFERROR(INDEX(02_轉折點45!B:B,MATCH(A941,02_轉折點45!A:A,0)),"")</f>
        <v/>
      </c>
      <c r="AB941" s="7" t="n">
        <f aca="false">COUNTIFS(05_訊號明細!A:A,A941,05_訊號明細!C:C,"TOP")</f>
        <v>0</v>
      </c>
      <c r="AC941" s="7" t="n">
        <f aca="false">COUNTIFS(05_訊號明細!A:A,A941,05_訊號明細!C:C,"BOTTOM")</f>
        <v>0</v>
      </c>
    </row>
    <row r="942" customFormat="false" ht="15" hidden="false" customHeight="false" outlineLevel="0" collapsed="false">
      <c r="A942" s="7" t="s">
        <v>983</v>
      </c>
      <c r="B942" s="7" t="n">
        <v>14668.45</v>
      </c>
      <c r="C942" s="7" t="n">
        <v>14678.48</v>
      </c>
      <c r="D942" s="7" t="n">
        <v>14505.68</v>
      </c>
      <c r="E942" s="7" t="n">
        <v>14545.83</v>
      </c>
      <c r="F942" s="7" t="n">
        <v>4694</v>
      </c>
      <c r="G942" s="7" t="n">
        <f aca="false">AVERAGE(E938:E942)</f>
        <v>14735.998</v>
      </c>
      <c r="H942" s="7" t="n">
        <f aca="false">AVERAGE(E933:E942)</f>
        <v>15012.141</v>
      </c>
      <c r="I942" s="7" t="n">
        <f aca="false">AVERAGE(E923:E942)</f>
        <v>15206.118</v>
      </c>
      <c r="J942" s="7" t="n">
        <f aca="false">AVERAGE(E893:E942)</f>
        <v>15243.0982</v>
      </c>
      <c r="K942" s="7" t="n">
        <f aca="false">AVERAGE(E843:E942)</f>
        <v>14848.3752</v>
      </c>
      <c r="L942" s="7" t="n">
        <f aca="false">AVERAGE(E743:E942)</f>
        <v>13511.94645</v>
      </c>
      <c r="M942" s="7" t="n">
        <f aca="false">I942</f>
        <v>15206.118</v>
      </c>
      <c r="N942" s="7" t="n">
        <f aca="false">I942+2*STDEV(E923:E942)</f>
        <v>15813.9004520977</v>
      </c>
      <c r="O942" s="7" t="n">
        <f aca="false">I942-2*STDEV(E923:E942)</f>
        <v>14598.3355479023</v>
      </c>
      <c r="P942" s="7" t="n">
        <f aca="false">MAX(E942-E941,0)</f>
        <v>0</v>
      </c>
      <c r="Q942" s="7" t="n">
        <f aca="false">MAX(E941-E942,0)</f>
        <v>223.07</v>
      </c>
      <c r="R942" s="7" t="n">
        <f aca="false">(R941*13+P942)/14</f>
        <v>43.4150478524969</v>
      </c>
      <c r="S942" s="7" t="n">
        <f aca="false">(S941*13+Q942)/14</f>
        <v>85.5004186620654</v>
      </c>
      <c r="T942" s="7" t="n">
        <f aca="false">IF(S942=0,100,100-100/(1+R942/S942))</f>
        <v>33.6771444313804</v>
      </c>
      <c r="U942" s="7" t="n">
        <f aca="false">E942*2/13+U941*11/13</f>
        <v>14960.1301956641</v>
      </c>
      <c r="V942" s="7" t="n">
        <f aca="false">E942*2/27+V941*25/27</f>
        <v>15089.1786415932</v>
      </c>
      <c r="W942" s="7" t="n">
        <f aca="false">U942-V942</f>
        <v>-129.048445929071</v>
      </c>
      <c r="X942" s="7" t="n">
        <f aca="false">W942*2/10+X941*8/10</f>
        <v>-43.3359998568941</v>
      </c>
      <c r="Y942" s="7" t="n">
        <f aca="false">W942-X942</f>
        <v>-85.7124460721769</v>
      </c>
      <c r="Z942" s="7" t="s">
        <v>78</v>
      </c>
      <c r="AA942" s="7" t="str">
        <f aca="false">IFERROR(INDEX(02_轉折點45!B:B,MATCH(A942,02_轉折點45!A:A,0)),"")</f>
        <v/>
      </c>
      <c r="AB942" s="7" t="n">
        <f aca="false">COUNTIFS(05_訊號明細!A:A,A942,05_訊號明細!C:C,"TOP")</f>
        <v>0</v>
      </c>
      <c r="AC942" s="7" t="n">
        <f aca="false">COUNTIFS(05_訊號明細!A:A,A942,05_訊號明細!C:C,"BOTTOM")</f>
        <v>0</v>
      </c>
    </row>
    <row r="943" customFormat="false" ht="15" hidden="false" customHeight="false" outlineLevel="0" collapsed="false">
      <c r="A943" s="7" t="s">
        <v>984</v>
      </c>
      <c r="B943" s="7" t="n">
        <v>14600.14</v>
      </c>
      <c r="C943" s="7" t="n">
        <v>14657.21</v>
      </c>
      <c r="D943" s="7" t="n">
        <v>14432.6</v>
      </c>
      <c r="E943" s="7" t="n">
        <v>14580.16</v>
      </c>
      <c r="F943" s="7" t="n">
        <v>4841</v>
      </c>
      <c r="G943" s="7" t="n">
        <f aca="false">AVERAGE(E939:E943)</f>
        <v>14658.046</v>
      </c>
      <c r="H943" s="7" t="n">
        <f aca="false">AVERAGE(E934:E943)</f>
        <v>14935.304</v>
      </c>
      <c r="I943" s="7" t="n">
        <f aca="false">AVERAGE(E924:E943)</f>
        <v>15166.2985</v>
      </c>
      <c r="J943" s="7" t="n">
        <f aca="false">AVERAGE(E894:E943)</f>
        <v>15217.8744</v>
      </c>
      <c r="K943" s="7" t="n">
        <f aca="false">AVERAGE(E844:E943)</f>
        <v>14864.352</v>
      </c>
      <c r="L943" s="7" t="n">
        <f aca="false">AVERAGE(E744:E943)</f>
        <v>13526.65975</v>
      </c>
      <c r="M943" s="7" t="n">
        <f aca="false">I943</f>
        <v>15166.2985</v>
      </c>
      <c r="N943" s="7" t="n">
        <f aca="false">I943+2*STDEV(E924:E943)</f>
        <v>15828.942671825</v>
      </c>
      <c r="O943" s="7" t="n">
        <f aca="false">I943-2*STDEV(E924:E943)</f>
        <v>14503.654328175</v>
      </c>
      <c r="P943" s="7" t="n">
        <f aca="false">MAX(E943-E942,0)</f>
        <v>34.3299999999999</v>
      </c>
      <c r="Q943" s="7" t="n">
        <f aca="false">MAX(E942-E943,0)</f>
        <v>0</v>
      </c>
      <c r="R943" s="7" t="n">
        <f aca="false">(R942*13+P943)/14</f>
        <v>42.7661158630329</v>
      </c>
      <c r="S943" s="7" t="n">
        <f aca="false">(S942*13+Q943)/14</f>
        <v>79.3932459004893</v>
      </c>
      <c r="T943" s="7" t="n">
        <f aca="false">IF(S943=0,100,100-100/(1+R943/S943))</f>
        <v>35.0084637359355</v>
      </c>
      <c r="U943" s="7" t="n">
        <f aca="false">E943*2/13+U942*11/13</f>
        <v>14901.673242485</v>
      </c>
      <c r="V943" s="7" t="n">
        <f aca="false">E943*2/27+V942*25/27</f>
        <v>15051.4735570307</v>
      </c>
      <c r="W943" s="7" t="n">
        <f aca="false">U943-V943</f>
        <v>-149.800314545708</v>
      </c>
      <c r="X943" s="7" t="n">
        <f aca="false">W943*2/10+X942*8/10</f>
        <v>-64.6288627946568</v>
      </c>
      <c r="Y943" s="7" t="n">
        <f aca="false">W943-X943</f>
        <v>-85.171451751051</v>
      </c>
      <c r="Z943" s="7" t="s">
        <v>78</v>
      </c>
      <c r="AA943" s="7" t="str">
        <f aca="false">IFERROR(INDEX(02_轉折點45!B:B,MATCH(A943,02_轉折點45!A:A,0)),"")</f>
        <v/>
      </c>
      <c r="AB943" s="7" t="n">
        <f aca="false">COUNTIFS(05_訊號明細!A:A,A943,05_訊號明細!C:C,"TOP")</f>
        <v>0</v>
      </c>
      <c r="AC943" s="7" t="n">
        <f aca="false">COUNTIFS(05_訊號明細!A:A,A943,05_訊號明細!C:C,"BOTTOM")</f>
        <v>0</v>
      </c>
    </row>
    <row r="944" customFormat="false" ht="15" hidden="false" customHeight="false" outlineLevel="0" collapsed="false">
      <c r="A944" s="7" t="s">
        <v>985</v>
      </c>
      <c r="B944" s="7" t="n">
        <v>14530.96</v>
      </c>
      <c r="C944" s="7" t="n">
        <v>14787.58</v>
      </c>
      <c r="D944" s="7" t="n">
        <v>14510.17</v>
      </c>
      <c r="E944" s="7" t="n">
        <v>14702.77</v>
      </c>
      <c r="F944" s="7" t="n">
        <v>4648</v>
      </c>
      <c r="G944" s="7" t="n">
        <f aca="false">AVERAGE(E940:E944)</f>
        <v>14659.752</v>
      </c>
      <c r="H944" s="7" t="n">
        <f aca="false">AVERAGE(E935:E944)</f>
        <v>14858.192</v>
      </c>
      <c r="I944" s="7" t="n">
        <f aca="false">AVERAGE(E925:E944)</f>
        <v>15128.3155</v>
      </c>
      <c r="J944" s="7" t="n">
        <f aca="false">AVERAGE(E895:E944)</f>
        <v>15195.4028</v>
      </c>
      <c r="K944" s="7" t="n">
        <f aca="false">AVERAGE(E845:E944)</f>
        <v>14878.7884</v>
      </c>
      <c r="L944" s="7" t="n">
        <f aca="false">AVERAGE(E745:E944)</f>
        <v>13542.35695</v>
      </c>
      <c r="M944" s="7" t="n">
        <f aca="false">I944</f>
        <v>15128.3155</v>
      </c>
      <c r="N944" s="7" t="n">
        <f aca="false">I944+2*STDEV(E925:E944)</f>
        <v>15806.3968189698</v>
      </c>
      <c r="O944" s="7" t="n">
        <f aca="false">I944-2*STDEV(E925:E944)</f>
        <v>14450.2341810302</v>
      </c>
      <c r="P944" s="7" t="n">
        <f aca="false">MAX(E944-E943,0)</f>
        <v>122.610000000001</v>
      </c>
      <c r="Q944" s="7" t="n">
        <f aca="false">MAX(E943-E944,0)</f>
        <v>0</v>
      </c>
      <c r="R944" s="7" t="n">
        <f aca="false">(R943*13+P944)/14</f>
        <v>48.4692504442448</v>
      </c>
      <c r="S944" s="7" t="n">
        <f aca="false">(S943*13+Q944)/14</f>
        <v>73.72229976474</v>
      </c>
      <c r="T944" s="7" t="n">
        <f aca="false">IF(S944=0,100,100-100/(1+R944/S944))</f>
        <v>39.666613903619</v>
      </c>
      <c r="U944" s="7" t="n">
        <f aca="false">E944*2/13+U943*11/13</f>
        <v>14871.0727436412</v>
      </c>
      <c r="V944" s="7" t="n">
        <f aca="false">E944*2/27+V943*25/27</f>
        <v>15025.6436639173</v>
      </c>
      <c r="W944" s="7" t="n">
        <f aca="false">U944-V944</f>
        <v>-154.570920276172</v>
      </c>
      <c r="X944" s="7" t="n">
        <f aca="false">W944*2/10+X943*8/10</f>
        <v>-82.6172742909598</v>
      </c>
      <c r="Y944" s="7" t="n">
        <f aca="false">W944-X944</f>
        <v>-71.953645985212</v>
      </c>
      <c r="Z944" s="7" t="s">
        <v>78</v>
      </c>
      <c r="AA944" s="7" t="str">
        <f aca="false">IFERROR(INDEX(02_轉折點45!B:B,MATCH(A944,02_轉折點45!A:A,0)),"")</f>
        <v/>
      </c>
      <c r="AB944" s="7" t="n">
        <f aca="false">COUNTIFS(05_訊號明細!A:A,A944,05_訊號明細!C:C,"TOP")</f>
        <v>0</v>
      </c>
      <c r="AC944" s="7" t="n">
        <f aca="false">COUNTIFS(05_訊號明細!A:A,A944,05_訊號明細!C:C,"BOTTOM")</f>
        <v>0</v>
      </c>
    </row>
    <row r="945" customFormat="false" ht="15" hidden="false" customHeight="false" outlineLevel="0" collapsed="false">
      <c r="A945" s="7" t="s">
        <v>986</v>
      </c>
      <c r="B945" s="7" t="n">
        <v>14853.35</v>
      </c>
      <c r="C945" s="7" t="n">
        <v>14901.85</v>
      </c>
      <c r="D945" s="7" t="n">
        <v>14664.78</v>
      </c>
      <c r="E945" s="7" t="n">
        <v>14715.24</v>
      </c>
      <c r="F945" s="7" t="n">
        <v>5139</v>
      </c>
      <c r="G945" s="7" t="n">
        <f aca="false">AVERAGE(E941:E945)</f>
        <v>14662.58</v>
      </c>
      <c r="H945" s="7" t="n">
        <f aca="false">AVERAGE(E936:E945)</f>
        <v>14809.476</v>
      </c>
      <c r="I945" s="7" t="n">
        <f aca="false">AVERAGE(E926:E945)</f>
        <v>15089.024</v>
      </c>
      <c r="J945" s="7" t="n">
        <f aca="false">AVERAGE(E896:E945)</f>
        <v>15180.3858</v>
      </c>
      <c r="K945" s="7" t="n">
        <f aca="false">AVERAGE(E846:E945)</f>
        <v>14893.0244</v>
      </c>
      <c r="L945" s="7" t="n">
        <f aca="false">AVERAGE(E746:E945)</f>
        <v>13557.40095</v>
      </c>
      <c r="M945" s="7" t="n">
        <f aca="false">I945</f>
        <v>15089.024</v>
      </c>
      <c r="N945" s="7" t="n">
        <f aca="false">I945+2*STDEV(E926:E945)</f>
        <v>15767.2308957541</v>
      </c>
      <c r="O945" s="7" t="n">
        <f aca="false">I945-2*STDEV(E926:E945)</f>
        <v>14410.8171042459</v>
      </c>
      <c r="P945" s="7" t="n">
        <f aca="false">MAX(E945-E944,0)</f>
        <v>12.4699999999993</v>
      </c>
      <c r="Q945" s="7" t="n">
        <f aca="false">MAX(E944-E945,0)</f>
        <v>0</v>
      </c>
      <c r="R945" s="7" t="n">
        <f aca="false">(R944*13+P945)/14</f>
        <v>45.897875412513</v>
      </c>
      <c r="S945" s="7" t="n">
        <f aca="false">(S944*13+Q945)/14</f>
        <v>68.4564212101157</v>
      </c>
      <c r="T945" s="7" t="n">
        <f aca="false">IF(S945=0,100,100-100/(1+R945/S945))</f>
        <v>40.1365552218618</v>
      </c>
      <c r="U945" s="7" t="n">
        <f aca="false">E945*2/13+U944*11/13</f>
        <v>14847.0984753887</v>
      </c>
      <c r="V945" s="7" t="n">
        <f aca="false">E945*2/27+V944*25/27</f>
        <v>15002.6507999235</v>
      </c>
      <c r="W945" s="7" t="n">
        <f aca="false">U945-V945</f>
        <v>-155.552324534779</v>
      </c>
      <c r="X945" s="7" t="n">
        <f aca="false">W945*2/10+X944*8/10</f>
        <v>-97.2042843397238</v>
      </c>
      <c r="Y945" s="7" t="n">
        <f aca="false">W945-X945</f>
        <v>-58.3480401950557</v>
      </c>
      <c r="Z945" s="7" t="s">
        <v>78</v>
      </c>
      <c r="AA945" s="7" t="str">
        <f aca="false">IFERROR(INDEX(02_轉折點45!B:B,MATCH(A945,02_轉折點45!A:A,0)),"")</f>
        <v/>
      </c>
      <c r="AB945" s="7" t="n">
        <f aca="false">COUNTIFS(05_訊號明細!A:A,A945,05_訊號明細!C:C,"TOP")</f>
        <v>0</v>
      </c>
      <c r="AC945" s="7" t="n">
        <f aca="false">COUNTIFS(05_訊號明細!A:A,A945,05_訊號明細!C:C,"BOTTOM")</f>
        <v>0</v>
      </c>
    </row>
    <row r="946" customFormat="false" ht="15" hidden="false" customHeight="false" outlineLevel="0" collapsed="false">
      <c r="A946" s="7" t="s">
        <v>987</v>
      </c>
      <c r="B946" s="7" t="n">
        <v>14717.9</v>
      </c>
      <c r="C946" s="7" t="n">
        <v>14892.18</v>
      </c>
      <c r="D946" s="7" t="n">
        <v>14701.52</v>
      </c>
      <c r="E946" s="7" t="n">
        <v>14837.57</v>
      </c>
      <c r="F946" s="7" t="n">
        <v>4555</v>
      </c>
      <c r="G946" s="7" t="n">
        <f aca="false">AVERAGE(E942:E946)</f>
        <v>14676.314</v>
      </c>
      <c r="H946" s="7" t="n">
        <f aca="false">AVERAGE(E937:E946)</f>
        <v>14770.696</v>
      </c>
      <c r="I946" s="7" t="n">
        <f aca="false">AVERAGE(E927:E946)</f>
        <v>15056.3595</v>
      </c>
      <c r="J946" s="7" t="n">
        <f aca="false">AVERAGE(E897:E946)</f>
        <v>15168.6238</v>
      </c>
      <c r="K946" s="7" t="n">
        <f aca="false">AVERAGE(E847:E946)</f>
        <v>14909.389</v>
      </c>
      <c r="L946" s="7" t="n">
        <f aca="false">AVERAGE(E747:E946)</f>
        <v>13572.41775</v>
      </c>
      <c r="M946" s="7" t="n">
        <f aca="false">I946</f>
        <v>15056.3595</v>
      </c>
      <c r="N946" s="7" t="n">
        <f aca="false">I946+2*STDEV(E927:E946)</f>
        <v>15715.7450785813</v>
      </c>
      <c r="O946" s="7" t="n">
        <f aca="false">I946-2*STDEV(E927:E946)</f>
        <v>14396.9739214187</v>
      </c>
      <c r="P946" s="7" t="n">
        <f aca="false">MAX(E946-E945,0)</f>
        <v>122.33</v>
      </c>
      <c r="Q946" s="7" t="n">
        <f aca="false">MAX(E945-E946,0)</f>
        <v>0</v>
      </c>
      <c r="R946" s="7" t="n">
        <f aca="false">(R945*13+P946)/14</f>
        <v>51.3573128830478</v>
      </c>
      <c r="S946" s="7" t="n">
        <f aca="false">(S945*13+Q946)/14</f>
        <v>63.5666768379646</v>
      </c>
      <c r="T946" s="7" t="n">
        <f aca="false">IF(S946=0,100,100-100/(1+R946/S946))</f>
        <v>44.6880699214515</v>
      </c>
      <c r="U946" s="7" t="n">
        <f aca="false">E946*2/13+U945*11/13</f>
        <v>14845.6325560981</v>
      </c>
      <c r="V946" s="7" t="n">
        <f aca="false">E946*2/27+V945*25/27</f>
        <v>14990.4225925217</v>
      </c>
      <c r="W946" s="7" t="n">
        <f aca="false">U946-V946</f>
        <v>-144.790036423607</v>
      </c>
      <c r="X946" s="7" t="n">
        <f aca="false">W946*2/10+X945*8/10</f>
        <v>-106.7214347565</v>
      </c>
      <c r="Y946" s="7" t="n">
        <f aca="false">W946-X946</f>
        <v>-38.0686016671063</v>
      </c>
      <c r="Z946" s="7" t="s">
        <v>78</v>
      </c>
      <c r="AA946" s="7" t="str">
        <f aca="false">IFERROR(INDEX(02_轉折點45!B:B,MATCH(A946,02_轉折點45!A:A,0)),"")</f>
        <v/>
      </c>
      <c r="AB946" s="7" t="n">
        <f aca="false">COUNTIFS(05_訊號明細!A:A,A946,05_訊號明細!C:C,"TOP")</f>
        <v>0</v>
      </c>
      <c r="AC946" s="7" t="n">
        <f aca="false">COUNTIFS(05_訊號明細!A:A,A946,05_訊號明細!C:C,"BOTTOM")</f>
        <v>0</v>
      </c>
    </row>
    <row r="947" customFormat="false" ht="15" hidden="false" customHeight="false" outlineLevel="0" collapsed="false">
      <c r="A947" s="7" t="s">
        <v>988</v>
      </c>
      <c r="B947" s="7" t="n">
        <v>14744.05</v>
      </c>
      <c r="C947" s="7" t="n">
        <v>14819.87</v>
      </c>
      <c r="D947" s="7" t="n">
        <v>14504.14</v>
      </c>
      <c r="E947" s="7" t="n">
        <v>14565.62</v>
      </c>
      <c r="F947" s="7" t="n">
        <v>4684</v>
      </c>
      <c r="G947" s="7" t="n">
        <f aca="false">AVERAGE(E943:E947)</f>
        <v>14680.272</v>
      </c>
      <c r="H947" s="7" t="n">
        <f aca="false">AVERAGE(E938:E947)</f>
        <v>14708.135</v>
      </c>
      <c r="I947" s="7" t="n">
        <f aca="false">AVERAGE(E928:E947)</f>
        <v>15009.2285</v>
      </c>
      <c r="J947" s="7" t="n">
        <f aca="false">AVERAGE(E898:E947)</f>
        <v>15150.9758</v>
      </c>
      <c r="K947" s="7" t="n">
        <f aca="false">AVERAGE(E848:E947)</f>
        <v>14921.5669</v>
      </c>
      <c r="L947" s="7" t="n">
        <f aca="false">AVERAGE(E748:E947)</f>
        <v>13586.54125</v>
      </c>
      <c r="M947" s="7" t="n">
        <f aca="false">I947</f>
        <v>15009.2285</v>
      </c>
      <c r="N947" s="7" t="n">
        <f aca="false">I947+2*STDEV(E928:E947)</f>
        <v>15667.3681457568</v>
      </c>
      <c r="O947" s="7" t="n">
        <f aca="false">I947-2*STDEV(E928:E947)</f>
        <v>14351.0888542432</v>
      </c>
      <c r="P947" s="7" t="n">
        <f aca="false">MAX(E947-E946,0)</f>
        <v>0</v>
      </c>
      <c r="Q947" s="7" t="n">
        <f aca="false">MAX(E946-E947,0)</f>
        <v>271.949999999999</v>
      </c>
      <c r="R947" s="7" t="n">
        <f aca="false">(R946*13+P947)/14</f>
        <v>47.6889333914015</v>
      </c>
      <c r="S947" s="7" t="n">
        <f aca="false">(S946*13+Q947)/14</f>
        <v>78.4511999209671</v>
      </c>
      <c r="T947" s="7" t="n">
        <f aca="false">IF(S947=0,100,100-100/(1+R947/S947))</f>
        <v>37.8063128198117</v>
      </c>
      <c r="U947" s="7" t="n">
        <f aca="false">E947*2/13+U946*11/13</f>
        <v>14802.5537013138</v>
      </c>
      <c r="V947" s="7" t="n">
        <f aca="false">E947*2/27+V946*25/27</f>
        <v>14958.9557338164</v>
      </c>
      <c r="W947" s="7" t="n">
        <f aca="false">U947-V947</f>
        <v>-156.402032502619</v>
      </c>
      <c r="X947" s="7" t="n">
        <f aca="false">W947*2/10+X946*8/10</f>
        <v>-116.657554305724</v>
      </c>
      <c r="Y947" s="7" t="n">
        <f aca="false">W947-X947</f>
        <v>-39.7444781968953</v>
      </c>
      <c r="Z947" s="8" t="s">
        <v>42</v>
      </c>
      <c r="AA947" s="7" t="str">
        <f aca="false">IFERROR(INDEX(02_轉折點45!B:B,MATCH(A947,02_轉折點45!A:A,0)),"")</f>
        <v/>
      </c>
      <c r="AB947" s="7" t="n">
        <f aca="false">COUNTIFS(05_訊號明細!A:A,A947,05_訊號明細!C:C,"TOP")</f>
        <v>1</v>
      </c>
      <c r="AC947" s="7" t="n">
        <f aca="false">COUNTIFS(05_訊號明細!A:A,A947,05_訊號明細!C:C,"BOTTOM")</f>
        <v>0</v>
      </c>
    </row>
    <row r="948" customFormat="false" ht="15" hidden="false" customHeight="false" outlineLevel="0" collapsed="false">
      <c r="A948" s="7" t="s">
        <v>989</v>
      </c>
      <c r="B948" s="7" t="n">
        <v>14613.23</v>
      </c>
      <c r="C948" s="7" t="n">
        <v>14803.04</v>
      </c>
      <c r="D948" s="7" t="n">
        <v>14592.56</v>
      </c>
      <c r="E948" s="7" t="n">
        <v>14776.25</v>
      </c>
      <c r="F948" s="7" t="n">
        <v>4308</v>
      </c>
      <c r="G948" s="7" t="n">
        <f aca="false">AVERAGE(E944:E948)</f>
        <v>14719.49</v>
      </c>
      <c r="H948" s="7" t="n">
        <f aca="false">AVERAGE(E939:E948)</f>
        <v>14688.768</v>
      </c>
      <c r="I948" s="7" t="n">
        <f aca="false">AVERAGE(E929:E948)</f>
        <v>14979.469</v>
      </c>
      <c r="J948" s="7" t="n">
        <f aca="false">AVERAGE(E899:E948)</f>
        <v>15135.2724</v>
      </c>
      <c r="K948" s="7" t="n">
        <f aca="false">AVERAGE(E849:E948)</f>
        <v>14935.4316</v>
      </c>
      <c r="L948" s="7" t="n">
        <f aca="false">AVERAGE(E749:E948)</f>
        <v>13603.6964</v>
      </c>
      <c r="M948" s="7" t="n">
        <f aca="false">I948</f>
        <v>14979.469</v>
      </c>
      <c r="N948" s="7" t="n">
        <f aca="false">I948+2*STDEV(E929:E948)</f>
        <v>15622.2952058949</v>
      </c>
      <c r="O948" s="7" t="n">
        <f aca="false">I948-2*STDEV(E929:E948)</f>
        <v>14336.6427941051</v>
      </c>
      <c r="P948" s="7" t="n">
        <f aca="false">MAX(E948-E947,0)</f>
        <v>210.629999999999</v>
      </c>
      <c r="Q948" s="7" t="n">
        <f aca="false">MAX(E947-E948,0)</f>
        <v>0</v>
      </c>
      <c r="R948" s="7" t="n">
        <f aca="false">(R947*13+P948)/14</f>
        <v>59.3275810063014</v>
      </c>
      <c r="S948" s="7" t="n">
        <f aca="false">(S947*13+Q948)/14</f>
        <v>72.8475427837551</v>
      </c>
      <c r="T948" s="7" t="n">
        <f aca="false">IF(S948=0,100,100-100/(1+R948/S948))</f>
        <v>44.8855876242913</v>
      </c>
      <c r="U948" s="7" t="n">
        <f aca="false">E948*2/13+U947*11/13</f>
        <v>14798.5069780347</v>
      </c>
      <c r="V948" s="7" t="n">
        <f aca="false">E948*2/27+V947*25/27</f>
        <v>14945.4219757559</v>
      </c>
      <c r="W948" s="7" t="n">
        <f aca="false">U948-V948</f>
        <v>-146.914997721187</v>
      </c>
      <c r="X948" s="7" t="n">
        <f aca="false">W948*2/10+X947*8/10</f>
        <v>-122.709042988817</v>
      </c>
      <c r="Y948" s="7" t="n">
        <f aca="false">W948-X948</f>
        <v>-24.2059547323705</v>
      </c>
      <c r="Z948" s="8" t="s">
        <v>42</v>
      </c>
      <c r="AA948" s="7" t="str">
        <f aca="false">IFERROR(INDEX(02_轉折點45!B:B,MATCH(A948,02_轉折點45!A:A,0)),"")</f>
        <v/>
      </c>
      <c r="AB948" s="7" t="n">
        <f aca="false">COUNTIFS(05_訊號明細!A:A,A948,05_訊號明細!C:C,"TOP")</f>
        <v>1</v>
      </c>
      <c r="AC948" s="7" t="n">
        <f aca="false">COUNTIFS(05_訊號明細!A:A,A948,05_訊號明細!C:C,"BOTTOM")</f>
        <v>0</v>
      </c>
    </row>
    <row r="949" customFormat="false" ht="15" hidden="false" customHeight="false" outlineLevel="0" collapsed="false">
      <c r="A949" s="7" t="s">
        <v>990</v>
      </c>
      <c r="B949" s="7" t="n">
        <v>14769.55</v>
      </c>
      <c r="C949" s="7" t="n">
        <v>14784.69</v>
      </c>
      <c r="D949" s="7" t="n">
        <v>14584.39</v>
      </c>
      <c r="E949" s="7" t="n">
        <v>14723.22</v>
      </c>
      <c r="F949" s="7" t="n">
        <v>4167</v>
      </c>
      <c r="G949" s="7" t="n">
        <f aca="false">AVERAGE(E945:E949)</f>
        <v>14723.58</v>
      </c>
      <c r="H949" s="7" t="n">
        <f aca="false">AVERAGE(E940:E949)</f>
        <v>14691.666</v>
      </c>
      <c r="I949" s="7" t="n">
        <f aca="false">AVERAGE(E930:E949)</f>
        <v>14952.704</v>
      </c>
      <c r="J949" s="7" t="n">
        <f aca="false">AVERAGE(E900:E949)</f>
        <v>15119.7516</v>
      </c>
      <c r="K949" s="7" t="n">
        <f aca="false">AVERAGE(E850:E949)</f>
        <v>14949.262</v>
      </c>
      <c r="L949" s="7" t="n">
        <f aca="false">AVERAGE(E750:E949)</f>
        <v>13621.0939</v>
      </c>
      <c r="M949" s="7" t="n">
        <f aca="false">I949</f>
        <v>14952.704</v>
      </c>
      <c r="N949" s="7" t="n">
        <f aca="false">I949+2*STDEV(E930:E949)</f>
        <v>15591.1705934598</v>
      </c>
      <c r="O949" s="7" t="n">
        <f aca="false">I949-2*STDEV(E930:E949)</f>
        <v>14314.2374065402</v>
      </c>
      <c r="P949" s="7" t="n">
        <f aca="false">MAX(E949-E948,0)</f>
        <v>0</v>
      </c>
      <c r="Q949" s="7" t="n">
        <f aca="false">MAX(E948-E949,0)</f>
        <v>53.0300000000007</v>
      </c>
      <c r="R949" s="7" t="n">
        <f aca="false">(R948*13+P949)/14</f>
        <v>55.0898966487084</v>
      </c>
      <c r="S949" s="7" t="n">
        <f aca="false">(S948*13+Q949)/14</f>
        <v>71.432004013487</v>
      </c>
      <c r="T949" s="7" t="n">
        <f aca="false">IF(S949=0,100,100-100/(1+R949/S949))</f>
        <v>43.5417871217368</v>
      </c>
      <c r="U949" s="7" t="n">
        <f aca="false">E949*2/13+U948*11/13</f>
        <v>14786.9243660294</v>
      </c>
      <c r="V949" s="7" t="n">
        <f aca="false">E949*2/27+V948*25/27</f>
        <v>14928.9625701444</v>
      </c>
      <c r="W949" s="7" t="n">
        <f aca="false">U949-V949</f>
        <v>-142.038204114982</v>
      </c>
      <c r="X949" s="7" t="n">
        <f aca="false">W949*2/10+X948*8/10</f>
        <v>-126.57487521405</v>
      </c>
      <c r="Y949" s="7" t="n">
        <f aca="false">W949-X949</f>
        <v>-15.4633289009325</v>
      </c>
      <c r="Z949" s="8" t="s">
        <v>42</v>
      </c>
      <c r="AA949" s="7" t="str">
        <f aca="false">IFERROR(INDEX(02_轉折點45!B:B,MATCH(A949,02_轉折點45!A:A,0)),"")</f>
        <v/>
      </c>
      <c r="AB949" s="7" t="n">
        <f aca="false">COUNTIFS(05_訊號明細!A:A,A949,05_訊號明細!C:C,"TOP")</f>
        <v>0</v>
      </c>
      <c r="AC949" s="7" t="n">
        <f aca="false">COUNTIFS(05_訊號明細!A:A,A949,05_訊號明細!C:C,"BOTTOM")</f>
        <v>0</v>
      </c>
    </row>
    <row r="950" customFormat="false" ht="15" hidden="false" customHeight="false" outlineLevel="0" collapsed="false">
      <c r="A950" s="7" t="s">
        <v>991</v>
      </c>
      <c r="B950" s="7" t="n">
        <v>14622.23</v>
      </c>
      <c r="C950" s="7" t="n">
        <v>15021.38</v>
      </c>
      <c r="D950" s="7" t="n">
        <v>14575.95</v>
      </c>
      <c r="E950" s="7" t="n">
        <v>14973.24</v>
      </c>
      <c r="F950" s="7" t="n">
        <v>4309</v>
      </c>
      <c r="G950" s="7" t="n">
        <f aca="false">AVERAGE(E946:E950)</f>
        <v>14775.18</v>
      </c>
      <c r="H950" s="7" t="n">
        <f aca="false">AVERAGE(E941:E950)</f>
        <v>14718.88</v>
      </c>
      <c r="I950" s="7" t="n">
        <f aca="false">AVERAGE(E931:E950)</f>
        <v>14937.3545</v>
      </c>
      <c r="J950" s="7" t="n">
        <f aca="false">AVERAGE(E901:E950)</f>
        <v>15109.9178</v>
      </c>
      <c r="K950" s="7" t="n">
        <f aca="false">AVERAGE(E851:E950)</f>
        <v>14964.8593</v>
      </c>
      <c r="L950" s="7" t="n">
        <f aca="false">AVERAGE(E751:E950)</f>
        <v>13640.53715</v>
      </c>
      <c r="M950" s="7" t="n">
        <f aca="false">I950</f>
        <v>14937.3545</v>
      </c>
      <c r="N950" s="7" t="n">
        <f aca="false">I950+2*STDEV(E931:E950)</f>
        <v>15557.1548686579</v>
      </c>
      <c r="O950" s="7" t="n">
        <f aca="false">I950-2*STDEV(E931:E950)</f>
        <v>14317.5541313421</v>
      </c>
      <c r="P950" s="7" t="n">
        <f aca="false">MAX(E950-E949,0)</f>
        <v>250.02</v>
      </c>
      <c r="Q950" s="7" t="n">
        <f aca="false">MAX(E949-E950,0)</f>
        <v>0</v>
      </c>
      <c r="R950" s="7" t="n">
        <f aca="false">(R949*13+P950)/14</f>
        <v>69.013475459515</v>
      </c>
      <c r="S950" s="7" t="n">
        <f aca="false">(S949*13+Q950)/14</f>
        <v>66.3297180125236</v>
      </c>
      <c r="T950" s="7" t="n">
        <f aca="false">IF(S950=0,100,100-100/(1+R950/S950))</f>
        <v>50.9914637663496</v>
      </c>
      <c r="U950" s="7" t="n">
        <f aca="false">E950*2/13+U949*11/13</f>
        <v>14815.5883097172</v>
      </c>
      <c r="V950" s="7" t="n">
        <f aca="false">E950*2/27+V949*25/27</f>
        <v>14932.2423797633</v>
      </c>
      <c r="W950" s="7" t="n">
        <f aca="false">U950-V950</f>
        <v>-116.65407004613</v>
      </c>
      <c r="X950" s="7" t="n">
        <f aca="false">W950*2/10+X949*8/10</f>
        <v>-124.590714180466</v>
      </c>
      <c r="Y950" s="7" t="n">
        <f aca="false">W950-X950</f>
        <v>7.93664413433586</v>
      </c>
      <c r="Z950" s="8" t="s">
        <v>42</v>
      </c>
      <c r="AA950" s="7" t="str">
        <f aca="false">IFERROR(INDEX(02_轉折點45!B:B,MATCH(A950,02_轉折點45!A:A,0)),"")</f>
        <v/>
      </c>
      <c r="AB950" s="7" t="n">
        <f aca="false">COUNTIFS(05_訊號明細!A:A,A950,05_訊號明細!C:C,"TOP")</f>
        <v>0</v>
      </c>
      <c r="AC950" s="7" t="n">
        <f aca="false">COUNTIFS(05_訊號明細!A:A,A950,05_訊號明細!C:C,"BOTTOM")</f>
        <v>0</v>
      </c>
    </row>
    <row r="951" customFormat="false" ht="15" hidden="false" customHeight="false" outlineLevel="0" collapsed="false">
      <c r="A951" s="7" t="s">
        <v>992</v>
      </c>
      <c r="B951" s="7" t="n">
        <v>14871.57</v>
      </c>
      <c r="C951" s="7" t="n">
        <v>15070.64</v>
      </c>
      <c r="D951" s="7" t="n">
        <v>14816.32</v>
      </c>
      <c r="E951" s="7" t="n">
        <v>15047.15</v>
      </c>
      <c r="F951" s="7" t="n">
        <v>3836</v>
      </c>
      <c r="G951" s="7" t="n">
        <f aca="false">AVERAGE(E947:E951)</f>
        <v>14817.096</v>
      </c>
      <c r="H951" s="7" t="n">
        <f aca="false">AVERAGE(E942:E951)</f>
        <v>14746.705</v>
      </c>
      <c r="I951" s="7" t="n">
        <f aca="false">AVERAGE(E932:E951)</f>
        <v>14916.6185</v>
      </c>
      <c r="J951" s="7" t="n">
        <f aca="false">AVERAGE(E902:E951)</f>
        <v>15095.8422</v>
      </c>
      <c r="K951" s="7" t="n">
        <f aca="false">AVERAGE(E852:E951)</f>
        <v>14981.0707</v>
      </c>
      <c r="L951" s="7" t="n">
        <f aca="false">AVERAGE(E752:E951)</f>
        <v>13660.4108</v>
      </c>
      <c r="M951" s="7" t="n">
        <f aca="false">I951</f>
        <v>14916.6185</v>
      </c>
      <c r="N951" s="7" t="n">
        <f aca="false">I951+2*STDEV(E932:E951)</f>
        <v>15488.423264041</v>
      </c>
      <c r="O951" s="7" t="n">
        <f aca="false">I951-2*STDEV(E932:E951)</f>
        <v>14344.813735959</v>
      </c>
      <c r="P951" s="7" t="n">
        <f aca="false">MAX(E951-E950,0)</f>
        <v>73.9099999999999</v>
      </c>
      <c r="Q951" s="7" t="n">
        <f aca="false">MAX(E950-E951,0)</f>
        <v>0</v>
      </c>
      <c r="R951" s="7" t="n">
        <f aca="false">(R950*13+P951)/14</f>
        <v>69.3632272124068</v>
      </c>
      <c r="S951" s="7" t="n">
        <f aca="false">(S950*13+Q951)/14</f>
        <v>61.5918810116291</v>
      </c>
      <c r="T951" s="7" t="n">
        <f aca="false">IF(S951=0,100,100-100/(1+R951/S951))</f>
        <v>52.9671794808808</v>
      </c>
      <c r="U951" s="7" t="n">
        <f aca="false">E951*2/13+U950*11/13</f>
        <v>14851.2131851453</v>
      </c>
      <c r="V951" s="7" t="n">
        <f aca="false">E951*2/27+V950*25/27</f>
        <v>14940.7540553364</v>
      </c>
      <c r="W951" s="7" t="n">
        <f aca="false">U951-V951</f>
        <v>-89.5408701910928</v>
      </c>
      <c r="X951" s="7" t="n">
        <f aca="false">W951*2/10+X950*8/10</f>
        <v>-117.580745382591</v>
      </c>
      <c r="Y951" s="7" t="n">
        <f aca="false">W951-X951</f>
        <v>28.0398751914985</v>
      </c>
      <c r="Z951" s="8" t="s">
        <v>42</v>
      </c>
      <c r="AA951" s="7" t="str">
        <f aca="false">IFERROR(INDEX(02_轉折點45!B:B,MATCH(A951,02_轉折點45!A:A,0)),"")</f>
        <v/>
      </c>
      <c r="AB951" s="7" t="n">
        <f aca="false">COUNTIFS(05_訊號明細!A:A,A951,05_訊號明細!C:C,"TOP")</f>
        <v>1</v>
      </c>
      <c r="AC951" s="7" t="n">
        <f aca="false">COUNTIFS(05_訊號明細!A:A,A951,05_訊號明細!C:C,"BOTTOM")</f>
        <v>0</v>
      </c>
    </row>
    <row r="952" customFormat="false" ht="15" hidden="false" customHeight="false" outlineLevel="0" collapsed="false">
      <c r="A952" s="7" t="s">
        <v>993</v>
      </c>
      <c r="B952" s="7" t="n">
        <v>15074.04</v>
      </c>
      <c r="C952" s="7" t="n">
        <v>15241.94</v>
      </c>
      <c r="D952" s="7" t="n">
        <v>15050.54</v>
      </c>
      <c r="E952" s="7" t="n">
        <v>15131.52</v>
      </c>
      <c r="F952" s="7" t="n">
        <v>4301</v>
      </c>
      <c r="G952" s="7" t="n">
        <f aca="false">AVERAGE(E948:E952)</f>
        <v>14930.276</v>
      </c>
      <c r="H952" s="7" t="n">
        <f aca="false">AVERAGE(E943:E952)</f>
        <v>14805.274</v>
      </c>
      <c r="I952" s="7" t="n">
        <f aca="false">AVERAGE(E933:E952)</f>
        <v>14908.7075</v>
      </c>
      <c r="J952" s="7" t="n">
        <f aca="false">AVERAGE(E903:E952)</f>
        <v>15083.3326</v>
      </c>
      <c r="K952" s="7" t="n">
        <f aca="false">AVERAGE(E853:E952)</f>
        <v>14996.4933</v>
      </c>
      <c r="L952" s="7" t="n">
        <f aca="false">AVERAGE(E753:E952)</f>
        <v>13679.889</v>
      </c>
      <c r="M952" s="7" t="n">
        <f aca="false">I952</f>
        <v>14908.7075</v>
      </c>
      <c r="N952" s="7" t="n">
        <f aca="false">I952+2*STDEV(E933:E952)</f>
        <v>15462.8829598405</v>
      </c>
      <c r="O952" s="7" t="n">
        <f aca="false">I952-2*STDEV(E933:E952)</f>
        <v>14354.5320401595</v>
      </c>
      <c r="P952" s="7" t="n">
        <f aca="false">MAX(E952-E951,0)</f>
        <v>84.3700000000008</v>
      </c>
      <c r="Q952" s="7" t="n">
        <f aca="false">MAX(E951-E952,0)</f>
        <v>0</v>
      </c>
      <c r="R952" s="7" t="n">
        <f aca="false">(R951*13+P952)/14</f>
        <v>70.4351395543778</v>
      </c>
      <c r="S952" s="7" t="n">
        <f aca="false">(S951*13+Q952)/14</f>
        <v>57.1924609393698</v>
      </c>
      <c r="T952" s="7" t="n">
        <f aca="false">IF(S952=0,100,100-100/(1+R952/S952))</f>
        <v>55.1880151956851</v>
      </c>
      <c r="U952" s="7" t="n">
        <f aca="false">E952*2/13+U951*11/13</f>
        <v>14894.3373105076</v>
      </c>
      <c r="V952" s="7" t="n">
        <f aca="false">E952*2/27+V951*25/27</f>
        <v>14954.8848660522</v>
      </c>
      <c r="W952" s="7" t="n">
        <f aca="false">U952-V952</f>
        <v>-60.5475555446537</v>
      </c>
      <c r="X952" s="7" t="n">
        <f aca="false">W952*2/10+X951*8/10</f>
        <v>-106.174107415004</v>
      </c>
      <c r="Y952" s="7" t="n">
        <f aca="false">W952-X952</f>
        <v>45.6265518703501</v>
      </c>
      <c r="Z952" s="8" t="s">
        <v>42</v>
      </c>
      <c r="AA952" s="7" t="str">
        <f aca="false">IFERROR(INDEX(02_轉折點45!B:B,MATCH(A952,02_轉折點45!A:A,0)),"")</f>
        <v/>
      </c>
      <c r="AB952" s="7" t="n">
        <f aca="false">COUNTIFS(05_訊號明細!A:A,A952,05_訊號明細!C:C,"TOP")</f>
        <v>0</v>
      </c>
      <c r="AC952" s="7" t="n">
        <f aca="false">COUNTIFS(05_訊號明細!A:A,A952,05_訊號明細!C:C,"BOTTOM")</f>
        <v>0</v>
      </c>
    </row>
    <row r="953" customFormat="false" ht="15" hidden="false" customHeight="false" outlineLevel="0" collapsed="false">
      <c r="A953" s="7" t="s">
        <v>994</v>
      </c>
      <c r="B953" s="7" t="n">
        <v>15194.53</v>
      </c>
      <c r="C953" s="7" t="n">
        <v>15248.22</v>
      </c>
      <c r="D953" s="7" t="n">
        <v>15119.62</v>
      </c>
      <c r="E953" s="7" t="n">
        <v>15241.12</v>
      </c>
      <c r="F953" s="7" t="n">
        <v>4160</v>
      </c>
      <c r="G953" s="7" t="n">
        <f aca="false">AVERAGE(E949:E953)</f>
        <v>15023.25</v>
      </c>
      <c r="H953" s="7" t="n">
        <f aca="false">AVERAGE(E944:E953)</f>
        <v>14871.37</v>
      </c>
      <c r="I953" s="7" t="n">
        <f aca="false">AVERAGE(E934:E953)</f>
        <v>14903.337</v>
      </c>
      <c r="J953" s="7" t="n">
        <f aca="false">AVERAGE(E904:E953)</f>
        <v>15073.7948</v>
      </c>
      <c r="K953" s="7" t="n">
        <f aca="false">AVERAGE(E854:E953)</f>
        <v>15010.5583</v>
      </c>
      <c r="L953" s="7" t="n">
        <f aca="false">AVERAGE(E754:E953)</f>
        <v>13701.3139</v>
      </c>
      <c r="M953" s="7" t="n">
        <f aca="false">I953</f>
        <v>14903.337</v>
      </c>
      <c r="N953" s="7" t="n">
        <f aca="false">I953+2*STDEV(E934:E953)</f>
        <v>15441.413884473</v>
      </c>
      <c r="O953" s="7" t="n">
        <f aca="false">I953-2*STDEV(E934:E953)</f>
        <v>14365.260115527</v>
      </c>
      <c r="P953" s="7" t="n">
        <f aca="false">MAX(E953-E952,0)</f>
        <v>109.6</v>
      </c>
      <c r="Q953" s="7" t="n">
        <f aca="false">MAX(E952-E953,0)</f>
        <v>0</v>
      </c>
      <c r="R953" s="7" t="n">
        <f aca="false">(R952*13+P953)/14</f>
        <v>73.232629586208</v>
      </c>
      <c r="S953" s="7" t="n">
        <f aca="false">(S952*13+Q953)/14</f>
        <v>53.1072851579863</v>
      </c>
      <c r="T953" s="7" t="n">
        <f aca="false">IF(S953=0,100,100-100/(1+R953/S953))</f>
        <v>57.9647609660693</v>
      </c>
      <c r="U953" s="7" t="n">
        <f aca="false">E953*2/13+U952*11/13</f>
        <v>14947.6884935064</v>
      </c>
      <c r="V953" s="7" t="n">
        <f aca="false">E953*2/27+V952*25/27</f>
        <v>14976.0874685669</v>
      </c>
      <c r="W953" s="7" t="n">
        <f aca="false">U953-V953</f>
        <v>-28.3989750604687</v>
      </c>
      <c r="X953" s="7" t="n">
        <f aca="false">W953*2/10+X952*8/10</f>
        <v>-90.6190809440968</v>
      </c>
      <c r="Y953" s="7" t="n">
        <f aca="false">W953-X953</f>
        <v>62.2201058836281</v>
      </c>
      <c r="Z953" s="8" t="s">
        <v>42</v>
      </c>
      <c r="AA953" s="7" t="str">
        <f aca="false">IFERROR(INDEX(02_轉折點45!B:B,MATCH(A953,02_轉折點45!A:A,0)),"")</f>
        <v/>
      </c>
      <c r="AB953" s="7" t="n">
        <f aca="false">COUNTIFS(05_訊號明細!A:A,A953,05_訊號明細!C:C,"TOP")</f>
        <v>1</v>
      </c>
      <c r="AC953" s="7" t="n">
        <f aca="false">COUNTIFS(05_訊號明細!A:A,A953,05_訊號明細!C:C,"BOTTOM")</f>
        <v>0</v>
      </c>
    </row>
    <row r="954" customFormat="false" ht="15" hidden="false" customHeight="false" outlineLevel="0" collapsed="false">
      <c r="A954" s="7" t="s">
        <v>995</v>
      </c>
      <c r="B954" s="7" t="n">
        <v>15264.11</v>
      </c>
      <c r="C954" s="7" t="n">
        <v>15333.98</v>
      </c>
      <c r="D954" s="7" t="n">
        <v>15090.69</v>
      </c>
      <c r="E954" s="7" t="n">
        <v>15184.1</v>
      </c>
      <c r="F954" s="7" t="n">
        <v>4859</v>
      </c>
      <c r="G954" s="7" t="n">
        <f aca="false">AVERAGE(E950:E954)</f>
        <v>15115.426</v>
      </c>
      <c r="H954" s="7" t="n">
        <f aca="false">AVERAGE(E945:E954)</f>
        <v>14919.503</v>
      </c>
      <c r="I954" s="7" t="n">
        <f aca="false">AVERAGE(E935:E954)</f>
        <v>14888.8475</v>
      </c>
      <c r="J954" s="7" t="n">
        <f aca="false">AVERAGE(E905:E954)</f>
        <v>15070.062</v>
      </c>
      <c r="K954" s="7" t="n">
        <f aca="false">AVERAGE(E855:E954)</f>
        <v>15024.3644</v>
      </c>
      <c r="L954" s="7" t="n">
        <f aca="false">AVERAGE(E755:E954)</f>
        <v>13722.30715</v>
      </c>
      <c r="M954" s="7" t="n">
        <f aca="false">I954</f>
        <v>14888.8475</v>
      </c>
      <c r="N954" s="7" t="n">
        <f aca="false">I954+2*STDEV(E935:E954)</f>
        <v>15375.3711963505</v>
      </c>
      <c r="O954" s="7" t="n">
        <f aca="false">I954-2*STDEV(E935:E954)</f>
        <v>14402.3238036495</v>
      </c>
      <c r="P954" s="7" t="n">
        <f aca="false">MAX(E954-E953,0)</f>
        <v>0</v>
      </c>
      <c r="Q954" s="7" t="n">
        <f aca="false">MAX(E953-E954,0)</f>
        <v>57.0200000000004</v>
      </c>
      <c r="R954" s="7" t="n">
        <f aca="false">(R953*13+P954)/14</f>
        <v>68.0017274729074</v>
      </c>
      <c r="S954" s="7" t="n">
        <f aca="false">(S953*13+Q954)/14</f>
        <v>53.3867647895587</v>
      </c>
      <c r="T954" s="7" t="n">
        <f aca="false">IF(S954=0,100,100-100/(1+R954/S954))</f>
        <v>56.0199127655973</v>
      </c>
      <c r="U954" s="7" t="n">
        <f aca="false">E954*2/13+U953*11/13</f>
        <v>14984.0594945054</v>
      </c>
      <c r="V954" s="7" t="n">
        <f aca="false">E954*2/27+V953*25/27</f>
        <v>14991.4958042286</v>
      </c>
      <c r="W954" s="7" t="n">
        <f aca="false">U954-V954</f>
        <v>-7.43630972316714</v>
      </c>
      <c r="X954" s="7" t="n">
        <f aca="false">W954*2/10+X953*8/10</f>
        <v>-73.9825266999109</v>
      </c>
      <c r="Y954" s="7" t="n">
        <f aca="false">W954-X954</f>
        <v>66.5462169767437</v>
      </c>
      <c r="Z954" s="8" t="s">
        <v>42</v>
      </c>
      <c r="AA954" s="7" t="str">
        <f aca="false">IFERROR(INDEX(02_轉折點45!B:B,MATCH(A954,02_轉折點45!A:A,0)),"")</f>
        <v/>
      </c>
      <c r="AB954" s="7" t="n">
        <f aca="false">COUNTIFS(05_訊號明細!A:A,A954,05_訊號明細!C:C,"TOP")</f>
        <v>1</v>
      </c>
      <c r="AC954" s="7" t="n">
        <f aca="false">COUNTIFS(05_訊號明細!A:A,A954,05_訊號明細!C:C,"BOTTOM")</f>
        <v>0</v>
      </c>
    </row>
    <row r="955" customFormat="false" ht="15" hidden="false" customHeight="false" outlineLevel="0" collapsed="false">
      <c r="A955" s="7" t="s">
        <v>996</v>
      </c>
      <c r="B955" s="7" t="n">
        <v>15225.73</v>
      </c>
      <c r="C955" s="7" t="n">
        <v>15232.37</v>
      </c>
      <c r="D955" s="7" t="n">
        <v>14943.42</v>
      </c>
      <c r="E955" s="7" t="n">
        <v>14995.12</v>
      </c>
      <c r="F955" s="7" t="n">
        <v>4252</v>
      </c>
      <c r="G955" s="7" t="n">
        <f aca="false">AVERAGE(E951:E955)</f>
        <v>15119.802</v>
      </c>
      <c r="H955" s="7" t="n">
        <f aca="false">AVERAGE(E946:E955)</f>
        <v>14947.491</v>
      </c>
      <c r="I955" s="7" t="n">
        <f aca="false">AVERAGE(E936:E955)</f>
        <v>14878.4835</v>
      </c>
      <c r="J955" s="7" t="n">
        <f aca="false">AVERAGE(E906:E955)</f>
        <v>15062.8936</v>
      </c>
      <c r="K955" s="7" t="n">
        <f aca="false">AVERAGE(E856:E955)</f>
        <v>15035.8182</v>
      </c>
      <c r="L955" s="7" t="n">
        <f aca="false">AVERAGE(E756:E955)</f>
        <v>13743.1702</v>
      </c>
      <c r="M955" s="7" t="n">
        <f aca="false">I955</f>
        <v>14878.4835</v>
      </c>
      <c r="N955" s="7" t="n">
        <f aca="false">I955+2*STDEV(E936:E955)</f>
        <v>15345.3161946686</v>
      </c>
      <c r="O955" s="7" t="n">
        <f aca="false">I955-2*STDEV(E936:E955)</f>
        <v>14411.6508053314</v>
      </c>
      <c r="P955" s="7" t="n">
        <f aca="false">MAX(E955-E954,0)</f>
        <v>0</v>
      </c>
      <c r="Q955" s="7" t="n">
        <f aca="false">MAX(E954-E955,0)</f>
        <v>188.98</v>
      </c>
      <c r="R955" s="7" t="n">
        <f aca="false">(R954*13+P955)/14</f>
        <v>63.1444612248426</v>
      </c>
      <c r="S955" s="7" t="n">
        <f aca="false">(S954*13+Q955)/14</f>
        <v>63.0719958760188</v>
      </c>
      <c r="T955" s="7" t="n">
        <f aca="false">IF(S955=0,100,100-100/(1+R955/S955))</f>
        <v>50.0287067750467</v>
      </c>
      <c r="U955" s="7" t="n">
        <f aca="false">E955*2/13+U954*11/13</f>
        <v>14985.7611107354</v>
      </c>
      <c r="V955" s="7" t="n">
        <f aca="false">E955*2/27+V954*25/27</f>
        <v>14991.7642631746</v>
      </c>
      <c r="W955" s="7" t="n">
        <f aca="false">U955-V955</f>
        <v>-6.00315243926343</v>
      </c>
      <c r="X955" s="7" t="n">
        <f aca="false">W955*2/10+X954*8/10</f>
        <v>-60.3866518477814</v>
      </c>
      <c r="Y955" s="7" t="n">
        <f aca="false">W955-X955</f>
        <v>54.3834994085179</v>
      </c>
      <c r="Z955" s="8" t="s">
        <v>42</v>
      </c>
      <c r="AA955" s="7" t="str">
        <f aca="false">IFERROR(INDEX(02_轉折點45!B:B,MATCH(A955,02_轉折點45!A:A,0)),"")</f>
        <v/>
      </c>
      <c r="AB955" s="7" t="n">
        <f aca="false">COUNTIFS(05_訊號明細!A:A,A955,05_訊號明細!C:C,"TOP")</f>
        <v>1</v>
      </c>
      <c r="AC955" s="7" t="n">
        <f aca="false">COUNTIFS(05_訊號明細!A:A,A955,05_訊號明細!C:C,"BOTTOM")</f>
        <v>0</v>
      </c>
    </row>
    <row r="956" customFormat="false" ht="15" hidden="false" customHeight="false" outlineLevel="0" collapsed="false">
      <c r="A956" s="7" t="s">
        <v>997</v>
      </c>
      <c r="B956" s="7" t="n">
        <v>15054.48</v>
      </c>
      <c r="C956" s="7" t="n">
        <v>15209.5</v>
      </c>
      <c r="D956" s="7" t="n">
        <v>15047.27</v>
      </c>
      <c r="E956" s="7" t="n">
        <v>15172.73</v>
      </c>
      <c r="F956" s="7" t="n">
        <v>4309</v>
      </c>
      <c r="G956" s="7" t="n">
        <f aca="false">AVERAGE(E952:E956)</f>
        <v>15144.918</v>
      </c>
      <c r="H956" s="7" t="n">
        <f aca="false">AVERAGE(E947:E956)</f>
        <v>14981.007</v>
      </c>
      <c r="I956" s="7" t="n">
        <f aca="false">AVERAGE(E937:E956)</f>
        <v>14875.8515</v>
      </c>
      <c r="J956" s="7" t="n">
        <f aca="false">AVERAGE(E907:E956)</f>
        <v>15060.8498</v>
      </c>
      <c r="K956" s="7" t="n">
        <f aca="false">AVERAGE(E857:E956)</f>
        <v>15050.8201</v>
      </c>
      <c r="L956" s="7" t="n">
        <f aca="false">AVERAGE(E757:E956)</f>
        <v>13765.63715</v>
      </c>
      <c r="M956" s="7" t="n">
        <f aca="false">I956</f>
        <v>14875.8515</v>
      </c>
      <c r="N956" s="7" t="n">
        <f aca="false">I956+2*STDEV(E937:E956)</f>
        <v>15334.9794705233</v>
      </c>
      <c r="O956" s="7" t="n">
        <f aca="false">I956-2*STDEV(E937:E956)</f>
        <v>14416.7235294767</v>
      </c>
      <c r="P956" s="7" t="n">
        <f aca="false">MAX(E956-E955,0)</f>
        <v>177.609999999999</v>
      </c>
      <c r="Q956" s="7" t="n">
        <f aca="false">MAX(E955-E956,0)</f>
        <v>0</v>
      </c>
      <c r="R956" s="7" t="n">
        <f aca="false">(R955*13+P956)/14</f>
        <v>71.3205711373537</v>
      </c>
      <c r="S956" s="7" t="n">
        <f aca="false">(S955*13+Q956)/14</f>
        <v>58.566853313446</v>
      </c>
      <c r="T956" s="7" t="n">
        <f aca="false">IF(S956=0,100,100-100/(1+R956/S956))</f>
        <v>54.9095275689059</v>
      </c>
      <c r="U956" s="7" t="n">
        <f aca="false">E956*2/13+U955*11/13</f>
        <v>15014.5255552376</v>
      </c>
      <c r="V956" s="7" t="n">
        <f aca="false">E956*2/27+V955*25/27</f>
        <v>15005.1691325691</v>
      </c>
      <c r="W956" s="7" t="n">
        <f aca="false">U956-V956</f>
        <v>9.35642266851573</v>
      </c>
      <c r="X956" s="7" t="n">
        <f aca="false">W956*2/10+X955*8/10</f>
        <v>-46.438036944522</v>
      </c>
      <c r="Y956" s="7" t="n">
        <f aca="false">W956-X956</f>
        <v>55.7944596130377</v>
      </c>
      <c r="Z956" s="8" t="s">
        <v>42</v>
      </c>
      <c r="AA956" s="7" t="str">
        <f aca="false">IFERROR(INDEX(02_轉折點45!B:B,MATCH(A956,02_轉折點45!A:A,0)),"")</f>
        <v/>
      </c>
      <c r="AB956" s="7" t="n">
        <f aca="false">COUNTIFS(05_訊號明細!A:A,A956,05_訊號明細!C:C,"TOP")</f>
        <v>0</v>
      </c>
      <c r="AC956" s="7" t="n">
        <f aca="false">COUNTIFS(05_訊號明細!A:A,A956,05_訊號明細!C:C,"BOTTOM")</f>
        <v>0</v>
      </c>
    </row>
    <row r="957" customFormat="false" ht="15" hidden="false" customHeight="false" outlineLevel="0" collapsed="false">
      <c r="A957" s="7" t="s">
        <v>998</v>
      </c>
      <c r="B957" s="7" t="n">
        <v>15009.26</v>
      </c>
      <c r="C957" s="7" t="n">
        <v>15187.06</v>
      </c>
      <c r="D957" s="7" t="n">
        <v>14932.77</v>
      </c>
      <c r="E957" s="7" t="n">
        <v>15122.01</v>
      </c>
      <c r="F957" s="7" t="n">
        <v>4418</v>
      </c>
      <c r="G957" s="7" t="n">
        <f aca="false">AVERAGE(E953:E957)</f>
        <v>15143.016</v>
      </c>
      <c r="H957" s="7" t="n">
        <f aca="false">AVERAGE(E948:E957)</f>
        <v>15036.646</v>
      </c>
      <c r="I957" s="7" t="n">
        <f aca="false">AVERAGE(E938:E957)</f>
        <v>14872.3905</v>
      </c>
      <c r="J957" s="7" t="n">
        <f aca="false">AVERAGE(E908:E957)</f>
        <v>15055.133</v>
      </c>
      <c r="K957" s="7" t="n">
        <f aca="false">AVERAGE(E858:E957)</f>
        <v>15065.9954</v>
      </c>
      <c r="L957" s="7" t="n">
        <f aca="false">AVERAGE(E758:E957)</f>
        <v>13786.49195</v>
      </c>
      <c r="M957" s="7" t="n">
        <f aca="false">I957</f>
        <v>14872.3905</v>
      </c>
      <c r="N957" s="7" t="n">
        <f aca="false">I957+2*STDEV(E938:E957)</f>
        <v>15322.4627004523</v>
      </c>
      <c r="O957" s="7" t="n">
        <f aca="false">I957-2*STDEV(E938:E957)</f>
        <v>14422.3182995477</v>
      </c>
      <c r="P957" s="7" t="n">
        <f aca="false">MAX(E957-E956,0)</f>
        <v>0</v>
      </c>
      <c r="Q957" s="7" t="n">
        <f aca="false">MAX(E956-E957,0)</f>
        <v>50.7199999999993</v>
      </c>
      <c r="R957" s="7" t="n">
        <f aca="false">(R956*13+P957)/14</f>
        <v>66.2262446275427</v>
      </c>
      <c r="S957" s="7" t="n">
        <f aca="false">(S956*13+Q957)/14</f>
        <v>58.006363791057</v>
      </c>
      <c r="T957" s="7" t="n">
        <f aca="false">IF(S957=0,100,100-100/(1+R957/S957))</f>
        <v>53.3082621950547</v>
      </c>
      <c r="U957" s="7" t="n">
        <f aca="false">E957*2/13+U956*11/13</f>
        <v>15031.0616236626</v>
      </c>
      <c r="V957" s="7" t="n">
        <f aca="false">E957*2/27+V956*25/27</f>
        <v>15013.8240116381</v>
      </c>
      <c r="W957" s="7" t="n">
        <f aca="false">U957-V957</f>
        <v>17.2376120245408</v>
      </c>
      <c r="X957" s="7" t="n">
        <f aca="false">W957*2/10+X956*8/10</f>
        <v>-33.7029071507094</v>
      </c>
      <c r="Y957" s="7" t="n">
        <f aca="false">W957-X957</f>
        <v>50.9405191752502</v>
      </c>
      <c r="Z957" s="8" t="s">
        <v>42</v>
      </c>
      <c r="AA957" s="7" t="str">
        <f aca="false">IFERROR(INDEX(02_轉折點45!B:B,MATCH(A957,02_轉折點45!A:A,0)),"")</f>
        <v/>
      </c>
      <c r="AB957" s="7" t="n">
        <f aca="false">COUNTIFS(05_訊號明細!A:A,A957,05_訊號明細!C:C,"TOP")</f>
        <v>0</v>
      </c>
      <c r="AC957" s="7" t="n">
        <f aca="false">COUNTIFS(05_訊號明細!A:A,A957,05_訊號明細!C:C,"BOTTOM")</f>
        <v>0</v>
      </c>
    </row>
    <row r="958" customFormat="false" ht="15" hidden="false" customHeight="false" outlineLevel="0" collapsed="false">
      <c r="A958" s="7" t="s">
        <v>999</v>
      </c>
      <c r="B958" s="7" t="n">
        <v>15022.28</v>
      </c>
      <c r="C958" s="7" t="n">
        <v>15103.87</v>
      </c>
      <c r="D958" s="7" t="n">
        <v>14865.81</v>
      </c>
      <c r="E958" s="7" t="n">
        <v>14909.26</v>
      </c>
      <c r="F958" s="7" t="n">
        <v>4617</v>
      </c>
      <c r="G958" s="7" t="n">
        <f aca="false">AVERAGE(E954:E958)</f>
        <v>15076.644</v>
      </c>
      <c r="H958" s="7" t="n">
        <f aca="false">AVERAGE(E949:E958)</f>
        <v>15049.947</v>
      </c>
      <c r="I958" s="7" t="n">
        <f aca="false">AVERAGE(E939:E958)</f>
        <v>14869.3575</v>
      </c>
      <c r="J958" s="7" t="n">
        <f aca="false">AVERAGE(E909:E958)</f>
        <v>15047.8572</v>
      </c>
      <c r="K958" s="7" t="n">
        <f aca="false">AVERAGE(E859:E958)</f>
        <v>15075.7027</v>
      </c>
      <c r="L958" s="7" t="n">
        <f aca="false">AVERAGE(E759:E958)</f>
        <v>13806.33945</v>
      </c>
      <c r="M958" s="7" t="n">
        <f aca="false">I958</f>
        <v>14869.3575</v>
      </c>
      <c r="N958" s="7" t="n">
        <f aca="false">I958+2*STDEV(E939:E958)</f>
        <v>15317.4756837946</v>
      </c>
      <c r="O958" s="7" t="n">
        <f aca="false">I958-2*STDEV(E939:E958)</f>
        <v>14421.2393162054</v>
      </c>
      <c r="P958" s="7" t="n">
        <f aca="false">MAX(E958-E957,0)</f>
        <v>0</v>
      </c>
      <c r="Q958" s="7" t="n">
        <f aca="false">MAX(E957-E958,0)</f>
        <v>212.75</v>
      </c>
      <c r="R958" s="7" t="n">
        <f aca="false">(R957*13+P958)/14</f>
        <v>61.4957985827183</v>
      </c>
      <c r="S958" s="7" t="n">
        <f aca="false">(S957*13+Q958)/14</f>
        <v>69.0594806631243</v>
      </c>
      <c r="T958" s="7" t="n">
        <f aca="false">IF(S958=0,100,100-100/(1+R958/S958))</f>
        <v>47.1032645619166</v>
      </c>
      <c r="U958" s="7" t="n">
        <f aca="false">E958*2/13+U957*11/13</f>
        <v>15012.3229123299</v>
      </c>
      <c r="V958" s="7" t="n">
        <f aca="false">E958*2/27+V957*25/27</f>
        <v>15006.0785292945</v>
      </c>
      <c r="W958" s="7" t="n">
        <f aca="false">U958-V958</f>
        <v>6.24438303539318</v>
      </c>
      <c r="X958" s="7" t="n">
        <f aca="false">W958*2/10+X957*8/10</f>
        <v>-25.7134491134889</v>
      </c>
      <c r="Y958" s="7" t="n">
        <f aca="false">W958-X958</f>
        <v>31.9578321488821</v>
      </c>
      <c r="Z958" s="8" t="s">
        <v>42</v>
      </c>
      <c r="AA958" s="7" t="str">
        <f aca="false">IFERROR(INDEX(02_轉折點45!B:B,MATCH(A958,02_轉折點45!A:A,0)),"")</f>
        <v/>
      </c>
      <c r="AB958" s="7" t="n">
        <f aca="false">COUNTIFS(05_訊號明細!A:A,A958,05_訊號明細!C:C,"TOP")</f>
        <v>1</v>
      </c>
      <c r="AC958" s="7" t="n">
        <f aca="false">COUNTIFS(05_訊號明細!A:A,A958,05_訊號明細!C:C,"BOTTOM")</f>
        <v>0</v>
      </c>
    </row>
    <row r="959" customFormat="false" ht="15" hidden="false" customHeight="false" outlineLevel="0" collapsed="false">
      <c r="A959" s="7" t="s">
        <v>1000</v>
      </c>
      <c r="B959" s="7" t="n">
        <v>14981.13</v>
      </c>
      <c r="C959" s="7" t="n">
        <v>15023.91</v>
      </c>
      <c r="D959" s="7" t="n">
        <v>14749.3</v>
      </c>
      <c r="E959" s="7" t="n">
        <v>14783.13</v>
      </c>
      <c r="F959" s="7" t="n">
        <v>5015</v>
      </c>
      <c r="G959" s="7" t="n">
        <f aca="false">AVERAGE(E955:E959)</f>
        <v>14996.45</v>
      </c>
      <c r="H959" s="7" t="n">
        <f aca="false">AVERAGE(E950:E959)</f>
        <v>15055.938</v>
      </c>
      <c r="I959" s="7" t="n">
        <f aca="false">AVERAGE(E940:E959)</f>
        <v>14873.802</v>
      </c>
      <c r="J959" s="7" t="n">
        <f aca="false">AVERAGE(E910:E959)</f>
        <v>15041.4856</v>
      </c>
      <c r="K959" s="7" t="n">
        <f aca="false">AVERAGE(E860:E959)</f>
        <v>15080.5499</v>
      </c>
      <c r="L959" s="7" t="n">
        <f aca="false">AVERAGE(E760:E959)</f>
        <v>13825.9419</v>
      </c>
      <c r="M959" s="7" t="n">
        <f aca="false">I959</f>
        <v>14873.802</v>
      </c>
      <c r="N959" s="7" t="n">
        <f aca="false">I959+2*STDEV(E940:E959)</f>
        <v>15316.3356211836</v>
      </c>
      <c r="O959" s="7" t="n">
        <f aca="false">I959-2*STDEV(E940:E959)</f>
        <v>14431.2683788164</v>
      </c>
      <c r="P959" s="7" t="n">
        <f aca="false">MAX(E959-E958,0)</f>
        <v>0</v>
      </c>
      <c r="Q959" s="7" t="n">
        <f aca="false">MAX(E958-E959,0)</f>
        <v>126.130000000001</v>
      </c>
      <c r="R959" s="7" t="n">
        <f aca="false">(R958*13+P959)/14</f>
        <v>57.1032415410955</v>
      </c>
      <c r="S959" s="7" t="n">
        <f aca="false">(S958*13+Q959)/14</f>
        <v>73.1359463300441</v>
      </c>
      <c r="T959" s="7" t="n">
        <f aca="false">IF(S959=0,100,100-100/(1+R959/S959))</f>
        <v>43.8448998911098</v>
      </c>
      <c r="U959" s="7" t="n">
        <f aca="false">E959*2/13+U958*11/13</f>
        <v>14977.0624642791</v>
      </c>
      <c r="V959" s="7" t="n">
        <f aca="false">E959*2/27+V958*25/27</f>
        <v>14989.5638234208</v>
      </c>
      <c r="W959" s="7" t="n">
        <f aca="false">U959-V959</f>
        <v>-12.5013591416919</v>
      </c>
      <c r="X959" s="7" t="n">
        <f aca="false">W959*2/10+X958*8/10</f>
        <v>-23.0710311191295</v>
      </c>
      <c r="Y959" s="7" t="n">
        <f aca="false">W959-X959</f>
        <v>10.5696719774376</v>
      </c>
      <c r="Z959" s="7" t="s">
        <v>78</v>
      </c>
      <c r="AA959" s="7" t="str">
        <f aca="false">IFERROR(INDEX(02_轉折點45!B:B,MATCH(A959,02_轉折點45!A:A,0)),"")</f>
        <v/>
      </c>
      <c r="AB959" s="7" t="n">
        <f aca="false">COUNTIFS(05_訊號明細!A:A,A959,05_訊號明細!C:C,"TOP")</f>
        <v>2</v>
      </c>
      <c r="AC959" s="7" t="n">
        <f aca="false">COUNTIFS(05_訊號明細!A:A,A959,05_訊號明細!C:C,"BOTTOM")</f>
        <v>0</v>
      </c>
    </row>
    <row r="960" customFormat="false" ht="15" hidden="false" customHeight="false" outlineLevel="0" collapsed="false">
      <c r="A960" s="7" t="s">
        <v>1001</v>
      </c>
      <c r="B960" s="7" t="n">
        <v>14752.59</v>
      </c>
      <c r="C960" s="7" t="n">
        <v>14781.22</v>
      </c>
      <c r="D960" s="7" t="n">
        <v>14552.12</v>
      </c>
      <c r="E960" s="7" t="n">
        <v>14560.88</v>
      </c>
      <c r="F960" s="7" t="n">
        <v>4623</v>
      </c>
      <c r="G960" s="7" t="n">
        <f aca="false">AVERAGE(E956:E960)</f>
        <v>14909.602</v>
      </c>
      <c r="H960" s="7" t="n">
        <f aca="false">AVERAGE(E951:E960)</f>
        <v>15014.702</v>
      </c>
      <c r="I960" s="7" t="n">
        <f aca="false">AVERAGE(E941:E960)</f>
        <v>14866.791</v>
      </c>
      <c r="J960" s="7" t="n">
        <f aca="false">AVERAGE(E911:E960)</f>
        <v>15030.1264</v>
      </c>
      <c r="K960" s="7" t="n">
        <f aca="false">AVERAGE(E861:E960)</f>
        <v>15082.6088</v>
      </c>
      <c r="L960" s="7" t="n">
        <f aca="false">AVERAGE(E761:E960)</f>
        <v>13844.1723</v>
      </c>
      <c r="M960" s="7" t="n">
        <f aca="false">I960</f>
        <v>14866.791</v>
      </c>
      <c r="N960" s="7" t="n">
        <f aca="false">I960+2*STDEV(E941:E960)</f>
        <v>15325.0100105592</v>
      </c>
      <c r="O960" s="7" t="n">
        <f aca="false">I960-2*STDEV(E941:E960)</f>
        <v>14408.5719894408</v>
      </c>
      <c r="P960" s="7" t="n">
        <f aca="false">MAX(E960-E959,0)</f>
        <v>0</v>
      </c>
      <c r="Q960" s="7" t="n">
        <f aca="false">MAX(E959-E960,0)</f>
        <v>222.25</v>
      </c>
      <c r="R960" s="7" t="n">
        <f aca="false">(R959*13+P960)/14</f>
        <v>53.0244385738744</v>
      </c>
      <c r="S960" s="7" t="n">
        <f aca="false">(S959*13+Q960)/14</f>
        <v>83.7869501636124</v>
      </c>
      <c r="T960" s="7" t="n">
        <f aca="false">IF(S960=0,100,100-100/(1+R960/S960))</f>
        <v>38.7573279265643</v>
      </c>
      <c r="U960" s="7" t="n">
        <f aca="false">E960*2/13+U959*11/13</f>
        <v>14913.0343928516</v>
      </c>
      <c r="V960" s="7" t="n">
        <f aca="false">E960*2/27+V959*25/27</f>
        <v>14957.8094661304</v>
      </c>
      <c r="W960" s="7" t="n">
        <f aca="false">U960-V960</f>
        <v>-44.7750732788209</v>
      </c>
      <c r="X960" s="7" t="n">
        <f aca="false">W960*2/10+X959*8/10</f>
        <v>-27.4118395510678</v>
      </c>
      <c r="Y960" s="7" t="n">
        <f aca="false">W960-X960</f>
        <v>-17.3632337277531</v>
      </c>
      <c r="Z960" s="7" t="s">
        <v>78</v>
      </c>
      <c r="AA960" s="7" t="str">
        <f aca="false">IFERROR(INDEX(02_轉折點45!B:B,MATCH(A960,02_轉折點45!A:A,0)),"")</f>
        <v/>
      </c>
      <c r="AB960" s="7" t="n">
        <f aca="false">COUNTIFS(05_訊號明細!A:A,A960,05_訊號明細!C:C,"TOP")</f>
        <v>0</v>
      </c>
      <c r="AC960" s="7" t="n">
        <f aca="false">COUNTIFS(05_訊號明細!A:A,A960,05_訊號明細!C:C,"BOTTOM")</f>
        <v>0</v>
      </c>
    </row>
    <row r="961" customFormat="false" ht="15" hidden="false" customHeight="false" outlineLevel="0" collapsed="false">
      <c r="A961" s="7" t="s">
        <v>1002</v>
      </c>
      <c r="B961" s="7" t="n">
        <v>14514.11</v>
      </c>
      <c r="C961" s="7" t="n">
        <v>14746.37</v>
      </c>
      <c r="D961" s="7" t="n">
        <v>14419.06</v>
      </c>
      <c r="E961" s="7" t="n">
        <v>14604.85</v>
      </c>
      <c r="F961" s="7" t="n">
        <v>4669</v>
      </c>
      <c r="G961" s="7" t="n">
        <f aca="false">AVERAGE(E957:E961)</f>
        <v>14796.026</v>
      </c>
      <c r="H961" s="7" t="n">
        <f aca="false">AVERAGE(E952:E961)</f>
        <v>14970.472</v>
      </c>
      <c r="I961" s="7" t="n">
        <f aca="false">AVERAGE(E942:E961)</f>
        <v>14858.5885</v>
      </c>
      <c r="J961" s="7" t="n">
        <f aca="false">AVERAGE(E912:E961)</f>
        <v>15021.662</v>
      </c>
      <c r="K961" s="7" t="n">
        <f aca="false">AVERAGE(E862:E961)</f>
        <v>15086.1164</v>
      </c>
      <c r="L961" s="7" t="n">
        <f aca="false">AVERAGE(E762:E961)</f>
        <v>13863.49045</v>
      </c>
      <c r="M961" s="7" t="n">
        <f aca="false">I961</f>
        <v>14858.5885</v>
      </c>
      <c r="N961" s="7" t="n">
        <f aca="false">I961+2*STDEV(E942:E961)</f>
        <v>15329.8727392431</v>
      </c>
      <c r="O961" s="7" t="n">
        <f aca="false">I961-2*STDEV(E942:E961)</f>
        <v>14387.3042607569</v>
      </c>
      <c r="P961" s="7" t="n">
        <f aca="false">MAX(E961-E960,0)</f>
        <v>43.9700000000012</v>
      </c>
      <c r="Q961" s="7" t="n">
        <f aca="false">MAX(E960-E961,0)</f>
        <v>0</v>
      </c>
      <c r="R961" s="7" t="n">
        <f aca="false">(R960*13+P961)/14</f>
        <v>52.3776929614549</v>
      </c>
      <c r="S961" s="7" t="n">
        <f aca="false">(S960*13+Q961)/14</f>
        <v>77.8021680090686</v>
      </c>
      <c r="T961" s="7" t="n">
        <f aca="false">IF(S961=0,100,100-100/(1+R961/S961))</f>
        <v>40.2348662619287</v>
      </c>
      <c r="U961" s="7" t="n">
        <f aca="false">E961*2/13+U960*11/13</f>
        <v>14865.6214093359</v>
      </c>
      <c r="V961" s="7" t="n">
        <f aca="false">E961*2/27+V960*25/27</f>
        <v>14931.6643204911</v>
      </c>
      <c r="W961" s="7" t="n">
        <f aca="false">U961-V961</f>
        <v>-66.0429111551603</v>
      </c>
      <c r="X961" s="7" t="n">
        <f aca="false">W961*2/10+X960*8/10</f>
        <v>-35.1380538718863</v>
      </c>
      <c r="Y961" s="7" t="n">
        <f aca="false">W961-X961</f>
        <v>-30.904857283274</v>
      </c>
      <c r="Z961" s="7" t="s">
        <v>78</v>
      </c>
      <c r="AA961" s="7" t="str">
        <f aca="false">IFERROR(INDEX(02_轉折點45!B:B,MATCH(A961,02_轉折點45!A:A,0)),"")</f>
        <v/>
      </c>
      <c r="AB961" s="7" t="n">
        <f aca="false">COUNTIFS(05_訊號明細!A:A,A961,05_訊號明細!C:C,"TOP")</f>
        <v>1</v>
      </c>
      <c r="AC961" s="7" t="n">
        <f aca="false">COUNTIFS(05_訊號明細!A:A,A961,05_訊號明細!C:C,"BOTTOM")</f>
        <v>0</v>
      </c>
    </row>
    <row r="962" customFormat="false" ht="15" hidden="false" customHeight="false" outlineLevel="0" collapsed="false">
      <c r="A962" s="7" t="s">
        <v>1003</v>
      </c>
      <c r="B962" s="7" t="n">
        <v>14678.41</v>
      </c>
      <c r="C962" s="7" t="n">
        <v>14774.16</v>
      </c>
      <c r="D962" s="7" t="n">
        <v>14610.33</v>
      </c>
      <c r="E962" s="7" t="n">
        <v>14745.86</v>
      </c>
      <c r="F962" s="7" t="n">
        <v>4605</v>
      </c>
      <c r="G962" s="7" t="n">
        <f aca="false">AVERAGE(E958:E962)</f>
        <v>14720.796</v>
      </c>
      <c r="H962" s="7" t="n">
        <f aca="false">AVERAGE(E953:E962)</f>
        <v>14931.906</v>
      </c>
      <c r="I962" s="7" t="n">
        <f aca="false">AVERAGE(E943:E962)</f>
        <v>14868.59</v>
      </c>
      <c r="J962" s="7" t="n">
        <f aca="false">AVERAGE(E913:E962)</f>
        <v>15012.4674</v>
      </c>
      <c r="K962" s="7" t="n">
        <f aca="false">AVERAGE(E863:E962)</f>
        <v>15089.1599</v>
      </c>
      <c r="L962" s="7" t="n">
        <f aca="false">AVERAGE(E763:E962)</f>
        <v>13882.018</v>
      </c>
      <c r="M962" s="7" t="n">
        <f aca="false">I962</f>
        <v>14868.59</v>
      </c>
      <c r="N962" s="7" t="n">
        <f aca="false">I962+2*STDEV(E943:E962)</f>
        <v>15319.9986018349</v>
      </c>
      <c r="O962" s="7" t="n">
        <f aca="false">I962-2*STDEV(E943:E962)</f>
        <v>14417.1813981651</v>
      </c>
      <c r="P962" s="7" t="n">
        <f aca="false">MAX(E962-E961,0)</f>
        <v>141.01</v>
      </c>
      <c r="Q962" s="7" t="n">
        <f aca="false">MAX(E961-E962,0)</f>
        <v>0</v>
      </c>
      <c r="R962" s="7" t="n">
        <f aca="false">(R961*13+P962)/14</f>
        <v>58.7085720356367</v>
      </c>
      <c r="S962" s="7" t="n">
        <f aca="false">(S961*13+Q962)/14</f>
        <v>72.2448702941352</v>
      </c>
      <c r="T962" s="7" t="n">
        <f aca="false">IF(S962=0,100,100-100/(1+R962/S962))</f>
        <v>44.8316371003021</v>
      </c>
      <c r="U962" s="7" t="n">
        <f aca="false">E962*2/13+U961*11/13</f>
        <v>14847.1965771304</v>
      </c>
      <c r="V962" s="7" t="n">
        <f aca="false">E962*2/27+V961*25/27</f>
        <v>14917.9010374918</v>
      </c>
      <c r="W962" s="7" t="n">
        <f aca="false">U962-V962</f>
        <v>-70.7044603613467</v>
      </c>
      <c r="X962" s="7" t="n">
        <f aca="false">W962*2/10+X961*8/10</f>
        <v>-42.2513351697784</v>
      </c>
      <c r="Y962" s="7" t="n">
        <f aca="false">W962-X962</f>
        <v>-28.4531251915684</v>
      </c>
      <c r="Z962" s="7" t="s">
        <v>78</v>
      </c>
      <c r="AA962" s="7" t="str">
        <f aca="false">IFERROR(INDEX(02_轉折點45!B:B,MATCH(A962,02_轉折點45!A:A,0)),"")</f>
        <v/>
      </c>
      <c r="AB962" s="7" t="n">
        <f aca="false">COUNTIFS(05_訊號明細!A:A,A962,05_訊號明細!C:C,"TOP")</f>
        <v>0</v>
      </c>
      <c r="AC962" s="7" t="n">
        <f aca="false">COUNTIFS(05_訊號明細!A:A,A962,05_訊號明細!C:C,"BOTTOM")</f>
        <v>0</v>
      </c>
    </row>
    <row r="963" customFormat="false" ht="15" hidden="false" customHeight="false" outlineLevel="0" collapsed="false">
      <c r="A963" s="7" t="s">
        <v>1004</v>
      </c>
      <c r="B963" s="7" t="n">
        <v>14642.08</v>
      </c>
      <c r="C963" s="7" t="n">
        <v>14643.69</v>
      </c>
      <c r="D963" s="7" t="n">
        <v>14362.24</v>
      </c>
      <c r="E963" s="7" t="n">
        <v>14381.64</v>
      </c>
      <c r="F963" s="7" t="n">
        <v>4600</v>
      </c>
      <c r="G963" s="7" t="n">
        <f aca="false">AVERAGE(E959:E963)</f>
        <v>14615.272</v>
      </c>
      <c r="H963" s="7" t="n">
        <f aca="false">AVERAGE(E954:E963)</f>
        <v>14845.958</v>
      </c>
      <c r="I963" s="7" t="n">
        <f aca="false">AVERAGE(E944:E963)</f>
        <v>14858.664</v>
      </c>
      <c r="J963" s="7" t="n">
        <f aca="false">AVERAGE(E914:E963)</f>
        <v>14999.3472</v>
      </c>
      <c r="K963" s="7" t="n">
        <f aca="false">AVERAGE(E864:E963)</f>
        <v>15087.5099</v>
      </c>
      <c r="L963" s="7" t="n">
        <f aca="false">AVERAGE(E764:E963)</f>
        <v>13898.38395</v>
      </c>
      <c r="M963" s="7" t="n">
        <f aca="false">I963</f>
        <v>14858.664</v>
      </c>
      <c r="N963" s="7" t="n">
        <f aca="false">I963+2*STDEV(E944:E963)</f>
        <v>15344.2161275458</v>
      </c>
      <c r="O963" s="7" t="n">
        <f aca="false">I963-2*STDEV(E944:E963)</f>
        <v>14373.1118724542</v>
      </c>
      <c r="P963" s="7" t="n">
        <f aca="false">MAX(E963-E962,0)</f>
        <v>0</v>
      </c>
      <c r="Q963" s="7" t="n">
        <f aca="false">MAX(E962-E963,0)</f>
        <v>364.220000000001</v>
      </c>
      <c r="R963" s="7" t="n">
        <f aca="false">(R962*13+P963)/14</f>
        <v>54.5151026045198</v>
      </c>
      <c r="S963" s="7" t="n">
        <f aca="false">(S962*13+Q963)/14</f>
        <v>93.100236701697</v>
      </c>
      <c r="T963" s="7" t="n">
        <f aca="false">IF(S963=0,100,100-100/(1+R963/S963))</f>
        <v>36.9305133604255</v>
      </c>
      <c r="U963" s="7" t="n">
        <f aca="false">E963*2/13+U962*11/13</f>
        <v>14775.5724883411</v>
      </c>
      <c r="V963" s="7" t="n">
        <f aca="false">E963*2/27+V962*25/27</f>
        <v>14878.1779976776</v>
      </c>
      <c r="W963" s="7" t="n">
        <f aca="false">U963-V963</f>
        <v>-102.605509336436</v>
      </c>
      <c r="X963" s="7" t="n">
        <f aca="false">W963*2/10+X962*8/10</f>
        <v>-54.3221700031098</v>
      </c>
      <c r="Y963" s="7" t="n">
        <f aca="false">W963-X963</f>
        <v>-48.2833393333259</v>
      </c>
      <c r="Z963" s="7" t="s">
        <v>78</v>
      </c>
      <c r="AA963" s="7" t="str">
        <f aca="false">IFERROR(INDEX(02_轉折點45!B:B,MATCH(A963,02_轉折點45!A:A,0)),"")</f>
        <v/>
      </c>
      <c r="AB963" s="7" t="n">
        <f aca="false">COUNTIFS(05_訊號明細!A:A,A963,05_訊號明細!C:C,"TOP")</f>
        <v>0</v>
      </c>
      <c r="AC963" s="7" t="n">
        <f aca="false">COUNTIFS(05_訊號明細!A:A,A963,05_訊號明細!C:C,"BOTTOM")</f>
        <v>1</v>
      </c>
    </row>
    <row r="964" customFormat="false" ht="15" hidden="false" customHeight="false" outlineLevel="0" collapsed="false">
      <c r="A964" s="7" t="s">
        <v>1005</v>
      </c>
      <c r="B964" s="7" t="n">
        <v>14314.01</v>
      </c>
      <c r="C964" s="7" t="n">
        <v>14372.51</v>
      </c>
      <c r="D964" s="7" t="n">
        <v>14058.33</v>
      </c>
      <c r="E964" s="7" t="n">
        <v>14109.57</v>
      </c>
      <c r="F964" s="7" t="n">
        <v>4895</v>
      </c>
      <c r="G964" s="7" t="n">
        <f aca="false">AVERAGE(E960:E964)</f>
        <v>14480.56</v>
      </c>
      <c r="H964" s="7" t="n">
        <f aca="false">AVERAGE(E955:E964)</f>
        <v>14738.505</v>
      </c>
      <c r="I964" s="7" t="n">
        <f aca="false">AVERAGE(E945:E964)</f>
        <v>14829.004</v>
      </c>
      <c r="J964" s="7" t="n">
        <f aca="false">AVERAGE(E915:E964)</f>
        <v>14984.0092</v>
      </c>
      <c r="K964" s="7" t="n">
        <f aca="false">AVERAGE(E865:E964)</f>
        <v>15083.0406</v>
      </c>
      <c r="L964" s="7" t="n">
        <f aca="false">AVERAGE(E765:E964)</f>
        <v>13912.9029</v>
      </c>
      <c r="M964" s="7" t="n">
        <f aca="false">I964</f>
        <v>14829.004</v>
      </c>
      <c r="N964" s="7" t="n">
        <f aca="false">I964+2*STDEV(E945:E964)</f>
        <v>15416.4352851694</v>
      </c>
      <c r="O964" s="7" t="n">
        <f aca="false">I964-2*STDEV(E945:E964)</f>
        <v>14241.5727148306</v>
      </c>
      <c r="P964" s="7" t="n">
        <f aca="false">MAX(E964-E963,0)</f>
        <v>0</v>
      </c>
      <c r="Q964" s="7" t="n">
        <f aca="false">MAX(E963-E964,0)</f>
        <v>272.07</v>
      </c>
      <c r="R964" s="7" t="n">
        <f aca="false">(R963*13+P964)/14</f>
        <v>50.621166704197</v>
      </c>
      <c r="S964" s="7" t="n">
        <f aca="false">(S963*13+Q964)/14</f>
        <v>105.883791223004</v>
      </c>
      <c r="T964" s="7" t="n">
        <f aca="false">IF(S964=0,100,100-100/(1+R964/S964))</f>
        <v>32.3447687374502</v>
      </c>
      <c r="U964" s="7" t="n">
        <f aca="false">E964*2/13+U963*11/13</f>
        <v>14673.1105670579</v>
      </c>
      <c r="V964" s="7" t="n">
        <f aca="false">E964*2/27+V963*25/27</f>
        <v>14821.2440719237</v>
      </c>
      <c r="W964" s="7" t="n">
        <f aca="false">U964-V964</f>
        <v>-148.133504865793</v>
      </c>
      <c r="X964" s="7" t="n">
        <f aca="false">W964*2/10+X963*8/10</f>
        <v>-73.0844369756464</v>
      </c>
      <c r="Y964" s="7" t="n">
        <f aca="false">W964-X964</f>
        <v>-75.0490678901465</v>
      </c>
      <c r="Z964" s="7" t="s">
        <v>78</v>
      </c>
      <c r="AA964" s="7" t="str">
        <f aca="false">IFERROR(INDEX(02_轉折點45!B:B,MATCH(A964,02_轉折點45!A:A,0)),"")</f>
        <v/>
      </c>
      <c r="AB964" s="7" t="n">
        <f aca="false">COUNTIFS(05_訊號明細!A:A,A964,05_訊號明細!C:C,"TOP")</f>
        <v>0</v>
      </c>
      <c r="AC964" s="7" t="n">
        <f aca="false">COUNTIFS(05_訊號明細!A:A,A964,05_訊號明細!C:C,"BOTTOM")</f>
        <v>0</v>
      </c>
    </row>
    <row r="965" customFormat="false" ht="15" hidden="false" customHeight="false" outlineLevel="0" collapsed="false">
      <c r="A965" s="7" t="s">
        <v>1006</v>
      </c>
      <c r="B965" s="7" t="n">
        <v>14245.75</v>
      </c>
      <c r="C965" s="7" t="n">
        <v>14321.04</v>
      </c>
      <c r="D965" s="7" t="n">
        <v>14130.37</v>
      </c>
      <c r="E965" s="7" t="n">
        <v>14180.42</v>
      </c>
      <c r="F965" s="7" t="n">
        <v>4172</v>
      </c>
      <c r="G965" s="7" t="n">
        <f aca="false">AVERAGE(E961:E965)</f>
        <v>14404.468</v>
      </c>
      <c r="H965" s="7" t="n">
        <f aca="false">AVERAGE(E956:E965)</f>
        <v>14657.035</v>
      </c>
      <c r="I965" s="7" t="n">
        <f aca="false">AVERAGE(E946:E965)</f>
        <v>14802.263</v>
      </c>
      <c r="J965" s="7" t="n">
        <f aca="false">AVERAGE(E916:E965)</f>
        <v>14973.3014</v>
      </c>
      <c r="K965" s="7" t="n">
        <f aca="false">AVERAGE(E866:E965)</f>
        <v>15079.2639</v>
      </c>
      <c r="L965" s="7" t="n">
        <f aca="false">AVERAGE(E766:E965)</f>
        <v>13926.7924</v>
      </c>
      <c r="M965" s="7" t="n">
        <f aca="false">I965</f>
        <v>14802.263</v>
      </c>
      <c r="N965" s="7" t="n">
        <f aca="false">I965+2*STDEV(E946:E965)</f>
        <v>15456.4038235669</v>
      </c>
      <c r="O965" s="7" t="n">
        <f aca="false">I965-2*STDEV(E946:E965)</f>
        <v>14148.1221764331</v>
      </c>
      <c r="P965" s="7" t="n">
        <f aca="false">MAX(E965-E964,0)</f>
        <v>70.8500000000004</v>
      </c>
      <c r="Q965" s="7" t="n">
        <f aca="false">MAX(E964-E965,0)</f>
        <v>0</v>
      </c>
      <c r="R965" s="7" t="n">
        <f aca="false">(R964*13+P965)/14</f>
        <v>52.0660833681829</v>
      </c>
      <c r="S965" s="7" t="n">
        <f aca="false">(S964*13+Q965)/14</f>
        <v>98.320663278504</v>
      </c>
      <c r="T965" s="7" t="n">
        <f aca="false">IF(S965=0,100,100-100/(1+R965/S965))</f>
        <v>34.6214573618678</v>
      </c>
      <c r="U965" s="7" t="n">
        <f aca="false">E965*2/13+U964*11/13</f>
        <v>14597.3120182797</v>
      </c>
      <c r="V965" s="7" t="n">
        <f aca="false">E965*2/27+V964*25/27</f>
        <v>14773.7756221515</v>
      </c>
      <c r="W965" s="7" t="n">
        <f aca="false">U965-V965</f>
        <v>-176.463603871805</v>
      </c>
      <c r="X965" s="7" t="n">
        <f aca="false">W965*2/10+X964*8/10</f>
        <v>-93.7602703548782</v>
      </c>
      <c r="Y965" s="7" t="n">
        <f aca="false">W965-X965</f>
        <v>-82.7033335169272</v>
      </c>
      <c r="Z965" s="7" t="s">
        <v>78</v>
      </c>
      <c r="AA965" s="7" t="str">
        <f aca="false">IFERROR(INDEX(02_轉折點45!B:B,MATCH(A965,02_轉折點45!A:A,0)),"")</f>
        <v/>
      </c>
      <c r="AB965" s="7" t="n">
        <f aca="false">COUNTIFS(05_訊號明細!A:A,A965,05_訊號明細!C:C,"TOP")</f>
        <v>1</v>
      </c>
      <c r="AC965" s="7" t="n">
        <f aca="false">COUNTIFS(05_訊號明細!A:A,A965,05_訊號明細!C:C,"BOTTOM")</f>
        <v>0</v>
      </c>
    </row>
    <row r="966" customFormat="false" ht="15" hidden="false" customHeight="false" outlineLevel="0" collapsed="false">
      <c r="A966" s="7" t="s">
        <v>1007</v>
      </c>
      <c r="B966" s="7" t="n">
        <v>14283.98</v>
      </c>
      <c r="C966" s="7" t="n">
        <v>14388.2</v>
      </c>
      <c r="D966" s="7" t="n">
        <v>14225.86</v>
      </c>
      <c r="E966" s="7" t="n">
        <v>14335.51</v>
      </c>
      <c r="F966" s="7" t="n">
        <v>4149</v>
      </c>
      <c r="G966" s="7" t="n">
        <f aca="false">AVERAGE(E962:E966)</f>
        <v>14350.6</v>
      </c>
      <c r="H966" s="7" t="n">
        <f aca="false">AVERAGE(E957:E966)</f>
        <v>14573.313</v>
      </c>
      <c r="I966" s="7" t="n">
        <f aca="false">AVERAGE(E947:E966)</f>
        <v>14777.16</v>
      </c>
      <c r="J966" s="7" t="n">
        <f aca="false">AVERAGE(E917:E966)</f>
        <v>14966.1148</v>
      </c>
      <c r="K966" s="7" t="n">
        <f aca="false">AVERAGE(E867:E966)</f>
        <v>15079.5861</v>
      </c>
      <c r="L966" s="7" t="n">
        <f aca="false">AVERAGE(E767:E966)</f>
        <v>13941.1719</v>
      </c>
      <c r="M966" s="7" t="n">
        <f aca="false">I966</f>
        <v>14777.16</v>
      </c>
      <c r="N966" s="7" t="n">
        <f aca="false">I966+2*STDEV(E947:E966)</f>
        <v>15463.344660983</v>
      </c>
      <c r="O966" s="7" t="n">
        <f aca="false">I966-2*STDEV(E947:E966)</f>
        <v>14090.975339017</v>
      </c>
      <c r="P966" s="7" t="n">
        <f aca="false">MAX(E966-E965,0)</f>
        <v>155.09</v>
      </c>
      <c r="Q966" s="7" t="n">
        <f aca="false">MAX(E965-E966,0)</f>
        <v>0</v>
      </c>
      <c r="R966" s="7" t="n">
        <f aca="false">(R965*13+P966)/14</f>
        <v>59.4249345561699</v>
      </c>
      <c r="S966" s="7" t="n">
        <f aca="false">(S965*13+Q966)/14</f>
        <v>91.2977587586109</v>
      </c>
      <c r="T966" s="7" t="n">
        <f aca="false">IF(S966=0,100,100-100/(1+R966/S966))</f>
        <v>39.4266671124714</v>
      </c>
      <c r="U966" s="7" t="n">
        <f aca="false">E966*2/13+U965*11/13</f>
        <v>14557.0347846982</v>
      </c>
      <c r="V966" s="7" t="n">
        <f aca="false">E966*2/27+V965*25/27</f>
        <v>14741.3115019922</v>
      </c>
      <c r="W966" s="7" t="n">
        <f aca="false">U966-V966</f>
        <v>-184.276717293929</v>
      </c>
      <c r="X966" s="7" t="n">
        <f aca="false">W966*2/10+X965*8/10</f>
        <v>-111.863559742688</v>
      </c>
      <c r="Y966" s="7" t="n">
        <f aca="false">W966-X966</f>
        <v>-72.4131575512409</v>
      </c>
      <c r="Z966" s="7" t="s">
        <v>78</v>
      </c>
      <c r="AA966" s="7" t="str">
        <f aca="false">IFERROR(INDEX(02_轉折點45!B:B,MATCH(A966,02_轉折點45!A:A,0)),"")</f>
        <v/>
      </c>
      <c r="AB966" s="7" t="n">
        <f aca="false">COUNTIFS(05_訊號明細!A:A,A966,05_訊號明細!C:C,"TOP")</f>
        <v>0</v>
      </c>
      <c r="AC966" s="7" t="n">
        <f aca="false">COUNTIFS(05_訊號明細!A:A,A966,05_訊號明細!C:C,"BOTTOM")</f>
        <v>0</v>
      </c>
    </row>
    <row r="967" customFormat="false" ht="15" hidden="false" customHeight="false" outlineLevel="0" collapsed="false">
      <c r="A967" s="7" t="s">
        <v>1008</v>
      </c>
      <c r="B967" s="7" t="n">
        <v>14340.86</v>
      </c>
      <c r="C967" s="7" t="n">
        <v>14420.44</v>
      </c>
      <c r="D967" s="7" t="n">
        <v>14232.4</v>
      </c>
      <c r="E967" s="7" t="n">
        <v>14409.78</v>
      </c>
      <c r="F967" s="7" t="n">
        <v>4316</v>
      </c>
      <c r="G967" s="7" t="n">
        <f aca="false">AVERAGE(E963:E967)</f>
        <v>14283.384</v>
      </c>
      <c r="H967" s="7" t="n">
        <f aca="false">AVERAGE(E958:E967)</f>
        <v>14502.09</v>
      </c>
      <c r="I967" s="7" t="n">
        <f aca="false">AVERAGE(E948:E967)</f>
        <v>14769.368</v>
      </c>
      <c r="J967" s="7" t="n">
        <f aca="false">AVERAGE(E918:E967)</f>
        <v>14955.5766</v>
      </c>
      <c r="K967" s="7" t="n">
        <f aca="false">AVERAGE(E868:E967)</f>
        <v>15078.8385</v>
      </c>
      <c r="L967" s="7" t="n">
        <f aca="false">AVERAGE(E768:E967)</f>
        <v>13955.5134</v>
      </c>
      <c r="M967" s="7" t="n">
        <f aca="false">I967</f>
        <v>14769.368</v>
      </c>
      <c r="N967" s="7" t="n">
        <f aca="false">I967+2*STDEV(E948:E967)</f>
        <v>15469.0730784919</v>
      </c>
      <c r="O967" s="7" t="n">
        <f aca="false">I967-2*STDEV(E948:E967)</f>
        <v>14069.6629215081</v>
      </c>
      <c r="P967" s="7" t="n">
        <f aca="false">MAX(E967-E966,0)</f>
        <v>74.2700000000004</v>
      </c>
      <c r="Q967" s="7" t="n">
        <f aca="false">MAX(E966-E967,0)</f>
        <v>0</v>
      </c>
      <c r="R967" s="7" t="n">
        <f aca="false">(R966*13+P967)/14</f>
        <v>60.4852963735863</v>
      </c>
      <c r="S967" s="7" t="n">
        <f aca="false">(S966*13+Q967)/14</f>
        <v>84.776490275853</v>
      </c>
      <c r="T967" s="7" t="n">
        <f aca="false">IF(S967=0,100,100-100/(1+R967/S967))</f>
        <v>41.638821722299</v>
      </c>
      <c r="U967" s="7" t="n">
        <f aca="false">E967*2/13+U966*11/13</f>
        <v>14534.380202437</v>
      </c>
      <c r="V967" s="7" t="n">
        <f aca="false">E967*2/27+V966*25/27</f>
        <v>14716.7536129557</v>
      </c>
      <c r="W967" s="7" t="n">
        <f aca="false">U967-V967</f>
        <v>-182.37341051874</v>
      </c>
      <c r="X967" s="7" t="n">
        <f aca="false">W967*2/10+X966*8/10</f>
        <v>-125.965529897899</v>
      </c>
      <c r="Y967" s="7" t="n">
        <f aca="false">W967-X967</f>
        <v>-56.4078806208409</v>
      </c>
      <c r="Z967" s="7" t="s">
        <v>78</v>
      </c>
      <c r="AA967" s="7" t="str">
        <f aca="false">IFERROR(INDEX(02_轉折點45!B:B,MATCH(A967,02_轉折點45!A:A,0)),"")</f>
        <v/>
      </c>
      <c r="AB967" s="7" t="n">
        <f aca="false">COUNTIFS(05_訊號明細!A:A,A967,05_訊號明細!C:C,"TOP")</f>
        <v>0</v>
      </c>
      <c r="AC967" s="7" t="n">
        <f aca="false">COUNTIFS(05_訊號明細!A:A,A967,05_訊號明細!C:C,"BOTTOM")</f>
        <v>0</v>
      </c>
    </row>
    <row r="968" customFormat="false" ht="15" hidden="false" customHeight="false" outlineLevel="0" collapsed="false">
      <c r="A968" s="7" t="s">
        <v>1009</v>
      </c>
      <c r="B968" s="7" t="n">
        <v>14453.68</v>
      </c>
      <c r="C968" s="7" t="n">
        <v>14677.86</v>
      </c>
      <c r="D968" s="7" t="n">
        <v>14441.89</v>
      </c>
      <c r="E968" s="7" t="n">
        <v>14664.91</v>
      </c>
      <c r="F968" s="7" t="n">
        <v>4545</v>
      </c>
      <c r="G968" s="7" t="n">
        <f aca="false">AVERAGE(E964:E968)</f>
        <v>14340.038</v>
      </c>
      <c r="H968" s="7" t="n">
        <f aca="false">AVERAGE(E959:E968)</f>
        <v>14477.655</v>
      </c>
      <c r="I968" s="7" t="n">
        <f aca="false">AVERAGE(E949:E968)</f>
        <v>14763.801</v>
      </c>
      <c r="J968" s="7" t="n">
        <f aca="false">AVERAGE(E919:E968)</f>
        <v>14950.6956</v>
      </c>
      <c r="K968" s="7" t="n">
        <f aca="false">AVERAGE(E869:E968)</f>
        <v>15080.204</v>
      </c>
      <c r="L968" s="7" t="n">
        <f aca="false">AVERAGE(E769:E968)</f>
        <v>13971.052</v>
      </c>
      <c r="M968" s="7" t="n">
        <f aca="false">I968</f>
        <v>14763.801</v>
      </c>
      <c r="N968" s="7" t="n">
        <f aca="false">I968+2*STDEV(E949:E968)</f>
        <v>15465.0455278413</v>
      </c>
      <c r="O968" s="7" t="n">
        <f aca="false">I968-2*STDEV(E949:E968)</f>
        <v>14062.5564721587</v>
      </c>
      <c r="P968" s="7" t="n">
        <f aca="false">MAX(E968-E967,0)</f>
        <v>255.129999999999</v>
      </c>
      <c r="Q968" s="7" t="n">
        <f aca="false">MAX(E967-E968,0)</f>
        <v>0</v>
      </c>
      <c r="R968" s="7" t="n">
        <f aca="false">(R967*13+P968)/14</f>
        <v>74.3884894897587</v>
      </c>
      <c r="S968" s="7" t="n">
        <f aca="false">(S967*13+Q968)/14</f>
        <v>78.7210266847206</v>
      </c>
      <c r="T968" s="7" t="n">
        <f aca="false">IF(S968=0,100,100-100/(1+R968/S968))</f>
        <v>48.5851509092274</v>
      </c>
      <c r="U968" s="7" t="n">
        <f aca="false">E968*2/13+U967*11/13</f>
        <v>14554.4617097544</v>
      </c>
      <c r="V968" s="7" t="n">
        <f aca="false">E968*2/27+V967*25/27</f>
        <v>14712.9133453294</v>
      </c>
      <c r="W968" s="7" t="n">
        <f aca="false">U968-V968</f>
        <v>-158.451635575</v>
      </c>
      <c r="X968" s="7" t="n">
        <f aca="false">W968*2/10+X967*8/10</f>
        <v>-132.462751033319</v>
      </c>
      <c r="Y968" s="7" t="n">
        <f aca="false">W968-X968</f>
        <v>-25.9888845416812</v>
      </c>
      <c r="Z968" s="7" t="s">
        <v>78</v>
      </c>
      <c r="AA968" s="7" t="str">
        <f aca="false">IFERROR(INDEX(02_轉折點45!B:B,MATCH(A968,02_轉折點45!A:A,0)),"")</f>
        <v/>
      </c>
      <c r="AB968" s="7" t="n">
        <f aca="false">COUNTIFS(05_訊號明細!A:A,A968,05_訊號明細!C:C,"TOP")</f>
        <v>0</v>
      </c>
      <c r="AC968" s="7" t="n">
        <f aca="false">COUNTIFS(05_訊號明細!A:A,A968,05_訊號明細!C:C,"BOTTOM")</f>
        <v>0</v>
      </c>
    </row>
    <row r="969" customFormat="false" ht="15" hidden="false" customHeight="false" outlineLevel="0" collapsed="false">
      <c r="A969" s="7" t="s">
        <v>1010</v>
      </c>
      <c r="B969" s="7" t="n">
        <v>14856.95</v>
      </c>
      <c r="C969" s="7" t="n">
        <v>14930.76</v>
      </c>
      <c r="D969" s="7" t="n">
        <v>14792.81</v>
      </c>
      <c r="E969" s="7" t="n">
        <v>14919.55</v>
      </c>
      <c r="F969" s="7" t="n">
        <v>4963</v>
      </c>
      <c r="G969" s="7" t="n">
        <f aca="false">AVERAGE(E965:E969)</f>
        <v>14502.034</v>
      </c>
      <c r="H969" s="7" t="n">
        <f aca="false">AVERAGE(E960:E969)</f>
        <v>14491.297</v>
      </c>
      <c r="I969" s="7" t="n">
        <f aca="false">AVERAGE(E950:E969)</f>
        <v>14773.6175</v>
      </c>
      <c r="J969" s="7" t="n">
        <f aca="false">AVERAGE(E920:E969)</f>
        <v>14946.1254</v>
      </c>
      <c r="K969" s="7" t="n">
        <f aca="false">AVERAGE(E870:E969)</f>
        <v>15081.5565</v>
      </c>
      <c r="L969" s="7" t="n">
        <f aca="false">AVERAGE(E770:E969)</f>
        <v>13988.5983</v>
      </c>
      <c r="M969" s="7" t="n">
        <f aca="false">I969</f>
        <v>14773.6175</v>
      </c>
      <c r="N969" s="7" t="n">
        <f aca="false">I969+2*STDEV(E950:E969)</f>
        <v>15477.9599895341</v>
      </c>
      <c r="O969" s="7" t="n">
        <f aca="false">I969-2*STDEV(E950:E969)</f>
        <v>14069.2750104659</v>
      </c>
      <c r="P969" s="7" t="n">
        <f aca="false">MAX(E969-E968,0)</f>
        <v>254.639999999999</v>
      </c>
      <c r="Q969" s="7" t="n">
        <f aca="false">MAX(E968-E969,0)</f>
        <v>0</v>
      </c>
      <c r="R969" s="7" t="n">
        <f aca="false">(R968*13+P969)/14</f>
        <v>87.2635973833473</v>
      </c>
      <c r="S969" s="7" t="n">
        <f aca="false">(S968*13+Q969)/14</f>
        <v>73.0980962072406</v>
      </c>
      <c r="T969" s="7" t="n">
        <f aca="false">IF(S969=0,100,100-100/(1+R969/S969))</f>
        <v>54.4167347135507</v>
      </c>
      <c r="U969" s="7" t="n">
        <f aca="false">E969*2/13+U968*11/13</f>
        <v>14610.6291390229</v>
      </c>
      <c r="V969" s="7" t="n">
        <f aca="false">E969*2/27+V968*25/27</f>
        <v>14728.2197641939</v>
      </c>
      <c r="W969" s="7" t="n">
        <f aca="false">U969-V969</f>
        <v>-117.590625170933</v>
      </c>
      <c r="X969" s="7" t="n">
        <f aca="false">W969*2/10+X968*8/10</f>
        <v>-129.488325860842</v>
      </c>
      <c r="Y969" s="7" t="n">
        <f aca="false">W969-X969</f>
        <v>11.8977006899088</v>
      </c>
      <c r="Z969" s="8" t="s">
        <v>42</v>
      </c>
      <c r="AA969" s="7" t="str">
        <f aca="false">IFERROR(INDEX(02_轉折點45!B:B,MATCH(A969,02_轉折點45!A:A,0)),"")</f>
        <v/>
      </c>
      <c r="AB969" s="7" t="n">
        <f aca="false">COUNTIFS(05_訊號明細!A:A,A969,05_訊號明細!C:C,"TOP")</f>
        <v>0</v>
      </c>
      <c r="AC969" s="7" t="n">
        <f aca="false">COUNTIFS(05_訊號明細!A:A,A969,05_訊號明細!C:C,"BOTTOM")</f>
        <v>1</v>
      </c>
    </row>
    <row r="970" customFormat="false" ht="15" hidden="false" customHeight="false" outlineLevel="0" collapsed="false">
      <c r="A970" s="7" t="s">
        <v>1011</v>
      </c>
      <c r="B970" s="7" t="n">
        <v>14985.12</v>
      </c>
      <c r="C970" s="7" t="n">
        <v>15149.78</v>
      </c>
      <c r="D970" s="7" t="n">
        <v>14965.29</v>
      </c>
      <c r="E970" s="7" t="n">
        <v>15099.49</v>
      </c>
      <c r="F970" s="7" t="n">
        <v>4919</v>
      </c>
      <c r="G970" s="7" t="n">
        <f aca="false">AVERAGE(E966:E970)</f>
        <v>14685.848</v>
      </c>
      <c r="H970" s="7" t="n">
        <f aca="false">AVERAGE(E961:E970)</f>
        <v>14545.158</v>
      </c>
      <c r="I970" s="7" t="n">
        <f aca="false">AVERAGE(E951:E970)</f>
        <v>14779.93</v>
      </c>
      <c r="J970" s="7" t="n">
        <f aca="false">AVERAGE(E921:E970)</f>
        <v>14951.7864</v>
      </c>
      <c r="K970" s="7" t="n">
        <f aca="false">AVERAGE(E871:E970)</f>
        <v>15083.5429</v>
      </c>
      <c r="L970" s="7" t="n">
        <f aca="false">AVERAGE(E771:E970)</f>
        <v>14007.6174</v>
      </c>
      <c r="M970" s="7" t="n">
        <f aca="false">I970</f>
        <v>14779.93</v>
      </c>
      <c r="N970" s="7" t="n">
        <f aca="false">I970+2*STDEV(E951:E970)</f>
        <v>15494.0011917626</v>
      </c>
      <c r="O970" s="7" t="n">
        <f aca="false">I970-2*STDEV(E951:E970)</f>
        <v>14065.8588082374</v>
      </c>
      <c r="P970" s="7" t="n">
        <f aca="false">MAX(E970-E969,0)</f>
        <v>179.940000000001</v>
      </c>
      <c r="Q970" s="7" t="n">
        <f aca="false">MAX(E969-E970,0)</f>
        <v>0</v>
      </c>
      <c r="R970" s="7" t="n">
        <f aca="false">(R969*13+P970)/14</f>
        <v>93.883340427394</v>
      </c>
      <c r="S970" s="7" t="n">
        <f aca="false">(S969*13+Q970)/14</f>
        <v>67.8768036210091</v>
      </c>
      <c r="T970" s="7" t="n">
        <f aca="false">IF(S970=0,100,100-100/(1+R970/S970))</f>
        <v>58.0386107960571</v>
      </c>
      <c r="U970" s="7" t="n">
        <f aca="false">E970*2/13+U969*11/13</f>
        <v>14685.8385022502</v>
      </c>
      <c r="V970" s="7" t="n">
        <f aca="false">E970*2/27+V969*25/27</f>
        <v>14755.7212631425</v>
      </c>
      <c r="W970" s="7" t="n">
        <f aca="false">U970-V970</f>
        <v>-69.8827608922911</v>
      </c>
      <c r="X970" s="7" t="n">
        <f aca="false">W970*2/10+X969*8/10</f>
        <v>-117.567212867132</v>
      </c>
      <c r="Y970" s="7" t="n">
        <f aca="false">W970-X970</f>
        <v>47.6844519748405</v>
      </c>
      <c r="Z970" s="8" t="s">
        <v>42</v>
      </c>
      <c r="AA970" s="7" t="str">
        <f aca="false">IFERROR(INDEX(02_轉折點45!B:B,MATCH(A970,02_轉折點45!A:A,0)),"")</f>
        <v/>
      </c>
      <c r="AB970" s="7" t="n">
        <f aca="false">COUNTIFS(05_訊號明細!A:A,A970,05_訊號明細!C:C,"TOP")</f>
        <v>1</v>
      </c>
      <c r="AC970" s="7" t="n">
        <f aca="false">COUNTIFS(05_訊號明細!A:A,A970,05_訊號明細!C:C,"BOTTOM")</f>
        <v>0</v>
      </c>
    </row>
    <row r="971" customFormat="false" ht="15" hidden="false" customHeight="false" outlineLevel="0" collapsed="false">
      <c r="A971" s="7" t="s">
        <v>1012</v>
      </c>
      <c r="B971" s="7" t="n">
        <v>15137.16</v>
      </c>
      <c r="C971" s="7" t="n">
        <v>15180.19</v>
      </c>
      <c r="D971" s="7" t="n">
        <v>15064.91</v>
      </c>
      <c r="E971" s="7" t="n">
        <v>15154.93</v>
      </c>
      <c r="F971" s="7" t="n">
        <v>4346</v>
      </c>
      <c r="G971" s="7" t="n">
        <f aca="false">AVERAGE(E967:E971)</f>
        <v>14849.732</v>
      </c>
      <c r="H971" s="7" t="n">
        <f aca="false">AVERAGE(E962:E971)</f>
        <v>14600.166</v>
      </c>
      <c r="I971" s="7" t="n">
        <f aca="false">AVERAGE(E952:E971)</f>
        <v>14785.319</v>
      </c>
      <c r="J971" s="7" t="n">
        <f aca="false">AVERAGE(E922:E971)</f>
        <v>14956.0484</v>
      </c>
      <c r="K971" s="7" t="n">
        <f aca="false">AVERAGE(E872:E971)</f>
        <v>15085.0353</v>
      </c>
      <c r="L971" s="7" t="n">
        <f aca="false">AVERAGE(E772:E971)</f>
        <v>14025.2969</v>
      </c>
      <c r="M971" s="7" t="n">
        <f aca="false">I971</f>
        <v>14785.319</v>
      </c>
      <c r="N971" s="7" t="n">
        <f aca="false">I971+2*STDEV(E952:E971)</f>
        <v>15509.437565892</v>
      </c>
      <c r="O971" s="7" t="n">
        <f aca="false">I971-2*STDEV(E952:E971)</f>
        <v>14061.200434108</v>
      </c>
      <c r="P971" s="7" t="n">
        <f aca="false">MAX(E971-E970,0)</f>
        <v>55.4400000000005</v>
      </c>
      <c r="Q971" s="7" t="n">
        <f aca="false">MAX(E970-E971,0)</f>
        <v>0</v>
      </c>
      <c r="R971" s="7" t="n">
        <f aca="false">(R970*13+P971)/14</f>
        <v>91.137387539723</v>
      </c>
      <c r="S971" s="7" t="n">
        <f aca="false">(S970*13+Q971)/14</f>
        <v>63.0284605052227</v>
      </c>
      <c r="T971" s="7" t="n">
        <f aca="false">IF(S971=0,100,100-100/(1+R971/S971))</f>
        <v>59.1164571761397</v>
      </c>
      <c r="U971" s="7" t="n">
        <f aca="false">E971*2/13+U970*11/13</f>
        <v>14758.0064249809</v>
      </c>
      <c r="V971" s="7" t="n">
        <f aca="false">E971*2/27+V970*25/27</f>
        <v>14785.2922806875</v>
      </c>
      <c r="W971" s="7" t="n">
        <f aca="false">U971-V971</f>
        <v>-27.2858557065501</v>
      </c>
      <c r="X971" s="7" t="n">
        <f aca="false">W971*2/10+X970*8/10</f>
        <v>-99.5109414350153</v>
      </c>
      <c r="Y971" s="7" t="n">
        <f aca="false">W971-X971</f>
        <v>72.2250857284652</v>
      </c>
      <c r="Z971" s="8" t="s">
        <v>42</v>
      </c>
      <c r="AA971" s="7" t="str">
        <f aca="false">IFERROR(INDEX(02_轉折點45!B:B,MATCH(A971,02_轉折點45!A:A,0)),"")</f>
        <v/>
      </c>
      <c r="AB971" s="7" t="n">
        <f aca="false">COUNTIFS(05_訊號明細!A:A,A971,05_訊號明細!C:C,"TOP")</f>
        <v>0</v>
      </c>
      <c r="AC971" s="7" t="n">
        <f aca="false">COUNTIFS(05_訊號明細!A:A,A971,05_訊號明細!C:C,"BOTTOM")</f>
        <v>0</v>
      </c>
    </row>
    <row r="972" customFormat="false" ht="15" hidden="false" customHeight="false" outlineLevel="0" collapsed="false">
      <c r="A972" s="7" t="s">
        <v>1013</v>
      </c>
      <c r="B972" s="7" t="n">
        <v>15201.77</v>
      </c>
      <c r="C972" s="7" t="n">
        <v>15335.44</v>
      </c>
      <c r="D972" s="7" t="n">
        <v>15153.31</v>
      </c>
      <c r="E972" s="7" t="n">
        <v>15296.02</v>
      </c>
      <c r="F972" s="7" t="n">
        <v>4354</v>
      </c>
      <c r="G972" s="7" t="n">
        <f aca="false">AVERAGE(E968:E972)</f>
        <v>15026.98</v>
      </c>
      <c r="H972" s="7" t="n">
        <f aca="false">AVERAGE(E963:E972)</f>
        <v>14655.182</v>
      </c>
      <c r="I972" s="7" t="n">
        <f aca="false">AVERAGE(E953:E972)</f>
        <v>14793.544</v>
      </c>
      <c r="J972" s="7" t="n">
        <f aca="false">AVERAGE(E923:E972)</f>
        <v>14960.9196</v>
      </c>
      <c r="K972" s="7" t="n">
        <f aca="false">AVERAGE(E873:E972)</f>
        <v>15086.1407</v>
      </c>
      <c r="L972" s="7" t="n">
        <f aca="false">AVERAGE(E773:E972)</f>
        <v>14042.4143</v>
      </c>
      <c r="M972" s="7" t="n">
        <f aca="false">I972</f>
        <v>14793.544</v>
      </c>
      <c r="N972" s="7" t="n">
        <f aca="false">I972+2*STDEV(E953:E972)</f>
        <v>15537.680225429</v>
      </c>
      <c r="O972" s="7" t="n">
        <f aca="false">I972-2*STDEV(E953:E972)</f>
        <v>14049.407774571</v>
      </c>
      <c r="P972" s="7" t="n">
        <f aca="false">MAX(E972-E971,0)</f>
        <v>141.09</v>
      </c>
      <c r="Q972" s="7" t="n">
        <f aca="false">MAX(E971-E972,0)</f>
        <v>0</v>
      </c>
      <c r="R972" s="7" t="n">
        <f aca="false">(R971*13+P972)/14</f>
        <v>94.7054312868856</v>
      </c>
      <c r="S972" s="7" t="n">
        <f aca="false">(S971*13+Q972)/14</f>
        <v>58.5264276119925</v>
      </c>
      <c r="T972" s="7" t="n">
        <f aca="false">IF(S972=0,100,100-100/(1+R972/S972))</f>
        <v>61.8053138344972</v>
      </c>
      <c r="U972" s="7" t="n">
        <f aca="false">E972*2/13+U971*11/13</f>
        <v>14840.7777442146</v>
      </c>
      <c r="V972" s="7" t="n">
        <f aca="false">E972*2/27+V971*25/27</f>
        <v>14823.1239635995</v>
      </c>
      <c r="W972" s="7" t="n">
        <f aca="false">U972-V972</f>
        <v>17.6537806151173</v>
      </c>
      <c r="X972" s="7" t="n">
        <f aca="false">W972*2/10+X971*8/10</f>
        <v>-76.0779970249888</v>
      </c>
      <c r="Y972" s="7" t="n">
        <f aca="false">W972-X972</f>
        <v>93.7317776401061</v>
      </c>
      <c r="Z972" s="8" t="s">
        <v>42</v>
      </c>
      <c r="AA972" s="7" t="str">
        <f aca="false">IFERROR(INDEX(02_轉折點45!B:B,MATCH(A972,02_轉折點45!A:A,0)),"")</f>
        <v/>
      </c>
      <c r="AB972" s="7" t="n">
        <f aca="false">COUNTIFS(05_訊號明細!A:A,A972,05_訊號明細!C:C,"TOP")</f>
        <v>0</v>
      </c>
      <c r="AC972" s="7" t="n">
        <f aca="false">COUNTIFS(05_訊號明細!A:A,A972,05_訊號明細!C:C,"BOTTOM")</f>
        <v>1</v>
      </c>
    </row>
    <row r="973" customFormat="false" ht="15" hidden="false" customHeight="false" outlineLevel="0" collapsed="false">
      <c r="A973" s="7" t="s">
        <v>1014</v>
      </c>
      <c r="B973" s="7" t="n">
        <v>15313.9</v>
      </c>
      <c r="C973" s="7" t="n">
        <v>15343.19</v>
      </c>
      <c r="D973" s="7" t="n">
        <v>15220.88</v>
      </c>
      <c r="E973" s="7" t="n">
        <v>15313.24</v>
      </c>
      <c r="F973" s="7" t="n">
        <v>4686</v>
      </c>
      <c r="G973" s="7" t="n">
        <f aca="false">AVERAGE(E969:E973)</f>
        <v>15156.646</v>
      </c>
      <c r="H973" s="7" t="n">
        <f aca="false">AVERAGE(E964:E973)</f>
        <v>14748.342</v>
      </c>
      <c r="I973" s="7" t="n">
        <f aca="false">AVERAGE(E954:E973)</f>
        <v>14797.15</v>
      </c>
      <c r="J973" s="7" t="n">
        <f aca="false">AVERAGE(E924:E973)</f>
        <v>14959.6534</v>
      </c>
      <c r="K973" s="7" t="n">
        <f aca="false">AVERAGE(E874:E973)</f>
        <v>15088.4339</v>
      </c>
      <c r="L973" s="7" t="n">
        <f aca="false">AVERAGE(E774:E973)</f>
        <v>14059.7473</v>
      </c>
      <c r="M973" s="7" t="n">
        <f aca="false">I973</f>
        <v>14797.15</v>
      </c>
      <c r="N973" s="7" t="n">
        <f aca="false">I973+2*STDEV(E954:E973)</f>
        <v>15551.0533194194</v>
      </c>
      <c r="O973" s="7" t="n">
        <f aca="false">I973-2*STDEV(E954:E973)</f>
        <v>14043.2466805806</v>
      </c>
      <c r="P973" s="7" t="n">
        <f aca="false">MAX(E973-E972,0)</f>
        <v>17.2199999999993</v>
      </c>
      <c r="Q973" s="7" t="n">
        <f aca="false">MAX(E972-E973,0)</f>
        <v>0</v>
      </c>
      <c r="R973" s="7" t="n">
        <f aca="false">(R972*13+P973)/14</f>
        <v>89.1707576235366</v>
      </c>
      <c r="S973" s="7" t="n">
        <f aca="false">(S972*13+Q973)/14</f>
        <v>54.3459684968502</v>
      </c>
      <c r="T973" s="7" t="n">
        <f aca="false">IF(S973=0,100,100-100/(1+R973/S973))</f>
        <v>62.1326587040016</v>
      </c>
      <c r="U973" s="7" t="n">
        <f aca="false">E973*2/13+U972*11/13</f>
        <v>14913.4642451047</v>
      </c>
      <c r="V973" s="7" t="n">
        <f aca="false">E973*2/27+V972*25/27</f>
        <v>14859.4288551847</v>
      </c>
      <c r="W973" s="7" t="n">
        <f aca="false">U973-V973</f>
        <v>54.0353899199545</v>
      </c>
      <c r="X973" s="7" t="n">
        <f aca="false">W973*2/10+X972*8/10</f>
        <v>-50.0553196360002</v>
      </c>
      <c r="Y973" s="7" t="n">
        <f aca="false">W973-X973</f>
        <v>104.090709555955</v>
      </c>
      <c r="Z973" s="8" t="s">
        <v>42</v>
      </c>
      <c r="AA973" s="7" t="str">
        <f aca="false">IFERROR(INDEX(02_轉折點45!B:B,MATCH(A973,02_轉折點45!A:A,0)),"")</f>
        <v/>
      </c>
      <c r="AB973" s="7" t="n">
        <f aca="false">COUNTIFS(05_訊號明細!A:A,A973,05_訊號明細!C:C,"TOP")</f>
        <v>0</v>
      </c>
      <c r="AC973" s="7" t="n">
        <f aca="false">COUNTIFS(05_訊號明細!A:A,A973,05_訊號明細!C:C,"BOTTOM")</f>
        <v>0</v>
      </c>
    </row>
    <row r="974" customFormat="false" ht="15" hidden="false" customHeight="false" outlineLevel="0" collapsed="false">
      <c r="A974" s="7" t="s">
        <v>1015</v>
      </c>
      <c r="B974" s="7" t="n">
        <v>15351.12</v>
      </c>
      <c r="C974" s="7" t="n">
        <v>15382.11</v>
      </c>
      <c r="D974" s="7" t="n">
        <v>15171.32</v>
      </c>
      <c r="E974" s="7" t="n">
        <v>15187.9</v>
      </c>
      <c r="F974" s="7" t="n">
        <v>5314</v>
      </c>
      <c r="G974" s="7" t="n">
        <f aca="false">AVERAGE(E970:E974)</f>
        <v>15210.316</v>
      </c>
      <c r="H974" s="7" t="n">
        <f aca="false">AVERAGE(E965:E974)</f>
        <v>14856.175</v>
      </c>
      <c r="I974" s="7" t="n">
        <f aca="false">AVERAGE(E955:E974)</f>
        <v>14797.34</v>
      </c>
      <c r="J974" s="7" t="n">
        <f aca="false">AVERAGE(E925:E974)</f>
        <v>14954.1628</v>
      </c>
      <c r="K974" s="7" t="n">
        <f aca="false">AVERAGE(E875:E974)</f>
        <v>15089.6114</v>
      </c>
      <c r="L974" s="7" t="n">
        <f aca="false">AVERAGE(E775:E974)</f>
        <v>14076.61335</v>
      </c>
      <c r="M974" s="7" t="n">
        <f aca="false">I974</f>
        <v>14797.34</v>
      </c>
      <c r="N974" s="7" t="n">
        <f aca="false">I974+2*STDEV(E955:E974)</f>
        <v>15551.6557316612</v>
      </c>
      <c r="O974" s="7" t="n">
        <f aca="false">I974-2*STDEV(E955:E974)</f>
        <v>14043.0242683388</v>
      </c>
      <c r="P974" s="7" t="n">
        <f aca="false">MAX(E974-E973,0)</f>
        <v>0</v>
      </c>
      <c r="Q974" s="7" t="n">
        <f aca="false">MAX(E973-E974,0)</f>
        <v>125.34</v>
      </c>
      <c r="R974" s="7" t="n">
        <f aca="false">(R973*13+P974)/14</f>
        <v>82.801417793284</v>
      </c>
      <c r="S974" s="7" t="n">
        <f aca="false">(S973*13+Q974)/14</f>
        <v>59.4169707470752</v>
      </c>
      <c r="T974" s="7" t="n">
        <f aca="false">IF(S974=0,100,100-100/(1+R974/S974))</f>
        <v>58.2213162749952</v>
      </c>
      <c r="U974" s="7" t="n">
        <f aca="false">E974*2/13+U973*11/13</f>
        <v>14955.6851304732</v>
      </c>
      <c r="V974" s="7" t="n">
        <f aca="false">E974*2/27+V973*25/27</f>
        <v>14883.760051097</v>
      </c>
      <c r="W974" s="7" t="n">
        <f aca="false">U974-V974</f>
        <v>71.925079376224</v>
      </c>
      <c r="X974" s="7" t="n">
        <f aca="false">W974*2/10+X973*8/10</f>
        <v>-25.6592398335553</v>
      </c>
      <c r="Y974" s="7" t="n">
        <f aca="false">W974-X974</f>
        <v>97.5843192097793</v>
      </c>
      <c r="Z974" s="8" t="s">
        <v>42</v>
      </c>
      <c r="AA974" s="7" t="str">
        <f aca="false">IFERROR(INDEX(02_轉折點45!B:B,MATCH(A974,02_轉折點45!A:A,0)),"")</f>
        <v/>
      </c>
      <c r="AB974" s="7" t="n">
        <f aca="false">COUNTIFS(05_訊號明細!A:A,A974,05_訊號明細!C:C,"TOP")</f>
        <v>0</v>
      </c>
      <c r="AC974" s="7" t="n">
        <f aca="false">COUNTIFS(05_訊號明細!A:A,A974,05_訊號明細!C:C,"BOTTOM")</f>
        <v>0</v>
      </c>
    </row>
    <row r="975" customFormat="false" ht="15" hidden="false" customHeight="false" outlineLevel="0" collapsed="false">
      <c r="A975" s="7" t="s">
        <v>1016</v>
      </c>
      <c r="B975" s="7" t="n">
        <v>15252.36</v>
      </c>
      <c r="C975" s="7" t="n">
        <v>15535.2</v>
      </c>
      <c r="D975" s="7" t="n">
        <v>15237.17</v>
      </c>
      <c r="E975" s="7" t="n">
        <v>15529.12</v>
      </c>
      <c r="F975" s="7" t="n">
        <v>4722</v>
      </c>
      <c r="G975" s="7" t="n">
        <f aca="false">AVERAGE(E971:E975)</f>
        <v>15296.242</v>
      </c>
      <c r="H975" s="7" t="n">
        <f aca="false">AVERAGE(E966:E975)</f>
        <v>14991.045</v>
      </c>
      <c r="I975" s="7" t="n">
        <f aca="false">AVERAGE(E956:E975)</f>
        <v>14824.04</v>
      </c>
      <c r="J975" s="7" t="n">
        <f aca="false">AVERAGE(E926:E975)</f>
        <v>14954.7238</v>
      </c>
      <c r="K975" s="7" t="n">
        <f aca="false">AVERAGE(E876:E975)</f>
        <v>15096.2281</v>
      </c>
      <c r="L975" s="7" t="n">
        <f aca="false">AVERAGE(E776:E975)</f>
        <v>14094.00155</v>
      </c>
      <c r="M975" s="7" t="n">
        <f aca="false">I975</f>
        <v>14824.04</v>
      </c>
      <c r="N975" s="7" t="n">
        <f aca="false">I975+2*STDEV(E956:E975)</f>
        <v>15642.8761830125</v>
      </c>
      <c r="O975" s="7" t="n">
        <f aca="false">I975-2*STDEV(E956:E975)</f>
        <v>14005.2038169875</v>
      </c>
      <c r="P975" s="7" t="n">
        <f aca="false">MAX(E975-E974,0)</f>
        <v>341.220000000001</v>
      </c>
      <c r="Q975" s="7" t="n">
        <f aca="false">MAX(E974-E975,0)</f>
        <v>0</v>
      </c>
      <c r="R975" s="7" t="n">
        <f aca="false">(R974*13+P975)/14</f>
        <v>101.259887950907</v>
      </c>
      <c r="S975" s="7" t="n">
        <f aca="false">(S974*13+Q975)/14</f>
        <v>55.1729014079984</v>
      </c>
      <c r="T975" s="7" t="n">
        <f aca="false">IF(S975=0,100,100-100/(1+R975/S975))</f>
        <v>64.7306030697856</v>
      </c>
      <c r="U975" s="7" t="n">
        <f aca="false">E975*2/13+U974*11/13</f>
        <v>15043.9058796312</v>
      </c>
      <c r="V975" s="7" t="n">
        <f aca="false">E975*2/27+V974*25/27</f>
        <v>14931.5644917564</v>
      </c>
      <c r="W975" s="7" t="n">
        <f aca="false">U975-V975</f>
        <v>112.341387874712</v>
      </c>
      <c r="X975" s="7" t="n">
        <f aca="false">W975*2/10+X974*8/10</f>
        <v>1.94088570809821</v>
      </c>
      <c r="Y975" s="7" t="n">
        <f aca="false">W975-X975</f>
        <v>110.400502166614</v>
      </c>
      <c r="Z975" s="8" t="s">
        <v>42</v>
      </c>
      <c r="AA975" s="7" t="str">
        <f aca="false">IFERROR(INDEX(02_轉折點45!B:B,MATCH(A975,02_轉折點45!A:A,0)),"")</f>
        <v/>
      </c>
      <c r="AB975" s="7" t="n">
        <f aca="false">COUNTIFS(05_訊號明細!A:A,A975,05_訊號明細!C:C,"TOP")</f>
        <v>1</v>
      </c>
      <c r="AC975" s="7" t="n">
        <f aca="false">COUNTIFS(05_訊號明細!A:A,A975,05_訊號明細!C:C,"BOTTOM")</f>
        <v>0</v>
      </c>
    </row>
    <row r="976" customFormat="false" ht="15" hidden="false" customHeight="false" outlineLevel="0" collapsed="false">
      <c r="A976" s="7" t="s">
        <v>1017</v>
      </c>
      <c r="B976" s="7" t="n">
        <v>15469.21</v>
      </c>
      <c r="C976" s="7" t="n">
        <v>15524.66</v>
      </c>
      <c r="D976" s="7" t="n">
        <v>15404.71</v>
      </c>
      <c r="E976" s="7" t="n">
        <v>15482.79</v>
      </c>
      <c r="F976" s="7" t="n">
        <v>4350</v>
      </c>
      <c r="G976" s="7" t="n">
        <f aca="false">AVERAGE(E972:E976)</f>
        <v>15361.814</v>
      </c>
      <c r="H976" s="7" t="n">
        <f aca="false">AVERAGE(E967:E976)</f>
        <v>15105.773</v>
      </c>
      <c r="I976" s="7" t="n">
        <f aca="false">AVERAGE(E957:E976)</f>
        <v>14839.543</v>
      </c>
      <c r="J976" s="7" t="n">
        <f aca="false">AVERAGE(E927:E976)</f>
        <v>14954.5624</v>
      </c>
      <c r="K976" s="7" t="n">
        <f aca="false">AVERAGE(E877:E976)</f>
        <v>15100.6328</v>
      </c>
      <c r="L976" s="7" t="n">
        <f aca="false">AVERAGE(E777:E976)</f>
        <v>14110.5825</v>
      </c>
      <c r="M976" s="7" t="n">
        <f aca="false">I976</f>
        <v>14839.543</v>
      </c>
      <c r="N976" s="7" t="n">
        <f aca="false">I976+2*STDEV(E957:E976)</f>
        <v>15697.0056320684</v>
      </c>
      <c r="O976" s="7" t="n">
        <f aca="false">I976-2*STDEV(E957:E976)</f>
        <v>13982.0803679316</v>
      </c>
      <c r="P976" s="7" t="n">
        <f aca="false">MAX(E976-E975,0)</f>
        <v>0</v>
      </c>
      <c r="Q976" s="7" t="n">
        <f aca="false">MAX(E975-E976,0)</f>
        <v>46.3299999999999</v>
      </c>
      <c r="R976" s="7" t="n">
        <f aca="false">(R975*13+P976)/14</f>
        <v>94.0270388115562</v>
      </c>
      <c r="S976" s="7" t="n">
        <f aca="false">(S975*13+Q976)/14</f>
        <v>54.5412655931414</v>
      </c>
      <c r="T976" s="7" t="n">
        <f aca="false">IF(S976=0,100,100-100/(1+R976/S976))</f>
        <v>63.2887608082462</v>
      </c>
      <c r="U976" s="7" t="n">
        <f aca="false">E976*2/13+U975*11/13</f>
        <v>15111.4265135341</v>
      </c>
      <c r="V976" s="7" t="n">
        <f aca="false">E976*2/27+V975*25/27</f>
        <v>14972.3960108856</v>
      </c>
      <c r="W976" s="7" t="n">
        <f aca="false">U976-V976</f>
        <v>139.030502648458</v>
      </c>
      <c r="X976" s="7" t="n">
        <f aca="false">W976*2/10+X975*8/10</f>
        <v>29.3588090961703</v>
      </c>
      <c r="Y976" s="7" t="n">
        <f aca="false">W976-X976</f>
        <v>109.671693552288</v>
      </c>
      <c r="Z976" s="8" t="s">
        <v>42</v>
      </c>
      <c r="AA976" s="7" t="str">
        <f aca="false">IFERROR(INDEX(02_轉折點45!B:B,MATCH(A976,02_轉折點45!A:A,0)),"")</f>
        <v/>
      </c>
      <c r="AB976" s="7" t="n">
        <f aca="false">COUNTIFS(05_訊號明細!A:A,A976,05_訊號明細!C:C,"TOP")</f>
        <v>0</v>
      </c>
      <c r="AC976" s="7" t="n">
        <f aca="false">COUNTIFS(05_訊號明細!A:A,A976,05_訊號明細!C:C,"BOTTOM")</f>
        <v>0</v>
      </c>
    </row>
    <row r="977" customFormat="false" ht="15" hidden="false" customHeight="false" outlineLevel="0" collapsed="false">
      <c r="A977" s="7" t="s">
        <v>1018</v>
      </c>
      <c r="B977" s="7" t="n">
        <v>15744.36</v>
      </c>
      <c r="C977" s="7" t="n">
        <v>15850.34</v>
      </c>
      <c r="D977" s="7" t="n">
        <v>15726.12</v>
      </c>
      <c r="E977" s="7" t="n">
        <v>15812.47</v>
      </c>
      <c r="F977" s="7" t="n">
        <v>5332</v>
      </c>
      <c r="G977" s="7" t="n">
        <f aca="false">AVERAGE(E973:E977)</f>
        <v>15465.104</v>
      </c>
      <c r="H977" s="7" t="n">
        <f aca="false">AVERAGE(E968:E977)</f>
        <v>15246.042</v>
      </c>
      <c r="I977" s="7" t="n">
        <f aca="false">AVERAGE(E958:E977)</f>
        <v>14874.066</v>
      </c>
      <c r="J977" s="7" t="n">
        <f aca="false">AVERAGE(E928:E977)</f>
        <v>14960.647</v>
      </c>
      <c r="K977" s="7" t="n">
        <f aca="false">AVERAGE(E878:E977)</f>
        <v>15109.8427</v>
      </c>
      <c r="L977" s="7" t="n">
        <f aca="false">AVERAGE(E778:E977)</f>
        <v>14130.0829</v>
      </c>
      <c r="M977" s="7" t="n">
        <f aca="false">I977</f>
        <v>14874.066</v>
      </c>
      <c r="N977" s="7" t="n">
        <f aca="false">I977+2*STDEV(E958:E977)</f>
        <v>15829.4235110678</v>
      </c>
      <c r="O977" s="7" t="n">
        <f aca="false">I977-2*STDEV(E958:E977)</f>
        <v>13918.7084889322</v>
      </c>
      <c r="P977" s="7" t="n">
        <f aca="false">MAX(E977-E976,0)</f>
        <v>329.679999999999</v>
      </c>
      <c r="Q977" s="7" t="n">
        <f aca="false">MAX(E976-E977,0)</f>
        <v>0</v>
      </c>
      <c r="R977" s="7" t="n">
        <f aca="false">(R976*13+P977)/14</f>
        <v>110.859393182159</v>
      </c>
      <c r="S977" s="7" t="n">
        <f aca="false">(S976*13+Q977)/14</f>
        <v>50.645460907917</v>
      </c>
      <c r="T977" s="7" t="n">
        <f aca="false">IF(S977=0,100,100-100/(1+R977/S977))</f>
        <v>68.6415240004672</v>
      </c>
      <c r="U977" s="7" t="n">
        <f aca="false">E977*2/13+U976*11/13</f>
        <v>15219.2793576057</v>
      </c>
      <c r="V977" s="7" t="n">
        <f aca="false">E977*2/27+V976*25/27</f>
        <v>15034.623713783</v>
      </c>
      <c r="W977" s="7" t="n">
        <f aca="false">U977-V977</f>
        <v>184.655643822778</v>
      </c>
      <c r="X977" s="7" t="n">
        <f aca="false">W977*2/10+X976*8/10</f>
        <v>60.4181760414918</v>
      </c>
      <c r="Y977" s="7" t="n">
        <f aca="false">W977-X977</f>
        <v>124.237467781286</v>
      </c>
      <c r="Z977" s="8" t="s">
        <v>42</v>
      </c>
      <c r="AA977" s="7" t="str">
        <f aca="false">IFERROR(INDEX(02_轉折點45!B:B,MATCH(A977,02_轉折點45!A:A,0)),"")</f>
        <v/>
      </c>
      <c r="AB977" s="7" t="n">
        <f aca="false">COUNTIFS(05_訊號明細!A:A,A977,05_訊號明細!C:C,"TOP")</f>
        <v>0</v>
      </c>
      <c r="AC977" s="7" t="n">
        <f aca="false">COUNTIFS(05_訊號明細!A:A,A977,05_訊號明細!C:C,"BOTTOM")</f>
        <v>0</v>
      </c>
    </row>
    <row r="978" customFormat="false" ht="15" hidden="false" customHeight="false" outlineLevel="0" collapsed="false">
      <c r="A978" s="7" t="s">
        <v>1019</v>
      </c>
      <c r="B978" s="7" t="n">
        <v>15881.72</v>
      </c>
      <c r="C978" s="7" t="n">
        <v>15904.63</v>
      </c>
      <c r="D978" s="7" t="n">
        <v>15765.31</v>
      </c>
      <c r="E978" s="7" t="n">
        <v>15817.18</v>
      </c>
      <c r="F978" s="7" t="n">
        <v>5064</v>
      </c>
      <c r="G978" s="7" t="n">
        <f aca="false">AVERAGE(E974:E978)</f>
        <v>15565.892</v>
      </c>
      <c r="H978" s="7" t="n">
        <f aca="false">AVERAGE(E969:E978)</f>
        <v>15361.269</v>
      </c>
      <c r="I978" s="7" t="n">
        <f aca="false">AVERAGE(E959:E978)</f>
        <v>14919.462</v>
      </c>
      <c r="J978" s="7" t="n">
        <f aca="false">AVERAGE(E929:E978)</f>
        <v>14969.5618</v>
      </c>
      <c r="K978" s="7" t="n">
        <f aca="false">AVERAGE(E879:E978)</f>
        <v>15121.1243</v>
      </c>
      <c r="L978" s="7" t="n">
        <f aca="false">AVERAGE(E779:E978)</f>
        <v>14148.65915</v>
      </c>
      <c r="M978" s="7" t="n">
        <f aca="false">I978</f>
        <v>14919.462</v>
      </c>
      <c r="N978" s="7" t="n">
        <f aca="false">I978+2*STDEV(E959:E978)</f>
        <v>15963.9837832321</v>
      </c>
      <c r="O978" s="7" t="n">
        <f aca="false">I978-2*STDEV(E959:E978)</f>
        <v>13874.9402167679</v>
      </c>
      <c r="P978" s="7" t="n">
        <f aca="false">MAX(E978-E977,0)</f>
        <v>4.71000000000095</v>
      </c>
      <c r="Q978" s="7" t="n">
        <f aca="false">MAX(E977-E978,0)</f>
        <v>0</v>
      </c>
      <c r="R978" s="7" t="n">
        <f aca="false">(R977*13+P978)/14</f>
        <v>103.277293669148</v>
      </c>
      <c r="S978" s="7" t="n">
        <f aca="false">(S977*13+Q978)/14</f>
        <v>47.0279279859229</v>
      </c>
      <c r="T978" s="7" t="n">
        <f aca="false">IF(S978=0,100,100-100/(1+R978/S978))</f>
        <v>68.7117137594559</v>
      </c>
      <c r="U978" s="7" t="n">
        <f aca="false">E978*2/13+U977*11/13</f>
        <v>15311.2640718202</v>
      </c>
      <c r="V978" s="7" t="n">
        <f aca="false">E978*2/27+V977*25/27</f>
        <v>15092.5908460953</v>
      </c>
      <c r="W978" s="7" t="n">
        <f aca="false">U978-V978</f>
        <v>218.673225724906</v>
      </c>
      <c r="X978" s="7" t="n">
        <f aca="false">W978*2/10+X977*8/10</f>
        <v>92.0691859781746</v>
      </c>
      <c r="Y978" s="7" t="n">
        <f aca="false">W978-X978</f>
        <v>126.604039746731</v>
      </c>
      <c r="Z978" s="8" t="s">
        <v>42</v>
      </c>
      <c r="AA978" s="7" t="str">
        <f aca="false">IFERROR(INDEX(02_轉折點45!B:B,MATCH(A978,02_轉折點45!A:A,0)),"")</f>
        <v/>
      </c>
      <c r="AB978" s="7" t="n">
        <f aca="false">COUNTIFS(05_訊號明細!A:A,A978,05_訊號明細!C:C,"TOP")</f>
        <v>0</v>
      </c>
      <c r="AC978" s="7" t="n">
        <f aca="false">COUNTIFS(05_訊號明細!A:A,A978,05_訊號明細!C:C,"BOTTOM")</f>
        <v>0</v>
      </c>
    </row>
    <row r="979" customFormat="false" ht="15" hidden="false" customHeight="false" outlineLevel="0" collapsed="false">
      <c r="A979" s="7" t="s">
        <v>1020</v>
      </c>
      <c r="B979" s="7" t="n">
        <v>15765.2</v>
      </c>
      <c r="C979" s="7" t="n">
        <v>15842.63</v>
      </c>
      <c r="D979" s="7" t="n">
        <v>15738.22</v>
      </c>
      <c r="E979" s="7" t="n">
        <v>15833.17</v>
      </c>
      <c r="F979" s="7" t="n">
        <v>4545</v>
      </c>
      <c r="G979" s="7" t="n">
        <f aca="false">AVERAGE(E975:E979)</f>
        <v>15694.946</v>
      </c>
      <c r="H979" s="7" t="n">
        <f aca="false">AVERAGE(E970:E979)</f>
        <v>15452.631</v>
      </c>
      <c r="I979" s="7" t="n">
        <f aca="false">AVERAGE(E960:E979)</f>
        <v>14971.964</v>
      </c>
      <c r="J979" s="7" t="n">
        <f aca="false">AVERAGE(E930:E979)</f>
        <v>14981.0548</v>
      </c>
      <c r="K979" s="7" t="n">
        <f aca="false">AVERAGE(E880:E979)</f>
        <v>15129.9969</v>
      </c>
      <c r="L979" s="7" t="n">
        <f aca="false">AVERAGE(E780:E979)</f>
        <v>14166.0095</v>
      </c>
      <c r="M979" s="7" t="n">
        <f aca="false">I979</f>
        <v>14971.964</v>
      </c>
      <c r="N979" s="7" t="n">
        <f aca="false">I979+2*STDEV(E960:E979)</f>
        <v>16090.5645386695</v>
      </c>
      <c r="O979" s="7" t="n">
        <f aca="false">I979-2*STDEV(E960:E979)</f>
        <v>13853.3634613306</v>
      </c>
      <c r="P979" s="7" t="n">
        <f aca="false">MAX(E979-E978,0)</f>
        <v>15.9899999999998</v>
      </c>
      <c r="Q979" s="7" t="n">
        <f aca="false">MAX(E978-E979,0)</f>
        <v>0</v>
      </c>
      <c r="R979" s="7" t="n">
        <f aca="false">(R978*13+P979)/14</f>
        <v>97.0424869784945</v>
      </c>
      <c r="S979" s="7" t="n">
        <f aca="false">(S978*13+Q979)/14</f>
        <v>43.6687902726427</v>
      </c>
      <c r="T979" s="7" t="n">
        <f aca="false">IF(S979=0,100,100-100/(1+R979/S979))</f>
        <v>68.9656784262544</v>
      </c>
      <c r="U979" s="7" t="n">
        <f aca="false">E979*2/13+U978*11/13</f>
        <v>15391.5572915402</v>
      </c>
      <c r="V979" s="7" t="n">
        <f aca="false">E979*2/27+V978*25/27</f>
        <v>15147.4485611994</v>
      </c>
      <c r="W979" s="7" t="n">
        <f aca="false">U979-V979</f>
        <v>244.108730340819</v>
      </c>
      <c r="X979" s="7" t="n">
        <f aca="false">W979*2/10+X978*8/10</f>
        <v>122.477094850703</v>
      </c>
      <c r="Y979" s="7" t="n">
        <f aca="false">W979-X979</f>
        <v>121.631635490115</v>
      </c>
      <c r="Z979" s="8" t="s">
        <v>42</v>
      </c>
      <c r="AA979" s="7" t="str">
        <f aca="false">IFERROR(INDEX(02_轉折點45!B:B,MATCH(A979,02_轉折點45!A:A,0)),"")</f>
        <v/>
      </c>
      <c r="AB979" s="7" t="n">
        <f aca="false">COUNTIFS(05_訊號明細!A:A,A979,05_訊號明細!C:C,"TOP")</f>
        <v>0</v>
      </c>
      <c r="AC979" s="7" t="n">
        <f aca="false">COUNTIFS(05_訊號明細!A:A,A979,05_訊號明細!C:C,"BOTTOM")</f>
        <v>1</v>
      </c>
    </row>
    <row r="980" customFormat="false" ht="15" hidden="false" customHeight="false" outlineLevel="0" collapsed="false">
      <c r="A980" s="7" t="s">
        <v>1021</v>
      </c>
      <c r="B980" s="7" t="n">
        <v>15803.98</v>
      </c>
      <c r="C980" s="7" t="n">
        <v>15876.87</v>
      </c>
      <c r="D980" s="7" t="n">
        <v>15766.94</v>
      </c>
      <c r="E980" s="7" t="n">
        <v>15837.99</v>
      </c>
      <c r="F980" s="7" t="n">
        <v>4409</v>
      </c>
      <c r="G980" s="7" t="n">
        <f aca="false">AVERAGE(E976:E980)</f>
        <v>15756.72</v>
      </c>
      <c r="H980" s="7" t="n">
        <f aca="false">AVERAGE(E971:E980)</f>
        <v>15526.481</v>
      </c>
      <c r="I980" s="7" t="n">
        <f aca="false">AVERAGE(E961:E980)</f>
        <v>15035.8195</v>
      </c>
      <c r="J980" s="7" t="n">
        <f aca="false">AVERAGE(E931:E980)</f>
        <v>14992.21</v>
      </c>
      <c r="K980" s="7" t="n">
        <f aca="false">AVERAGE(E881:E980)</f>
        <v>15138.7311</v>
      </c>
      <c r="L980" s="7" t="n">
        <f aca="false">AVERAGE(E781:E980)</f>
        <v>14181.18375</v>
      </c>
      <c r="M980" s="7" t="n">
        <f aca="false">I980</f>
        <v>15035.8195</v>
      </c>
      <c r="N980" s="7" t="n">
        <f aca="false">I980+2*STDEV(E961:E980)</f>
        <v>16200.4725555713</v>
      </c>
      <c r="O980" s="7" t="n">
        <f aca="false">I980-2*STDEV(E961:E980)</f>
        <v>13871.1664444287</v>
      </c>
      <c r="P980" s="7" t="n">
        <f aca="false">MAX(E980-E979,0)</f>
        <v>4.81999999999971</v>
      </c>
      <c r="Q980" s="7" t="n">
        <f aca="false">MAX(E979-E980,0)</f>
        <v>0</v>
      </c>
      <c r="R980" s="7" t="n">
        <f aca="false">(R979*13+P980)/14</f>
        <v>90.4551664800306</v>
      </c>
      <c r="S980" s="7" t="n">
        <f aca="false">(S979*13+Q980)/14</f>
        <v>40.5495909674539</v>
      </c>
      <c r="T980" s="7" t="n">
        <f aca="false">IF(S980=0,100,100-100/(1+R980/S980))</f>
        <v>69.0472378579771</v>
      </c>
      <c r="U980" s="7" t="n">
        <f aca="false">E980*2/13+U979*11/13</f>
        <v>15460.2392466879</v>
      </c>
      <c r="V980" s="7" t="n">
        <f aca="false">E980*2/27+V979*25/27</f>
        <v>15198.5997788883</v>
      </c>
      <c r="W980" s="7" t="n">
        <f aca="false">U980-V980</f>
        <v>261.639467799543</v>
      </c>
      <c r="X980" s="7" t="n">
        <f aca="false">W980*2/10+X979*8/10</f>
        <v>150.309569440471</v>
      </c>
      <c r="Y980" s="7" t="n">
        <f aca="false">W980-X980</f>
        <v>111.329898359072</v>
      </c>
      <c r="Z980" s="8" t="s">
        <v>42</v>
      </c>
      <c r="AA980" s="7" t="str">
        <f aca="false">IFERROR(INDEX(02_轉折點45!B:B,MATCH(A980,02_轉折點45!A:A,0)),"")</f>
        <v/>
      </c>
      <c r="AB980" s="7" t="n">
        <f aca="false">COUNTIFS(05_訊號明細!A:A,A980,05_訊號明細!C:C,"TOP")</f>
        <v>0</v>
      </c>
      <c r="AC980" s="7" t="n">
        <f aca="false">COUNTIFS(05_訊號明細!A:A,A980,05_訊號明細!C:C,"BOTTOM")</f>
        <v>0</v>
      </c>
    </row>
    <row r="981" customFormat="false" ht="15" hidden="false" customHeight="false" outlineLevel="0" collapsed="false">
      <c r="A981" s="7" t="s">
        <v>1022</v>
      </c>
      <c r="B981" s="7" t="n">
        <v>15845.2</v>
      </c>
      <c r="C981" s="7" t="n">
        <v>16056.76</v>
      </c>
      <c r="D981" s="7" t="n">
        <v>15844.83</v>
      </c>
      <c r="E981" s="7" t="n">
        <v>16027.06</v>
      </c>
      <c r="F981" s="7" t="n">
        <v>4562</v>
      </c>
      <c r="G981" s="7" t="n">
        <f aca="false">AVERAGE(E977:E981)</f>
        <v>15865.574</v>
      </c>
      <c r="H981" s="7" t="n">
        <f aca="false">AVERAGE(E972:E981)</f>
        <v>15613.694</v>
      </c>
      <c r="I981" s="7" t="n">
        <f aca="false">AVERAGE(E962:E981)</f>
        <v>15106.93</v>
      </c>
      <c r="J981" s="7" t="n">
        <f aca="false">AVERAGE(E932:E981)</f>
        <v>15003.5138</v>
      </c>
      <c r="K981" s="7" t="n">
        <f aca="false">AVERAGE(E882:E981)</f>
        <v>15149.6022</v>
      </c>
      <c r="L981" s="7" t="n">
        <f aca="false">AVERAGE(E782:E981)</f>
        <v>14198.45225</v>
      </c>
      <c r="M981" s="7" t="n">
        <f aca="false">I981</f>
        <v>15106.93</v>
      </c>
      <c r="N981" s="7" t="n">
        <f aca="false">I981+2*STDEV(E962:E981)</f>
        <v>16332.8490725415</v>
      </c>
      <c r="O981" s="7" t="n">
        <f aca="false">I981-2*STDEV(E962:E981)</f>
        <v>13881.0109274585</v>
      </c>
      <c r="P981" s="7" t="n">
        <f aca="false">MAX(E981-E980,0)</f>
        <v>189.07</v>
      </c>
      <c r="Q981" s="7" t="n">
        <f aca="false">MAX(E980-E981,0)</f>
        <v>0</v>
      </c>
      <c r="R981" s="7" t="n">
        <f aca="false">(R980*13+P981)/14</f>
        <v>97.4990831600284</v>
      </c>
      <c r="S981" s="7" t="n">
        <f aca="false">(S980*13+Q981)/14</f>
        <v>37.6531916126358</v>
      </c>
      <c r="T981" s="7" t="n">
        <f aca="false">IF(S981=0,100,100-100/(1+R981/S981))</f>
        <v>72.140171761096</v>
      </c>
      <c r="U981" s="7" t="n">
        <f aca="false">E981*2/13+U980*11/13</f>
        <v>15547.4424395051</v>
      </c>
      <c r="V981" s="7" t="n">
        <f aca="false">E981*2/27+V980*25/27</f>
        <v>15259.9672026744</v>
      </c>
      <c r="W981" s="7" t="n">
        <f aca="false">U981-V981</f>
        <v>287.475236830747</v>
      </c>
      <c r="X981" s="7" t="n">
        <f aca="false">W981*2/10+X980*8/10</f>
        <v>177.742702918527</v>
      </c>
      <c r="Y981" s="7" t="n">
        <f aca="false">W981-X981</f>
        <v>109.732533912221</v>
      </c>
      <c r="Z981" s="8" t="s">
        <v>42</v>
      </c>
      <c r="AA981" s="7" t="str">
        <f aca="false">IFERROR(INDEX(02_轉折點45!B:B,MATCH(A981,02_轉折點45!A:A,0)),"")</f>
        <v/>
      </c>
      <c r="AB981" s="7" t="n">
        <f aca="false">COUNTIFS(05_訊號明細!A:A,A981,05_訊號明細!C:C,"TOP")</f>
        <v>1</v>
      </c>
      <c r="AC981" s="7" t="n">
        <f aca="false">COUNTIFS(05_訊號明細!A:A,A981,05_訊號明細!C:C,"BOTTOM")</f>
        <v>0</v>
      </c>
    </row>
    <row r="982" customFormat="false" ht="15" hidden="false" customHeight="false" outlineLevel="0" collapsed="false">
      <c r="A982" s="7" t="s">
        <v>1023</v>
      </c>
      <c r="B982" s="7" t="n">
        <v>15951.55</v>
      </c>
      <c r="C982" s="7" t="n">
        <v>15968.09</v>
      </c>
      <c r="D982" s="7" t="n">
        <v>15866.82</v>
      </c>
      <c r="E982" s="7" t="n">
        <v>15933.62</v>
      </c>
      <c r="F982" s="7" t="n">
        <v>4129</v>
      </c>
      <c r="G982" s="7" t="n">
        <f aca="false">AVERAGE(E978:E982)</f>
        <v>15889.804</v>
      </c>
      <c r="H982" s="7" t="n">
        <f aca="false">AVERAGE(E973:E982)</f>
        <v>15677.454</v>
      </c>
      <c r="I982" s="7" t="n">
        <f aca="false">AVERAGE(E963:E982)</f>
        <v>15166.318</v>
      </c>
      <c r="J982" s="7" t="n">
        <f aca="false">AVERAGE(E933:E982)</f>
        <v>15016.3914</v>
      </c>
      <c r="K982" s="7" t="n">
        <f aca="false">AVERAGE(E883:E982)</f>
        <v>15157.1463</v>
      </c>
      <c r="L982" s="7" t="n">
        <f aca="false">AVERAGE(E783:E982)</f>
        <v>14215.7978</v>
      </c>
      <c r="M982" s="7" t="n">
        <f aca="false">I982</f>
        <v>15166.318</v>
      </c>
      <c r="N982" s="7" t="n">
        <f aca="false">I982+2*STDEV(E963:E982)</f>
        <v>16432.9899418531</v>
      </c>
      <c r="O982" s="7" t="n">
        <f aca="false">I982-2*STDEV(E963:E982)</f>
        <v>13899.6460581469</v>
      </c>
      <c r="P982" s="7" t="n">
        <f aca="false">MAX(E982-E981,0)</f>
        <v>0</v>
      </c>
      <c r="Q982" s="7" t="n">
        <f aca="false">MAX(E981-E982,0)</f>
        <v>93.4399999999987</v>
      </c>
      <c r="R982" s="7" t="n">
        <f aca="false">(R981*13+P982)/14</f>
        <v>90.5348629343121</v>
      </c>
      <c r="S982" s="7" t="n">
        <f aca="false">(S981*13+Q982)/14</f>
        <v>41.6379636403046</v>
      </c>
      <c r="T982" s="7" t="n">
        <f aca="false">IF(S982=0,100,100-100/(1+R982/S982))</f>
        <v>68.4973343467098</v>
      </c>
      <c r="U982" s="7" t="n">
        <f aca="false">E982*2/13+U981*11/13</f>
        <v>15606.8543718889</v>
      </c>
      <c r="V982" s="7" t="n">
        <f aca="false">E982*2/27+V981*25/27</f>
        <v>15309.8674098837</v>
      </c>
      <c r="W982" s="7" t="n">
        <f aca="false">U982-V982</f>
        <v>296.986962005269</v>
      </c>
      <c r="X982" s="7" t="n">
        <f aca="false">W982*2/10+X981*8/10</f>
        <v>201.591554735875</v>
      </c>
      <c r="Y982" s="7" t="n">
        <f aca="false">W982-X982</f>
        <v>95.3954072693937</v>
      </c>
      <c r="Z982" s="8" t="s">
        <v>42</v>
      </c>
      <c r="AA982" s="7" t="str">
        <f aca="false">IFERROR(INDEX(02_轉折點45!B:B,MATCH(A982,02_轉折點45!A:A,0)),"")</f>
        <v/>
      </c>
      <c r="AB982" s="7" t="n">
        <f aca="false">COUNTIFS(05_訊號明細!A:A,A982,05_訊號明細!C:C,"TOP")</f>
        <v>0</v>
      </c>
      <c r="AC982" s="7" t="n">
        <f aca="false">COUNTIFS(05_訊號明細!A:A,A982,05_訊號明細!C:C,"BOTTOM")</f>
        <v>0</v>
      </c>
    </row>
    <row r="983" customFormat="false" ht="15" hidden="false" customHeight="false" outlineLevel="0" collapsed="false">
      <c r="A983" s="7" t="s">
        <v>1024</v>
      </c>
      <c r="B983" s="7" t="n">
        <v>16025.74</v>
      </c>
      <c r="C983" s="7" t="n">
        <v>16119.31</v>
      </c>
      <c r="D983" s="7" t="n">
        <v>15964.04</v>
      </c>
      <c r="E983" s="7" t="n">
        <v>16001.39</v>
      </c>
      <c r="F983" s="7" t="n">
        <v>3855</v>
      </c>
      <c r="G983" s="7" t="n">
        <f aca="false">AVERAGE(E979:E983)</f>
        <v>15926.646</v>
      </c>
      <c r="H983" s="7" t="n">
        <f aca="false">AVERAGE(E974:E983)</f>
        <v>15746.269</v>
      </c>
      <c r="I983" s="7" t="n">
        <f aca="false">AVERAGE(E964:E983)</f>
        <v>15247.3055</v>
      </c>
      <c r="J983" s="7" t="n">
        <f aca="false">AVERAGE(E934:E983)</f>
        <v>15029.4486</v>
      </c>
      <c r="K983" s="7" t="n">
        <f aca="false">AVERAGE(E884:E983)</f>
        <v>15165.0733</v>
      </c>
      <c r="L983" s="7" t="n">
        <f aca="false">AVERAGE(E784:E983)</f>
        <v>14232.1634</v>
      </c>
      <c r="M983" s="7" t="n">
        <f aca="false">I983</f>
        <v>15247.3055</v>
      </c>
      <c r="N983" s="7" t="n">
        <f aca="false">I983+2*STDEV(E964:E983)</f>
        <v>16509.8526970496</v>
      </c>
      <c r="O983" s="7" t="n">
        <f aca="false">I983-2*STDEV(E964:E983)</f>
        <v>13984.7583029504</v>
      </c>
      <c r="P983" s="7" t="n">
        <f aca="false">MAX(E983-E982,0)</f>
        <v>67.7699999999986</v>
      </c>
      <c r="Q983" s="7" t="n">
        <f aca="false">MAX(E982-E983,0)</f>
        <v>0</v>
      </c>
      <c r="R983" s="7" t="n">
        <f aca="false">(R982*13+P983)/14</f>
        <v>88.9088012961468</v>
      </c>
      <c r="S983" s="7" t="n">
        <f aca="false">(S982*13+Q983)/14</f>
        <v>38.6638233802828</v>
      </c>
      <c r="T983" s="7" t="n">
        <f aca="false">IF(S983=0,100,100-100/(1+R983/S983))</f>
        <v>69.6926958441529</v>
      </c>
      <c r="U983" s="7" t="n">
        <f aca="false">E983*2/13+U982*11/13</f>
        <v>15667.5521608291</v>
      </c>
      <c r="V983" s="7" t="n">
        <f aca="false">E983*2/27+V982*25/27</f>
        <v>15361.0913054478</v>
      </c>
      <c r="W983" s="7" t="n">
        <f aca="false">U983-V983</f>
        <v>306.46085538126</v>
      </c>
      <c r="X983" s="7" t="n">
        <f aca="false">W983*2/10+X982*8/10</f>
        <v>222.565414864952</v>
      </c>
      <c r="Y983" s="7" t="n">
        <f aca="false">W983-X983</f>
        <v>83.8954405163076</v>
      </c>
      <c r="Z983" s="8" t="s">
        <v>42</v>
      </c>
      <c r="AA983" s="7" t="str">
        <f aca="false">IFERROR(INDEX(02_轉折點45!B:B,MATCH(A983,02_轉折點45!A:A,0)),"")</f>
        <v/>
      </c>
      <c r="AB983" s="7" t="n">
        <f aca="false">COUNTIFS(05_訊號明細!A:A,A983,05_訊號明細!C:C,"TOP")</f>
        <v>0</v>
      </c>
      <c r="AC983" s="7" t="n">
        <f aca="false">COUNTIFS(05_訊號明細!A:A,A983,05_訊號明細!C:C,"BOTTOM")</f>
        <v>0</v>
      </c>
    </row>
    <row r="984" customFormat="false" ht="15" hidden="false" customHeight="false" outlineLevel="0" collapsed="false">
      <c r="A984" s="7" t="s">
        <v>1025</v>
      </c>
      <c r="B984" s="7" t="n">
        <v>15974.85</v>
      </c>
      <c r="C984" s="7" t="n">
        <v>16007.43</v>
      </c>
      <c r="D984" s="7" t="n">
        <v>15940.62</v>
      </c>
      <c r="E984" s="7" t="n">
        <v>15982.01</v>
      </c>
      <c r="F984" s="7" t="n">
        <v>2542</v>
      </c>
      <c r="G984" s="7" t="n">
        <f aca="false">AVERAGE(E980:E984)</f>
        <v>15956.414</v>
      </c>
      <c r="H984" s="7" t="n">
        <f aca="false">AVERAGE(E975:E984)</f>
        <v>15825.68</v>
      </c>
      <c r="I984" s="7" t="n">
        <f aca="false">AVERAGE(E965:E984)</f>
        <v>15340.9275</v>
      </c>
      <c r="J984" s="7" t="n">
        <f aca="false">AVERAGE(E935:E984)</f>
        <v>15039.611</v>
      </c>
      <c r="K984" s="7" t="n">
        <f aca="false">AVERAGE(E885:E984)</f>
        <v>15172.8556</v>
      </c>
      <c r="L984" s="7" t="n">
        <f aca="false">AVERAGE(E785:E984)</f>
        <v>14249.59655</v>
      </c>
      <c r="M984" s="7" t="n">
        <f aca="false">I984</f>
        <v>15340.9275</v>
      </c>
      <c r="N984" s="7" t="n">
        <f aca="false">I984+2*STDEV(E965:E984)</f>
        <v>16523.4019638947</v>
      </c>
      <c r="O984" s="7" t="n">
        <f aca="false">I984-2*STDEV(E965:E984)</f>
        <v>14158.4530361053</v>
      </c>
      <c r="P984" s="7" t="n">
        <f aca="false">MAX(E984-E983,0)</f>
        <v>0</v>
      </c>
      <c r="Q984" s="7" t="n">
        <f aca="false">MAX(E983-E984,0)</f>
        <v>19.3799999999992</v>
      </c>
      <c r="R984" s="7" t="n">
        <f aca="false">(R983*13+P984)/14</f>
        <v>82.5581726321363</v>
      </c>
      <c r="S984" s="7" t="n">
        <f aca="false">(S983*13+Q984)/14</f>
        <v>37.2864074245483</v>
      </c>
      <c r="T984" s="7" t="n">
        <f aca="false">IF(S984=0,100,100-100/(1+R984/S984))</f>
        <v>68.8876982113731</v>
      </c>
      <c r="U984" s="7" t="n">
        <f aca="false">E984*2/13+U983*11/13</f>
        <v>15715.9302899323</v>
      </c>
      <c r="V984" s="7" t="n">
        <f aca="false">E984*2/27+V983*25/27</f>
        <v>15407.0852828221</v>
      </c>
      <c r="W984" s="7" t="n">
        <f aca="false">U984-V984</f>
        <v>308.845007110242</v>
      </c>
      <c r="X984" s="7" t="n">
        <f aca="false">W984*2/10+X983*8/10</f>
        <v>239.82133331401</v>
      </c>
      <c r="Y984" s="7" t="n">
        <f aca="false">W984-X984</f>
        <v>69.0236737962318</v>
      </c>
      <c r="Z984" s="8" t="s">
        <v>42</v>
      </c>
      <c r="AA984" s="7" t="str">
        <f aca="false">IFERROR(INDEX(02_轉折點45!B:B,MATCH(A984,02_轉折點45!A:A,0)),"")</f>
        <v/>
      </c>
      <c r="AB984" s="7" t="n">
        <f aca="false">COUNTIFS(05_訊號明細!A:A,A984,05_訊號明細!C:C,"TOP")</f>
        <v>0</v>
      </c>
      <c r="AC984" s="7" t="n">
        <f aca="false">COUNTIFS(05_訊號明細!A:A,A984,05_訊號明細!C:C,"BOTTOM")</f>
        <v>0</v>
      </c>
    </row>
    <row r="985" customFormat="false" ht="15" hidden="false" customHeight="false" outlineLevel="0" collapsed="false">
      <c r="A985" s="7" t="s">
        <v>1026</v>
      </c>
      <c r="B985" s="7" t="n">
        <v>15969.72</v>
      </c>
      <c r="C985" s="7" t="n">
        <v>16045.3</v>
      </c>
      <c r="D985" s="7" t="n">
        <v>15932.19</v>
      </c>
      <c r="E985" s="7" t="n">
        <v>15961.98</v>
      </c>
      <c r="F985" s="7" t="n">
        <v>4206</v>
      </c>
      <c r="G985" s="7" t="n">
        <f aca="false">AVERAGE(E981:E985)</f>
        <v>15981.212</v>
      </c>
      <c r="H985" s="7" t="n">
        <f aca="false">AVERAGE(E976:E985)</f>
        <v>15868.966</v>
      </c>
      <c r="I985" s="7" t="n">
        <f aca="false">AVERAGE(E966:E985)</f>
        <v>15430.0055</v>
      </c>
      <c r="J985" s="7" t="n">
        <f aca="false">AVERAGE(E936:E985)</f>
        <v>15054.8026</v>
      </c>
      <c r="K985" s="7" t="n">
        <f aca="false">AVERAGE(E886:E985)</f>
        <v>15181.5809</v>
      </c>
      <c r="L985" s="7" t="n">
        <f aca="false">AVERAGE(E786:E985)</f>
        <v>14267.5006</v>
      </c>
      <c r="M985" s="7" t="n">
        <f aca="false">I985</f>
        <v>15430.0055</v>
      </c>
      <c r="N985" s="7" t="n">
        <f aca="false">I985+2*STDEV(E966:E985)</f>
        <v>16508.2007340438</v>
      </c>
      <c r="O985" s="7" t="n">
        <f aca="false">I985-2*STDEV(E966:E985)</f>
        <v>14351.8102659562</v>
      </c>
      <c r="P985" s="7" t="n">
        <f aca="false">MAX(E985-E984,0)</f>
        <v>0</v>
      </c>
      <c r="Q985" s="7" t="n">
        <f aca="false">MAX(E984-E985,0)</f>
        <v>20.0300000000007</v>
      </c>
      <c r="R985" s="7" t="n">
        <f aca="false">(R984*13+P985)/14</f>
        <v>76.6611603012694</v>
      </c>
      <c r="S985" s="7" t="n">
        <f aca="false">(S984*13+Q985)/14</f>
        <v>36.0538068942235</v>
      </c>
      <c r="T985" s="7" t="n">
        <f aca="false">IF(S985=0,100,100-100/(1+R985/S985))</f>
        <v>68.0132924745551</v>
      </c>
      <c r="U985" s="7" t="n">
        <f aca="false">E985*2/13+U984*11/13</f>
        <v>15753.7840914812</v>
      </c>
      <c r="V985" s="7" t="n">
        <f aca="false">E985*2/27+V984*25/27</f>
        <v>15448.1885952056</v>
      </c>
      <c r="W985" s="7" t="n">
        <f aca="false">U985-V985</f>
        <v>305.595496275566</v>
      </c>
      <c r="X985" s="7" t="n">
        <f aca="false">W985*2/10+X984*8/10</f>
        <v>252.976165906321</v>
      </c>
      <c r="Y985" s="7" t="n">
        <f aca="false">W985-X985</f>
        <v>52.6193303692449</v>
      </c>
      <c r="Z985" s="8" t="s">
        <v>42</v>
      </c>
      <c r="AA985" s="7" t="str">
        <f aca="false">IFERROR(INDEX(02_轉折點45!B:B,MATCH(A985,02_轉折點45!A:A,0)),"")</f>
        <v/>
      </c>
      <c r="AB985" s="7" t="n">
        <f aca="false">COUNTIFS(05_訊號明細!A:A,A985,05_訊號明細!C:C,"TOP")</f>
        <v>0</v>
      </c>
      <c r="AC985" s="7" t="n">
        <f aca="false">COUNTIFS(05_訊號明細!A:A,A985,05_訊號明細!C:C,"BOTTOM")</f>
        <v>0</v>
      </c>
    </row>
    <row r="986" customFormat="false" ht="15" hidden="false" customHeight="false" outlineLevel="0" collapsed="false">
      <c r="A986" s="7" t="s">
        <v>1027</v>
      </c>
      <c r="B986" s="7" t="n">
        <v>15940.29</v>
      </c>
      <c r="C986" s="7" t="n">
        <v>16031.52</v>
      </c>
      <c r="D986" s="7" t="n">
        <v>15921.07</v>
      </c>
      <c r="E986" s="7" t="n">
        <v>16010.43</v>
      </c>
      <c r="F986" s="7" t="n">
        <v>4474</v>
      </c>
      <c r="G986" s="7" t="n">
        <f aca="false">AVERAGE(E982:E986)</f>
        <v>15977.886</v>
      </c>
      <c r="H986" s="7" t="n">
        <f aca="false">AVERAGE(E977:E986)</f>
        <v>15921.73</v>
      </c>
      <c r="I986" s="7" t="n">
        <f aca="false">AVERAGE(E967:E986)</f>
        <v>15513.7515</v>
      </c>
      <c r="J986" s="7" t="n">
        <f aca="false">AVERAGE(E937:E986)</f>
        <v>15070.5038</v>
      </c>
      <c r="K986" s="7" t="n">
        <f aca="false">AVERAGE(E887:E986)</f>
        <v>15191.3167</v>
      </c>
      <c r="L986" s="7" t="n">
        <f aca="false">AVERAGE(E787:E986)</f>
        <v>14286.02815</v>
      </c>
      <c r="M986" s="7" t="n">
        <f aca="false">I986</f>
        <v>15513.7515</v>
      </c>
      <c r="N986" s="7" t="n">
        <f aca="false">I986+2*STDEV(E967:E986)</f>
        <v>16489.3056392358</v>
      </c>
      <c r="O986" s="7" t="n">
        <f aca="false">I986-2*STDEV(E967:E986)</f>
        <v>14538.1973607643</v>
      </c>
      <c r="P986" s="7" t="n">
        <f aca="false">MAX(E986-E985,0)</f>
        <v>48.4500000000007</v>
      </c>
      <c r="Q986" s="7" t="n">
        <f aca="false">MAX(E985-E986,0)</f>
        <v>0</v>
      </c>
      <c r="R986" s="7" t="n">
        <f aca="false">(R985*13+P986)/14</f>
        <v>74.6460774226074</v>
      </c>
      <c r="S986" s="7" t="n">
        <f aca="false">(S985*13+Q986)/14</f>
        <v>33.4785349732075</v>
      </c>
      <c r="T986" s="7" t="n">
        <f aca="false">IF(S986=0,100,100-100/(1+R986/S986))</f>
        <v>69.0370820931578</v>
      </c>
      <c r="U986" s="7" t="n">
        <f aca="false">E986*2/13+U985*11/13</f>
        <v>15793.2680774072</v>
      </c>
      <c r="V986" s="7" t="n">
        <f aca="false">E986*2/27+V985*25/27</f>
        <v>15489.8361066719</v>
      </c>
      <c r="W986" s="7" t="n">
        <f aca="false">U986-V986</f>
        <v>303.431970735288</v>
      </c>
      <c r="X986" s="7" t="n">
        <f aca="false">W986*2/10+X985*8/10</f>
        <v>263.067326872114</v>
      </c>
      <c r="Y986" s="7" t="n">
        <f aca="false">W986-X986</f>
        <v>40.3646438631735</v>
      </c>
      <c r="Z986" s="8" t="s">
        <v>42</v>
      </c>
      <c r="AA986" s="7" t="str">
        <f aca="false">IFERROR(INDEX(02_轉折點45!B:B,MATCH(A986,02_轉折點45!A:A,0)),"")</f>
        <v/>
      </c>
      <c r="AB986" s="7" t="n">
        <f aca="false">COUNTIFS(05_訊號明細!A:A,A986,05_訊號明細!C:C,"TOP")</f>
        <v>0</v>
      </c>
      <c r="AC986" s="7" t="n">
        <f aca="false">COUNTIFS(05_訊號明細!A:A,A986,05_訊號明細!C:C,"BOTTOM")</f>
        <v>0</v>
      </c>
    </row>
    <row r="987" customFormat="false" ht="15" hidden="false" customHeight="false" outlineLevel="0" collapsed="false">
      <c r="A987" s="7" t="s">
        <v>1028</v>
      </c>
      <c r="B987" s="7" t="n">
        <v>16111.36</v>
      </c>
      <c r="C987" s="7" t="n">
        <v>16166.51</v>
      </c>
      <c r="D987" s="7" t="n">
        <v>15976.69</v>
      </c>
      <c r="E987" s="7" t="n">
        <v>15987.6</v>
      </c>
      <c r="F987" s="7" t="n">
        <v>4890</v>
      </c>
      <c r="G987" s="7" t="n">
        <f aca="false">AVERAGE(E983:E987)</f>
        <v>15988.682</v>
      </c>
      <c r="H987" s="7" t="n">
        <f aca="false">AVERAGE(E978:E987)</f>
        <v>15939.243</v>
      </c>
      <c r="I987" s="7" t="n">
        <f aca="false">AVERAGE(E968:E987)</f>
        <v>15592.6425</v>
      </c>
      <c r="J987" s="7" t="n">
        <f aca="false">AVERAGE(E938:E987)</f>
        <v>15086.4312</v>
      </c>
      <c r="K987" s="7" t="n">
        <f aca="false">AVERAGE(E888:E987)</f>
        <v>15200.7363</v>
      </c>
      <c r="L987" s="7" t="n">
        <f aca="false">AVERAGE(E788:E987)</f>
        <v>14303.4546</v>
      </c>
      <c r="M987" s="7" t="n">
        <f aca="false">I987</f>
        <v>15592.6425</v>
      </c>
      <c r="N987" s="7" t="n">
        <f aca="false">I987+2*STDEV(E968:E987)</f>
        <v>16438.9230872603</v>
      </c>
      <c r="O987" s="7" t="n">
        <f aca="false">I987-2*STDEV(E968:E987)</f>
        <v>14746.3619127397</v>
      </c>
      <c r="P987" s="7" t="n">
        <f aca="false">MAX(E987-E986,0)</f>
        <v>0</v>
      </c>
      <c r="Q987" s="7" t="n">
        <f aca="false">MAX(E986-E987,0)</f>
        <v>22.8299999999999</v>
      </c>
      <c r="R987" s="7" t="n">
        <f aca="false">(R986*13+P987)/14</f>
        <v>69.314214749564</v>
      </c>
      <c r="S987" s="7" t="n">
        <f aca="false">(S986*13+Q987)/14</f>
        <v>32.7179253322641</v>
      </c>
      <c r="T987" s="7" t="n">
        <f aca="false">IF(S987=0,100,100-100/(1+R987/S987))</f>
        <v>67.9337066673061</v>
      </c>
      <c r="U987" s="7" t="n">
        <f aca="false">E987*2/13+U986*11/13</f>
        <v>15823.1652962676</v>
      </c>
      <c r="V987" s="7" t="n">
        <f aca="false">E987*2/27+V986*25/27</f>
        <v>15526.7075061777</v>
      </c>
      <c r="W987" s="7" t="n">
        <f aca="false">U987-V987</f>
        <v>296.457790089937</v>
      </c>
      <c r="X987" s="7" t="n">
        <f aca="false">W987*2/10+X986*8/10</f>
        <v>269.745419515679</v>
      </c>
      <c r="Y987" s="7" t="n">
        <f aca="false">W987-X987</f>
        <v>26.7123705742578</v>
      </c>
      <c r="Z987" s="8" t="s">
        <v>42</v>
      </c>
      <c r="AA987" s="7" t="str">
        <f aca="false">IFERROR(INDEX(02_轉折點45!B:B,MATCH(A987,02_轉折點45!A:A,0)),"")</f>
        <v/>
      </c>
      <c r="AB987" s="7" t="n">
        <f aca="false">COUNTIFS(05_訊號明細!A:A,A987,05_訊號明細!C:C,"TOP")</f>
        <v>0</v>
      </c>
      <c r="AC987" s="7" t="n">
        <f aca="false">COUNTIFS(05_訊號明細!A:A,A987,05_訊號明細!C:C,"BOTTOM")</f>
        <v>0</v>
      </c>
    </row>
    <row r="988" customFormat="false" ht="15" hidden="false" customHeight="false" outlineLevel="0" collapsed="false">
      <c r="A988" s="7" t="s">
        <v>1029</v>
      </c>
      <c r="B988" s="7" t="n">
        <v>15987.66</v>
      </c>
      <c r="C988" s="7" t="n">
        <v>16013.48</v>
      </c>
      <c r="D988" s="7" t="n">
        <v>15825.67</v>
      </c>
      <c r="E988" s="7" t="n">
        <v>15947.87</v>
      </c>
      <c r="F988" s="7" t="n">
        <v>5678</v>
      </c>
      <c r="G988" s="7" t="n">
        <f aca="false">AVERAGE(E984:E988)</f>
        <v>15977.978</v>
      </c>
      <c r="H988" s="7" t="n">
        <f aca="false">AVERAGE(E979:E988)</f>
        <v>15952.312</v>
      </c>
      <c r="I988" s="7" t="n">
        <f aca="false">AVERAGE(E969:E988)</f>
        <v>15656.7905</v>
      </c>
      <c r="J988" s="7" t="n">
        <f aca="false">AVERAGE(E939:E988)</f>
        <v>15105.9902</v>
      </c>
      <c r="K988" s="7" t="n">
        <f aca="false">AVERAGE(E889:E988)</f>
        <v>15209.0244</v>
      </c>
      <c r="L988" s="7" t="n">
        <f aca="false">AVERAGE(E789:E988)</f>
        <v>14320.2395</v>
      </c>
      <c r="M988" s="7" t="n">
        <f aca="false">I988</f>
        <v>15656.7905</v>
      </c>
      <c r="N988" s="7" t="n">
        <f aca="false">I988+2*STDEV(E969:E988)</f>
        <v>16394.5119023985</v>
      </c>
      <c r="O988" s="7" t="n">
        <f aca="false">I988-2*STDEV(E969:E988)</f>
        <v>14919.0690976015</v>
      </c>
      <c r="P988" s="7" t="n">
        <f aca="false">MAX(E988-E987,0)</f>
        <v>0</v>
      </c>
      <c r="Q988" s="7" t="n">
        <f aca="false">MAX(E987-E988,0)</f>
        <v>39.7299999999996</v>
      </c>
      <c r="R988" s="7" t="n">
        <f aca="false">(R987*13+P988)/14</f>
        <v>64.3631994103094</v>
      </c>
      <c r="S988" s="7" t="n">
        <f aca="false">(S987*13+Q988)/14</f>
        <v>33.2187878085309</v>
      </c>
      <c r="T988" s="7" t="n">
        <f aca="false">IF(S988=0,100,100-100/(1+R988/S988))</f>
        <v>65.9580740715667</v>
      </c>
      <c r="U988" s="7" t="n">
        <f aca="false">E988*2/13+U987*11/13</f>
        <v>15842.3506353034</v>
      </c>
      <c r="V988" s="7" t="n">
        <f aca="false">E988*2/27+V987*25/27</f>
        <v>15557.9047279423</v>
      </c>
      <c r="W988" s="7" t="n">
        <f aca="false">U988-V988</f>
        <v>284.445907361074</v>
      </c>
      <c r="X988" s="7" t="n">
        <f aca="false">W988*2/10+X987*8/10</f>
        <v>272.685517084758</v>
      </c>
      <c r="Y988" s="7" t="n">
        <f aca="false">W988-X988</f>
        <v>11.7603902763163</v>
      </c>
      <c r="Z988" s="8" t="s">
        <v>42</v>
      </c>
      <c r="AA988" s="7" t="str">
        <f aca="false">IFERROR(INDEX(02_轉折點45!B:B,MATCH(A988,02_轉折點45!A:A,0)),"")</f>
        <v/>
      </c>
      <c r="AB988" s="7" t="n">
        <f aca="false">COUNTIFS(05_訊號明細!A:A,A988,05_訊號明細!C:C,"TOP")</f>
        <v>0</v>
      </c>
      <c r="AC988" s="7" t="n">
        <f aca="false">COUNTIFS(05_訊號明細!A:A,A988,05_訊號明細!C:C,"BOTTOM")</f>
        <v>0</v>
      </c>
    </row>
    <row r="989" customFormat="false" ht="15" hidden="false" customHeight="false" outlineLevel="0" collapsed="false">
      <c r="A989" s="7" t="s">
        <v>1030</v>
      </c>
      <c r="B989" s="7" t="n">
        <v>15892.59</v>
      </c>
      <c r="C989" s="7" t="n">
        <v>16013.75</v>
      </c>
      <c r="D989" s="7" t="n">
        <v>15834.93</v>
      </c>
      <c r="E989" s="7" t="n">
        <v>15997.58</v>
      </c>
      <c r="F989" s="7" t="n">
        <v>5607</v>
      </c>
      <c r="G989" s="7" t="n">
        <f aca="false">AVERAGE(E985:E989)</f>
        <v>15981.092</v>
      </c>
      <c r="H989" s="7" t="n">
        <f aca="false">AVERAGE(E980:E989)</f>
        <v>15968.753</v>
      </c>
      <c r="I989" s="7" t="n">
        <f aca="false">AVERAGE(E970:E989)</f>
        <v>15710.692</v>
      </c>
      <c r="J989" s="7" t="n">
        <f aca="false">AVERAGE(E940:E989)</f>
        <v>15132.057</v>
      </c>
      <c r="K989" s="7" t="n">
        <f aca="false">AVERAGE(E890:E989)</f>
        <v>15215.9279</v>
      </c>
      <c r="L989" s="7" t="n">
        <f aca="false">AVERAGE(E790:E989)</f>
        <v>14336.78795</v>
      </c>
      <c r="M989" s="7" t="n">
        <f aca="false">I989</f>
        <v>15710.692</v>
      </c>
      <c r="N989" s="7" t="n">
        <f aca="false">I989+2*STDEV(E970:E989)</f>
        <v>16375.5406357724</v>
      </c>
      <c r="O989" s="7" t="n">
        <f aca="false">I989-2*STDEV(E970:E989)</f>
        <v>15045.8433642276</v>
      </c>
      <c r="P989" s="7" t="n">
        <f aca="false">MAX(E989-E988,0)</f>
        <v>49.7099999999991</v>
      </c>
      <c r="Q989" s="7" t="n">
        <f aca="false">MAX(E988-E989,0)</f>
        <v>0</v>
      </c>
      <c r="R989" s="7" t="n">
        <f aca="false">(R988*13+P989)/14</f>
        <v>63.316542309573</v>
      </c>
      <c r="S989" s="7" t="n">
        <f aca="false">(S988*13+Q989)/14</f>
        <v>30.8460172507787</v>
      </c>
      <c r="T989" s="7" t="n">
        <f aca="false">IF(S989=0,100,100-100/(1+R989/S989))</f>
        <v>67.2417387602887</v>
      </c>
      <c r="U989" s="7" t="n">
        <f aca="false">E989*2/13+U988*11/13</f>
        <v>15866.2320760259</v>
      </c>
      <c r="V989" s="7" t="n">
        <f aca="false">E989*2/27+V988*25/27</f>
        <v>15590.4732666132</v>
      </c>
      <c r="W989" s="7" t="n">
        <f aca="false">U989-V989</f>
        <v>275.758809412693</v>
      </c>
      <c r="X989" s="7" t="n">
        <f aca="false">W989*2/10+X988*8/10</f>
        <v>273.300175550345</v>
      </c>
      <c r="Y989" s="7" t="n">
        <f aca="false">W989-X989</f>
        <v>2.45863386234822</v>
      </c>
      <c r="Z989" s="8" t="s">
        <v>42</v>
      </c>
      <c r="AA989" s="7" t="str">
        <f aca="false">IFERROR(INDEX(02_轉折點45!B:B,MATCH(A989,02_轉折點45!A:A,0)),"")</f>
        <v/>
      </c>
      <c r="AB989" s="7" t="n">
        <f aca="false">COUNTIFS(05_訊號明細!A:A,A989,05_訊號明細!C:C,"TOP")</f>
        <v>0</v>
      </c>
      <c r="AC989" s="7" t="n">
        <f aca="false">COUNTIFS(05_訊號明細!A:A,A989,05_訊號明細!C:C,"BOTTOM")</f>
        <v>0</v>
      </c>
    </row>
    <row r="990" customFormat="false" ht="15" hidden="false" customHeight="false" outlineLevel="0" collapsed="false">
      <c r="A990" s="7" t="s">
        <v>1031</v>
      </c>
      <c r="B990" s="7" t="n">
        <v>15837.12</v>
      </c>
      <c r="C990" s="7" t="n">
        <v>15852.45</v>
      </c>
      <c r="D990" s="7" t="n">
        <v>15695.58</v>
      </c>
      <c r="E990" s="7" t="n">
        <v>15839.67</v>
      </c>
      <c r="F990" s="7" t="n">
        <v>6270</v>
      </c>
      <c r="G990" s="7" t="n">
        <f aca="false">AVERAGE(E986:E990)</f>
        <v>15956.63</v>
      </c>
      <c r="H990" s="7" t="n">
        <f aca="false">AVERAGE(E981:E990)</f>
        <v>15968.921</v>
      </c>
      <c r="I990" s="7" t="n">
        <f aca="false">AVERAGE(E971:E990)</f>
        <v>15747.701</v>
      </c>
      <c r="J990" s="7" t="n">
        <f aca="false">AVERAGE(E941:E990)</f>
        <v>15154.8284</v>
      </c>
      <c r="K990" s="7" t="n">
        <f aca="false">AVERAGE(E891:E990)</f>
        <v>15218.6048</v>
      </c>
      <c r="L990" s="7" t="n">
        <f aca="false">AVERAGE(E791:E990)</f>
        <v>14353.7739</v>
      </c>
      <c r="M990" s="7" t="n">
        <f aca="false">I990</f>
        <v>15747.701</v>
      </c>
      <c r="N990" s="7" t="n">
        <f aca="false">I990+2*STDEV(E971:E990)</f>
        <v>16348.6277813145</v>
      </c>
      <c r="O990" s="7" t="n">
        <f aca="false">I990-2*STDEV(E971:E990)</f>
        <v>15146.7742186855</v>
      </c>
      <c r="P990" s="7" t="n">
        <f aca="false">MAX(E990-E989,0)</f>
        <v>0</v>
      </c>
      <c r="Q990" s="7" t="n">
        <f aca="false">MAX(E989-E990,0)</f>
        <v>157.91</v>
      </c>
      <c r="R990" s="7" t="n">
        <f aca="false">(R989*13+P990)/14</f>
        <v>58.7939321446035</v>
      </c>
      <c r="S990" s="7" t="n">
        <f aca="false">(S989*13+Q990)/14</f>
        <v>39.9220160185802</v>
      </c>
      <c r="T990" s="7" t="n">
        <f aca="false">IF(S990=0,100,100-100/(1+R990/S990))</f>
        <v>59.5586966833499</v>
      </c>
      <c r="U990" s="7" t="n">
        <f aca="false">E990*2/13+U989*11/13</f>
        <v>15862.1456027912</v>
      </c>
      <c r="V990" s="7" t="n">
        <f aca="false">E990*2/27+V989*25/27</f>
        <v>15608.9322839011</v>
      </c>
      <c r="W990" s="7" t="n">
        <f aca="false">U990-V990</f>
        <v>253.213318890028</v>
      </c>
      <c r="X990" s="7" t="n">
        <f aca="false">W990*2/10+X989*8/10</f>
        <v>269.282804218282</v>
      </c>
      <c r="Y990" s="7" t="n">
        <f aca="false">W990-X990</f>
        <v>-16.0694853282536</v>
      </c>
      <c r="Z990" s="8" t="s">
        <v>42</v>
      </c>
      <c r="AA990" s="7" t="str">
        <f aca="false">IFERROR(INDEX(02_轉折點45!B:B,MATCH(A990,02_轉折點45!A:A,0)),"")</f>
        <v/>
      </c>
      <c r="AB990" s="7" t="n">
        <f aca="false">COUNTIFS(05_訊號明細!A:A,A990,05_訊號明細!C:C,"TOP")</f>
        <v>1</v>
      </c>
      <c r="AC990" s="7" t="n">
        <f aca="false">COUNTIFS(05_訊號明細!A:A,A990,05_訊號明細!C:C,"BOTTOM")</f>
        <v>0</v>
      </c>
    </row>
    <row r="991" customFormat="false" ht="15" hidden="false" customHeight="false" outlineLevel="0" collapsed="false">
      <c r="A991" s="7" t="s">
        <v>1032</v>
      </c>
      <c r="B991" s="7" t="n">
        <v>15763.65</v>
      </c>
      <c r="C991" s="7" t="n">
        <v>15931.84</v>
      </c>
      <c r="D991" s="7" t="n">
        <v>15760.59</v>
      </c>
      <c r="E991" s="7" t="n">
        <v>15877.71</v>
      </c>
      <c r="F991" s="7" t="n">
        <v>6179</v>
      </c>
      <c r="G991" s="7" t="n">
        <f aca="false">AVERAGE(E987:E991)</f>
        <v>15930.086</v>
      </c>
      <c r="H991" s="7" t="n">
        <f aca="false">AVERAGE(E982:E991)</f>
        <v>15953.986</v>
      </c>
      <c r="I991" s="7" t="n">
        <f aca="false">AVERAGE(E972:E991)</f>
        <v>15783.84</v>
      </c>
      <c r="J991" s="7" t="n">
        <f aca="false">AVERAGE(E942:E991)</f>
        <v>15177.0046</v>
      </c>
      <c r="K991" s="7" t="n">
        <f aca="false">AVERAGE(E892:E991)</f>
        <v>15221.7259</v>
      </c>
      <c r="L991" s="7" t="n">
        <f aca="false">AVERAGE(E792:E991)</f>
        <v>14371.37155</v>
      </c>
      <c r="M991" s="7" t="n">
        <f aca="false">I991</f>
        <v>15783.84</v>
      </c>
      <c r="N991" s="7" t="n">
        <f aca="false">I991+2*STDEV(E972:E991)</f>
        <v>16317.8794364701</v>
      </c>
      <c r="O991" s="7" t="n">
        <f aca="false">I991-2*STDEV(E972:E991)</f>
        <v>15249.8005635299</v>
      </c>
      <c r="P991" s="7" t="n">
        <f aca="false">MAX(E991-E990,0)</f>
        <v>38.0399999999991</v>
      </c>
      <c r="Q991" s="7" t="n">
        <f aca="false">MAX(E990-E991,0)</f>
        <v>0</v>
      </c>
      <c r="R991" s="7" t="n">
        <f aca="false">(R990*13+P991)/14</f>
        <v>57.3115084199889</v>
      </c>
      <c r="S991" s="7" t="n">
        <f aca="false">(S990*13+Q991)/14</f>
        <v>37.0704434458245</v>
      </c>
      <c r="T991" s="7" t="n">
        <f aca="false">IF(S991=0,100,100-100/(1+R991/S991))</f>
        <v>60.7229531568397</v>
      </c>
      <c r="U991" s="7" t="n">
        <f aca="false">E991*2/13+U990*11/13</f>
        <v>15864.5401254387</v>
      </c>
      <c r="V991" s="7" t="n">
        <f aca="false">E991*2/27+V990*25/27</f>
        <v>15628.8417443529</v>
      </c>
      <c r="W991" s="7" t="n">
        <f aca="false">U991-V991</f>
        <v>235.698381085773</v>
      </c>
      <c r="X991" s="7" t="n">
        <f aca="false">W991*2/10+X990*8/10</f>
        <v>262.56591959178</v>
      </c>
      <c r="Y991" s="7" t="n">
        <f aca="false">W991-X991</f>
        <v>-26.867538506007</v>
      </c>
      <c r="Z991" s="8" t="s">
        <v>42</v>
      </c>
      <c r="AA991" s="7" t="str">
        <f aca="false">IFERROR(INDEX(02_轉折點45!B:B,MATCH(A991,02_轉折點45!A:A,0)),"")</f>
        <v/>
      </c>
      <c r="AB991" s="7" t="n">
        <f aca="false">COUNTIFS(05_訊號明細!A:A,A991,05_訊號明細!C:C,"TOP")</f>
        <v>0</v>
      </c>
      <c r="AC991" s="7" t="n">
        <f aca="false">COUNTIFS(05_訊號明細!A:A,A991,05_訊號明細!C:C,"BOTTOM")</f>
        <v>0</v>
      </c>
    </row>
    <row r="992" customFormat="false" ht="15" hidden="false" customHeight="false" outlineLevel="0" collapsed="false">
      <c r="A992" s="7" t="s">
        <v>1033</v>
      </c>
      <c r="B992" s="7" t="n">
        <v>15990.2</v>
      </c>
      <c r="C992" s="7" t="n">
        <v>15990.94</v>
      </c>
      <c r="D992" s="7" t="n">
        <v>15776.95</v>
      </c>
      <c r="E992" s="7" t="n">
        <v>15788.05</v>
      </c>
      <c r="F992" s="7" t="n">
        <v>5167</v>
      </c>
      <c r="G992" s="7" t="n">
        <f aca="false">AVERAGE(E988:E992)</f>
        <v>15890.176</v>
      </c>
      <c r="H992" s="7" t="n">
        <f aca="false">AVERAGE(E983:E992)</f>
        <v>15939.429</v>
      </c>
      <c r="I992" s="7" t="n">
        <f aca="false">AVERAGE(E973:E992)</f>
        <v>15808.4415</v>
      </c>
      <c r="J992" s="7" t="n">
        <f aca="false">AVERAGE(E943:E992)</f>
        <v>15201.849</v>
      </c>
      <c r="K992" s="7" t="n">
        <f aca="false">AVERAGE(E893:E992)</f>
        <v>15222.4736</v>
      </c>
      <c r="L992" s="7" t="n">
        <f aca="false">AVERAGE(E793:E992)</f>
        <v>14390.0103</v>
      </c>
      <c r="M992" s="7" t="n">
        <f aca="false">I992</f>
        <v>15808.4415</v>
      </c>
      <c r="N992" s="7" t="n">
        <f aca="false">I992+2*STDEV(E973:E992)</f>
        <v>16290.680960992</v>
      </c>
      <c r="O992" s="7" t="n">
        <f aca="false">I992-2*STDEV(E973:E992)</f>
        <v>15326.202039008</v>
      </c>
      <c r="P992" s="7" t="n">
        <f aca="false">MAX(E992-E991,0)</f>
        <v>0</v>
      </c>
      <c r="Q992" s="7" t="n">
        <f aca="false">MAX(E991-E992,0)</f>
        <v>89.6599999999999</v>
      </c>
      <c r="R992" s="7" t="n">
        <f aca="false">(R991*13+P992)/14</f>
        <v>53.2178292471325</v>
      </c>
      <c r="S992" s="7" t="n">
        <f aca="false">(S991*13+Q992)/14</f>
        <v>40.8268403425513</v>
      </c>
      <c r="T992" s="7" t="n">
        <f aca="false">IF(S992=0,100,100-100/(1+R992/S992))</f>
        <v>56.5878209571276</v>
      </c>
      <c r="U992" s="7" t="n">
        <f aca="false">E992*2/13+U991*11/13</f>
        <v>15852.7724138327</v>
      </c>
      <c r="V992" s="7" t="n">
        <f aca="false">E992*2/27+V991*25/27</f>
        <v>15640.6349484749</v>
      </c>
      <c r="W992" s="7" t="n">
        <f aca="false">U992-V992</f>
        <v>212.137465357815</v>
      </c>
      <c r="X992" s="7" t="n">
        <f aca="false">W992*2/10+X991*8/10</f>
        <v>252.480228744987</v>
      </c>
      <c r="Y992" s="7" t="n">
        <f aca="false">W992-X992</f>
        <v>-40.3427633871718</v>
      </c>
      <c r="Z992" s="8" t="s">
        <v>42</v>
      </c>
      <c r="AA992" s="7" t="str">
        <f aca="false">IFERROR(INDEX(02_轉折點45!B:B,MATCH(A992,02_轉折點45!A:A,0)),"")</f>
        <v/>
      </c>
      <c r="AB992" s="7" t="n">
        <f aca="false">COUNTIFS(05_訊號明細!A:A,A992,05_訊號明細!C:C,"TOP")</f>
        <v>0</v>
      </c>
      <c r="AC992" s="7" t="n">
        <f aca="false">COUNTIFS(05_訊號明細!A:A,A992,05_訊號明細!C:C,"BOTTOM")</f>
        <v>0</v>
      </c>
    </row>
    <row r="993" customFormat="false" ht="15" hidden="false" customHeight="false" outlineLevel="0" collapsed="false">
      <c r="A993" s="7" t="s">
        <v>1034</v>
      </c>
      <c r="B993" s="7" t="n">
        <v>15888.23</v>
      </c>
      <c r="C993" s="7" t="n">
        <v>16042.51</v>
      </c>
      <c r="D993" s="7" t="n">
        <v>15875.48</v>
      </c>
      <c r="E993" s="7" t="n">
        <v>16022.49</v>
      </c>
      <c r="F993" s="7" t="n">
        <v>5694</v>
      </c>
      <c r="G993" s="7" t="n">
        <f aca="false">AVERAGE(E989:E993)</f>
        <v>15905.1</v>
      </c>
      <c r="H993" s="7" t="n">
        <f aca="false">AVERAGE(E984:E993)</f>
        <v>15941.539</v>
      </c>
      <c r="I993" s="7" t="n">
        <f aca="false">AVERAGE(E974:E993)</f>
        <v>15843.904</v>
      </c>
      <c r="J993" s="7" t="n">
        <f aca="false">AVERAGE(E944:E993)</f>
        <v>15230.6956</v>
      </c>
      <c r="K993" s="7" t="n">
        <f aca="false">AVERAGE(E894:E993)</f>
        <v>15224.285</v>
      </c>
      <c r="L993" s="7" t="n">
        <f aca="false">AVERAGE(E794:E993)</f>
        <v>14409.7914</v>
      </c>
      <c r="M993" s="7" t="n">
        <f aca="false">I993</f>
        <v>15843.904</v>
      </c>
      <c r="N993" s="7" t="n">
        <f aca="false">I993+2*STDEV(E974:E993)</f>
        <v>16274.3447095011</v>
      </c>
      <c r="O993" s="7" t="n">
        <f aca="false">I993-2*STDEV(E974:E993)</f>
        <v>15413.4632904989</v>
      </c>
      <c r="P993" s="7" t="n">
        <f aca="false">MAX(E993-E992,0)</f>
        <v>234.440000000001</v>
      </c>
      <c r="Q993" s="7" t="n">
        <f aca="false">MAX(E992-E993,0)</f>
        <v>0</v>
      </c>
      <c r="R993" s="7" t="n">
        <f aca="false">(R992*13+P993)/14</f>
        <v>66.1622700151945</v>
      </c>
      <c r="S993" s="7" t="n">
        <f aca="false">(S992*13+Q993)/14</f>
        <v>37.9106374609405</v>
      </c>
      <c r="T993" s="7" t="n">
        <f aca="false">IF(S993=0,100,100-100/(1+R993/S993))</f>
        <v>63.5730005240472</v>
      </c>
      <c r="U993" s="7" t="n">
        <f aca="false">E993*2/13+U992*11/13</f>
        <v>15878.8828117046</v>
      </c>
      <c r="V993" s="7" t="n">
        <f aca="false">E993*2/27+V992*25/27</f>
        <v>15668.9205078471</v>
      </c>
      <c r="W993" s="7" t="n">
        <f aca="false">U993-V993</f>
        <v>209.962303857476</v>
      </c>
      <c r="X993" s="7" t="n">
        <f aca="false">W993*2/10+X992*8/10</f>
        <v>243.976643767485</v>
      </c>
      <c r="Y993" s="7" t="n">
        <f aca="false">W993-X993</f>
        <v>-34.0143399100091</v>
      </c>
      <c r="Z993" s="8" t="s">
        <v>42</v>
      </c>
      <c r="AA993" s="7" t="str">
        <f aca="false">IFERROR(INDEX(02_轉折點45!B:B,MATCH(A993,02_轉折點45!A:A,0)),"")</f>
        <v/>
      </c>
      <c r="AB993" s="7" t="n">
        <f aca="false">COUNTIFS(05_訊號明細!A:A,A993,05_訊號明細!C:C,"TOP")</f>
        <v>0</v>
      </c>
      <c r="AC993" s="7" t="n">
        <f aca="false">COUNTIFS(05_訊號明細!A:A,A993,05_訊號明細!C:C,"BOTTOM")</f>
        <v>0</v>
      </c>
    </row>
    <row r="994" customFormat="false" ht="15" hidden="false" customHeight="false" outlineLevel="0" collapsed="false">
      <c r="A994" s="7" t="s">
        <v>1035</v>
      </c>
      <c r="B994" s="7" t="n">
        <v>15952.85</v>
      </c>
      <c r="C994" s="7" t="n">
        <v>16100.86</v>
      </c>
      <c r="D994" s="7" t="n">
        <v>15937.58</v>
      </c>
      <c r="E994" s="7" t="n">
        <v>16084.69</v>
      </c>
      <c r="F994" s="7" t="n">
        <v>5431</v>
      </c>
      <c r="G994" s="7" t="n">
        <f aca="false">AVERAGE(E990:E994)</f>
        <v>15922.522</v>
      </c>
      <c r="H994" s="7" t="n">
        <f aca="false">AVERAGE(E985:E994)</f>
        <v>15951.807</v>
      </c>
      <c r="I994" s="7" t="n">
        <f aca="false">AVERAGE(E975:E994)</f>
        <v>15888.7435</v>
      </c>
      <c r="J994" s="7" t="n">
        <f aca="false">AVERAGE(E945:E994)</f>
        <v>15258.334</v>
      </c>
      <c r="K994" s="7" t="n">
        <f aca="false">AVERAGE(E895:E994)</f>
        <v>15226.8684</v>
      </c>
      <c r="L994" s="7" t="n">
        <f aca="false">AVERAGE(E795:E994)</f>
        <v>14429.31415</v>
      </c>
      <c r="M994" s="7" t="n">
        <f aca="false">I994</f>
        <v>15888.7435</v>
      </c>
      <c r="N994" s="7" t="n">
        <f aca="false">I994+2*STDEV(E975:E994)</f>
        <v>16202.4652189451</v>
      </c>
      <c r="O994" s="7" t="n">
        <f aca="false">I994-2*STDEV(E975:E994)</f>
        <v>15575.0217810549</v>
      </c>
      <c r="P994" s="7" t="n">
        <f aca="false">MAX(E994-E993,0)</f>
        <v>62.2000000000007</v>
      </c>
      <c r="Q994" s="7" t="n">
        <f aca="false">MAX(E993-E994,0)</f>
        <v>0</v>
      </c>
      <c r="R994" s="7" t="n">
        <f aca="false">(R993*13+P994)/14</f>
        <v>65.879250728395</v>
      </c>
      <c r="S994" s="7" t="n">
        <f aca="false">(S993*13+Q994)/14</f>
        <v>35.202734785159</v>
      </c>
      <c r="T994" s="7" t="n">
        <f aca="false">IF(S994=0,100,100-100/(1+R994/S994))</f>
        <v>65.1740766603375</v>
      </c>
      <c r="U994" s="7" t="n">
        <f aca="false">E994*2/13+U993*11/13</f>
        <v>15910.5454560578</v>
      </c>
      <c r="V994" s="7" t="n">
        <f aca="false">E994*2/27+V993*25/27</f>
        <v>15699.7182480066</v>
      </c>
      <c r="W994" s="7" t="n">
        <f aca="false">U994-V994</f>
        <v>210.82720805114</v>
      </c>
      <c r="X994" s="7" t="n">
        <f aca="false">W994*2/10+X993*8/10</f>
        <v>237.346756624216</v>
      </c>
      <c r="Y994" s="7" t="n">
        <f aca="false">W994-X994</f>
        <v>-26.5195485730759</v>
      </c>
      <c r="Z994" s="8" t="s">
        <v>42</v>
      </c>
      <c r="AA994" s="7" t="str">
        <f aca="false">IFERROR(INDEX(02_轉折點45!B:B,MATCH(A994,02_轉折點45!A:A,0)),"")</f>
        <v/>
      </c>
      <c r="AB994" s="7" t="n">
        <f aca="false">COUNTIFS(05_訊號明細!A:A,A994,05_訊號明細!C:C,"TOP")</f>
        <v>1</v>
      </c>
      <c r="AC994" s="7" t="n">
        <f aca="false">COUNTIFS(05_訊號明細!A:A,A994,05_訊號明細!C:C,"BOTTOM")</f>
        <v>0</v>
      </c>
    </row>
    <row r="995" customFormat="false" ht="15" hidden="false" customHeight="false" outlineLevel="0" collapsed="false">
      <c r="A995" s="7" t="s">
        <v>1036</v>
      </c>
      <c r="B995" s="7" t="n">
        <v>16069.62</v>
      </c>
      <c r="C995" s="7" t="n">
        <v>16232.26</v>
      </c>
      <c r="D995" s="7" t="n">
        <v>16061.87</v>
      </c>
      <c r="E995" s="7" t="n">
        <v>16221.73</v>
      </c>
      <c r="F995" s="7" t="n">
        <v>5608</v>
      </c>
      <c r="G995" s="7" t="n">
        <f aca="false">AVERAGE(E991:E995)</f>
        <v>15998.934</v>
      </c>
      <c r="H995" s="7" t="n">
        <f aca="false">AVERAGE(E986:E995)</f>
        <v>15977.782</v>
      </c>
      <c r="I995" s="7" t="n">
        <f aca="false">AVERAGE(E976:E995)</f>
        <v>15923.374</v>
      </c>
      <c r="J995" s="7" t="n">
        <f aca="false">AVERAGE(E946:E995)</f>
        <v>15288.4638</v>
      </c>
      <c r="K995" s="7" t="n">
        <f aca="false">AVERAGE(E896:E995)</f>
        <v>15234.4248</v>
      </c>
      <c r="L995" s="7" t="n">
        <f aca="false">AVERAGE(E796:E995)</f>
        <v>14450.57455</v>
      </c>
      <c r="M995" s="7" t="n">
        <f aca="false">I995</f>
        <v>15923.374</v>
      </c>
      <c r="N995" s="7" t="n">
        <f aca="false">I995+2*STDEV(E976:E995)</f>
        <v>16222.5190175628</v>
      </c>
      <c r="O995" s="7" t="n">
        <f aca="false">I995-2*STDEV(E976:E995)</f>
        <v>15624.2289824372</v>
      </c>
      <c r="P995" s="7" t="n">
        <f aca="false">MAX(E995-E994,0)</f>
        <v>137.039999999999</v>
      </c>
      <c r="Q995" s="7" t="n">
        <f aca="false">MAX(E994-E995,0)</f>
        <v>0</v>
      </c>
      <c r="R995" s="7" t="n">
        <f aca="false">(R994*13+P995)/14</f>
        <v>70.9621613906524</v>
      </c>
      <c r="S995" s="7" t="n">
        <f aca="false">(S994*13+Q995)/14</f>
        <v>32.6882537290762</v>
      </c>
      <c r="T995" s="7" t="n">
        <f aca="false">IF(S995=0,100,100-100/(1+R995/S995))</f>
        <v>68.4629784730554</v>
      </c>
      <c r="U995" s="7" t="n">
        <f aca="false">E995*2/13+U994*11/13</f>
        <v>15958.4200012796</v>
      </c>
      <c r="V995" s="7" t="n">
        <f aca="false">E995*2/27+V994*25/27</f>
        <v>15738.3857851913</v>
      </c>
      <c r="W995" s="7" t="n">
        <f aca="false">U995-V995</f>
        <v>220.03421608833</v>
      </c>
      <c r="X995" s="7" t="n">
        <f aca="false">W995*2/10+X994*8/10</f>
        <v>233.884248517039</v>
      </c>
      <c r="Y995" s="7" t="n">
        <f aca="false">W995-X995</f>
        <v>-13.8500324287083</v>
      </c>
      <c r="Z995" s="8" t="s">
        <v>42</v>
      </c>
      <c r="AA995" s="7" t="str">
        <f aca="false">IFERROR(INDEX(02_轉折點45!B:B,MATCH(A995,02_轉折點45!A:A,0)),"")</f>
        <v/>
      </c>
      <c r="AB995" s="7" t="n">
        <f aca="false">COUNTIFS(05_訊號明細!A:A,A995,05_訊號明細!C:C,"TOP")</f>
        <v>1</v>
      </c>
      <c r="AC995" s="7" t="n">
        <f aca="false">COUNTIFS(05_訊號明細!A:A,A995,05_訊號明細!C:C,"BOTTOM")</f>
        <v>0</v>
      </c>
    </row>
    <row r="996" customFormat="false" ht="15" hidden="false" customHeight="false" outlineLevel="0" collapsed="false">
      <c r="A996" s="7" t="s">
        <v>1037</v>
      </c>
      <c r="B996" s="7" t="n">
        <v>16209.61</v>
      </c>
      <c r="C996" s="7" t="n">
        <v>16354.25</v>
      </c>
      <c r="D996" s="7" t="n">
        <v>16175.46</v>
      </c>
      <c r="E996" s="7" t="n">
        <v>16354.25</v>
      </c>
      <c r="F996" s="7" t="n">
        <v>4950</v>
      </c>
      <c r="G996" s="7" t="n">
        <f aca="false">AVERAGE(E992:E996)</f>
        <v>16094.242</v>
      </c>
      <c r="H996" s="7" t="n">
        <f aca="false">AVERAGE(E987:E996)</f>
        <v>16012.164</v>
      </c>
      <c r="I996" s="7" t="n">
        <f aca="false">AVERAGE(E977:E996)</f>
        <v>15966.947</v>
      </c>
      <c r="J996" s="7" t="n">
        <f aca="false">AVERAGE(E947:E996)</f>
        <v>15318.7974</v>
      </c>
      <c r="K996" s="7" t="n">
        <f aca="false">AVERAGE(E897:E996)</f>
        <v>15243.7106</v>
      </c>
      <c r="L996" s="7" t="n">
        <f aca="false">AVERAGE(E797:E996)</f>
        <v>14472.05685</v>
      </c>
      <c r="M996" s="7" t="n">
        <f aca="false">I996</f>
        <v>15966.947</v>
      </c>
      <c r="N996" s="7" t="n">
        <f aca="false">I996+2*STDEV(E977:E996)</f>
        <v>16249.2810731232</v>
      </c>
      <c r="O996" s="7" t="n">
        <f aca="false">I996-2*STDEV(E977:E996)</f>
        <v>15684.6129268768</v>
      </c>
      <c r="P996" s="7" t="n">
        <f aca="false">MAX(E996-E995,0)</f>
        <v>132.52</v>
      </c>
      <c r="Q996" s="7" t="n">
        <f aca="false">MAX(E995-E996,0)</f>
        <v>0</v>
      </c>
      <c r="R996" s="7" t="n">
        <f aca="false">(R995*13+P996)/14</f>
        <v>75.3591498627487</v>
      </c>
      <c r="S996" s="7" t="n">
        <f aca="false">(S995*13+Q996)/14</f>
        <v>30.3533784627137</v>
      </c>
      <c r="T996" s="7" t="n">
        <f aca="false">IF(S996=0,100,100-100/(1+R996/S996))</f>
        <v>71.2868673717998</v>
      </c>
      <c r="U996" s="7" t="n">
        <f aca="false">E996*2/13+U995*11/13</f>
        <v>16019.3169241597</v>
      </c>
      <c r="V996" s="7" t="n">
        <f aca="false">E996*2/27+V995*25/27</f>
        <v>15784.0053566586</v>
      </c>
      <c r="W996" s="7" t="n">
        <f aca="false">U996-V996</f>
        <v>235.311567501076</v>
      </c>
      <c r="X996" s="7" t="n">
        <f aca="false">W996*2/10+X995*8/10</f>
        <v>234.169712313846</v>
      </c>
      <c r="Y996" s="7" t="n">
        <f aca="false">W996-X996</f>
        <v>1.14185518722988</v>
      </c>
      <c r="Z996" s="8" t="s">
        <v>42</v>
      </c>
      <c r="AA996" s="7" t="str">
        <f aca="false">IFERROR(INDEX(02_轉折點45!B:B,MATCH(A996,02_轉折點45!A:A,0)),"")</f>
        <v/>
      </c>
      <c r="AB996" s="7" t="n">
        <f aca="false">COUNTIFS(05_訊號明細!A:A,A996,05_訊號明細!C:C,"TOP")</f>
        <v>0</v>
      </c>
      <c r="AC996" s="7" t="n">
        <f aca="false">COUNTIFS(05_訊號明細!A:A,A996,05_訊號明細!C:C,"BOTTOM")</f>
        <v>0</v>
      </c>
    </row>
    <row r="997" customFormat="false" ht="15" hidden="false" customHeight="false" outlineLevel="0" collapsed="false">
      <c r="A997" s="7" t="s">
        <v>1038</v>
      </c>
      <c r="B997" s="7" t="n">
        <v>16392.18</v>
      </c>
      <c r="C997" s="7" t="n">
        <v>16581.04</v>
      </c>
      <c r="D997" s="7" t="n">
        <v>16357.21</v>
      </c>
      <c r="E997" s="7" t="n">
        <v>16562.37</v>
      </c>
      <c r="F997" s="7" t="n">
        <v>6732</v>
      </c>
      <c r="G997" s="7" t="n">
        <f aca="false">AVERAGE(E993:E997)</f>
        <v>16249.106</v>
      </c>
      <c r="H997" s="7" t="n">
        <f aca="false">AVERAGE(E988:E997)</f>
        <v>16069.641</v>
      </c>
      <c r="I997" s="7" t="n">
        <f aca="false">AVERAGE(E978:E997)</f>
        <v>16004.442</v>
      </c>
      <c r="J997" s="7" t="n">
        <f aca="false">AVERAGE(E948:E997)</f>
        <v>15358.7324</v>
      </c>
      <c r="K997" s="7" t="n">
        <f aca="false">AVERAGE(E898:E997)</f>
        <v>15254.8541</v>
      </c>
      <c r="L997" s="7" t="n">
        <f aca="false">AVERAGE(E798:E997)</f>
        <v>14494.6581</v>
      </c>
      <c r="M997" s="7" t="n">
        <f aca="false">I997</f>
        <v>16004.442</v>
      </c>
      <c r="N997" s="7" t="n">
        <f aca="false">I997+2*STDEV(E978:E997)</f>
        <v>16383.13293548</v>
      </c>
      <c r="O997" s="7" t="n">
        <f aca="false">I997-2*STDEV(E978:E997)</f>
        <v>15625.75106452</v>
      </c>
      <c r="P997" s="7" t="n">
        <f aca="false">MAX(E997-E996,0)</f>
        <v>208.119999999999</v>
      </c>
      <c r="Q997" s="7" t="n">
        <f aca="false">MAX(E996-E997,0)</f>
        <v>0</v>
      </c>
      <c r="R997" s="7" t="n">
        <f aca="false">(R996*13+P997)/14</f>
        <v>84.8420677296952</v>
      </c>
      <c r="S997" s="7" t="n">
        <f aca="false">(S996*13+Q997)/14</f>
        <v>28.1852800010913</v>
      </c>
      <c r="T997" s="7" t="n">
        <f aca="false">IF(S997=0,100,100-100/(1+R997/S997))</f>
        <v>75.0633093963912</v>
      </c>
      <c r="U997" s="7" t="n">
        <f aca="false">E997*2/13+U996*11/13</f>
        <v>16102.863551212</v>
      </c>
      <c r="V997" s="7" t="n">
        <f aca="false">E997*2/27+V996*25/27</f>
        <v>15841.6619969061</v>
      </c>
      <c r="W997" s="7" t="n">
        <f aca="false">U997-V997</f>
        <v>261.201554305922</v>
      </c>
      <c r="X997" s="7" t="n">
        <f aca="false">W997*2/10+X996*8/10</f>
        <v>239.576080712261</v>
      </c>
      <c r="Y997" s="7" t="n">
        <f aca="false">W997-X997</f>
        <v>21.6254735936611</v>
      </c>
      <c r="Z997" s="8" t="s">
        <v>42</v>
      </c>
      <c r="AA997" s="7" t="str">
        <f aca="false">IFERROR(INDEX(02_轉折點45!B:B,MATCH(A997,02_轉折點45!A:A,0)),"")</f>
        <v/>
      </c>
      <c r="AB997" s="7" t="n">
        <f aca="false">COUNTIFS(05_訊號明細!A:A,A997,05_訊號明細!C:C,"TOP")</f>
        <v>0</v>
      </c>
      <c r="AC997" s="7" t="n">
        <f aca="false">COUNTIFS(05_訊號明細!A:A,A997,05_訊號明細!C:C,"BOTTOM")</f>
        <v>0</v>
      </c>
    </row>
    <row r="998" customFormat="false" ht="15" hidden="false" customHeight="false" outlineLevel="0" collapsed="false">
      <c r="A998" s="7" t="s">
        <v>1039</v>
      </c>
      <c r="B998" s="7" t="n">
        <v>16603.54</v>
      </c>
      <c r="C998" s="7" t="n">
        <v>16660.71</v>
      </c>
      <c r="D998" s="7" t="n">
        <v>16419.26</v>
      </c>
      <c r="E998" s="7" t="n">
        <v>16537.83</v>
      </c>
      <c r="F998" s="7" t="n">
        <v>8033</v>
      </c>
      <c r="G998" s="7" t="n">
        <f aca="false">AVERAGE(E994:E998)</f>
        <v>16352.174</v>
      </c>
      <c r="H998" s="7" t="n">
        <f aca="false">AVERAGE(E989:E998)</f>
        <v>16128.637</v>
      </c>
      <c r="I998" s="7" t="n">
        <f aca="false">AVERAGE(E979:E998)</f>
        <v>16040.4745</v>
      </c>
      <c r="J998" s="7" t="n">
        <f aca="false">AVERAGE(E949:E998)</f>
        <v>15393.964</v>
      </c>
      <c r="K998" s="7" t="n">
        <f aca="false">AVERAGE(E899:E998)</f>
        <v>15264.6182</v>
      </c>
      <c r="L998" s="7" t="n">
        <f aca="false">AVERAGE(E799:E998)</f>
        <v>14517.6544</v>
      </c>
      <c r="M998" s="7" t="n">
        <f aca="false">I998</f>
        <v>16040.4745</v>
      </c>
      <c r="N998" s="7" t="n">
        <f aca="false">I998+2*STDEV(E979:E998)</f>
        <v>16476.8836025379</v>
      </c>
      <c r="O998" s="7" t="n">
        <f aca="false">I998-2*STDEV(E979:E998)</f>
        <v>15604.0653974621</v>
      </c>
      <c r="P998" s="7" t="n">
        <f aca="false">MAX(E998-E997,0)</f>
        <v>0</v>
      </c>
      <c r="Q998" s="7" t="n">
        <f aca="false">MAX(E997-E998,0)</f>
        <v>24.5399999999972</v>
      </c>
      <c r="R998" s="7" t="n">
        <f aca="false">(R997*13+P998)/14</f>
        <v>78.7819200347169</v>
      </c>
      <c r="S998" s="7" t="n">
        <f aca="false">(S997*13+Q998)/14</f>
        <v>27.924902858156</v>
      </c>
      <c r="T998" s="7" t="n">
        <f aca="false">IF(S998=0,100,100-100/(1+R998/S998))</f>
        <v>73.8302555533953</v>
      </c>
      <c r="U998" s="7" t="n">
        <f aca="false">E998*2/13+U997*11/13</f>
        <v>16169.7814664102</v>
      </c>
      <c r="V998" s="7" t="n">
        <f aca="false">E998*2/27+V997*25/27</f>
        <v>15893.2299971353</v>
      </c>
      <c r="W998" s="7" t="n">
        <f aca="false">U998-V998</f>
        <v>276.551469274895</v>
      </c>
      <c r="X998" s="7" t="n">
        <f aca="false">W998*2/10+X997*8/10</f>
        <v>246.971158424788</v>
      </c>
      <c r="Y998" s="7" t="n">
        <f aca="false">W998-X998</f>
        <v>29.5803108501068</v>
      </c>
      <c r="Z998" s="8" t="s">
        <v>42</v>
      </c>
      <c r="AA998" s="7" t="str">
        <f aca="false">IFERROR(INDEX(02_轉折點45!B:B,MATCH(A998,02_轉折點45!A:A,0)),"")</f>
        <v/>
      </c>
      <c r="AB998" s="7" t="n">
        <f aca="false">COUNTIFS(05_訊號明細!A:A,A998,05_訊號明細!C:C,"TOP")</f>
        <v>0</v>
      </c>
      <c r="AC998" s="7" t="n">
        <f aca="false">COUNTIFS(05_訊號明細!A:A,A998,05_訊號明細!C:C,"BOTTOM")</f>
        <v>0</v>
      </c>
    </row>
    <row r="999" customFormat="false" ht="15" hidden="false" customHeight="false" outlineLevel="0" collapsed="false">
      <c r="A999" s="7" t="s">
        <v>1040</v>
      </c>
      <c r="B999" s="7" t="n">
        <v>16587</v>
      </c>
      <c r="C999" s="7" t="n">
        <v>16669.77</v>
      </c>
      <c r="D999" s="7" t="n">
        <v>16557.01</v>
      </c>
      <c r="E999" s="7" t="n">
        <v>16623.45</v>
      </c>
      <c r="F999" s="7" t="n">
        <v>8378</v>
      </c>
      <c r="G999" s="7" t="n">
        <f aca="false">AVERAGE(E995:E999)</f>
        <v>16459.926</v>
      </c>
      <c r="H999" s="7" t="n">
        <f aca="false">AVERAGE(E990:E999)</f>
        <v>16191.224</v>
      </c>
      <c r="I999" s="7" t="n">
        <f aca="false">AVERAGE(E980:E999)</f>
        <v>16079.9885</v>
      </c>
      <c r="J999" s="7" t="n">
        <f aca="false">AVERAGE(E950:E999)</f>
        <v>15431.9686</v>
      </c>
      <c r="K999" s="7" t="n">
        <f aca="false">AVERAGE(E900:E999)</f>
        <v>15275.8601</v>
      </c>
      <c r="L999" s="7" t="n">
        <f aca="false">AVERAGE(E800:E999)</f>
        <v>14540.5473</v>
      </c>
      <c r="M999" s="7" t="n">
        <f aca="false">I999</f>
        <v>16079.9885</v>
      </c>
      <c r="N999" s="7" t="n">
        <f aca="false">I999+2*STDEV(E980:E999)</f>
        <v>16576.3562439062</v>
      </c>
      <c r="O999" s="7" t="n">
        <f aca="false">I999-2*STDEV(E980:E999)</f>
        <v>15583.6207560938</v>
      </c>
      <c r="P999" s="7" t="n">
        <f aca="false">MAX(E999-E998,0)</f>
        <v>85.619999999999</v>
      </c>
      <c r="Q999" s="7" t="n">
        <f aca="false">MAX(E998-E999,0)</f>
        <v>0</v>
      </c>
      <c r="R999" s="7" t="n">
        <f aca="false">(R998*13+P999)/14</f>
        <v>79.2703543179514</v>
      </c>
      <c r="S999" s="7" t="n">
        <f aca="false">(S998*13+Q999)/14</f>
        <v>25.9302669397163</v>
      </c>
      <c r="T999" s="7" t="n">
        <f aca="false">IF(S999=0,100,100-100/(1+R999/S999))</f>
        <v>75.3516028425295</v>
      </c>
      <c r="U999" s="7" t="n">
        <f aca="false">E999*2/13+U998*11/13</f>
        <v>16239.576625424</v>
      </c>
      <c r="V999" s="7" t="n">
        <f aca="false">E999*2/27+V998*25/27</f>
        <v>15947.3203677179</v>
      </c>
      <c r="W999" s="7" t="n">
        <f aca="false">U999-V999</f>
        <v>292.256257706144</v>
      </c>
      <c r="X999" s="7" t="n">
        <f aca="false">W999*2/10+X998*8/10</f>
        <v>256.028178281059</v>
      </c>
      <c r="Y999" s="7" t="n">
        <f aca="false">W999-X999</f>
        <v>36.2280794250844</v>
      </c>
      <c r="Z999" s="8" t="s">
        <v>42</v>
      </c>
      <c r="AA999" s="7" t="str">
        <f aca="false">IFERROR(INDEX(02_轉折點45!B:B,MATCH(A999,02_轉折點45!A:A,0)),"")</f>
        <v/>
      </c>
      <c r="AB999" s="7" t="n">
        <f aca="false">COUNTIFS(05_訊號明細!A:A,A999,05_訊號明細!C:C,"TOP")</f>
        <v>0</v>
      </c>
      <c r="AC999" s="7" t="n">
        <f aca="false">COUNTIFS(05_訊號明細!A:A,A999,05_訊號明細!C:C,"BOTTOM")</f>
        <v>0</v>
      </c>
    </row>
    <row r="1000" customFormat="false" ht="15" hidden="false" customHeight="false" outlineLevel="0" collapsed="false">
      <c r="A1000" s="7" t="s">
        <v>1041</v>
      </c>
      <c r="B1000" s="7" t="n">
        <v>16631.11</v>
      </c>
      <c r="C1000" s="7" t="n">
        <v>16764.32</v>
      </c>
      <c r="D1000" s="7" t="n">
        <v>16629.29</v>
      </c>
      <c r="E1000" s="7" t="n">
        <v>16729.8</v>
      </c>
      <c r="F1000" s="7" t="n">
        <v>5866</v>
      </c>
      <c r="G1000" s="7" t="n">
        <f aca="false">AVERAGE(E996:E1000)</f>
        <v>16561.54</v>
      </c>
      <c r="H1000" s="7" t="n">
        <f aca="false">AVERAGE(E991:E1000)</f>
        <v>16280.237</v>
      </c>
      <c r="I1000" s="7" t="n">
        <f aca="false">AVERAGE(E981:E1000)</f>
        <v>16124.579</v>
      </c>
      <c r="J1000" s="7" t="n">
        <f aca="false">AVERAGE(E951:E1000)</f>
        <v>15467.0998</v>
      </c>
      <c r="K1000" s="7" t="n">
        <f aca="false">AVERAGE(E901:E1000)</f>
        <v>15288.5088</v>
      </c>
      <c r="L1000" s="7" t="n">
        <f aca="false">AVERAGE(E801:E1000)</f>
        <v>14562.74225</v>
      </c>
      <c r="M1000" s="7" t="n">
        <f aca="false">I1000</f>
        <v>16124.579</v>
      </c>
      <c r="N1000" s="7" t="n">
        <f aca="false">I1000+2*STDEV(E981:E1000)</f>
        <v>16685.4495469142</v>
      </c>
      <c r="O1000" s="7" t="n">
        <f aca="false">I1000-2*STDEV(E981:E1000)</f>
        <v>15563.7084530858</v>
      </c>
      <c r="P1000" s="7" t="n">
        <f aca="false">MAX(E1000-E999,0)</f>
        <v>106.349999999999</v>
      </c>
      <c r="Q1000" s="7" t="n">
        <f aca="false">MAX(E999-E1000,0)</f>
        <v>0</v>
      </c>
      <c r="R1000" s="7" t="n">
        <f aca="false">(R999*13+P1000)/14</f>
        <v>81.2046147238119</v>
      </c>
      <c r="S1000" s="7" t="n">
        <f aca="false">(S999*13+Q1000)/14</f>
        <v>24.0781050154508</v>
      </c>
      <c r="T1000" s="7" t="n">
        <f aca="false">IF(S1000=0,100,100-100/(1+R1000/S1000))</f>
        <v>77.1300503301194</v>
      </c>
      <c r="U1000" s="7" t="n">
        <f aca="false">E1000*2/13+U999*11/13</f>
        <v>16314.995606128</v>
      </c>
      <c r="V1000" s="7" t="n">
        <f aca="false">E1000*2/27+V999*25/27</f>
        <v>16005.281821961</v>
      </c>
      <c r="W1000" s="7" t="n">
        <f aca="false">U1000-V1000</f>
        <v>309.713784167021</v>
      </c>
      <c r="X1000" s="7" t="n">
        <f aca="false">W1000*2/10+X999*8/10</f>
        <v>266.765299458251</v>
      </c>
      <c r="Y1000" s="7" t="n">
        <f aca="false">W1000-X1000</f>
        <v>42.9484847087696</v>
      </c>
      <c r="Z1000" s="8" t="s">
        <v>42</v>
      </c>
      <c r="AA1000" s="7" t="str">
        <f aca="false">IFERROR(INDEX(02_轉折點45!B:B,MATCH(A1000,02_轉折點45!A:A,0)),"")</f>
        <v/>
      </c>
      <c r="AB1000" s="7" t="n">
        <f aca="false">COUNTIFS(05_訊號明細!A:A,A1000,05_訊號明細!C:C,"TOP")</f>
        <v>0</v>
      </c>
      <c r="AC1000" s="7" t="n">
        <f aca="false">COUNTIFS(05_訊號明細!A:A,A1000,05_訊號明細!C:C,"BOTTOM")</f>
        <v>0</v>
      </c>
    </row>
    <row r="1001" customFormat="false" ht="15" hidden="false" customHeight="false" outlineLevel="0" collapsed="false">
      <c r="A1001" s="7" t="s">
        <v>1042</v>
      </c>
      <c r="B1001" s="7" t="n">
        <v>16734.25</v>
      </c>
      <c r="C1001" s="7" t="n">
        <v>16813.01</v>
      </c>
      <c r="D1001" s="7" t="n">
        <v>16733.38</v>
      </c>
      <c r="E1001" s="7" t="n">
        <v>16811.85</v>
      </c>
      <c r="F1001" s="7" t="n">
        <v>5757</v>
      </c>
      <c r="G1001" s="7" t="n">
        <f aca="false">AVERAGE(E997:E1001)</f>
        <v>16653.06</v>
      </c>
      <c r="H1001" s="7" t="n">
        <f aca="false">AVERAGE(E992:E1001)</f>
        <v>16373.651</v>
      </c>
      <c r="I1001" s="7" t="n">
        <f aca="false">AVERAGE(E982:E1001)</f>
        <v>16163.8185</v>
      </c>
      <c r="J1001" s="7" t="n">
        <f aca="false">AVERAGE(E952:E1001)</f>
        <v>15502.3938</v>
      </c>
      <c r="K1001" s="7" t="n">
        <f aca="false">AVERAGE(E902:E1001)</f>
        <v>15299.118</v>
      </c>
      <c r="L1001" s="7" t="n">
        <f aca="false">AVERAGE(E802:E1001)</f>
        <v>14585.2891</v>
      </c>
      <c r="M1001" s="7" t="n">
        <f aca="false">I1001</f>
        <v>16163.8185</v>
      </c>
      <c r="N1001" s="7" t="n">
        <f aca="false">I1001+2*STDEV(E982:E1001)</f>
        <v>16800.6315543252</v>
      </c>
      <c r="O1001" s="7" t="n">
        <f aca="false">I1001-2*STDEV(E982:E1001)</f>
        <v>15527.0054456748</v>
      </c>
      <c r="P1001" s="7" t="n">
        <f aca="false">MAX(E1001-E1000,0)</f>
        <v>82.0499999999993</v>
      </c>
      <c r="Q1001" s="7" t="n">
        <f aca="false">MAX(E1000-E1001,0)</f>
        <v>0</v>
      </c>
      <c r="R1001" s="7" t="n">
        <f aca="false">(R1000*13+P1001)/14</f>
        <v>81.2649993863967</v>
      </c>
      <c r="S1001" s="7" t="n">
        <f aca="false">(S1000*13+Q1001)/14</f>
        <v>22.35824037149</v>
      </c>
      <c r="T1001" s="7" t="n">
        <f aca="false">IF(S1001=0,100,100-100/(1+R1001/S1001))</f>
        <v>78.423526977414</v>
      </c>
      <c r="U1001" s="7" t="n">
        <f aca="false">E1001*2/13+U1000*11/13</f>
        <v>16391.4347436468</v>
      </c>
      <c r="V1001" s="7" t="n">
        <f aca="false">E1001*2/27+V1000*25/27</f>
        <v>16065.0276129268</v>
      </c>
      <c r="W1001" s="7" t="n">
        <f aca="false">U1001-V1001</f>
        <v>326.407130719934</v>
      </c>
      <c r="X1001" s="7" t="n">
        <f aca="false">W1001*2/10+X1000*8/10</f>
        <v>278.693665710588</v>
      </c>
      <c r="Y1001" s="7" t="n">
        <f aca="false">W1001-X1001</f>
        <v>47.7134650093459</v>
      </c>
      <c r="Z1001" s="8" t="s">
        <v>42</v>
      </c>
      <c r="AA1001" s="7" t="str">
        <f aca="false">IFERROR(INDEX(02_轉折點45!B:B,MATCH(A1001,02_轉折點45!A:A,0)),"")</f>
        <v/>
      </c>
      <c r="AB1001" s="7" t="n">
        <f aca="false">COUNTIFS(05_訊號明細!A:A,A1001,05_訊號明細!C:C,"TOP")</f>
        <v>0</v>
      </c>
      <c r="AC1001" s="7" t="n">
        <f aca="false">COUNTIFS(05_訊號明細!A:A,A1001,05_訊號明細!C:C,"BOTTOM")</f>
        <v>0</v>
      </c>
    </row>
    <row r="1002" customFormat="false" ht="15" hidden="false" customHeight="false" outlineLevel="0" collapsed="false">
      <c r="A1002" s="7" t="s">
        <v>1043</v>
      </c>
      <c r="B1002" s="7" t="n">
        <v>16763.64</v>
      </c>
      <c r="C1002" s="7" t="n">
        <v>16860.68</v>
      </c>
      <c r="D1002" s="7" t="n">
        <v>16552.06</v>
      </c>
      <c r="E1002" s="7" t="n">
        <v>16554.16</v>
      </c>
      <c r="F1002" s="7" t="n">
        <v>6295</v>
      </c>
      <c r="G1002" s="7" t="n">
        <f aca="false">AVERAGE(E998:E1002)</f>
        <v>16651.418</v>
      </c>
      <c r="H1002" s="7" t="n">
        <f aca="false">AVERAGE(E993:E1002)</f>
        <v>16450.262</v>
      </c>
      <c r="I1002" s="7" t="n">
        <f aca="false">AVERAGE(E983:E1002)</f>
        <v>16194.8455</v>
      </c>
      <c r="J1002" s="7" t="n">
        <f aca="false">AVERAGE(E953:E1002)</f>
        <v>15530.8466</v>
      </c>
      <c r="K1002" s="7" t="n">
        <f aca="false">AVERAGE(E903:E1002)</f>
        <v>15307.0896</v>
      </c>
      <c r="L1002" s="7" t="n">
        <f aca="false">AVERAGE(E803:E1002)</f>
        <v>14607.29905</v>
      </c>
      <c r="M1002" s="7" t="n">
        <f aca="false">I1002</f>
        <v>16194.8455</v>
      </c>
      <c r="N1002" s="7" t="n">
        <f aca="false">I1002+2*STDEV(E983:E1002)</f>
        <v>16844.7674802399</v>
      </c>
      <c r="O1002" s="7" t="n">
        <f aca="false">I1002-2*STDEV(E983:E1002)</f>
        <v>15544.9235197601</v>
      </c>
      <c r="P1002" s="7" t="n">
        <f aca="false">MAX(E1002-E1001,0)</f>
        <v>0</v>
      </c>
      <c r="Q1002" s="7" t="n">
        <f aca="false">MAX(E1001-E1002,0)</f>
        <v>257.689999999999</v>
      </c>
      <c r="R1002" s="7" t="n">
        <f aca="false">(R1001*13+P1002)/14</f>
        <v>75.4603565730826</v>
      </c>
      <c r="S1002" s="7" t="n">
        <f aca="false">(S1001*13+Q1002)/14</f>
        <v>39.1676517735264</v>
      </c>
      <c r="T1002" s="7" t="n">
        <f aca="false">IF(S1002=0,100,100-100/(1+R1002/S1002))</f>
        <v>65.8306444136303</v>
      </c>
      <c r="U1002" s="7" t="n">
        <f aca="false">E1002*2/13+U1001*11/13</f>
        <v>16416.4693984703</v>
      </c>
      <c r="V1002" s="7" t="n">
        <f aca="false">E1002*2/27+V1001*25/27</f>
        <v>16101.2596415989</v>
      </c>
      <c r="W1002" s="7" t="n">
        <f aca="false">U1002-V1002</f>
        <v>315.20975687142</v>
      </c>
      <c r="X1002" s="7" t="n">
        <f aca="false">W1002*2/10+X1001*8/10</f>
        <v>285.996883942754</v>
      </c>
      <c r="Y1002" s="7" t="n">
        <f aca="false">W1002-X1002</f>
        <v>29.2128729286655</v>
      </c>
      <c r="Z1002" s="8" t="s">
        <v>42</v>
      </c>
      <c r="AA1002" s="7" t="str">
        <f aca="false">IFERROR(INDEX(02_轉折點45!B:B,MATCH(A1002,02_轉折點45!A:A,0)),"")</f>
        <v/>
      </c>
      <c r="AB1002" s="7" t="n">
        <f aca="false">COUNTIFS(05_訊號明細!A:A,A1002,05_訊號明細!C:C,"TOP")</f>
        <v>0</v>
      </c>
      <c r="AC1002" s="7" t="n">
        <f aca="false">COUNTIFS(05_訊號明細!A:A,A1002,05_訊號明細!C:C,"BOTTOM")</f>
        <v>0</v>
      </c>
    </row>
    <row r="1003" customFormat="false" ht="15" hidden="false" customHeight="false" outlineLevel="0" collapsed="false">
      <c r="A1003" s="7" t="s">
        <v>1044</v>
      </c>
      <c r="B1003" s="7" t="n">
        <v>16719.61</v>
      </c>
      <c r="C1003" s="7" t="n">
        <v>16768.02</v>
      </c>
      <c r="D1003" s="7" t="n">
        <v>16621.52</v>
      </c>
      <c r="E1003" s="7" t="n">
        <v>16757.41</v>
      </c>
      <c r="F1003" s="7" t="n">
        <v>5466</v>
      </c>
      <c r="G1003" s="7" t="n">
        <f aca="false">AVERAGE(E999:E1003)</f>
        <v>16695.334</v>
      </c>
      <c r="H1003" s="7" t="n">
        <f aca="false">AVERAGE(E994:E1003)</f>
        <v>16523.754</v>
      </c>
      <c r="I1003" s="7" t="n">
        <f aca="false">AVERAGE(E984:E1003)</f>
        <v>16232.6465</v>
      </c>
      <c r="J1003" s="7" t="n">
        <f aca="false">AVERAGE(E954:E1003)</f>
        <v>15561.1724</v>
      </c>
      <c r="K1003" s="7" t="n">
        <f aca="false">AVERAGE(E904:E1003)</f>
        <v>15317.4836</v>
      </c>
      <c r="L1003" s="7" t="n">
        <f aca="false">AVERAGE(E804:E1003)</f>
        <v>14630.00945</v>
      </c>
      <c r="M1003" s="7" t="n">
        <f aca="false">I1003</f>
        <v>16232.6465</v>
      </c>
      <c r="N1003" s="7" t="n">
        <f aca="false">I1003+2*STDEV(E984:E1003)</f>
        <v>16921.9434310605</v>
      </c>
      <c r="O1003" s="7" t="n">
        <f aca="false">I1003-2*STDEV(E984:E1003)</f>
        <v>15543.3495689395</v>
      </c>
      <c r="P1003" s="7" t="n">
        <f aca="false">MAX(E1003-E1002,0)</f>
        <v>203.25</v>
      </c>
      <c r="Q1003" s="7" t="n">
        <f aca="false">MAX(E1002-E1003,0)</f>
        <v>0</v>
      </c>
      <c r="R1003" s="7" t="n">
        <f aca="false">(R1002*13+P1003)/14</f>
        <v>84.5881882464339</v>
      </c>
      <c r="S1003" s="7" t="n">
        <f aca="false">(S1002*13+Q1003)/14</f>
        <v>36.3699623611316</v>
      </c>
      <c r="T1003" s="7" t="n">
        <f aca="false">IF(S1003=0,100,100-100/(1+R1003/S1003))</f>
        <v>69.9317803897898</v>
      </c>
      <c r="U1003" s="7" t="n">
        <f aca="false">E1003*2/13+U1002*11/13</f>
        <v>16468.9217987057</v>
      </c>
      <c r="V1003" s="7" t="n">
        <f aca="false">E1003*2/27+V1002*25/27</f>
        <v>16149.8633718509</v>
      </c>
      <c r="W1003" s="7" t="n">
        <f aca="false">U1003-V1003</f>
        <v>319.058426854817</v>
      </c>
      <c r="X1003" s="7" t="n">
        <f aca="false">W1003*2/10+X1002*8/10</f>
        <v>292.609192525167</v>
      </c>
      <c r="Y1003" s="7" t="n">
        <f aca="false">W1003-X1003</f>
        <v>26.4492343296504</v>
      </c>
      <c r="Z1003" s="8" t="s">
        <v>42</v>
      </c>
      <c r="AA1003" s="7" t="str">
        <f aca="false">IFERROR(INDEX(02_轉折點45!B:B,MATCH(A1003,02_轉折點45!A:A,0)),"")</f>
        <v/>
      </c>
      <c r="AB1003" s="7" t="n">
        <f aca="false">COUNTIFS(05_訊號明細!A:A,A1003,05_訊號明細!C:C,"TOP")</f>
        <v>0</v>
      </c>
      <c r="AC1003" s="7" t="n">
        <f aca="false">COUNTIFS(05_訊號明細!A:A,A1003,05_訊號明細!C:C,"BOTTOM")</f>
        <v>0</v>
      </c>
    </row>
    <row r="1004" customFormat="false" ht="15" hidden="false" customHeight="false" outlineLevel="0" collapsed="false">
      <c r="A1004" s="7" t="s">
        <v>1045</v>
      </c>
      <c r="B1004" s="7" t="n">
        <v>16799.02</v>
      </c>
      <c r="C1004" s="7" t="n">
        <v>16839.25</v>
      </c>
      <c r="D1004" s="7" t="n">
        <v>16703.57</v>
      </c>
      <c r="E1004" s="7" t="n">
        <v>16777.4</v>
      </c>
      <c r="F1004" s="7" t="n">
        <v>4797</v>
      </c>
      <c r="G1004" s="7" t="n">
        <f aca="false">AVERAGE(E1000:E1004)</f>
        <v>16726.124</v>
      </c>
      <c r="H1004" s="7" t="n">
        <f aca="false">AVERAGE(E995:E1004)</f>
        <v>16593.025</v>
      </c>
      <c r="I1004" s="7" t="n">
        <f aca="false">AVERAGE(E985:E1004)</f>
        <v>16272.416</v>
      </c>
      <c r="J1004" s="7" t="n">
        <f aca="false">AVERAGE(E955:E1004)</f>
        <v>15593.0384</v>
      </c>
      <c r="K1004" s="7" t="n">
        <f aca="false">AVERAGE(E905:E1004)</f>
        <v>15331.5502</v>
      </c>
      <c r="L1004" s="7" t="n">
        <f aca="false">AVERAGE(E805:E1004)</f>
        <v>14653.91705</v>
      </c>
      <c r="M1004" s="7" t="n">
        <f aca="false">I1004</f>
        <v>16272.416</v>
      </c>
      <c r="N1004" s="7" t="n">
        <f aca="false">I1004+2*STDEV(E985:E1004)</f>
        <v>16991.9442356597</v>
      </c>
      <c r="O1004" s="7" t="n">
        <f aca="false">I1004-2*STDEV(E985:E1004)</f>
        <v>15552.8877643403</v>
      </c>
      <c r="P1004" s="7" t="n">
        <f aca="false">MAX(E1004-E1003,0)</f>
        <v>19.9900000000016</v>
      </c>
      <c r="Q1004" s="7" t="n">
        <f aca="false">MAX(E1003-E1004,0)</f>
        <v>0</v>
      </c>
      <c r="R1004" s="7" t="n">
        <f aca="false">(R1003*13+P1004)/14</f>
        <v>79.9740319431173</v>
      </c>
      <c r="S1004" s="7" t="n">
        <f aca="false">(S1003*13+Q1004)/14</f>
        <v>33.7721079067651</v>
      </c>
      <c r="T1004" s="7" t="n">
        <f aca="false">IF(S1004=0,100,100-100/(1+R1004/S1004))</f>
        <v>70.3092272394156</v>
      </c>
      <c r="U1004" s="7" t="n">
        <f aca="false">E1004*2/13+U1003*11/13</f>
        <v>16516.3799835202</v>
      </c>
      <c r="V1004" s="7" t="n">
        <f aca="false">E1004*2/27+V1003*25/27</f>
        <v>16196.3475665286</v>
      </c>
      <c r="W1004" s="7" t="n">
        <f aca="false">U1004-V1004</f>
        <v>320.032416991617</v>
      </c>
      <c r="X1004" s="7" t="n">
        <f aca="false">W1004*2/10+X1003*8/10</f>
        <v>298.093837418457</v>
      </c>
      <c r="Y1004" s="7" t="n">
        <f aca="false">W1004-X1004</f>
        <v>21.9385795731598</v>
      </c>
      <c r="Z1004" s="8" t="s">
        <v>42</v>
      </c>
      <c r="AA1004" s="7" t="str">
        <f aca="false">IFERROR(INDEX(02_轉折點45!B:B,MATCH(A1004,02_轉折點45!A:A,0)),"")</f>
        <v/>
      </c>
      <c r="AB1004" s="7" t="n">
        <f aca="false">COUNTIFS(05_訊號明細!A:A,A1004,05_訊號明細!C:C,"TOP")</f>
        <v>0</v>
      </c>
      <c r="AC1004" s="7" t="n">
        <f aca="false">COUNTIFS(05_訊號明細!A:A,A1004,05_訊號明細!C:C,"BOTTOM")</f>
        <v>0</v>
      </c>
    </row>
    <row r="1005" customFormat="false" ht="15" hidden="false" customHeight="false" outlineLevel="0" collapsed="false">
      <c r="A1005" s="7" t="s">
        <v>1046</v>
      </c>
      <c r="B1005" s="7" t="n">
        <v>16816.78</v>
      </c>
      <c r="C1005" s="7" t="n">
        <v>16907.51</v>
      </c>
      <c r="D1005" s="7" t="n">
        <v>16813.57</v>
      </c>
      <c r="E1005" s="7" t="n">
        <v>16878.46</v>
      </c>
      <c r="F1005" s="7" t="n">
        <v>6121</v>
      </c>
      <c r="G1005" s="7" t="n">
        <f aca="false">AVERAGE(E1001:E1005)</f>
        <v>16755.856</v>
      </c>
      <c r="H1005" s="7" t="n">
        <f aca="false">AVERAGE(E996:E1005)</f>
        <v>16658.698</v>
      </c>
      <c r="I1005" s="7" t="n">
        <f aca="false">AVERAGE(E986:E1005)</f>
        <v>16318.24</v>
      </c>
      <c r="J1005" s="7" t="n">
        <f aca="false">AVERAGE(E956:E1005)</f>
        <v>15630.7052</v>
      </c>
      <c r="K1005" s="7" t="n">
        <f aca="false">AVERAGE(E906:E1005)</f>
        <v>15346.7994</v>
      </c>
      <c r="L1005" s="7" t="n">
        <f aca="false">AVERAGE(E806:E1005)</f>
        <v>14679.15795</v>
      </c>
      <c r="M1005" s="7" t="n">
        <f aca="false">I1005</f>
        <v>16318.24</v>
      </c>
      <c r="N1005" s="7" t="n">
        <f aca="false">I1005+2*STDEV(E986:E1005)</f>
        <v>17070.5132187598</v>
      </c>
      <c r="O1005" s="7" t="n">
        <f aca="false">I1005-2*STDEV(E986:E1005)</f>
        <v>15565.9667812402</v>
      </c>
      <c r="P1005" s="7" t="n">
        <f aca="false">MAX(E1005-E1004,0)</f>
        <v>101.059999999998</v>
      </c>
      <c r="Q1005" s="7" t="n">
        <f aca="false">MAX(E1004-E1005,0)</f>
        <v>0</v>
      </c>
      <c r="R1005" s="7" t="n">
        <f aca="false">(R1004*13+P1005)/14</f>
        <v>81.4801725186087</v>
      </c>
      <c r="S1005" s="7" t="n">
        <f aca="false">(S1004*13+Q1005)/14</f>
        <v>31.3598144848533</v>
      </c>
      <c r="T1005" s="7" t="n">
        <f aca="false">IF(S1005=0,100,100-100/(1+R1005/S1005))</f>
        <v>72.2085979291267</v>
      </c>
      <c r="U1005" s="7" t="n">
        <f aca="false">E1005*2/13+U1004*11/13</f>
        <v>16572.0846014402</v>
      </c>
      <c r="V1005" s="7" t="n">
        <f aca="false">E1005*2/27+V1004*25/27</f>
        <v>16246.8744134524</v>
      </c>
      <c r="W1005" s="7" t="n">
        <f aca="false">U1005-V1005</f>
        <v>325.210187987777</v>
      </c>
      <c r="X1005" s="7" t="n">
        <f aca="false">W1005*2/10+X1004*8/10</f>
        <v>303.517107532321</v>
      </c>
      <c r="Y1005" s="7" t="n">
        <f aca="false">W1005-X1005</f>
        <v>21.6930804554564</v>
      </c>
      <c r="Z1005" s="8" t="s">
        <v>42</v>
      </c>
      <c r="AA1005" s="7" t="str">
        <f aca="false">IFERROR(INDEX(02_轉折點45!B:B,MATCH(A1005,02_轉折點45!A:A,0)),"")</f>
        <v/>
      </c>
      <c r="AB1005" s="7" t="n">
        <f aca="false">COUNTIFS(05_訊號明細!A:A,A1005,05_訊號明細!C:C,"TOP")</f>
        <v>0</v>
      </c>
      <c r="AC1005" s="7" t="n">
        <f aca="false">COUNTIFS(05_訊號明細!A:A,A1005,05_訊號明細!C:C,"BOTTOM")</f>
        <v>0</v>
      </c>
    </row>
    <row r="1006" customFormat="false" ht="15" hidden="false" customHeight="false" outlineLevel="0" collapsed="false">
      <c r="A1006" s="7" t="s">
        <v>1047</v>
      </c>
      <c r="B1006" s="7" t="n">
        <v>16896.14</v>
      </c>
      <c r="C1006" s="7" t="n">
        <v>16922.01</v>
      </c>
      <c r="D1006" s="7" t="n">
        <v>16859.55</v>
      </c>
      <c r="E1006" s="7" t="n">
        <v>16906.8</v>
      </c>
      <c r="F1006" s="7" t="n">
        <v>7480</v>
      </c>
      <c r="G1006" s="7" t="n">
        <f aca="false">AVERAGE(E1002:E1006)</f>
        <v>16774.846</v>
      </c>
      <c r="H1006" s="7" t="n">
        <f aca="false">AVERAGE(E997:E1006)</f>
        <v>16713.953</v>
      </c>
      <c r="I1006" s="7" t="n">
        <f aca="false">AVERAGE(E987:E1006)</f>
        <v>16363.0585</v>
      </c>
      <c r="J1006" s="7" t="n">
        <f aca="false">AVERAGE(E957:E1006)</f>
        <v>15665.3866</v>
      </c>
      <c r="K1006" s="7" t="n">
        <f aca="false">AVERAGE(E907:E1006)</f>
        <v>15363.1182</v>
      </c>
      <c r="L1006" s="7" t="n">
        <f aca="false">AVERAGE(E807:E1006)</f>
        <v>14704.0761</v>
      </c>
      <c r="M1006" s="7" t="n">
        <f aca="false">I1006</f>
        <v>16363.0585</v>
      </c>
      <c r="N1006" s="7" t="n">
        <f aca="false">I1006+2*STDEV(E987:E1006)</f>
        <v>17144.3635011703</v>
      </c>
      <c r="O1006" s="7" t="n">
        <f aca="false">I1006-2*STDEV(E987:E1006)</f>
        <v>15581.7534988297</v>
      </c>
      <c r="P1006" s="7" t="n">
        <f aca="false">MAX(E1006-E1005,0)</f>
        <v>28.3400000000001</v>
      </c>
      <c r="Q1006" s="7" t="n">
        <f aca="false">MAX(E1005-E1006,0)</f>
        <v>0</v>
      </c>
      <c r="R1006" s="7" t="n">
        <f aca="false">(R1005*13+P1006)/14</f>
        <v>77.6844459101367</v>
      </c>
      <c r="S1006" s="7" t="n">
        <f aca="false">(S1005*13+Q1006)/14</f>
        <v>29.1198277359352</v>
      </c>
      <c r="T1006" s="7" t="n">
        <f aca="false">IF(S1006=0,100,100-100/(1+R1006/S1006))</f>
        <v>72.7353346997776</v>
      </c>
      <c r="U1006" s="7" t="n">
        <f aca="false">E1006*2/13+U1005*11/13</f>
        <v>16623.5792781417</v>
      </c>
      <c r="V1006" s="7" t="n">
        <f aca="false">E1006*2/27+V1005*25/27</f>
        <v>16295.7577902337</v>
      </c>
      <c r="W1006" s="7" t="n">
        <f aca="false">U1006-V1006</f>
        <v>327.821487907986</v>
      </c>
      <c r="X1006" s="7" t="n">
        <f aca="false">W1006*2/10+X1005*8/10</f>
        <v>308.377983607454</v>
      </c>
      <c r="Y1006" s="7" t="n">
        <f aca="false">W1006-X1006</f>
        <v>19.4435043005321</v>
      </c>
      <c r="Z1006" s="8" t="s">
        <v>42</v>
      </c>
      <c r="AA1006" s="7" t="str">
        <f aca="false">IFERROR(INDEX(02_轉折點45!B:B,MATCH(A1006,02_轉折點45!A:A,0)),"")</f>
        <v/>
      </c>
      <c r="AB1006" s="7" t="n">
        <f aca="false">COUNTIFS(05_訊號明細!A:A,A1006,05_訊號明細!C:C,"TOP")</f>
        <v>0</v>
      </c>
      <c r="AC1006" s="7" t="n">
        <f aca="false">COUNTIFS(05_訊號明細!A:A,A1006,05_訊號明細!C:C,"BOTTOM")</f>
        <v>0</v>
      </c>
    </row>
    <row r="1007" customFormat="false" ht="15" hidden="false" customHeight="false" outlineLevel="0" collapsed="false">
      <c r="A1007" s="7" t="s">
        <v>1048</v>
      </c>
      <c r="B1007" s="7" t="n">
        <v>16963.52</v>
      </c>
      <c r="C1007" s="7" t="n">
        <v>16969.17</v>
      </c>
      <c r="D1007" s="7" t="n">
        <v>16891.32</v>
      </c>
      <c r="E1007" s="7" t="n">
        <v>16898.47</v>
      </c>
      <c r="F1007" s="7" t="n">
        <v>5091</v>
      </c>
      <c r="G1007" s="7" t="n">
        <f aca="false">AVERAGE(E1003:E1007)</f>
        <v>16843.708</v>
      </c>
      <c r="H1007" s="7" t="n">
        <f aca="false">AVERAGE(E998:E1007)</f>
        <v>16747.563</v>
      </c>
      <c r="I1007" s="7" t="n">
        <f aca="false">AVERAGE(E988:E1007)</f>
        <v>16408.602</v>
      </c>
      <c r="J1007" s="7" t="n">
        <f aca="false">AVERAGE(E958:E1007)</f>
        <v>15700.9158</v>
      </c>
      <c r="K1007" s="7" t="n">
        <f aca="false">AVERAGE(E908:E1007)</f>
        <v>15378.0244</v>
      </c>
      <c r="L1007" s="7" t="n">
        <f aca="false">AVERAGE(E808:E1007)</f>
        <v>14727.5695</v>
      </c>
      <c r="M1007" s="7" t="n">
        <f aca="false">I1007</f>
        <v>16408.602</v>
      </c>
      <c r="N1007" s="7" t="n">
        <f aca="false">I1007+2*STDEV(E988:E1007)</f>
        <v>17203.8232971468</v>
      </c>
      <c r="O1007" s="7" t="n">
        <f aca="false">I1007-2*STDEV(E988:E1007)</f>
        <v>15613.3807028532</v>
      </c>
      <c r="P1007" s="7" t="n">
        <f aca="false">MAX(E1007-E1006,0)</f>
        <v>0</v>
      </c>
      <c r="Q1007" s="7" t="n">
        <f aca="false">MAX(E1006-E1007,0)</f>
        <v>8.32999999999811</v>
      </c>
      <c r="R1007" s="7" t="n">
        <f aca="false">(R1006*13+P1007)/14</f>
        <v>72.1355569165555</v>
      </c>
      <c r="S1007" s="7" t="n">
        <f aca="false">(S1006*13+Q1007)/14</f>
        <v>27.6348400405111</v>
      </c>
      <c r="T1007" s="7" t="n">
        <f aca="false">IF(S1007=0,100,100-100/(1+R1007/S1007))</f>
        <v>72.3015635064547</v>
      </c>
      <c r="U1007" s="7" t="n">
        <f aca="false">E1007*2/13+U1006*11/13</f>
        <v>16665.8701584276</v>
      </c>
      <c r="V1007" s="7" t="n">
        <f aca="false">E1007*2/27+V1006*25/27</f>
        <v>16340.4031391053</v>
      </c>
      <c r="W1007" s="7" t="n">
        <f aca="false">U1007-V1007</f>
        <v>325.467019322306</v>
      </c>
      <c r="X1007" s="7" t="n">
        <f aca="false">W1007*2/10+X1006*8/10</f>
        <v>311.795790750424</v>
      </c>
      <c r="Y1007" s="7" t="n">
        <f aca="false">W1007-X1007</f>
        <v>13.671228571882</v>
      </c>
      <c r="Z1007" s="8" t="s">
        <v>42</v>
      </c>
      <c r="AA1007" s="7" t="str">
        <f aca="false">IFERROR(INDEX(02_轉折點45!B:B,MATCH(A1007,02_轉折點45!A:A,0)),"")</f>
        <v/>
      </c>
      <c r="AB1007" s="7" t="n">
        <f aca="false">COUNTIFS(05_訊號明細!A:A,A1007,05_訊號明細!C:C,"TOP")</f>
        <v>0</v>
      </c>
      <c r="AC1007" s="7" t="n">
        <f aca="false">COUNTIFS(05_訊號明細!A:A,A1007,05_訊號明細!C:C,"BOTTOM")</f>
        <v>0</v>
      </c>
    </row>
    <row r="1008" customFormat="false" ht="15" hidden="false" customHeight="false" outlineLevel="0" collapsed="false">
      <c r="A1008" s="7" t="s">
        <v>1049</v>
      </c>
      <c r="B1008" s="7" t="n">
        <v>16902.44</v>
      </c>
      <c r="C1008" s="7" t="n">
        <v>16919.51</v>
      </c>
      <c r="D1008" s="7" t="n">
        <v>16757.89</v>
      </c>
      <c r="E1008" s="7" t="n">
        <v>16825.93</v>
      </c>
      <c r="F1008" s="7" t="n">
        <v>5441</v>
      </c>
      <c r="G1008" s="7" t="n">
        <f aca="false">AVERAGE(E1004:E1008)</f>
        <v>16857.412</v>
      </c>
      <c r="H1008" s="7" t="n">
        <f aca="false">AVERAGE(E999:E1008)</f>
        <v>16776.373</v>
      </c>
      <c r="I1008" s="7" t="n">
        <f aca="false">AVERAGE(E989:E1008)</f>
        <v>16452.505</v>
      </c>
      <c r="J1008" s="7" t="n">
        <f aca="false">AVERAGE(E959:E1008)</f>
        <v>15739.2492</v>
      </c>
      <c r="K1008" s="7" t="n">
        <f aca="false">AVERAGE(E909:E1008)</f>
        <v>15393.5532</v>
      </c>
      <c r="L1008" s="7" t="n">
        <f aca="false">AVERAGE(E809:E1008)</f>
        <v>14750.44255</v>
      </c>
      <c r="M1008" s="7" t="n">
        <f aca="false">I1008</f>
        <v>16452.505</v>
      </c>
      <c r="N1008" s="7" t="n">
        <f aca="false">I1008+2*STDEV(E989:E1008)</f>
        <v>17237.51315214</v>
      </c>
      <c r="O1008" s="7" t="n">
        <f aca="false">I1008-2*STDEV(E989:E1008)</f>
        <v>15667.49684786</v>
      </c>
      <c r="P1008" s="7" t="n">
        <f aca="false">MAX(E1008-E1007,0)</f>
        <v>0</v>
      </c>
      <c r="Q1008" s="7" t="n">
        <f aca="false">MAX(E1007-E1008,0)</f>
        <v>72.5400000000009</v>
      </c>
      <c r="R1008" s="7" t="n">
        <f aca="false">(R1007*13+P1008)/14</f>
        <v>66.9830171368015</v>
      </c>
      <c r="S1008" s="7" t="n">
        <f aca="false">(S1007*13+Q1008)/14</f>
        <v>30.842351466189</v>
      </c>
      <c r="T1008" s="7" t="n">
        <f aca="false">IF(S1008=0,100,100-100/(1+R1008/S1008))</f>
        <v>68.4720314304585</v>
      </c>
      <c r="U1008" s="7" t="n">
        <f aca="false">E1008*2/13+U1007*11/13</f>
        <v>16690.4947494387</v>
      </c>
      <c r="V1008" s="7" t="n">
        <f aca="false">E1008*2/27+V1007*25/27</f>
        <v>16376.3680917641</v>
      </c>
      <c r="W1008" s="7" t="n">
        <f aca="false">U1008-V1008</f>
        <v>314.12665767458</v>
      </c>
      <c r="X1008" s="7" t="n">
        <f aca="false">W1008*2/10+X1007*8/10</f>
        <v>312.261964135256</v>
      </c>
      <c r="Y1008" s="7" t="n">
        <f aca="false">W1008-X1008</f>
        <v>1.86469353932461</v>
      </c>
      <c r="Z1008" s="8" t="s">
        <v>42</v>
      </c>
      <c r="AA1008" s="7" t="str">
        <f aca="false">IFERROR(INDEX(02_轉折點45!B:B,MATCH(A1008,02_轉折點45!A:A,0)),"")</f>
        <v/>
      </c>
      <c r="AB1008" s="7" t="n">
        <f aca="false">COUNTIFS(05_訊號明細!A:A,A1008,05_訊號明細!C:C,"TOP")</f>
        <v>0</v>
      </c>
      <c r="AC1008" s="7" t="n">
        <f aca="false">COUNTIFS(05_訊號明細!A:A,A1008,05_訊號明細!C:C,"BOTTOM")</f>
        <v>0</v>
      </c>
    </row>
    <row r="1009" customFormat="false" ht="15" hidden="false" customHeight="false" outlineLevel="0" collapsed="false">
      <c r="A1009" s="7" t="s">
        <v>1050</v>
      </c>
      <c r="B1009" s="7" t="n">
        <v>16667.3</v>
      </c>
      <c r="C1009" s="7" t="n">
        <v>16686.6</v>
      </c>
      <c r="D1009" s="7" t="n">
        <v>16453.15</v>
      </c>
      <c r="E1009" s="7" t="n">
        <v>16543.94</v>
      </c>
      <c r="F1009" s="7" t="n">
        <v>5791</v>
      </c>
      <c r="G1009" s="7" t="n">
        <f aca="false">AVERAGE(E1005:E1009)</f>
        <v>16810.72</v>
      </c>
      <c r="H1009" s="7" t="n">
        <f aca="false">AVERAGE(E1000:E1009)</f>
        <v>16768.422</v>
      </c>
      <c r="I1009" s="7" t="n">
        <f aca="false">AVERAGE(E990:E1009)</f>
        <v>16479.823</v>
      </c>
      <c r="J1009" s="7" t="n">
        <f aca="false">AVERAGE(E960:E1009)</f>
        <v>15774.4654</v>
      </c>
      <c r="K1009" s="7" t="n">
        <f aca="false">AVERAGE(E910:E1009)</f>
        <v>15407.9755</v>
      </c>
      <c r="L1009" s="7" t="n">
        <f aca="false">AVERAGE(E810:E1009)</f>
        <v>14770.2553</v>
      </c>
      <c r="M1009" s="7" t="n">
        <f aca="false">I1009</f>
        <v>16479.823</v>
      </c>
      <c r="N1009" s="7" t="n">
        <f aca="false">I1009+2*STDEV(E990:E1009)</f>
        <v>17235.6575246387</v>
      </c>
      <c r="O1009" s="7" t="n">
        <f aca="false">I1009-2*STDEV(E990:E1009)</f>
        <v>15723.9884753613</v>
      </c>
      <c r="P1009" s="7" t="n">
        <f aca="false">MAX(E1009-E1008,0)</f>
        <v>0</v>
      </c>
      <c r="Q1009" s="7" t="n">
        <f aca="false">MAX(E1008-E1009,0)</f>
        <v>281.990000000002</v>
      </c>
      <c r="R1009" s="7" t="n">
        <f aca="false">(R1008*13+P1009)/14</f>
        <v>62.1985159127443</v>
      </c>
      <c r="S1009" s="7" t="n">
        <f aca="false">(S1008*13+Q1009)/14</f>
        <v>48.7814692186042</v>
      </c>
      <c r="T1009" s="7" t="n">
        <f aca="false">IF(S1009=0,100,100-100/(1+R1009/S1009))</f>
        <v>56.0448046908011</v>
      </c>
      <c r="U1009" s="7" t="n">
        <f aca="false">E1009*2/13+U1008*11/13</f>
        <v>16667.9478649097</v>
      </c>
      <c r="V1009" s="7" t="n">
        <f aca="false">E1009*2/27+V1008*25/27</f>
        <v>16388.7808257075</v>
      </c>
      <c r="W1009" s="7" t="n">
        <f aca="false">U1009-V1009</f>
        <v>279.167039202148</v>
      </c>
      <c r="X1009" s="7" t="n">
        <f aca="false">W1009*2/10+X1008*8/10</f>
        <v>305.642979148634</v>
      </c>
      <c r="Y1009" s="7" t="n">
        <f aca="false">W1009-X1009</f>
        <v>-26.4759399464862</v>
      </c>
      <c r="Z1009" s="8" t="s">
        <v>42</v>
      </c>
      <c r="AA1009" s="7" t="str">
        <f aca="false">IFERROR(INDEX(02_轉折點45!B:B,MATCH(A1009,02_轉折點45!A:A,0)),"")</f>
        <v/>
      </c>
      <c r="AB1009" s="7" t="n">
        <f aca="false">COUNTIFS(05_訊號明細!A:A,A1009,05_訊號明細!C:C,"TOP")</f>
        <v>1</v>
      </c>
      <c r="AC1009" s="7" t="n">
        <f aca="false">COUNTIFS(05_訊號明細!A:A,A1009,05_訊號明細!C:C,"BOTTOM")</f>
        <v>0</v>
      </c>
    </row>
    <row r="1010" customFormat="false" ht="15" hidden="false" customHeight="false" outlineLevel="0" collapsed="false">
      <c r="A1010" s="7" t="s">
        <v>1051</v>
      </c>
      <c r="B1010" s="7" t="n">
        <v>16413.26</v>
      </c>
      <c r="C1010" s="7" t="n">
        <v>16471.08</v>
      </c>
      <c r="D1010" s="7" t="n">
        <v>16352.14</v>
      </c>
      <c r="E1010" s="7" t="n">
        <v>16368.49</v>
      </c>
      <c r="F1010" s="7" t="n">
        <v>5450</v>
      </c>
      <c r="G1010" s="7" t="n">
        <f aca="false">AVERAGE(E1006:E1010)</f>
        <v>16708.726</v>
      </c>
      <c r="H1010" s="7" t="n">
        <f aca="false">AVERAGE(E1001:E1010)</f>
        <v>16732.291</v>
      </c>
      <c r="I1010" s="7" t="n">
        <f aca="false">AVERAGE(E991:E1010)</f>
        <v>16506.264</v>
      </c>
      <c r="J1010" s="7" t="n">
        <f aca="false">AVERAGE(E961:E1010)</f>
        <v>15810.6176</v>
      </c>
      <c r="K1010" s="7" t="n">
        <f aca="false">AVERAGE(E911:E1010)</f>
        <v>15420.372</v>
      </c>
      <c r="L1010" s="7" t="n">
        <f aca="false">AVERAGE(E811:E1010)</f>
        <v>14789.49835</v>
      </c>
      <c r="M1010" s="7" t="n">
        <f aca="false">I1010</f>
        <v>16506.264</v>
      </c>
      <c r="N1010" s="7" t="n">
        <f aca="false">I1010+2*STDEV(E991:E1010)</f>
        <v>17202.4527720227</v>
      </c>
      <c r="O1010" s="7" t="n">
        <f aca="false">I1010-2*STDEV(E991:E1010)</f>
        <v>15810.0752279773</v>
      </c>
      <c r="P1010" s="7" t="n">
        <f aca="false">MAX(E1010-E1009,0)</f>
        <v>0</v>
      </c>
      <c r="Q1010" s="7" t="n">
        <f aca="false">MAX(E1009-E1010,0)</f>
        <v>175.449999999999</v>
      </c>
      <c r="R1010" s="7" t="n">
        <f aca="false">(R1009*13+P1010)/14</f>
        <v>57.7557647761197</v>
      </c>
      <c r="S1010" s="7" t="n">
        <f aca="false">(S1009*13+Q1010)/14</f>
        <v>57.8292214172752</v>
      </c>
      <c r="T1010" s="7" t="n">
        <f aca="false">IF(S1010=0,100,100-100/(1+R1010/S1010))</f>
        <v>49.9682239694035</v>
      </c>
      <c r="U1010" s="7" t="n">
        <f aca="false">E1010*2/13+U1009*11/13</f>
        <v>16621.8774241543</v>
      </c>
      <c r="V1010" s="7" t="n">
        <f aca="false">E1010*2/27+V1009*25/27</f>
        <v>16387.277801581</v>
      </c>
      <c r="W1010" s="7" t="n">
        <f aca="false">U1010-V1010</f>
        <v>234.5996225733</v>
      </c>
      <c r="X1010" s="7" t="n">
        <f aca="false">W1010*2/10+X1009*8/10</f>
        <v>291.434307833567</v>
      </c>
      <c r="Y1010" s="7" t="n">
        <f aca="false">W1010-X1010</f>
        <v>-56.8346852602675</v>
      </c>
      <c r="Z1010" s="8" t="s">
        <v>42</v>
      </c>
      <c r="AA1010" s="7" t="str">
        <f aca="false">IFERROR(INDEX(02_轉折點45!B:B,MATCH(A1010,02_轉折點45!A:A,0)),"")</f>
        <v/>
      </c>
      <c r="AB1010" s="7" t="n">
        <f aca="false">COUNTIFS(05_訊號明細!A:A,A1010,05_訊號明細!C:C,"TOP")</f>
        <v>1</v>
      </c>
      <c r="AC1010" s="7" t="n">
        <f aca="false">COUNTIFS(05_訊號明細!A:A,A1010,05_訊號明細!C:C,"BOTTOM")</f>
        <v>0</v>
      </c>
    </row>
    <row r="1011" customFormat="false" ht="15" hidden="false" customHeight="false" outlineLevel="0" collapsed="false">
      <c r="A1011" s="7" t="s">
        <v>1052</v>
      </c>
      <c r="B1011" s="7" t="n">
        <v>16290.78</v>
      </c>
      <c r="C1011" s="7" t="n">
        <v>16419.44</v>
      </c>
      <c r="D1011" s="7" t="n">
        <v>16276.43</v>
      </c>
      <c r="E1011" s="7" t="n">
        <v>16282.01</v>
      </c>
      <c r="F1011" s="7" t="n">
        <v>5289</v>
      </c>
      <c r="G1011" s="7" t="n">
        <f aca="false">AVERAGE(E1007:E1011)</f>
        <v>16583.768</v>
      </c>
      <c r="H1011" s="7" t="n">
        <f aca="false">AVERAGE(E1002:E1011)</f>
        <v>16679.307</v>
      </c>
      <c r="I1011" s="7" t="n">
        <f aca="false">AVERAGE(E992:E1011)</f>
        <v>16526.479</v>
      </c>
      <c r="J1011" s="7" t="n">
        <f aca="false">AVERAGE(E962:E1011)</f>
        <v>15844.1608</v>
      </c>
      <c r="K1011" s="7" t="n">
        <f aca="false">AVERAGE(E912:E1011)</f>
        <v>15432.9114</v>
      </c>
      <c r="L1011" s="7" t="n">
        <f aca="false">AVERAGE(E812:E1011)</f>
        <v>14808.09535</v>
      </c>
      <c r="M1011" s="7" t="n">
        <f aca="false">I1011</f>
        <v>16526.479</v>
      </c>
      <c r="N1011" s="7" t="n">
        <f aca="false">I1011+2*STDEV(E992:E1011)</f>
        <v>17167.0808766885</v>
      </c>
      <c r="O1011" s="7" t="n">
        <f aca="false">I1011-2*STDEV(E992:E1011)</f>
        <v>15885.8771233115</v>
      </c>
      <c r="P1011" s="7" t="n">
        <f aca="false">MAX(E1011-E1010,0)</f>
        <v>0</v>
      </c>
      <c r="Q1011" s="7" t="n">
        <f aca="false">MAX(E1010-E1011,0)</f>
        <v>86.4799999999996</v>
      </c>
      <c r="R1011" s="7" t="n">
        <f aca="false">(R1010*13+P1011)/14</f>
        <v>53.6303530063968</v>
      </c>
      <c r="S1011" s="7" t="n">
        <f aca="false">(S1010*13+Q1011)/14</f>
        <v>59.8757056017555</v>
      </c>
      <c r="T1011" s="7" t="n">
        <f aca="false">IF(S1011=0,100,100-100/(1+R1011/S1011))</f>
        <v>47.2488902037736</v>
      </c>
      <c r="U1011" s="7" t="n">
        <f aca="false">E1011*2/13+U1010*11/13</f>
        <v>16569.5901281306</v>
      </c>
      <c r="V1011" s="7" t="n">
        <f aca="false">E1011*2/27+V1010*25/27</f>
        <v>16379.4801866491</v>
      </c>
      <c r="W1011" s="7" t="n">
        <f aca="false">U1011-V1011</f>
        <v>190.109941481482</v>
      </c>
      <c r="X1011" s="7" t="n">
        <f aca="false">W1011*2/10+X1010*8/10</f>
        <v>271.16943456315</v>
      </c>
      <c r="Y1011" s="7" t="n">
        <f aca="false">W1011-X1011</f>
        <v>-81.0594930816684</v>
      </c>
      <c r="Z1011" s="8" t="s">
        <v>42</v>
      </c>
      <c r="AA1011" s="7" t="str">
        <f aca="false">IFERROR(INDEX(02_轉折點45!B:B,MATCH(A1011,02_轉折點45!A:A,0)),"")</f>
        <v/>
      </c>
      <c r="AB1011" s="7" t="n">
        <f aca="false">COUNTIFS(05_訊號明細!A:A,A1011,05_訊號明細!C:C,"TOP")</f>
        <v>0</v>
      </c>
      <c r="AC1011" s="7" t="n">
        <f aca="false">COUNTIFS(05_訊號明細!A:A,A1011,05_訊號明細!C:C,"BOTTOM")</f>
        <v>0</v>
      </c>
    </row>
    <row r="1012" customFormat="false" ht="15" hidden="false" customHeight="false" outlineLevel="0" collapsed="false">
      <c r="A1012" s="7" t="s">
        <v>1053</v>
      </c>
      <c r="B1012" s="7" t="n">
        <v>16281.74</v>
      </c>
      <c r="C1012" s="7" t="n">
        <v>16415.39</v>
      </c>
      <c r="D1012" s="7" t="n">
        <v>16249.19</v>
      </c>
      <c r="E1012" s="7" t="n">
        <v>16305.98</v>
      </c>
      <c r="F1012" s="7" t="n">
        <v>5233</v>
      </c>
      <c r="G1012" s="7" t="n">
        <f aca="false">AVERAGE(E1008:E1012)</f>
        <v>16465.27</v>
      </c>
      <c r="H1012" s="7" t="n">
        <f aca="false">AVERAGE(E1003:E1012)</f>
        <v>16654.489</v>
      </c>
      <c r="I1012" s="7" t="n">
        <f aca="false">AVERAGE(E993:E1012)</f>
        <v>16552.3755</v>
      </c>
      <c r="J1012" s="7" t="n">
        <f aca="false">AVERAGE(E963:E1012)</f>
        <v>15875.3632</v>
      </c>
      <c r="K1012" s="7" t="n">
        <f aca="false">AVERAGE(E913:E1012)</f>
        <v>15443.9153</v>
      </c>
      <c r="L1012" s="7" t="n">
        <f aca="false">AVERAGE(E813:E1012)</f>
        <v>14825.91805</v>
      </c>
      <c r="M1012" s="7" t="n">
        <f aca="false">I1012</f>
        <v>16552.3755</v>
      </c>
      <c r="N1012" s="7" t="n">
        <f aca="false">I1012+2*STDEV(E993:E1012)</f>
        <v>17102.8185708544</v>
      </c>
      <c r="O1012" s="7" t="n">
        <f aca="false">I1012-2*STDEV(E993:E1012)</f>
        <v>16001.9324291456</v>
      </c>
      <c r="P1012" s="7" t="n">
        <f aca="false">MAX(E1012-E1011,0)</f>
        <v>23.9699999999993</v>
      </c>
      <c r="Q1012" s="7" t="n">
        <f aca="false">MAX(E1011-E1012,0)</f>
        <v>0</v>
      </c>
      <c r="R1012" s="7" t="n">
        <f aca="false">(R1011*13+P1012)/14</f>
        <v>51.5117563630827</v>
      </c>
      <c r="S1012" s="7" t="n">
        <f aca="false">(S1011*13+Q1012)/14</f>
        <v>55.5988694873444</v>
      </c>
      <c r="T1012" s="7" t="n">
        <f aca="false">IF(S1012=0,100,100-100/(1+R1012/S1012))</f>
        <v>48.0921065992234</v>
      </c>
      <c r="U1012" s="7" t="n">
        <f aca="false">E1012*2/13+U1011*11/13</f>
        <v>16529.0347238028</v>
      </c>
      <c r="V1012" s="7" t="n">
        <f aca="false">E1012*2/27+V1011*25/27</f>
        <v>16374.0357283788</v>
      </c>
      <c r="W1012" s="7" t="n">
        <f aca="false">U1012-V1012</f>
        <v>154.998995424003</v>
      </c>
      <c r="X1012" s="7" t="n">
        <f aca="false">W1012*2/10+X1011*8/10</f>
        <v>247.935346735321</v>
      </c>
      <c r="Y1012" s="7" t="n">
        <f aca="false">W1012-X1012</f>
        <v>-92.9363513113179</v>
      </c>
      <c r="Z1012" s="8" t="s">
        <v>42</v>
      </c>
      <c r="AA1012" s="7" t="str">
        <f aca="false">IFERROR(INDEX(02_轉折點45!B:B,MATCH(A1012,02_轉折點45!A:A,0)),"")</f>
        <v/>
      </c>
      <c r="AB1012" s="7" t="n">
        <f aca="false">COUNTIFS(05_訊號明細!A:A,A1012,05_訊號明細!C:C,"TOP")</f>
        <v>0</v>
      </c>
      <c r="AC1012" s="7" t="n">
        <f aca="false">COUNTIFS(05_訊號明細!A:A,A1012,05_訊號明細!C:C,"BOTTOM")</f>
        <v>0</v>
      </c>
    </row>
    <row r="1013" customFormat="false" ht="15" hidden="false" customHeight="false" outlineLevel="0" collapsed="false">
      <c r="A1013" s="7" t="s">
        <v>1054</v>
      </c>
      <c r="B1013" s="7" t="n">
        <v>16354.22</v>
      </c>
      <c r="C1013" s="7" t="n">
        <v>16655.23</v>
      </c>
      <c r="D1013" s="7" t="n">
        <v>16349.39</v>
      </c>
      <c r="E1013" s="7" t="n">
        <v>16649.87</v>
      </c>
      <c r="F1013" s="7" t="n">
        <v>6338</v>
      </c>
      <c r="G1013" s="7" t="n">
        <f aca="false">AVERAGE(E1009:E1013)</f>
        <v>16430.058</v>
      </c>
      <c r="H1013" s="7" t="n">
        <f aca="false">AVERAGE(E1004:E1013)</f>
        <v>16643.735</v>
      </c>
      <c r="I1013" s="7" t="n">
        <f aca="false">AVERAGE(E994:E1013)</f>
        <v>16583.7445</v>
      </c>
      <c r="J1013" s="7" t="n">
        <f aca="false">AVERAGE(E964:E1013)</f>
        <v>15920.7278</v>
      </c>
      <c r="K1013" s="7" t="n">
        <f aca="false">AVERAGE(E914:E1013)</f>
        <v>15460.0375</v>
      </c>
      <c r="L1013" s="7" t="n">
        <f aca="false">AVERAGE(E814:E1013)</f>
        <v>14846.33165</v>
      </c>
      <c r="M1013" s="7" t="n">
        <f aca="false">I1013</f>
        <v>16583.7445</v>
      </c>
      <c r="N1013" s="7" t="n">
        <f aca="false">I1013+2*STDEV(E994:E1013)</f>
        <v>17075.4091758224</v>
      </c>
      <c r="O1013" s="7" t="n">
        <f aca="false">I1013-2*STDEV(E994:E1013)</f>
        <v>16092.0798241776</v>
      </c>
      <c r="P1013" s="7" t="n">
        <f aca="false">MAX(E1013-E1012,0)</f>
        <v>343.889999999999</v>
      </c>
      <c r="Q1013" s="7" t="n">
        <f aca="false">MAX(E1012-E1013,0)</f>
        <v>0</v>
      </c>
      <c r="R1013" s="7" t="n">
        <f aca="false">(R1012*13+P1013)/14</f>
        <v>72.3959166228625</v>
      </c>
      <c r="S1013" s="7" t="n">
        <f aca="false">(S1012*13+Q1013)/14</f>
        <v>51.6275216668198</v>
      </c>
      <c r="T1013" s="7" t="n">
        <f aca="false">IF(S1013=0,100,100-100/(1+R1013/S1013))</f>
        <v>58.372770196684</v>
      </c>
      <c r="U1013" s="7" t="n">
        <f aca="false">E1013*2/13+U1012*11/13</f>
        <v>16547.6247662947</v>
      </c>
      <c r="V1013" s="7" t="n">
        <f aca="false">E1013*2/27+V1012*25/27</f>
        <v>16394.4678966471</v>
      </c>
      <c r="W1013" s="7" t="n">
        <f aca="false">U1013-V1013</f>
        <v>153.156869647642</v>
      </c>
      <c r="X1013" s="7" t="n">
        <f aca="false">W1013*2/10+X1012*8/10</f>
        <v>228.979651317785</v>
      </c>
      <c r="Y1013" s="7" t="n">
        <f aca="false">W1013-X1013</f>
        <v>-75.8227816701425</v>
      </c>
      <c r="Z1013" s="8" t="s">
        <v>42</v>
      </c>
      <c r="AA1013" s="7" t="str">
        <f aca="false">IFERROR(INDEX(02_轉折點45!B:B,MATCH(A1013,02_轉折點45!A:A,0)),"")</f>
        <v/>
      </c>
      <c r="AB1013" s="7" t="n">
        <f aca="false">COUNTIFS(05_訊號明細!A:A,A1013,05_訊號明細!C:C,"TOP")</f>
        <v>0</v>
      </c>
      <c r="AC1013" s="7" t="n">
        <f aca="false">COUNTIFS(05_訊號明細!A:A,A1013,05_訊號明細!C:C,"BOTTOM")</f>
        <v>0</v>
      </c>
    </row>
    <row r="1014" customFormat="false" ht="15" hidden="false" customHeight="false" outlineLevel="0" collapsed="false">
      <c r="A1014" s="7" t="s">
        <v>1055</v>
      </c>
      <c r="B1014" s="7" t="n">
        <v>16531.96</v>
      </c>
      <c r="C1014" s="7" t="n">
        <v>16710.88</v>
      </c>
      <c r="D1014" s="7" t="n">
        <v>16513.73</v>
      </c>
      <c r="E1014" s="7" t="n">
        <v>16678.7</v>
      </c>
      <c r="F1014" s="7" t="n">
        <v>5068</v>
      </c>
      <c r="G1014" s="7" t="n">
        <f aca="false">AVERAGE(E1010:E1014)</f>
        <v>16457.01</v>
      </c>
      <c r="H1014" s="7" t="n">
        <f aca="false">AVERAGE(E1005:E1014)</f>
        <v>16633.865</v>
      </c>
      <c r="I1014" s="7" t="n">
        <f aca="false">AVERAGE(E995:E1014)</f>
        <v>16613.445</v>
      </c>
      <c r="J1014" s="7" t="n">
        <f aca="false">AVERAGE(E965:E1014)</f>
        <v>15972.1104</v>
      </c>
      <c r="K1014" s="7" t="n">
        <f aca="false">AVERAGE(E915:E1014)</f>
        <v>15478.0598</v>
      </c>
      <c r="L1014" s="7" t="n">
        <f aca="false">AVERAGE(E815:E1014)</f>
        <v>14866.079</v>
      </c>
      <c r="M1014" s="7" t="n">
        <f aca="false">I1014</f>
        <v>16613.445</v>
      </c>
      <c r="N1014" s="7" t="n">
        <f aca="false">I1014+2*STDEV(E995:E1014)</f>
        <v>17046.4409250811</v>
      </c>
      <c r="O1014" s="7" t="n">
        <f aca="false">I1014-2*STDEV(E995:E1014)</f>
        <v>16180.4490749189</v>
      </c>
      <c r="P1014" s="7" t="n">
        <f aca="false">MAX(E1014-E1013,0)</f>
        <v>28.8300000000017</v>
      </c>
      <c r="Q1014" s="7" t="n">
        <f aca="false">MAX(E1013-E1014,0)</f>
        <v>0</v>
      </c>
      <c r="R1014" s="7" t="n">
        <f aca="false">(R1013*13+P1014)/14</f>
        <v>69.2840654355153</v>
      </c>
      <c r="S1014" s="7" t="n">
        <f aca="false">(S1013*13+Q1014)/14</f>
        <v>47.9398415477613</v>
      </c>
      <c r="T1014" s="7" t="n">
        <f aca="false">IF(S1014=0,100,100-100/(1+R1014/S1014))</f>
        <v>59.1040404798993</v>
      </c>
      <c r="U1014" s="7" t="n">
        <f aca="false">E1014*2/13+U1013*11/13</f>
        <v>16567.7901868647</v>
      </c>
      <c r="V1014" s="7" t="n">
        <f aca="false">E1014*2/27+V1013*25/27</f>
        <v>16415.522126525</v>
      </c>
      <c r="W1014" s="7" t="n">
        <f aca="false">U1014-V1014</f>
        <v>152.268060339695</v>
      </c>
      <c r="X1014" s="7" t="n">
        <f aca="false">W1014*2/10+X1013*8/10</f>
        <v>213.637333122167</v>
      </c>
      <c r="Y1014" s="7" t="n">
        <f aca="false">W1014-X1014</f>
        <v>-61.3692727824721</v>
      </c>
      <c r="Z1014" s="8" t="s">
        <v>42</v>
      </c>
      <c r="AA1014" s="7" t="str">
        <f aca="false">IFERROR(INDEX(02_轉折點45!B:B,MATCH(A1014,02_轉折點45!A:A,0)),"")</f>
        <v/>
      </c>
      <c r="AB1014" s="7" t="n">
        <f aca="false">COUNTIFS(05_訊號明細!A:A,A1014,05_訊號明細!C:C,"TOP")</f>
        <v>0</v>
      </c>
      <c r="AC1014" s="7" t="n">
        <f aca="false">COUNTIFS(05_訊號明細!A:A,A1014,05_訊號明細!C:C,"BOTTOM")</f>
        <v>0</v>
      </c>
    </row>
    <row r="1015" customFormat="false" ht="15" hidden="false" customHeight="false" outlineLevel="0" collapsed="false">
      <c r="A1015" s="7" t="s">
        <v>1056</v>
      </c>
      <c r="B1015" s="7" t="n">
        <v>16702.55</v>
      </c>
      <c r="C1015" s="7" t="n">
        <v>16827.37</v>
      </c>
      <c r="D1015" s="7" t="n">
        <v>16654.74</v>
      </c>
      <c r="E1015" s="7" t="n">
        <v>16793.05</v>
      </c>
      <c r="F1015" s="7" t="n">
        <v>4405</v>
      </c>
      <c r="G1015" s="7" t="n">
        <f aca="false">AVERAGE(E1011:E1015)</f>
        <v>16541.922</v>
      </c>
      <c r="H1015" s="7" t="n">
        <f aca="false">AVERAGE(E1006:E1015)</f>
        <v>16625.324</v>
      </c>
      <c r="I1015" s="7" t="n">
        <f aca="false">AVERAGE(E996:E1015)</f>
        <v>16642.011</v>
      </c>
      <c r="J1015" s="7" t="n">
        <f aca="false">AVERAGE(E966:E1015)</f>
        <v>16024.363</v>
      </c>
      <c r="K1015" s="7" t="n">
        <f aca="false">AVERAGE(E916:E1015)</f>
        <v>15498.8322</v>
      </c>
      <c r="L1015" s="7" t="n">
        <f aca="false">AVERAGE(E816:E1015)</f>
        <v>14886.209</v>
      </c>
      <c r="M1015" s="7" t="n">
        <f aca="false">I1015</f>
        <v>16642.011</v>
      </c>
      <c r="N1015" s="7" t="n">
        <f aca="false">I1015+2*STDEV(E996:E1015)</f>
        <v>17040.1786387442</v>
      </c>
      <c r="O1015" s="7" t="n">
        <f aca="false">I1015-2*STDEV(E996:E1015)</f>
        <v>16243.8433612558</v>
      </c>
      <c r="P1015" s="7" t="n">
        <f aca="false">MAX(E1015-E1014,0)</f>
        <v>114.349999999999</v>
      </c>
      <c r="Q1015" s="7" t="n">
        <f aca="false">MAX(E1014-E1015,0)</f>
        <v>0</v>
      </c>
      <c r="R1015" s="7" t="n">
        <f aca="false">(R1014*13+P1015)/14</f>
        <v>72.5030607615498</v>
      </c>
      <c r="S1015" s="7" t="n">
        <f aca="false">(S1014*13+Q1015)/14</f>
        <v>44.5155671514926</v>
      </c>
      <c r="T1015" s="7" t="n">
        <f aca="false">IF(S1015=0,100,100-100/(1+R1015/S1015))</f>
        <v>61.9585633967846</v>
      </c>
      <c r="U1015" s="7" t="n">
        <f aca="false">E1015*2/13+U1014*11/13</f>
        <v>16602.4455427317</v>
      </c>
      <c r="V1015" s="7" t="n">
        <f aca="false">E1015*2/27+V1014*25/27</f>
        <v>16443.4871541899</v>
      </c>
      <c r="W1015" s="7" t="n">
        <f aca="false">U1015-V1015</f>
        <v>158.958388541847</v>
      </c>
      <c r="X1015" s="7" t="n">
        <f aca="false">W1015*2/10+X1014*8/10</f>
        <v>202.701544206103</v>
      </c>
      <c r="Y1015" s="7" t="n">
        <f aca="false">W1015-X1015</f>
        <v>-43.743155664256</v>
      </c>
      <c r="Z1015" s="8" t="s">
        <v>42</v>
      </c>
      <c r="AA1015" s="7" t="str">
        <f aca="false">IFERROR(INDEX(02_轉折點45!B:B,MATCH(A1015,02_轉折點45!A:A,0)),"")</f>
        <v/>
      </c>
      <c r="AB1015" s="7" t="n">
        <f aca="false">COUNTIFS(05_訊號明細!A:A,A1015,05_訊號明細!C:C,"TOP")</f>
        <v>0</v>
      </c>
      <c r="AC1015" s="7" t="n">
        <f aca="false">COUNTIFS(05_訊號明細!A:A,A1015,05_訊號明細!C:C,"BOTTOM")</f>
        <v>0</v>
      </c>
    </row>
    <row r="1016" customFormat="false" ht="15" hidden="false" customHeight="false" outlineLevel="0" collapsed="false">
      <c r="A1016" s="7" t="s">
        <v>1057</v>
      </c>
      <c r="B1016" s="7" t="n">
        <v>16852.19</v>
      </c>
      <c r="C1016" s="7" t="n">
        <v>16898.16</v>
      </c>
      <c r="D1016" s="7" t="n">
        <v>16618.86</v>
      </c>
      <c r="E1016" s="7" t="n">
        <v>16820.9</v>
      </c>
      <c r="F1016" s="7" t="n">
        <v>5045</v>
      </c>
      <c r="G1016" s="7" t="n">
        <f aca="false">AVERAGE(E1012:E1016)</f>
        <v>16649.7</v>
      </c>
      <c r="H1016" s="7" t="n">
        <f aca="false">AVERAGE(E1007:E1016)</f>
        <v>16616.734</v>
      </c>
      <c r="I1016" s="7" t="n">
        <f aca="false">AVERAGE(E997:E1016)</f>
        <v>16665.3435</v>
      </c>
      <c r="J1016" s="7" t="n">
        <f aca="false">AVERAGE(E967:E1016)</f>
        <v>16074.0708</v>
      </c>
      <c r="K1016" s="7" t="n">
        <f aca="false">AVERAGE(E917:E1016)</f>
        <v>15520.0928</v>
      </c>
      <c r="L1016" s="7" t="n">
        <f aca="false">AVERAGE(E817:E1016)</f>
        <v>14906.94815</v>
      </c>
      <c r="M1016" s="7" t="n">
        <f aca="false">I1016</f>
        <v>16665.3435</v>
      </c>
      <c r="N1016" s="7" t="n">
        <f aca="false">I1016+2*STDEV(E997:E1016)</f>
        <v>17046.8528971816</v>
      </c>
      <c r="O1016" s="7" t="n">
        <f aca="false">I1016-2*STDEV(E997:E1016)</f>
        <v>16283.8341028184</v>
      </c>
      <c r="P1016" s="7" t="n">
        <f aca="false">MAX(E1016-E1015,0)</f>
        <v>27.8500000000022</v>
      </c>
      <c r="Q1016" s="7" t="n">
        <f aca="false">MAX(E1015-E1016,0)</f>
        <v>0</v>
      </c>
      <c r="R1016" s="7" t="n">
        <f aca="false">(R1015*13+P1016)/14</f>
        <v>69.3135564214393</v>
      </c>
      <c r="S1016" s="7" t="n">
        <f aca="false">(S1015*13+Q1016)/14</f>
        <v>41.3358837835288</v>
      </c>
      <c r="T1016" s="7" t="n">
        <f aca="false">IF(S1016=0,100,100-100/(1+R1016/S1016))</f>
        <v>62.6424826849934</v>
      </c>
      <c r="U1016" s="7" t="n">
        <f aca="false">E1016*2/13+U1015*11/13</f>
        <v>16636.053920773</v>
      </c>
      <c r="V1016" s="7" t="n">
        <f aca="false">E1016*2/27+V1015*25/27</f>
        <v>16471.4436612869</v>
      </c>
      <c r="W1016" s="7" t="n">
        <f aca="false">U1016-V1016</f>
        <v>164.610259486075</v>
      </c>
      <c r="X1016" s="7" t="n">
        <f aca="false">W1016*2/10+X1015*8/10</f>
        <v>195.083287262097</v>
      </c>
      <c r="Y1016" s="7" t="n">
        <f aca="false">W1016-X1016</f>
        <v>-30.4730277760224</v>
      </c>
      <c r="Z1016" s="8" t="s">
        <v>42</v>
      </c>
      <c r="AA1016" s="7" t="str">
        <f aca="false">IFERROR(INDEX(02_轉折點45!B:B,MATCH(A1016,02_轉折點45!A:A,0)),"")</f>
        <v/>
      </c>
      <c r="AB1016" s="7" t="n">
        <f aca="false">COUNTIFS(05_訊號明細!A:A,A1016,05_訊號明細!C:C,"TOP")</f>
        <v>0</v>
      </c>
      <c r="AC1016" s="7" t="n">
        <f aca="false">COUNTIFS(05_訊號明細!A:A,A1016,05_訊號明細!C:C,"BOTTOM")</f>
        <v>0</v>
      </c>
    </row>
    <row r="1017" customFormat="false" ht="15" hidden="false" customHeight="false" outlineLevel="0" collapsed="false">
      <c r="A1017" s="7" t="s">
        <v>1058</v>
      </c>
      <c r="B1017" s="7" t="n">
        <v>16855</v>
      </c>
      <c r="C1017" s="7" t="n">
        <v>16900.37</v>
      </c>
      <c r="D1017" s="7" t="n">
        <v>16776.92</v>
      </c>
      <c r="E1017" s="7" t="n">
        <v>16832.92</v>
      </c>
      <c r="F1017" s="7" t="n">
        <v>4959</v>
      </c>
      <c r="G1017" s="7" t="n">
        <f aca="false">AVERAGE(E1013:E1017)</f>
        <v>16755.088</v>
      </c>
      <c r="H1017" s="7" t="n">
        <f aca="false">AVERAGE(E1008:E1017)</f>
        <v>16610.179</v>
      </c>
      <c r="I1017" s="7" t="n">
        <f aca="false">AVERAGE(E998:E1017)</f>
        <v>16678.871</v>
      </c>
      <c r="J1017" s="7" t="n">
        <f aca="false">AVERAGE(E968:E1017)</f>
        <v>16122.5336</v>
      </c>
      <c r="K1017" s="7" t="n">
        <f aca="false">AVERAGE(E918:E1017)</f>
        <v>15539.0551</v>
      </c>
      <c r="L1017" s="7" t="n">
        <f aca="false">AVERAGE(E818:E1017)</f>
        <v>14928.0599</v>
      </c>
      <c r="M1017" s="7" t="n">
        <f aca="false">I1017</f>
        <v>16678.871</v>
      </c>
      <c r="N1017" s="7" t="n">
        <f aca="false">I1017+2*STDEV(E998:E1017)</f>
        <v>17064.1742222685</v>
      </c>
      <c r="O1017" s="7" t="n">
        <f aca="false">I1017-2*STDEV(E998:E1017)</f>
        <v>16293.5677777315</v>
      </c>
      <c r="P1017" s="7" t="n">
        <f aca="false">MAX(E1017-E1016,0)</f>
        <v>12.0199999999968</v>
      </c>
      <c r="Q1017" s="7" t="n">
        <f aca="false">MAX(E1016-E1017,0)</f>
        <v>0</v>
      </c>
      <c r="R1017" s="7" t="n">
        <f aca="false">(R1016*13+P1017)/14</f>
        <v>65.2211595341934</v>
      </c>
      <c r="S1017" s="7" t="n">
        <f aca="false">(S1016*13+Q1017)/14</f>
        <v>38.3833206561339</v>
      </c>
      <c r="T1017" s="7" t="n">
        <f aca="false">IF(S1017=0,100,100-100/(1+R1017/S1017))</f>
        <v>62.9520648280638</v>
      </c>
      <c r="U1017" s="7" t="n">
        <f aca="false">E1017*2/13+U1016*11/13</f>
        <v>16666.3410098848</v>
      </c>
      <c r="V1017" s="7" t="n">
        <f aca="false">E1017*2/27+V1016*25/27</f>
        <v>16498.2196863768</v>
      </c>
      <c r="W1017" s="7" t="n">
        <f aca="false">U1017-V1017</f>
        <v>168.121323508065</v>
      </c>
      <c r="X1017" s="7" t="n">
        <f aca="false">W1017*2/10+X1016*8/10</f>
        <v>189.690894511291</v>
      </c>
      <c r="Y1017" s="7" t="n">
        <f aca="false">W1017-X1017</f>
        <v>-21.5695710032259</v>
      </c>
      <c r="Z1017" s="8" t="s">
        <v>42</v>
      </c>
      <c r="AA1017" s="7" t="str">
        <f aca="false">IFERROR(INDEX(02_轉折點45!B:B,MATCH(A1017,02_轉折點45!A:A,0)),"")</f>
        <v/>
      </c>
      <c r="AB1017" s="7" t="n">
        <f aca="false">COUNTIFS(05_訊號明細!A:A,A1017,05_訊號明細!C:C,"TOP")</f>
        <v>0</v>
      </c>
      <c r="AC1017" s="7" t="n">
        <f aca="false">COUNTIFS(05_訊號明細!A:A,A1017,05_訊號明細!C:C,"BOTTOM")</f>
        <v>0</v>
      </c>
    </row>
    <row r="1018" customFormat="false" ht="15" hidden="false" customHeight="false" outlineLevel="0" collapsed="false">
      <c r="A1018" s="7" t="s">
        <v>1059</v>
      </c>
      <c r="B1018" s="7" t="n">
        <v>16775.1</v>
      </c>
      <c r="C1018" s="7" t="n">
        <v>16895.33</v>
      </c>
      <c r="D1018" s="7" t="n">
        <v>16726.59</v>
      </c>
      <c r="E1018" s="7" t="n">
        <v>16830.71</v>
      </c>
      <c r="F1018" s="7" t="n">
        <v>6386</v>
      </c>
      <c r="G1018" s="7" t="n">
        <f aca="false">AVERAGE(E1014:E1018)</f>
        <v>16791.256</v>
      </c>
      <c r="H1018" s="7" t="n">
        <f aca="false">AVERAGE(E1009:E1018)</f>
        <v>16610.657</v>
      </c>
      <c r="I1018" s="7" t="n">
        <f aca="false">AVERAGE(E999:E1018)</f>
        <v>16693.515</v>
      </c>
      <c r="J1018" s="7" t="n">
        <f aca="false">AVERAGE(E969:E1018)</f>
        <v>16165.8496</v>
      </c>
      <c r="K1018" s="7" t="n">
        <f aca="false">AVERAGE(E919:E1018)</f>
        <v>15558.2726</v>
      </c>
      <c r="L1018" s="7" t="n">
        <f aca="false">AVERAGE(E819:E1018)</f>
        <v>14947.9833</v>
      </c>
      <c r="M1018" s="7" t="n">
        <f aca="false">I1018</f>
        <v>16693.515</v>
      </c>
      <c r="N1018" s="7" t="n">
        <f aca="false">I1018+2*STDEV(E999:E1018)</f>
        <v>17078.5103672175</v>
      </c>
      <c r="O1018" s="7" t="n">
        <f aca="false">I1018-2*STDEV(E999:E1018)</f>
        <v>16308.5196327825</v>
      </c>
      <c r="P1018" s="7" t="n">
        <f aca="false">MAX(E1018-E1017,0)</f>
        <v>0</v>
      </c>
      <c r="Q1018" s="7" t="n">
        <f aca="false">MAX(E1017-E1018,0)</f>
        <v>2.20999999999913</v>
      </c>
      <c r="R1018" s="7" t="n">
        <f aca="false">(R1017*13+P1018)/14</f>
        <v>60.562505281751</v>
      </c>
      <c r="S1018" s="7" t="n">
        <f aca="false">(S1017*13+Q1018)/14</f>
        <v>35.7995120378386</v>
      </c>
      <c r="T1018" s="7" t="n">
        <f aca="false">IF(S1018=0,100,100-100/(1+R1018/S1018))</f>
        <v>62.8489387897436</v>
      </c>
      <c r="U1018" s="7" t="n">
        <f aca="false">E1018*2/13+U1017*11/13</f>
        <v>16691.6285468256</v>
      </c>
      <c r="V1018" s="7" t="n">
        <f aca="false">E1018*2/27+V1017*25/27</f>
        <v>16522.848598497</v>
      </c>
      <c r="W1018" s="7" t="n">
        <f aca="false">U1018-V1018</f>
        <v>168.779948328622</v>
      </c>
      <c r="X1018" s="7" t="n">
        <f aca="false">W1018*2/10+X1017*8/10</f>
        <v>185.508705274757</v>
      </c>
      <c r="Y1018" s="7" t="n">
        <f aca="false">W1018-X1018</f>
        <v>-16.7287569461354</v>
      </c>
      <c r="Z1018" s="8" t="s">
        <v>42</v>
      </c>
      <c r="AA1018" s="7" t="str">
        <f aca="false">IFERROR(INDEX(02_轉折點45!B:B,MATCH(A1018,02_轉折點45!A:A,0)),"")</f>
        <v/>
      </c>
      <c r="AB1018" s="7" t="n">
        <f aca="false">COUNTIFS(05_訊號明細!A:A,A1018,05_訊號明細!C:C,"TOP")</f>
        <v>0</v>
      </c>
      <c r="AC1018" s="7" t="n">
        <f aca="false">COUNTIFS(05_訊號明細!A:A,A1018,05_訊號明細!C:C,"BOTTOM")</f>
        <v>0</v>
      </c>
    </row>
    <row r="1019" customFormat="false" ht="15" hidden="false" customHeight="false" outlineLevel="0" collapsed="false">
      <c r="A1019" s="7" t="s">
        <v>1060</v>
      </c>
      <c r="B1019" s="7" t="n">
        <v>16705.51</v>
      </c>
      <c r="C1019" s="7" t="n">
        <v>16749.11</v>
      </c>
      <c r="D1019" s="7" t="n">
        <v>16561.49</v>
      </c>
      <c r="E1019" s="7" t="n">
        <v>16736.28</v>
      </c>
      <c r="F1019" s="7" t="n">
        <v>5182</v>
      </c>
      <c r="G1019" s="7" t="n">
        <f aca="false">AVERAGE(E1015:E1019)</f>
        <v>16802.772</v>
      </c>
      <c r="H1019" s="7" t="n">
        <f aca="false">AVERAGE(E1010:E1019)</f>
        <v>16629.891</v>
      </c>
      <c r="I1019" s="7" t="n">
        <f aca="false">AVERAGE(E1000:E1019)</f>
        <v>16699.1565</v>
      </c>
      <c r="J1019" s="7" t="n">
        <f aca="false">AVERAGE(E970:E1019)</f>
        <v>16202.1842</v>
      </c>
      <c r="K1019" s="7" t="n">
        <f aca="false">AVERAGE(E920:E1019)</f>
        <v>15574.1548</v>
      </c>
      <c r="L1019" s="7" t="n">
        <f aca="false">AVERAGE(E820:E1019)</f>
        <v>14966.849</v>
      </c>
      <c r="M1019" s="7" t="n">
        <f aca="false">I1019</f>
        <v>16699.1565</v>
      </c>
      <c r="N1019" s="7" t="n">
        <f aca="false">I1019+2*STDEV(E1000:E1019)</f>
        <v>17083.1342998668</v>
      </c>
      <c r="O1019" s="7" t="n">
        <f aca="false">I1019-2*STDEV(E1000:E1019)</f>
        <v>16315.1787001332</v>
      </c>
      <c r="P1019" s="7" t="n">
        <f aca="false">MAX(E1019-E1018,0)</f>
        <v>0</v>
      </c>
      <c r="Q1019" s="7" t="n">
        <f aca="false">MAX(E1018-E1019,0)</f>
        <v>94.4300000000003</v>
      </c>
      <c r="R1019" s="7" t="n">
        <f aca="false">(R1018*13+P1019)/14</f>
        <v>56.2366120473402</v>
      </c>
      <c r="S1019" s="7" t="n">
        <f aca="false">(S1018*13+Q1019)/14</f>
        <v>39.9874040351358</v>
      </c>
      <c r="T1019" s="7" t="n">
        <f aca="false">IF(S1019=0,100,100-100/(1+R1019/S1019))</f>
        <v>58.4434264301943</v>
      </c>
      <c r="U1019" s="7" t="n">
        <f aca="false">E1019*2/13+U1018*11/13</f>
        <v>16698.4980011601</v>
      </c>
      <c r="V1019" s="7" t="n">
        <f aca="false">E1019*2/27+V1018*25/27</f>
        <v>16538.6583319417</v>
      </c>
      <c r="W1019" s="7" t="n">
        <f aca="false">U1019-V1019</f>
        <v>159.839669218472</v>
      </c>
      <c r="X1019" s="7" t="n">
        <f aca="false">W1019*2/10+X1018*8/10</f>
        <v>180.3748980635</v>
      </c>
      <c r="Y1019" s="7" t="n">
        <f aca="false">W1019-X1019</f>
        <v>-20.5352288450277</v>
      </c>
      <c r="Z1019" s="8" t="s">
        <v>42</v>
      </c>
      <c r="AA1019" s="7" t="str">
        <f aca="false">IFERROR(INDEX(02_轉折點45!B:B,MATCH(A1019,02_轉折點45!A:A,0)),"")</f>
        <v/>
      </c>
      <c r="AB1019" s="7" t="n">
        <f aca="false">COUNTIFS(05_訊號明細!A:A,A1019,05_訊號明細!C:C,"TOP")</f>
        <v>0</v>
      </c>
      <c r="AC1019" s="7" t="n">
        <f aca="false">COUNTIFS(05_訊號明細!A:A,A1019,05_訊號明細!C:C,"BOTTOM")</f>
        <v>0</v>
      </c>
    </row>
    <row r="1020" customFormat="false" ht="15" hidden="false" customHeight="false" outlineLevel="0" collapsed="false">
      <c r="A1020" s="7" t="s">
        <v>1061</v>
      </c>
      <c r="B1020" s="7" t="n">
        <v>16894.33</v>
      </c>
      <c r="C1020" s="7" t="n">
        <v>16996.98</v>
      </c>
      <c r="D1020" s="7" t="n">
        <v>16818.13</v>
      </c>
      <c r="E1020" s="7" t="n">
        <v>16982.29</v>
      </c>
      <c r="F1020" s="7" t="n">
        <v>5587</v>
      </c>
      <c r="G1020" s="7" t="n">
        <f aca="false">AVERAGE(E1016:E1020)</f>
        <v>16840.62</v>
      </c>
      <c r="H1020" s="7" t="n">
        <f aca="false">AVERAGE(E1011:E1020)</f>
        <v>16691.271</v>
      </c>
      <c r="I1020" s="7" t="n">
        <f aca="false">AVERAGE(E1001:E1020)</f>
        <v>16711.781</v>
      </c>
      <c r="J1020" s="7" t="n">
        <f aca="false">AVERAGE(E971:E1020)</f>
        <v>16239.8402</v>
      </c>
      <c r="K1020" s="7" t="n">
        <f aca="false">AVERAGE(E921:E1020)</f>
        <v>15595.8133</v>
      </c>
      <c r="L1020" s="7" t="n">
        <f aca="false">AVERAGE(E821:E1020)</f>
        <v>14985.8537</v>
      </c>
      <c r="M1020" s="7" t="n">
        <f aca="false">I1020</f>
        <v>16711.781</v>
      </c>
      <c r="N1020" s="7" t="n">
        <f aca="false">I1020+2*STDEV(E1001:E1020)</f>
        <v>17116.0667277718</v>
      </c>
      <c r="O1020" s="7" t="n">
        <f aca="false">I1020-2*STDEV(E1001:E1020)</f>
        <v>16307.4952722282</v>
      </c>
      <c r="P1020" s="7" t="n">
        <f aca="false">MAX(E1020-E1019,0)</f>
        <v>246.010000000002</v>
      </c>
      <c r="Q1020" s="7" t="n">
        <f aca="false">MAX(E1019-E1020,0)</f>
        <v>0</v>
      </c>
      <c r="R1020" s="7" t="n">
        <f aca="false">(R1019*13+P1020)/14</f>
        <v>69.7918540439589</v>
      </c>
      <c r="S1020" s="7" t="n">
        <f aca="false">(S1019*13+Q1020)/14</f>
        <v>37.131160889769</v>
      </c>
      <c r="T1020" s="7" t="n">
        <f aca="false">IF(S1020=0,100,100-100/(1+R1020/S1020))</f>
        <v>65.2729948619731</v>
      </c>
      <c r="U1020" s="7" t="n">
        <f aca="false">E1020*2/13+U1019*11/13</f>
        <v>16742.158308674</v>
      </c>
      <c r="V1020" s="7" t="n">
        <f aca="false">E1020*2/27+V1019*25/27</f>
        <v>16571.519936983</v>
      </c>
      <c r="W1020" s="7" t="n">
        <f aca="false">U1020-V1020</f>
        <v>170.63837169094</v>
      </c>
      <c r="X1020" s="7" t="n">
        <f aca="false">W1020*2/10+X1019*8/10</f>
        <v>178.427592788988</v>
      </c>
      <c r="Y1020" s="7" t="n">
        <f aca="false">W1020-X1020</f>
        <v>-7.78922109804776</v>
      </c>
      <c r="Z1020" s="8" t="s">
        <v>42</v>
      </c>
      <c r="AA1020" s="7" t="str">
        <f aca="false">IFERROR(INDEX(02_轉折點45!B:B,MATCH(A1020,02_轉折點45!A:A,0)),"")</f>
        <v/>
      </c>
      <c r="AB1020" s="7" t="n">
        <f aca="false">COUNTIFS(05_訊號明細!A:A,A1020,05_訊號明細!C:C,"TOP")</f>
        <v>1</v>
      </c>
      <c r="AC1020" s="7" t="n">
        <f aca="false">COUNTIFS(05_訊號明細!A:A,A1020,05_訊號明細!C:C,"BOTTOM")</f>
        <v>0</v>
      </c>
    </row>
    <row r="1021" customFormat="false" ht="15" hidden="false" customHeight="false" outlineLevel="0" collapsed="false">
      <c r="A1021" s="7" t="s">
        <v>1062</v>
      </c>
      <c r="B1021" s="7" t="n">
        <v>17060.14</v>
      </c>
      <c r="C1021" s="7" t="n">
        <v>17317.21</v>
      </c>
      <c r="D1021" s="7" t="n">
        <v>17041.85</v>
      </c>
      <c r="E1021" s="7" t="n">
        <v>17314</v>
      </c>
      <c r="F1021" s="7" t="n">
        <v>5605</v>
      </c>
      <c r="G1021" s="7" t="n">
        <f aca="false">AVERAGE(E1017:E1021)</f>
        <v>16939.24</v>
      </c>
      <c r="H1021" s="7" t="n">
        <f aca="false">AVERAGE(E1012:E1021)</f>
        <v>16794.47</v>
      </c>
      <c r="I1021" s="7" t="n">
        <f aca="false">AVERAGE(E1002:E1021)</f>
        <v>16736.8885</v>
      </c>
      <c r="J1021" s="7" t="n">
        <f aca="false">AVERAGE(E972:E1021)</f>
        <v>16283.0216</v>
      </c>
      <c r="K1021" s="7" t="n">
        <f aca="false">AVERAGE(E922:E1021)</f>
        <v>15619.535</v>
      </c>
      <c r="L1021" s="7" t="n">
        <f aca="false">AVERAGE(E822:E1021)</f>
        <v>15006.68195</v>
      </c>
      <c r="M1021" s="7" t="n">
        <f aca="false">I1021</f>
        <v>16736.8885</v>
      </c>
      <c r="N1021" s="7" t="n">
        <f aca="false">I1021+2*STDEV(E1002:E1021)</f>
        <v>17221.6932244548</v>
      </c>
      <c r="O1021" s="7" t="n">
        <f aca="false">I1021-2*STDEV(E1002:E1021)</f>
        <v>16252.0837755452</v>
      </c>
      <c r="P1021" s="7" t="n">
        <f aca="false">MAX(E1021-E1020,0)</f>
        <v>331.709999999999</v>
      </c>
      <c r="Q1021" s="7" t="n">
        <f aca="false">MAX(E1020-E1021,0)</f>
        <v>0</v>
      </c>
      <c r="R1021" s="7" t="n">
        <f aca="false">(R1020*13+P1021)/14</f>
        <v>88.5002930408189</v>
      </c>
      <c r="S1021" s="7" t="n">
        <f aca="false">(S1020*13+Q1021)/14</f>
        <v>34.4789351119284</v>
      </c>
      <c r="T1021" s="7" t="n">
        <f aca="false">IF(S1021=0,100,100-100/(1+R1021/S1021))</f>
        <v>71.9636107415607</v>
      </c>
      <c r="U1021" s="7" t="n">
        <f aca="false">E1021*2/13+U1020*11/13</f>
        <v>16830.1339534934</v>
      </c>
      <c r="V1021" s="7" t="n">
        <f aca="false">E1021*2/27+V1020*25/27</f>
        <v>16626.5184601695</v>
      </c>
      <c r="W1021" s="7" t="n">
        <f aca="false">U1021-V1021</f>
        <v>203.615493323887</v>
      </c>
      <c r="X1021" s="7" t="n">
        <f aca="false">W1021*2/10+X1020*8/10</f>
        <v>183.465172895968</v>
      </c>
      <c r="Y1021" s="7" t="n">
        <f aca="false">W1021-X1021</f>
        <v>20.1503204279189</v>
      </c>
      <c r="Z1021" s="8" t="s">
        <v>42</v>
      </c>
      <c r="AA1021" s="7" t="str">
        <f aca="false">IFERROR(INDEX(02_轉折點45!B:B,MATCH(A1021,02_轉折點45!A:A,0)),"")</f>
        <v/>
      </c>
      <c r="AB1021" s="7" t="n">
        <f aca="false">COUNTIFS(05_訊號明細!A:A,A1021,05_訊號明細!C:C,"TOP")</f>
        <v>0</v>
      </c>
      <c r="AC1021" s="7" t="n">
        <f aca="false">COUNTIFS(05_訊號明細!A:A,A1021,05_訊號明細!C:C,"BOTTOM")</f>
        <v>0</v>
      </c>
    </row>
    <row r="1022" customFormat="false" ht="15" hidden="false" customHeight="false" outlineLevel="0" collapsed="false">
      <c r="A1022" s="7" t="s">
        <v>1063</v>
      </c>
      <c r="B1022" s="7" t="n">
        <v>17403.62</v>
      </c>
      <c r="C1022" s="7" t="n">
        <v>17450.3</v>
      </c>
      <c r="D1022" s="7" t="n">
        <v>17309.87</v>
      </c>
      <c r="E1022" s="7" t="n">
        <v>17330.38</v>
      </c>
      <c r="F1022" s="7" t="n">
        <v>5456</v>
      </c>
      <c r="G1022" s="7" t="n">
        <f aca="false">AVERAGE(E1018:E1022)</f>
        <v>17038.732</v>
      </c>
      <c r="H1022" s="7" t="n">
        <f aca="false">AVERAGE(E1013:E1022)</f>
        <v>16896.91</v>
      </c>
      <c r="I1022" s="7" t="n">
        <f aca="false">AVERAGE(E1003:E1022)</f>
        <v>16775.6995</v>
      </c>
      <c r="J1022" s="7" t="n">
        <f aca="false">AVERAGE(E973:E1022)</f>
        <v>16323.7088</v>
      </c>
      <c r="K1022" s="7" t="n">
        <f aca="false">AVERAGE(E923:E1022)</f>
        <v>15642.3142</v>
      </c>
      <c r="L1022" s="7" t="n">
        <f aca="false">AVERAGE(E823:E1022)</f>
        <v>15027.83345</v>
      </c>
      <c r="M1022" s="7" t="n">
        <f aca="false">I1022</f>
        <v>16775.6995</v>
      </c>
      <c r="N1022" s="7" t="n">
        <f aca="false">I1022+2*STDEV(E1003:E1022)</f>
        <v>17319.5910875904</v>
      </c>
      <c r="O1022" s="7" t="n">
        <f aca="false">I1022-2*STDEV(E1003:E1022)</f>
        <v>16231.8079124096</v>
      </c>
      <c r="P1022" s="7" t="n">
        <f aca="false">MAX(E1022-E1021,0)</f>
        <v>16.380000000001</v>
      </c>
      <c r="Q1022" s="7" t="n">
        <f aca="false">MAX(E1021-E1022,0)</f>
        <v>0</v>
      </c>
      <c r="R1022" s="7" t="n">
        <f aca="false">(R1021*13+P1022)/14</f>
        <v>83.3488435379034</v>
      </c>
      <c r="S1022" s="7" t="n">
        <f aca="false">(S1021*13+Q1022)/14</f>
        <v>32.0161540325049</v>
      </c>
      <c r="T1022" s="7" t="n">
        <f aca="false">IF(S1022=0,100,100-100/(1+R1022/S1022))</f>
        <v>72.2479480719746</v>
      </c>
      <c r="U1022" s="7" t="n">
        <f aca="false">E1022*2/13+U1021*11/13</f>
        <v>16907.0948837252</v>
      </c>
      <c r="V1022" s="7" t="n">
        <f aca="false">E1022*2/27+V1021*25/27</f>
        <v>16678.6563520088</v>
      </c>
      <c r="W1022" s="7" t="n">
        <f aca="false">U1022-V1022</f>
        <v>228.43853171638</v>
      </c>
      <c r="X1022" s="7" t="n">
        <f aca="false">W1022*2/10+X1021*8/10</f>
        <v>192.45984466005</v>
      </c>
      <c r="Y1022" s="7" t="n">
        <f aca="false">W1022-X1022</f>
        <v>35.9786870563294</v>
      </c>
      <c r="Z1022" s="8" t="s">
        <v>42</v>
      </c>
      <c r="AA1022" s="7" t="str">
        <f aca="false">IFERROR(INDEX(02_轉折點45!B:B,MATCH(A1022,02_轉折點45!A:A,0)),"")</f>
        <v/>
      </c>
      <c r="AB1022" s="7" t="n">
        <f aca="false">COUNTIFS(05_訊號明細!A:A,A1022,05_訊號明細!C:C,"TOP")</f>
        <v>0</v>
      </c>
      <c r="AC1022" s="7" t="n">
        <f aca="false">COUNTIFS(05_訊號明細!A:A,A1022,05_訊號明細!C:C,"BOTTOM")</f>
        <v>0</v>
      </c>
    </row>
    <row r="1023" customFormat="false" ht="15" hidden="false" customHeight="false" outlineLevel="0" collapsed="false">
      <c r="A1023" s="7" t="s">
        <v>1064</v>
      </c>
      <c r="B1023" s="7" t="n">
        <v>17346.95</v>
      </c>
      <c r="C1023" s="7" t="n">
        <v>17410.86</v>
      </c>
      <c r="D1023" s="7" t="n">
        <v>17286.02</v>
      </c>
      <c r="E1023" s="7" t="n">
        <v>17404.21</v>
      </c>
      <c r="F1023" s="7" t="n">
        <v>5208</v>
      </c>
      <c r="G1023" s="7" t="n">
        <f aca="false">AVERAGE(E1019:E1023)</f>
        <v>17153.432</v>
      </c>
      <c r="H1023" s="7" t="n">
        <f aca="false">AVERAGE(E1014:E1023)</f>
        <v>16972.344</v>
      </c>
      <c r="I1023" s="7" t="n">
        <f aca="false">AVERAGE(E1004:E1023)</f>
        <v>16808.0395</v>
      </c>
      <c r="J1023" s="7" t="n">
        <f aca="false">AVERAGE(E974:E1023)</f>
        <v>16365.5282</v>
      </c>
      <c r="K1023" s="7" t="n">
        <f aca="false">AVERAGE(E924:E1023)</f>
        <v>15662.5908</v>
      </c>
      <c r="L1023" s="7" t="n">
        <f aca="false">AVERAGE(E824:E1023)</f>
        <v>15050.0185</v>
      </c>
      <c r="M1023" s="7" t="n">
        <f aca="false">I1023</f>
        <v>16808.0395</v>
      </c>
      <c r="N1023" s="7" t="n">
        <f aca="false">I1023+2*STDEV(E1004:E1023)</f>
        <v>17420.0094358448</v>
      </c>
      <c r="O1023" s="7" t="n">
        <f aca="false">I1023-2*STDEV(E1004:E1023)</f>
        <v>16196.0695641552</v>
      </c>
      <c r="P1023" s="7" t="n">
        <f aca="false">MAX(E1023-E1022,0)</f>
        <v>73.8299999999981</v>
      </c>
      <c r="Q1023" s="7" t="n">
        <f aca="false">MAX(E1022-E1023,0)</f>
        <v>0</v>
      </c>
      <c r="R1023" s="7" t="n">
        <f aca="false">(R1022*13+P1023)/14</f>
        <v>82.6689261423387</v>
      </c>
      <c r="S1023" s="7" t="n">
        <f aca="false">(S1022*13+Q1023)/14</f>
        <v>29.729285887326</v>
      </c>
      <c r="T1023" s="7" t="n">
        <f aca="false">IF(S1023=0,100,100-100/(1+R1023/S1023))</f>
        <v>73.5500366505121</v>
      </c>
      <c r="U1023" s="7" t="n">
        <f aca="false">E1023*2/13+U1022*11/13</f>
        <v>16983.5741323828</v>
      </c>
      <c r="V1023" s="7" t="n">
        <f aca="false">E1023*2/27+V1022*25/27</f>
        <v>16732.4010666748</v>
      </c>
      <c r="W1023" s="7" t="n">
        <f aca="false">U1023-V1023</f>
        <v>251.17306570803</v>
      </c>
      <c r="X1023" s="7" t="n">
        <f aca="false">W1023*2/10+X1022*8/10</f>
        <v>204.202488869646</v>
      </c>
      <c r="Y1023" s="7" t="n">
        <f aca="false">W1023-X1023</f>
        <v>46.9705768383836</v>
      </c>
      <c r="Z1023" s="8" t="s">
        <v>42</v>
      </c>
      <c r="AA1023" s="7" t="str">
        <f aca="false">IFERROR(INDEX(02_轉折點45!B:B,MATCH(A1023,02_轉折點45!A:A,0)),"")</f>
        <v/>
      </c>
      <c r="AB1023" s="7" t="n">
        <f aca="false">COUNTIFS(05_訊號明細!A:A,A1023,05_訊號明細!C:C,"TOP")</f>
        <v>0</v>
      </c>
      <c r="AC1023" s="7" t="n">
        <f aca="false">COUNTIFS(05_訊號明細!A:A,A1023,05_訊號明細!C:C,"BOTTOM")</f>
        <v>0</v>
      </c>
    </row>
    <row r="1024" customFormat="false" ht="15" hidden="false" customHeight="false" outlineLevel="0" collapsed="false">
      <c r="A1024" s="7" t="s">
        <v>1065</v>
      </c>
      <c r="B1024" s="7" t="n">
        <v>17562.32</v>
      </c>
      <c r="C1024" s="7" t="n">
        <v>17665.26</v>
      </c>
      <c r="D1024" s="7" t="n">
        <v>17481.97</v>
      </c>
      <c r="E1024" s="7" t="n">
        <v>17499.3</v>
      </c>
      <c r="F1024" s="7" t="n">
        <v>4983</v>
      </c>
      <c r="G1024" s="7" t="n">
        <f aca="false">AVERAGE(E1020:E1024)</f>
        <v>17306.036</v>
      </c>
      <c r="H1024" s="7" t="n">
        <f aca="false">AVERAGE(E1015:E1024)</f>
        <v>17054.404</v>
      </c>
      <c r="I1024" s="7" t="n">
        <f aca="false">AVERAGE(E1005:E1024)</f>
        <v>16844.1345</v>
      </c>
      <c r="J1024" s="7" t="n">
        <f aca="false">AVERAGE(E975:E1024)</f>
        <v>16411.7562</v>
      </c>
      <c r="K1024" s="7" t="n">
        <f aca="false">AVERAGE(E925:E1024)</f>
        <v>15682.9595</v>
      </c>
      <c r="L1024" s="7" t="n">
        <f aca="false">AVERAGE(E825:E1024)</f>
        <v>15072.202</v>
      </c>
      <c r="M1024" s="7" t="n">
        <f aca="false">I1024</f>
        <v>16844.1345</v>
      </c>
      <c r="N1024" s="7" t="n">
        <f aca="false">I1024+2*STDEV(E1005:E1024)</f>
        <v>17529.2782852466</v>
      </c>
      <c r="O1024" s="7" t="n">
        <f aca="false">I1024-2*STDEV(E1005:E1024)</f>
        <v>16158.9907147534</v>
      </c>
      <c r="P1024" s="7" t="n">
        <f aca="false">MAX(E1024-E1023,0)</f>
        <v>95.0900000000002</v>
      </c>
      <c r="Q1024" s="7" t="n">
        <f aca="false">MAX(E1023-E1024,0)</f>
        <v>0</v>
      </c>
      <c r="R1024" s="7" t="n">
        <f aca="false">(R1023*13+P1024)/14</f>
        <v>83.5561457036002</v>
      </c>
      <c r="S1024" s="7" t="n">
        <f aca="false">(S1023*13+Q1024)/14</f>
        <v>27.6057654668027</v>
      </c>
      <c r="T1024" s="7" t="n">
        <f aca="false">IF(S1024=0,100,100-100/(1+R1024/S1024))</f>
        <v>75.1661651224356</v>
      </c>
      <c r="U1024" s="7" t="n">
        <f aca="false">E1024*2/13+U1023*11/13</f>
        <v>17062.9165735547</v>
      </c>
      <c r="V1024" s="7" t="n">
        <f aca="false">E1024*2/27+V1023*25/27</f>
        <v>16789.2083950692</v>
      </c>
      <c r="W1024" s="7" t="n">
        <f aca="false">U1024-V1024</f>
        <v>273.708178485442</v>
      </c>
      <c r="X1024" s="7" t="n">
        <f aca="false">W1024*2/10+X1023*8/10</f>
        <v>218.103626792805</v>
      </c>
      <c r="Y1024" s="7" t="n">
        <f aca="false">W1024-X1024</f>
        <v>55.6045516926365</v>
      </c>
      <c r="Z1024" s="8" t="s">
        <v>42</v>
      </c>
      <c r="AA1024" s="7" t="str">
        <f aca="false">IFERROR(INDEX(02_轉折點45!B:B,MATCH(A1024,02_轉折點45!A:A,0)),"")</f>
        <v/>
      </c>
      <c r="AB1024" s="7" t="n">
        <f aca="false">COUNTIFS(05_訊號明細!A:A,A1024,05_訊號明細!C:C,"TOP")</f>
        <v>0</v>
      </c>
      <c r="AC1024" s="7" t="n">
        <f aca="false">COUNTIFS(05_訊號明細!A:A,A1024,05_訊號明細!C:C,"BOTTOM")</f>
        <v>0</v>
      </c>
    </row>
    <row r="1025" customFormat="false" ht="15" hidden="false" customHeight="false" outlineLevel="0" collapsed="false">
      <c r="A1025" s="7" t="s">
        <v>1066</v>
      </c>
      <c r="B1025" s="7" t="n">
        <v>17589.27</v>
      </c>
      <c r="C1025" s="7" t="n">
        <v>17631.34</v>
      </c>
      <c r="D1025" s="7" t="n">
        <v>17430.37</v>
      </c>
      <c r="E1025" s="7" t="n">
        <v>17516.99</v>
      </c>
      <c r="F1025" s="7" t="n">
        <v>5282</v>
      </c>
      <c r="G1025" s="7" t="n">
        <f aca="false">AVERAGE(E1021:E1025)</f>
        <v>17412.976</v>
      </c>
      <c r="H1025" s="7" t="n">
        <f aca="false">AVERAGE(E1016:E1025)</f>
        <v>17126.798</v>
      </c>
      <c r="I1025" s="7" t="n">
        <f aca="false">AVERAGE(E1006:E1025)</f>
        <v>16876.061</v>
      </c>
      <c r="J1025" s="7" t="n">
        <f aca="false">AVERAGE(E976:E1025)</f>
        <v>16451.5136</v>
      </c>
      <c r="K1025" s="7" t="n">
        <f aca="false">AVERAGE(E926:E1025)</f>
        <v>15703.1187</v>
      </c>
      <c r="L1025" s="7" t="n">
        <f aca="false">AVERAGE(E826:E1025)</f>
        <v>15094.5308</v>
      </c>
      <c r="M1025" s="7" t="n">
        <f aca="false">I1025</f>
        <v>16876.061</v>
      </c>
      <c r="N1025" s="7" t="n">
        <f aca="false">I1025+2*STDEV(E1006:E1025)</f>
        <v>17624.5225500556</v>
      </c>
      <c r="O1025" s="7" t="n">
        <f aca="false">I1025-2*STDEV(E1006:E1025)</f>
        <v>16127.5994499444</v>
      </c>
      <c r="P1025" s="7" t="n">
        <f aca="false">MAX(E1025-E1024,0)</f>
        <v>17.6900000000023</v>
      </c>
      <c r="Q1025" s="7" t="n">
        <f aca="false">MAX(E1024-E1025,0)</f>
        <v>0</v>
      </c>
      <c r="R1025" s="7" t="n">
        <f aca="false">(R1024*13+P1025)/14</f>
        <v>78.8514210104861</v>
      </c>
      <c r="S1025" s="7" t="n">
        <f aca="false">(S1024*13+Q1025)/14</f>
        <v>25.6339250763168</v>
      </c>
      <c r="T1025" s="7" t="n">
        <f aca="false">IF(S1025=0,100,100-100/(1+R1025/S1025))</f>
        <v>75.4664878508217</v>
      </c>
      <c r="U1025" s="7" t="n">
        <f aca="false">E1025*2/13+U1024*11/13</f>
        <v>17132.774023777</v>
      </c>
      <c r="V1025" s="7" t="n">
        <f aca="false">E1025*2/27+V1024*25/27</f>
        <v>16843.1181435826</v>
      </c>
      <c r="W1025" s="7" t="n">
        <f aca="false">U1025-V1025</f>
        <v>289.655880194408</v>
      </c>
      <c r="X1025" s="7" t="n">
        <f aca="false">W1025*2/10+X1024*8/10</f>
        <v>232.414077473126</v>
      </c>
      <c r="Y1025" s="7" t="n">
        <f aca="false">W1025-X1025</f>
        <v>57.2418027212825</v>
      </c>
      <c r="Z1025" s="8" t="s">
        <v>42</v>
      </c>
      <c r="AA1025" s="7" t="str">
        <f aca="false">IFERROR(INDEX(02_轉折點45!B:B,MATCH(A1025,02_轉折點45!A:A,0)),"")</f>
        <v/>
      </c>
      <c r="AB1025" s="7" t="n">
        <f aca="false">COUNTIFS(05_訊號明細!A:A,A1025,05_訊號明細!C:C,"TOP")</f>
        <v>0</v>
      </c>
      <c r="AC1025" s="7" t="n">
        <f aca="false">COUNTIFS(05_訊號明細!A:A,A1025,05_訊號明細!C:C,"BOTTOM")</f>
        <v>0</v>
      </c>
    </row>
    <row r="1026" customFormat="false" ht="15" hidden="false" customHeight="false" outlineLevel="0" collapsed="false">
      <c r="A1026" s="7" t="s">
        <v>1067</v>
      </c>
      <c r="B1026" s="7" t="n">
        <v>17432.87</v>
      </c>
      <c r="C1026" s="7" t="n">
        <v>17514.76</v>
      </c>
      <c r="D1026" s="7" t="n">
        <v>17395.54</v>
      </c>
      <c r="E1026" s="7" t="n">
        <v>17421.01</v>
      </c>
      <c r="F1026" s="7" t="n">
        <v>4511</v>
      </c>
      <c r="G1026" s="7" t="n">
        <f aca="false">AVERAGE(E1022:E1026)</f>
        <v>17434.378</v>
      </c>
      <c r="H1026" s="7" t="n">
        <f aca="false">AVERAGE(E1017:E1026)</f>
        <v>17186.809</v>
      </c>
      <c r="I1026" s="7" t="n">
        <f aca="false">AVERAGE(E1007:E1026)</f>
        <v>16901.7715</v>
      </c>
      <c r="J1026" s="7" t="n">
        <f aca="false">AVERAGE(E977:E1026)</f>
        <v>16490.278</v>
      </c>
      <c r="K1026" s="7" t="n">
        <f aca="false">AVERAGE(E927:E1026)</f>
        <v>15722.4202</v>
      </c>
      <c r="L1026" s="7" t="n">
        <f aca="false">AVERAGE(E827:E1026)</f>
        <v>15116.8151</v>
      </c>
      <c r="M1026" s="7" t="n">
        <f aca="false">I1026</f>
        <v>16901.7715</v>
      </c>
      <c r="N1026" s="7" t="n">
        <f aca="false">I1026+2*STDEV(E1007:E1026)</f>
        <v>17689.0023184028</v>
      </c>
      <c r="O1026" s="7" t="n">
        <f aca="false">I1026-2*STDEV(E1007:E1026)</f>
        <v>16114.5406815972</v>
      </c>
      <c r="P1026" s="7" t="n">
        <f aca="false">MAX(E1026-E1025,0)</f>
        <v>0</v>
      </c>
      <c r="Q1026" s="7" t="n">
        <f aca="false">MAX(E1025-E1026,0)</f>
        <v>95.9800000000032</v>
      </c>
      <c r="R1026" s="7" t="n">
        <f aca="false">(R1025*13+P1026)/14</f>
        <v>73.2191766525942</v>
      </c>
      <c r="S1026" s="7" t="n">
        <f aca="false">(S1025*13+Q1026)/14</f>
        <v>30.658644713723</v>
      </c>
      <c r="T1026" s="7" t="n">
        <f aca="false">IF(S1026=0,100,100-100/(1+R1026/S1026))</f>
        <v>70.4858608791885</v>
      </c>
      <c r="U1026" s="7" t="n">
        <f aca="false">E1026*2/13+U1025*11/13</f>
        <v>17177.118020119</v>
      </c>
      <c r="V1026" s="7" t="n">
        <f aca="false">E1026*2/27+V1025*25/27</f>
        <v>16885.9249477617</v>
      </c>
      <c r="W1026" s="7" t="n">
        <f aca="false">U1026-V1026</f>
        <v>291.193072357339</v>
      </c>
      <c r="X1026" s="7" t="n">
        <f aca="false">W1026*2/10+X1025*8/10</f>
        <v>244.169876449968</v>
      </c>
      <c r="Y1026" s="7" t="n">
        <f aca="false">W1026-X1026</f>
        <v>47.0231959073703</v>
      </c>
      <c r="Z1026" s="8" t="s">
        <v>42</v>
      </c>
      <c r="AA1026" s="7" t="str">
        <f aca="false">IFERROR(INDEX(02_轉折點45!B:B,MATCH(A1026,02_轉折點45!A:A,0)),"")</f>
        <v/>
      </c>
      <c r="AB1026" s="7" t="n">
        <f aca="false">COUNTIFS(05_訊號明細!A:A,A1026,05_訊號明細!C:C,"TOP")</f>
        <v>0</v>
      </c>
      <c r="AC1026" s="7" t="n">
        <f aca="false">COUNTIFS(05_訊號明細!A:A,A1026,05_訊號明細!C:C,"BOTTOM")</f>
        <v>0</v>
      </c>
    </row>
    <row r="1027" customFormat="false" ht="15" hidden="false" customHeight="false" outlineLevel="0" collapsed="false">
      <c r="A1027" s="7" t="s">
        <v>1068</v>
      </c>
      <c r="B1027" s="7" t="n">
        <v>17438.03</v>
      </c>
      <c r="C1027" s="7" t="n">
        <v>17603.95</v>
      </c>
      <c r="D1027" s="7" t="n">
        <v>17414.62</v>
      </c>
      <c r="E1027" s="7" t="n">
        <v>17596.27</v>
      </c>
      <c r="F1027" s="7" t="n">
        <v>4979</v>
      </c>
      <c r="G1027" s="7" t="n">
        <f aca="false">AVERAGE(E1023:E1027)</f>
        <v>17487.556</v>
      </c>
      <c r="H1027" s="7" t="n">
        <f aca="false">AVERAGE(E1018:E1027)</f>
        <v>17263.144</v>
      </c>
      <c r="I1027" s="7" t="n">
        <f aca="false">AVERAGE(E1008:E1027)</f>
        <v>16936.6615</v>
      </c>
      <c r="J1027" s="7" t="n">
        <f aca="false">AVERAGE(E978:E1027)</f>
        <v>16525.954</v>
      </c>
      <c r="K1027" s="7" t="n">
        <f aca="false">AVERAGE(E928:E1027)</f>
        <v>15743.3005</v>
      </c>
      <c r="L1027" s="7" t="n">
        <f aca="false">AVERAGE(E828:E1027)</f>
        <v>15140.5547</v>
      </c>
      <c r="M1027" s="7" t="n">
        <f aca="false">I1027</f>
        <v>16936.6615</v>
      </c>
      <c r="N1027" s="7" t="n">
        <f aca="false">I1027+2*STDEV(E1008:E1027)</f>
        <v>17782.9163753127</v>
      </c>
      <c r="O1027" s="7" t="n">
        <f aca="false">I1027-2*STDEV(E1008:E1027)</f>
        <v>16090.4066246873</v>
      </c>
      <c r="P1027" s="7" t="n">
        <f aca="false">MAX(E1027-E1026,0)</f>
        <v>175.260000000002</v>
      </c>
      <c r="Q1027" s="7" t="n">
        <f aca="false">MAX(E1026-E1027,0)</f>
        <v>0</v>
      </c>
      <c r="R1027" s="7" t="n">
        <f aca="false">(R1026*13+P1027)/14</f>
        <v>80.5078068916948</v>
      </c>
      <c r="S1027" s="7" t="n">
        <f aca="false">(S1026*13+Q1027)/14</f>
        <v>28.4687415198856</v>
      </c>
      <c r="T1027" s="7" t="n">
        <f aca="false">IF(S1027=0,100,100-100/(1+R1027/S1027))</f>
        <v>73.8762679357714</v>
      </c>
      <c r="U1027" s="7" t="n">
        <f aca="false">E1027*2/13+U1026*11/13</f>
        <v>17241.6029401007</v>
      </c>
      <c r="V1027" s="7" t="n">
        <f aca="false">E1027*2/27+V1026*25/27</f>
        <v>16938.5430997794</v>
      </c>
      <c r="W1027" s="7" t="n">
        <f aca="false">U1027-V1027</f>
        <v>303.059840321374</v>
      </c>
      <c r="X1027" s="7" t="n">
        <f aca="false">W1027*2/10+X1026*8/10</f>
        <v>255.947869224249</v>
      </c>
      <c r="Y1027" s="7" t="n">
        <f aca="false">W1027-X1027</f>
        <v>47.111971097124</v>
      </c>
      <c r="Z1027" s="8" t="s">
        <v>42</v>
      </c>
      <c r="AA1027" s="7" t="str">
        <f aca="false">IFERROR(INDEX(02_轉折點45!B:B,MATCH(A1027,02_轉折點45!A:A,0)),"")</f>
        <v/>
      </c>
      <c r="AB1027" s="7" t="n">
        <f aca="false">COUNTIFS(05_訊號明細!A:A,A1027,05_訊號明細!C:C,"TOP")</f>
        <v>0</v>
      </c>
      <c r="AC1027" s="7" t="n">
        <f aca="false">COUNTIFS(05_訊號明細!A:A,A1027,05_訊號明細!C:C,"BOTTOM")</f>
        <v>0</v>
      </c>
    </row>
    <row r="1028" customFormat="false" ht="15" hidden="false" customHeight="false" outlineLevel="0" collapsed="false">
      <c r="A1028" s="7" t="s">
        <v>1069</v>
      </c>
      <c r="B1028" s="7" t="n">
        <v>17556.49</v>
      </c>
      <c r="C1028" s="7" t="n">
        <v>17578.46</v>
      </c>
      <c r="D1028" s="7" t="n">
        <v>17443.77</v>
      </c>
      <c r="E1028" s="7" t="n">
        <v>17476.71</v>
      </c>
      <c r="F1028" s="7" t="n">
        <v>4719</v>
      </c>
      <c r="G1028" s="7" t="n">
        <f aca="false">AVERAGE(E1024:E1028)</f>
        <v>17502.056</v>
      </c>
      <c r="H1028" s="7" t="n">
        <f aca="false">AVERAGE(E1019:E1028)</f>
        <v>17327.744</v>
      </c>
      <c r="I1028" s="7" t="n">
        <f aca="false">AVERAGE(E1009:E1028)</f>
        <v>16969.2005</v>
      </c>
      <c r="J1028" s="7" t="n">
        <f aca="false">AVERAGE(E979:E1028)</f>
        <v>16559.1446</v>
      </c>
      <c r="K1028" s="7" t="n">
        <f aca="false">AVERAGE(E929:E1028)</f>
        <v>15764.3532</v>
      </c>
      <c r="L1028" s="7" t="n">
        <f aca="false">AVERAGE(E829:E1028)</f>
        <v>15162.3913</v>
      </c>
      <c r="M1028" s="7" t="n">
        <f aca="false">I1028</f>
        <v>16969.2005</v>
      </c>
      <c r="N1028" s="7" t="n">
        <f aca="false">I1028+2*STDEV(E1009:E1028)</f>
        <v>17846.9865821162</v>
      </c>
      <c r="O1028" s="7" t="n">
        <f aca="false">I1028-2*STDEV(E1009:E1028)</f>
        <v>16091.4144178838</v>
      </c>
      <c r="P1028" s="7" t="n">
        <f aca="false">MAX(E1028-E1027,0)</f>
        <v>0</v>
      </c>
      <c r="Q1028" s="7" t="n">
        <f aca="false">MAX(E1027-E1028,0)</f>
        <v>119.560000000001</v>
      </c>
      <c r="R1028" s="7" t="n">
        <f aca="false">(R1027*13+P1028)/14</f>
        <v>74.7572492565737</v>
      </c>
      <c r="S1028" s="7" t="n">
        <f aca="false">(S1027*13+Q1028)/14</f>
        <v>34.975259982751</v>
      </c>
      <c r="T1028" s="7" t="n">
        <f aca="false">IF(S1028=0,100,100-100/(1+R1028/S1028))</f>
        <v>68.1268019612396</v>
      </c>
      <c r="U1028" s="7" t="n">
        <f aca="false">E1028*2/13+U1027*11/13</f>
        <v>17277.7732570083</v>
      </c>
      <c r="V1028" s="7" t="n">
        <f aca="false">E1028*2/27+V1027*25/27</f>
        <v>16978.4073146105</v>
      </c>
      <c r="W1028" s="7" t="n">
        <f aca="false">U1028-V1028</f>
        <v>299.365942397799</v>
      </c>
      <c r="X1028" s="7" t="n">
        <f aca="false">W1028*2/10+X1027*8/10</f>
        <v>264.631483858959</v>
      </c>
      <c r="Y1028" s="7" t="n">
        <f aca="false">W1028-X1028</f>
        <v>34.7344585388395</v>
      </c>
      <c r="Z1028" s="8" t="s">
        <v>42</v>
      </c>
      <c r="AA1028" s="7" t="str">
        <f aca="false">IFERROR(INDEX(02_轉折點45!B:B,MATCH(A1028,02_轉折點45!A:A,0)),"")</f>
        <v/>
      </c>
      <c r="AB1028" s="7" t="n">
        <f aca="false">COUNTIFS(05_訊號明細!A:A,A1028,05_訊號明細!C:C,"TOP")</f>
        <v>0</v>
      </c>
      <c r="AC1028" s="7" t="n">
        <f aca="false">COUNTIFS(05_訊號明細!A:A,A1028,05_訊號明細!C:C,"BOTTOM")</f>
        <v>0</v>
      </c>
    </row>
    <row r="1029" customFormat="false" ht="15" hidden="false" customHeight="false" outlineLevel="0" collapsed="false">
      <c r="A1029" s="7" t="s">
        <v>1070</v>
      </c>
      <c r="B1029" s="7" t="n">
        <v>17269.98</v>
      </c>
      <c r="C1029" s="7" t="n">
        <v>17375.32</v>
      </c>
      <c r="D1029" s="7" t="n">
        <v>17128.74</v>
      </c>
      <c r="E1029" s="7" t="n">
        <v>17137.24</v>
      </c>
      <c r="F1029" s="7" t="n">
        <v>5876</v>
      </c>
      <c r="G1029" s="7" t="n">
        <f aca="false">AVERAGE(E1025:E1029)</f>
        <v>17429.644</v>
      </c>
      <c r="H1029" s="7" t="n">
        <f aca="false">AVERAGE(E1020:E1029)</f>
        <v>17367.84</v>
      </c>
      <c r="I1029" s="7" t="n">
        <f aca="false">AVERAGE(E1010:E1029)</f>
        <v>16998.8655</v>
      </c>
      <c r="J1029" s="7" t="n">
        <f aca="false">AVERAGE(E980:E1029)</f>
        <v>16585.226</v>
      </c>
      <c r="K1029" s="7" t="n">
        <f aca="false">AVERAGE(E930:E1029)</f>
        <v>15783.1404</v>
      </c>
      <c r="L1029" s="7" t="n">
        <f aca="false">AVERAGE(E830:E1029)</f>
        <v>15182.6799</v>
      </c>
      <c r="M1029" s="7" t="n">
        <f aca="false">I1029</f>
        <v>16998.8655</v>
      </c>
      <c r="N1029" s="7" t="n">
        <f aca="false">I1029+2*STDEV(E1010:E1029)</f>
        <v>17855.9972487006</v>
      </c>
      <c r="O1029" s="7" t="n">
        <f aca="false">I1029-2*STDEV(E1010:E1029)</f>
        <v>16141.7337512994</v>
      </c>
      <c r="P1029" s="7" t="n">
        <f aca="false">MAX(E1029-E1028,0)</f>
        <v>0</v>
      </c>
      <c r="Q1029" s="7" t="n">
        <f aca="false">MAX(E1028-E1029,0)</f>
        <v>339.469999999998</v>
      </c>
      <c r="R1029" s="7" t="n">
        <f aca="false">(R1028*13+P1029)/14</f>
        <v>69.417445738247</v>
      </c>
      <c r="S1029" s="7" t="n">
        <f aca="false">(S1028*13+Q1029)/14</f>
        <v>56.7248842696972</v>
      </c>
      <c r="T1029" s="7" t="n">
        <f aca="false">IF(S1029=0,100,100-100/(1+R1029/S1029))</f>
        <v>55.0310476537696</v>
      </c>
      <c r="U1029" s="7" t="n">
        <f aca="false">E1029*2/13+U1028*11/13</f>
        <v>17256.1527559301</v>
      </c>
      <c r="V1029" s="7" t="n">
        <f aca="false">E1029*2/27+V1028*25/27</f>
        <v>16990.1726987134</v>
      </c>
      <c r="W1029" s="7" t="n">
        <f aca="false">U1029-V1029</f>
        <v>265.980057216675</v>
      </c>
      <c r="X1029" s="7" t="n">
        <f aca="false">W1029*2/10+X1028*8/10</f>
        <v>264.901198530503</v>
      </c>
      <c r="Y1029" s="7" t="n">
        <f aca="false">W1029-X1029</f>
        <v>1.07885868617257</v>
      </c>
      <c r="Z1029" s="8" t="s">
        <v>42</v>
      </c>
      <c r="AA1029" s="7" t="str">
        <f aca="false">IFERROR(INDEX(02_轉折點45!B:B,MATCH(A1029,02_轉折點45!A:A,0)),"")</f>
        <v/>
      </c>
      <c r="AB1029" s="7" t="n">
        <f aca="false">COUNTIFS(05_訊號明細!A:A,A1029,05_訊號明細!C:C,"TOP")</f>
        <v>1</v>
      </c>
      <c r="AC1029" s="7" t="n">
        <f aca="false">COUNTIFS(05_訊號明細!A:A,A1029,05_訊號明細!C:C,"BOTTOM")</f>
        <v>0</v>
      </c>
    </row>
    <row r="1030" customFormat="false" ht="15" hidden="false" customHeight="false" outlineLevel="0" collapsed="false">
      <c r="A1030" s="7" t="s">
        <v>1071</v>
      </c>
      <c r="B1030" s="7" t="n">
        <v>17216.99</v>
      </c>
      <c r="C1030" s="7" t="n">
        <v>17356.76</v>
      </c>
      <c r="D1030" s="7" t="n">
        <v>17175.83</v>
      </c>
      <c r="E1030" s="7" t="n">
        <v>17344.71</v>
      </c>
      <c r="F1030" s="7" t="n">
        <v>5047</v>
      </c>
      <c r="G1030" s="7" t="n">
        <f aca="false">AVERAGE(E1026:E1030)</f>
        <v>17395.188</v>
      </c>
      <c r="H1030" s="7" t="n">
        <f aca="false">AVERAGE(E1021:E1030)</f>
        <v>17404.082</v>
      </c>
      <c r="I1030" s="7" t="n">
        <f aca="false">AVERAGE(E1011:E1030)</f>
        <v>17047.6765</v>
      </c>
      <c r="J1030" s="7" t="n">
        <f aca="false">AVERAGE(E981:E1030)</f>
        <v>16615.3604</v>
      </c>
      <c r="K1030" s="7" t="n">
        <f aca="false">AVERAGE(E931:E1030)</f>
        <v>15803.7852</v>
      </c>
      <c r="L1030" s="7" t="n">
        <f aca="false">AVERAGE(E831:E1030)</f>
        <v>15203.9649</v>
      </c>
      <c r="M1030" s="7" t="n">
        <f aca="false">I1030</f>
        <v>17047.6765</v>
      </c>
      <c r="N1030" s="7" t="n">
        <f aca="false">I1030+2*STDEV(E1011:E1030)</f>
        <v>17863.8666658257</v>
      </c>
      <c r="O1030" s="7" t="n">
        <f aca="false">I1030-2*STDEV(E1011:E1030)</f>
        <v>16231.4863341743</v>
      </c>
      <c r="P1030" s="7" t="n">
        <f aca="false">MAX(E1030-E1029,0)</f>
        <v>207.469999999998</v>
      </c>
      <c r="Q1030" s="7" t="n">
        <f aca="false">MAX(E1029-E1030,0)</f>
        <v>0</v>
      </c>
      <c r="R1030" s="7" t="n">
        <f aca="false">(R1029*13+P1030)/14</f>
        <v>79.2783424712292</v>
      </c>
      <c r="S1030" s="7" t="n">
        <f aca="false">(S1029*13+Q1030)/14</f>
        <v>52.6731068218617</v>
      </c>
      <c r="T1030" s="7" t="n">
        <f aca="false">IF(S1030=0,100,100-100/(1+R1030/S1030))</f>
        <v>60.0814488176905</v>
      </c>
      <c r="U1030" s="7" t="n">
        <f aca="false">E1030*2/13+U1029*11/13</f>
        <v>17269.7769473255</v>
      </c>
      <c r="V1030" s="7" t="n">
        <f aca="false">E1030*2/27+V1029*25/27</f>
        <v>17016.434721031</v>
      </c>
      <c r="W1030" s="7" t="n">
        <f aca="false">U1030-V1030</f>
        <v>253.342226294517</v>
      </c>
      <c r="X1030" s="7" t="n">
        <f aca="false">W1030*2/10+X1029*8/10</f>
        <v>262.589404083305</v>
      </c>
      <c r="Y1030" s="7" t="n">
        <f aca="false">W1030-X1030</f>
        <v>-9.24717778878846</v>
      </c>
      <c r="Z1030" s="8" t="s">
        <v>42</v>
      </c>
      <c r="AA1030" s="7" t="str">
        <f aca="false">IFERROR(INDEX(02_轉折點45!B:B,MATCH(A1030,02_轉折點45!A:A,0)),"")</f>
        <v/>
      </c>
      <c r="AB1030" s="7" t="n">
        <f aca="false">COUNTIFS(05_訊號明細!A:A,A1030,05_訊號明細!C:C,"TOP")</f>
        <v>1</v>
      </c>
      <c r="AC1030" s="7" t="n">
        <f aca="false">COUNTIFS(05_訊號明細!A:A,A1030,05_訊號明細!C:C,"BOTTOM")</f>
        <v>0</v>
      </c>
    </row>
    <row r="1031" customFormat="false" ht="15" hidden="false" customHeight="false" outlineLevel="0" collapsed="false">
      <c r="A1031" s="7" t="s">
        <v>1072</v>
      </c>
      <c r="B1031" s="7" t="n">
        <v>17415.94</v>
      </c>
      <c r="C1031" s="7" t="n">
        <v>17682.29</v>
      </c>
      <c r="D1031" s="7" t="n">
        <v>17378.37</v>
      </c>
      <c r="E1031" s="7" t="n">
        <v>17642.73</v>
      </c>
      <c r="F1031" s="7" t="n">
        <v>4801</v>
      </c>
      <c r="G1031" s="7" t="n">
        <f aca="false">AVERAGE(E1027:E1031)</f>
        <v>17439.532</v>
      </c>
      <c r="H1031" s="7" t="n">
        <f aca="false">AVERAGE(E1022:E1031)</f>
        <v>17436.955</v>
      </c>
      <c r="I1031" s="7" t="n">
        <f aca="false">AVERAGE(E1012:E1031)</f>
        <v>17115.7125</v>
      </c>
      <c r="J1031" s="7" t="n">
        <f aca="false">AVERAGE(E982:E1031)</f>
        <v>16647.6738</v>
      </c>
      <c r="K1031" s="7" t="n">
        <f aca="false">AVERAGE(E932:E1031)</f>
        <v>15825.5938</v>
      </c>
      <c r="L1031" s="7" t="n">
        <f aca="false">AVERAGE(E832:E1031)</f>
        <v>15226.7196</v>
      </c>
      <c r="M1031" s="7" t="n">
        <f aca="false">I1031</f>
        <v>17115.7125</v>
      </c>
      <c r="N1031" s="7" t="n">
        <f aca="false">I1031+2*STDEV(E1012:E1031)</f>
        <v>17888.8885703645</v>
      </c>
      <c r="O1031" s="7" t="n">
        <f aca="false">I1031-2*STDEV(E1012:E1031)</f>
        <v>16342.5364296356</v>
      </c>
      <c r="P1031" s="7" t="n">
        <f aca="false">MAX(E1031-E1030,0)</f>
        <v>298.02</v>
      </c>
      <c r="Q1031" s="7" t="n">
        <f aca="false">MAX(E1030-E1031,0)</f>
        <v>0</v>
      </c>
      <c r="R1031" s="7" t="n">
        <f aca="false">(R1030*13+P1031)/14</f>
        <v>94.9027465804272</v>
      </c>
      <c r="S1031" s="7" t="n">
        <f aca="false">(S1030*13+Q1031)/14</f>
        <v>48.9107420488716</v>
      </c>
      <c r="T1031" s="7" t="n">
        <f aca="false">IF(S1031=0,100,100-100/(1+R1031/S1031))</f>
        <v>65.9901567543873</v>
      </c>
      <c r="U1031" s="7" t="n">
        <f aca="false">E1031*2/13+U1030*11/13</f>
        <v>17327.1543400446</v>
      </c>
      <c r="V1031" s="7" t="n">
        <f aca="false">E1031*2/27+V1030*25/27</f>
        <v>17062.8269639176</v>
      </c>
      <c r="W1031" s="7" t="n">
        <f aca="false">U1031-V1031</f>
        <v>264.327376127079</v>
      </c>
      <c r="X1031" s="7" t="n">
        <f aca="false">W1031*2/10+X1030*8/10</f>
        <v>262.93699849206</v>
      </c>
      <c r="Y1031" s="7" t="n">
        <f aca="false">W1031-X1031</f>
        <v>1.39037763501921</v>
      </c>
      <c r="Z1031" s="8" t="s">
        <v>42</v>
      </c>
      <c r="AA1031" s="7" t="str">
        <f aca="false">IFERROR(INDEX(02_轉折點45!B:B,MATCH(A1031,02_轉折點45!A:A,0)),"")</f>
        <v/>
      </c>
      <c r="AB1031" s="7" t="n">
        <f aca="false">COUNTIFS(05_訊號明細!A:A,A1031,05_訊號明細!C:C,"TOP")</f>
        <v>2</v>
      </c>
      <c r="AC1031" s="7" t="n">
        <f aca="false">COUNTIFS(05_訊號明細!A:A,A1031,05_訊號明細!C:C,"BOTTOM")</f>
        <v>0</v>
      </c>
    </row>
    <row r="1032" customFormat="false" ht="15" hidden="false" customHeight="false" outlineLevel="0" collapsed="false">
      <c r="A1032" s="7" t="s">
        <v>1073</v>
      </c>
      <c r="B1032" s="7" t="n">
        <v>17634.69</v>
      </c>
      <c r="C1032" s="7" t="n">
        <v>17655.77</v>
      </c>
      <c r="D1032" s="7" t="n">
        <v>17469.62</v>
      </c>
      <c r="E1032" s="7" t="n">
        <v>17613.04</v>
      </c>
      <c r="F1032" s="7" t="n">
        <v>4831</v>
      </c>
      <c r="G1032" s="7" t="n">
        <f aca="false">AVERAGE(E1028:E1032)</f>
        <v>17442.886</v>
      </c>
      <c r="H1032" s="7" t="n">
        <f aca="false">AVERAGE(E1023:E1032)</f>
        <v>17465.221</v>
      </c>
      <c r="I1032" s="7" t="n">
        <f aca="false">AVERAGE(E1013:E1032)</f>
        <v>17181.0655</v>
      </c>
      <c r="J1032" s="7" t="n">
        <f aca="false">AVERAGE(E983:E1032)</f>
        <v>16681.2622</v>
      </c>
      <c r="K1032" s="7" t="n">
        <f aca="false">AVERAGE(E933:E1032)</f>
        <v>15848.8268</v>
      </c>
      <c r="L1032" s="7" t="n">
        <f aca="false">AVERAGE(E833:E1032)</f>
        <v>15249.34125</v>
      </c>
      <c r="M1032" s="7" t="n">
        <f aca="false">I1032</f>
        <v>17181.0655</v>
      </c>
      <c r="N1032" s="7" t="n">
        <f aca="false">I1032+2*STDEV(E1013:E1032)</f>
        <v>17883.8125157206</v>
      </c>
      <c r="O1032" s="7" t="n">
        <f aca="false">I1032-2*STDEV(E1013:E1032)</f>
        <v>16478.3184842794</v>
      </c>
      <c r="P1032" s="7" t="n">
        <f aca="false">MAX(E1032-E1031,0)</f>
        <v>0</v>
      </c>
      <c r="Q1032" s="7" t="n">
        <f aca="false">MAX(E1031-E1032,0)</f>
        <v>29.6899999999987</v>
      </c>
      <c r="R1032" s="7" t="n">
        <f aca="false">(R1031*13+P1032)/14</f>
        <v>88.1239789675395</v>
      </c>
      <c r="S1032" s="7" t="n">
        <f aca="false">(S1031*13+Q1032)/14</f>
        <v>47.5378319025235</v>
      </c>
      <c r="T1032" s="7" t="n">
        <f aca="false">IF(S1032=0,100,100-100/(1+R1032/S1032))</f>
        <v>64.9585748578461</v>
      </c>
      <c r="U1032" s="7" t="n">
        <f aca="false">E1032*2/13+U1031*11/13</f>
        <v>17371.1367492685</v>
      </c>
      <c r="V1032" s="7" t="n">
        <f aca="false">E1032*2/27+V1031*25/27</f>
        <v>17103.5834851088</v>
      </c>
      <c r="W1032" s="7" t="n">
        <f aca="false">U1032-V1032</f>
        <v>267.553264159691</v>
      </c>
      <c r="X1032" s="7" t="n">
        <f aca="false">W1032*2/10+X1031*8/10</f>
        <v>263.860251625586</v>
      </c>
      <c r="Y1032" s="7" t="n">
        <f aca="false">W1032-X1032</f>
        <v>3.6930125341047</v>
      </c>
      <c r="Z1032" s="8" t="s">
        <v>42</v>
      </c>
      <c r="AA1032" s="7" t="str">
        <f aca="false">IFERROR(INDEX(02_轉折點45!B:B,MATCH(A1032,02_轉折點45!A:A,0)),"")</f>
        <v/>
      </c>
      <c r="AB1032" s="7" t="n">
        <f aca="false">COUNTIFS(05_訊號明細!A:A,A1032,05_訊號明細!C:C,"TOP")</f>
        <v>1</v>
      </c>
      <c r="AC1032" s="7" t="n">
        <f aca="false">COUNTIFS(05_訊號明細!A:A,A1032,05_訊號明細!C:C,"BOTTOM")</f>
        <v>0</v>
      </c>
    </row>
    <row r="1033" customFormat="false" ht="15" hidden="false" customHeight="false" outlineLevel="0" collapsed="false">
      <c r="A1033" s="7" t="s">
        <v>1074</v>
      </c>
      <c r="B1033" s="7" t="n">
        <v>17664.44</v>
      </c>
      <c r="C1033" s="7" t="n">
        <v>17680.62</v>
      </c>
      <c r="D1033" s="7" t="n">
        <v>17475.43</v>
      </c>
      <c r="E1033" s="7" t="n">
        <v>17572.73</v>
      </c>
      <c r="F1033" s="7" t="n">
        <v>4760</v>
      </c>
      <c r="G1033" s="7" t="n">
        <f aca="false">AVERAGE(E1029:E1033)</f>
        <v>17462.09</v>
      </c>
      <c r="H1033" s="7" t="n">
        <f aca="false">AVERAGE(E1024:E1033)</f>
        <v>17482.073</v>
      </c>
      <c r="I1033" s="7" t="n">
        <f aca="false">AVERAGE(E1014:E1033)</f>
        <v>17227.2085</v>
      </c>
      <c r="J1033" s="7" t="n">
        <f aca="false">AVERAGE(E984:E1033)</f>
        <v>16712.689</v>
      </c>
      <c r="K1033" s="7" t="n">
        <f aca="false">AVERAGE(E934:E1033)</f>
        <v>15871.0688</v>
      </c>
      <c r="L1033" s="7" t="n">
        <f aca="false">AVERAGE(E834:E1033)</f>
        <v>15272.275</v>
      </c>
      <c r="M1033" s="7" t="n">
        <f aca="false">I1033</f>
        <v>17227.2085</v>
      </c>
      <c r="N1033" s="7" t="n">
        <f aca="false">I1033+2*STDEV(E1014:E1033)</f>
        <v>17903.8025072941</v>
      </c>
      <c r="O1033" s="7" t="n">
        <f aca="false">I1033-2*STDEV(E1014:E1033)</f>
        <v>16550.6144927059</v>
      </c>
      <c r="P1033" s="7" t="n">
        <f aca="false">MAX(E1033-E1032,0)</f>
        <v>0</v>
      </c>
      <c r="Q1033" s="7" t="n">
        <f aca="false">MAX(E1032-E1033,0)</f>
        <v>40.3100000000013</v>
      </c>
      <c r="R1033" s="7" t="n">
        <f aca="false">(R1032*13+P1033)/14</f>
        <v>81.8294090412867</v>
      </c>
      <c r="S1033" s="7" t="n">
        <f aca="false">(S1032*13+Q1033)/14</f>
        <v>47.0215581952005</v>
      </c>
      <c r="T1033" s="7" t="n">
        <f aca="false">IF(S1033=0,100,100-100/(1+R1033/S1033))</f>
        <v>63.5070196183322</v>
      </c>
      <c r="U1033" s="7" t="n">
        <f aca="false">E1033*2/13+U1032*11/13</f>
        <v>17402.1510955349</v>
      </c>
      <c r="V1033" s="7" t="n">
        <f aca="false">E1033*2/27+V1032*25/27</f>
        <v>17138.3350788045</v>
      </c>
      <c r="W1033" s="7" t="n">
        <f aca="false">U1033-V1033</f>
        <v>263.81601673043</v>
      </c>
      <c r="X1033" s="7" t="n">
        <f aca="false">W1033*2/10+X1032*8/10</f>
        <v>263.851404646555</v>
      </c>
      <c r="Y1033" s="7" t="n">
        <f aca="false">W1033-X1033</f>
        <v>-0.035387916124705</v>
      </c>
      <c r="Z1033" s="8" t="s">
        <v>42</v>
      </c>
      <c r="AA1033" s="7" t="str">
        <f aca="false">IFERROR(INDEX(02_轉折點45!B:B,MATCH(A1033,02_轉折點45!A:A,0)),"")</f>
        <v/>
      </c>
      <c r="AB1033" s="7" t="n">
        <f aca="false">COUNTIFS(05_訊號明細!A:A,A1033,05_訊號明細!C:C,"TOP")</f>
        <v>0</v>
      </c>
      <c r="AC1033" s="7" t="n">
        <f aca="false">COUNTIFS(05_訊號明細!A:A,A1033,05_訊號明細!C:C,"BOTTOM")</f>
        <v>0</v>
      </c>
    </row>
    <row r="1034" customFormat="false" ht="15" hidden="false" customHeight="false" outlineLevel="0" collapsed="false">
      <c r="A1034" s="7" t="s">
        <v>1075</v>
      </c>
      <c r="B1034" s="7" t="n">
        <v>17674.59</v>
      </c>
      <c r="C1034" s="7" t="n">
        <v>17784.17</v>
      </c>
      <c r="D1034" s="7" t="n">
        <v>17637.73</v>
      </c>
      <c r="E1034" s="7" t="n">
        <v>17755.07</v>
      </c>
      <c r="F1034" s="7" t="n">
        <v>4568</v>
      </c>
      <c r="G1034" s="7" t="n">
        <f aca="false">AVERAGE(E1030:E1034)</f>
        <v>17585.656</v>
      </c>
      <c r="H1034" s="7" t="n">
        <f aca="false">AVERAGE(E1025:E1034)</f>
        <v>17507.65</v>
      </c>
      <c r="I1034" s="7" t="n">
        <f aca="false">AVERAGE(E1015:E1034)</f>
        <v>17281.027</v>
      </c>
      <c r="J1034" s="7" t="n">
        <f aca="false">AVERAGE(E985:E1034)</f>
        <v>16748.1502</v>
      </c>
      <c r="K1034" s="7" t="n">
        <f aca="false">AVERAGE(E935:E1034)</f>
        <v>15893.8806</v>
      </c>
      <c r="L1034" s="7" t="n">
        <f aca="false">AVERAGE(E835:E1034)</f>
        <v>15296.0465</v>
      </c>
      <c r="M1034" s="7" t="n">
        <f aca="false">I1034</f>
        <v>17281.027</v>
      </c>
      <c r="N1034" s="7" t="n">
        <f aca="false">I1034+2*STDEV(E1015:E1034)</f>
        <v>17945.0339689901</v>
      </c>
      <c r="O1034" s="7" t="n">
        <f aca="false">I1034-2*STDEV(E1015:E1034)</f>
        <v>16617.0200310099</v>
      </c>
      <c r="P1034" s="7" t="n">
        <f aca="false">MAX(E1034-E1033,0)</f>
        <v>182.34</v>
      </c>
      <c r="Q1034" s="7" t="n">
        <f aca="false">MAX(E1033-E1034,0)</f>
        <v>0</v>
      </c>
      <c r="R1034" s="7" t="n">
        <f aca="false">(R1033*13+P1034)/14</f>
        <v>89.0087369669091</v>
      </c>
      <c r="S1034" s="7" t="n">
        <f aca="false">(S1033*13+Q1034)/14</f>
        <v>43.6628754669719</v>
      </c>
      <c r="T1034" s="7" t="n">
        <f aca="false">IF(S1034=0,100,100-100/(1+R1034/S1034))</f>
        <v>67.0895117154531</v>
      </c>
      <c r="U1034" s="7" t="n">
        <f aca="false">E1034*2/13+U1033*11/13</f>
        <v>17456.4463116065</v>
      </c>
      <c r="V1034" s="7" t="n">
        <f aca="false">E1034*2/27+V1033*25/27</f>
        <v>17184.0191470412</v>
      </c>
      <c r="W1034" s="7" t="n">
        <f aca="false">U1034-V1034</f>
        <v>272.427164565277</v>
      </c>
      <c r="X1034" s="7" t="n">
        <f aca="false">W1034*2/10+X1033*8/10</f>
        <v>265.5665566303</v>
      </c>
      <c r="Y1034" s="7" t="n">
        <f aca="false">W1034-X1034</f>
        <v>6.86060793497751</v>
      </c>
      <c r="Z1034" s="8" t="s">
        <v>42</v>
      </c>
      <c r="AA1034" s="7" t="str">
        <f aca="false">IFERROR(INDEX(02_轉折點45!B:B,MATCH(A1034,02_轉折點45!A:A,0)),"")</f>
        <v/>
      </c>
      <c r="AB1034" s="7" t="n">
        <f aca="false">COUNTIFS(05_訊號明細!A:A,A1034,05_訊號明細!C:C,"TOP")</f>
        <v>1</v>
      </c>
      <c r="AC1034" s="7" t="n">
        <f aca="false">COUNTIFS(05_訊號明細!A:A,A1034,05_訊號明細!C:C,"BOTTOM")</f>
        <v>0</v>
      </c>
    </row>
    <row r="1035" customFormat="false" ht="15" hidden="false" customHeight="false" outlineLevel="0" collapsed="false">
      <c r="A1035" s="7" t="s">
        <v>1076</v>
      </c>
      <c r="B1035" s="7" t="n">
        <v>17757.6</v>
      </c>
      <c r="C1035" s="7" t="n">
        <v>17814.12</v>
      </c>
      <c r="D1035" s="7" t="n">
        <v>17728.55</v>
      </c>
      <c r="E1035" s="7" t="n">
        <v>17783.17</v>
      </c>
      <c r="F1035" s="7" t="n">
        <v>5676</v>
      </c>
      <c r="G1035" s="7" t="n">
        <f aca="false">AVERAGE(E1031:E1035)</f>
        <v>17673.348</v>
      </c>
      <c r="H1035" s="7" t="n">
        <f aca="false">AVERAGE(E1026:E1035)</f>
        <v>17534.268</v>
      </c>
      <c r="I1035" s="7" t="n">
        <f aca="false">AVERAGE(E1016:E1035)</f>
        <v>17330.533</v>
      </c>
      <c r="J1035" s="7" t="n">
        <f aca="false">AVERAGE(E986:E1035)</f>
        <v>16784.574</v>
      </c>
      <c r="K1035" s="7" t="n">
        <f aca="false">AVERAGE(E936:E1035)</f>
        <v>15919.6883</v>
      </c>
      <c r="L1035" s="7" t="n">
        <f aca="false">AVERAGE(E836:E1035)</f>
        <v>15320.11355</v>
      </c>
      <c r="M1035" s="7" t="n">
        <f aca="false">I1035</f>
        <v>17330.533</v>
      </c>
      <c r="N1035" s="7" t="n">
        <f aca="false">I1035+2*STDEV(E1016:E1035)</f>
        <v>17988.9696044407</v>
      </c>
      <c r="O1035" s="7" t="n">
        <f aca="false">I1035-2*STDEV(E1016:E1035)</f>
        <v>16672.0963955593</v>
      </c>
      <c r="P1035" s="7" t="n">
        <f aca="false">MAX(E1035-E1034,0)</f>
        <v>28.0999999999985</v>
      </c>
      <c r="Q1035" s="7" t="n">
        <f aca="false">MAX(E1034-E1035,0)</f>
        <v>0</v>
      </c>
      <c r="R1035" s="7" t="n">
        <f aca="false">(R1034*13+P1035)/14</f>
        <v>84.658112897844</v>
      </c>
      <c r="S1035" s="7" t="n">
        <f aca="false">(S1034*13+Q1035)/14</f>
        <v>40.5440986479025</v>
      </c>
      <c r="T1035" s="7" t="n">
        <f aca="false">IF(S1035=0,100,100-100/(1+R1035/S1035))</f>
        <v>67.6171066410529</v>
      </c>
      <c r="U1035" s="7" t="n">
        <f aca="false">E1035*2/13+U1034*11/13</f>
        <v>17506.7114944362</v>
      </c>
      <c r="V1035" s="7" t="n">
        <f aca="false">E1035*2/27+V1034*25/27</f>
        <v>17228.4006917048</v>
      </c>
      <c r="W1035" s="7" t="n">
        <f aca="false">U1035-V1035</f>
        <v>278.310802731437</v>
      </c>
      <c r="X1035" s="7" t="n">
        <f aca="false">W1035*2/10+X1034*8/10</f>
        <v>268.115405850527</v>
      </c>
      <c r="Y1035" s="7" t="n">
        <f aca="false">W1035-X1035</f>
        <v>10.1953968809103</v>
      </c>
      <c r="Z1035" s="8" t="s">
        <v>42</v>
      </c>
      <c r="AA1035" s="7" t="str">
        <f aca="false">IFERROR(INDEX(02_轉折點45!B:B,MATCH(A1035,02_轉折點45!A:A,0)),"")</f>
        <v/>
      </c>
      <c r="AB1035" s="7" t="n">
        <f aca="false">COUNTIFS(05_訊號明細!A:A,A1035,05_訊號明細!C:C,"TOP")</f>
        <v>1</v>
      </c>
      <c r="AC1035" s="7" t="n">
        <f aca="false">COUNTIFS(05_訊號明細!A:A,A1035,05_訊號明細!C:C,"BOTTOM")</f>
        <v>0</v>
      </c>
    </row>
    <row r="1036" customFormat="false" ht="15" hidden="false" customHeight="false" outlineLevel="0" collapsed="false">
      <c r="A1036" s="7" t="s">
        <v>1077</v>
      </c>
      <c r="B1036" s="7" t="n">
        <v>17820.98</v>
      </c>
      <c r="C1036" s="7" t="n">
        <v>17987.9</v>
      </c>
      <c r="D1036" s="7" t="n">
        <v>17798.81</v>
      </c>
      <c r="E1036" s="7" t="n">
        <v>17962.41</v>
      </c>
      <c r="F1036" s="7" t="n">
        <v>5797</v>
      </c>
      <c r="G1036" s="7" t="n">
        <f aca="false">AVERAGE(E1032:E1036)</f>
        <v>17737.284</v>
      </c>
      <c r="H1036" s="7" t="n">
        <f aca="false">AVERAGE(E1027:E1036)</f>
        <v>17588.408</v>
      </c>
      <c r="I1036" s="7" t="n">
        <f aca="false">AVERAGE(E1017:E1036)</f>
        <v>17387.6085</v>
      </c>
      <c r="J1036" s="7" t="n">
        <f aca="false">AVERAGE(E987:E1036)</f>
        <v>16823.6136</v>
      </c>
      <c r="K1036" s="7" t="n">
        <f aca="false">AVERAGE(E937:E1036)</f>
        <v>15947.0587</v>
      </c>
      <c r="L1036" s="7" t="n">
        <f aca="false">AVERAGE(E837:E1036)</f>
        <v>15346.30005</v>
      </c>
      <c r="M1036" s="7" t="n">
        <f aca="false">I1036</f>
        <v>17387.6085</v>
      </c>
      <c r="N1036" s="7" t="n">
        <f aca="false">I1036+2*STDEV(E1017:E1036)</f>
        <v>18057.8322826208</v>
      </c>
      <c r="O1036" s="7" t="n">
        <f aca="false">I1036-2*STDEV(E1017:E1036)</f>
        <v>16717.3847173792</v>
      </c>
      <c r="P1036" s="7" t="n">
        <f aca="false">MAX(E1036-E1035,0)</f>
        <v>179.240000000002</v>
      </c>
      <c r="Q1036" s="7" t="n">
        <f aca="false">MAX(E1035-E1036,0)</f>
        <v>0</v>
      </c>
      <c r="R1036" s="7" t="n">
        <f aca="false">(R1035*13+P1036)/14</f>
        <v>91.4139619765696</v>
      </c>
      <c r="S1036" s="7" t="n">
        <f aca="false">(S1035*13+Q1036)/14</f>
        <v>37.6480916016237</v>
      </c>
      <c r="T1036" s="7" t="n">
        <f aca="false">IF(S1036=0,100,100-100/(1+R1036/S1036))</f>
        <v>70.8294649295857</v>
      </c>
      <c r="U1036" s="7" t="n">
        <f aca="false">E1036*2/13+U1035*11/13</f>
        <v>17576.8189568307</v>
      </c>
      <c r="V1036" s="7" t="n">
        <f aca="false">E1036*2/27+V1035*25/27</f>
        <v>17282.7717515785</v>
      </c>
      <c r="W1036" s="7" t="n">
        <f aca="false">U1036-V1036</f>
        <v>294.04720525214</v>
      </c>
      <c r="X1036" s="7" t="n">
        <f aca="false">W1036*2/10+X1035*8/10</f>
        <v>273.30176573085</v>
      </c>
      <c r="Y1036" s="7" t="n">
        <f aca="false">W1036-X1036</f>
        <v>20.7454395212903</v>
      </c>
      <c r="Z1036" s="8" t="s">
        <v>42</v>
      </c>
      <c r="AA1036" s="7" t="str">
        <f aca="false">IFERROR(INDEX(02_轉折點45!B:B,MATCH(A1036,02_轉折點45!A:A,0)),"")</f>
        <v/>
      </c>
      <c r="AB1036" s="7" t="n">
        <f aca="false">COUNTIFS(05_訊號明細!A:A,A1036,05_訊號明細!C:C,"TOP")</f>
        <v>1</v>
      </c>
      <c r="AC1036" s="7" t="n">
        <f aca="false">COUNTIFS(05_訊號明細!A:A,A1036,05_訊號明細!C:C,"BOTTOM")</f>
        <v>0</v>
      </c>
    </row>
    <row r="1037" customFormat="false" ht="15" hidden="false" customHeight="false" outlineLevel="0" collapsed="false">
      <c r="A1037" s="7" t="s">
        <v>1078</v>
      </c>
      <c r="B1037" s="7" t="n">
        <v>17942.28</v>
      </c>
      <c r="C1037" s="7" t="n">
        <v>18041.45</v>
      </c>
      <c r="D1037" s="7" t="n">
        <v>17859.66</v>
      </c>
      <c r="E1037" s="7" t="n">
        <v>17882.66</v>
      </c>
      <c r="F1037" s="7" t="n">
        <v>5458</v>
      </c>
      <c r="G1037" s="7" t="n">
        <f aca="false">AVERAGE(E1033:E1037)</f>
        <v>17791.208</v>
      </c>
      <c r="H1037" s="7" t="n">
        <f aca="false">AVERAGE(E1028:E1037)</f>
        <v>17617.047</v>
      </c>
      <c r="I1037" s="7" t="n">
        <f aca="false">AVERAGE(E1018:E1037)</f>
        <v>17440.0955</v>
      </c>
      <c r="J1037" s="7" t="n">
        <f aca="false">AVERAGE(E988:E1037)</f>
        <v>16861.5148</v>
      </c>
      <c r="K1037" s="7" t="n">
        <f aca="false">AVERAGE(E938:E1037)</f>
        <v>15973.973</v>
      </c>
      <c r="L1037" s="7" t="n">
        <f aca="false">AVERAGE(E838:E1037)</f>
        <v>15371.68095</v>
      </c>
      <c r="M1037" s="7" t="n">
        <f aca="false">I1037</f>
        <v>17440.0955</v>
      </c>
      <c r="N1037" s="7" t="n">
        <f aca="false">I1037+2*STDEV(E1018:E1037)</f>
        <v>18091.5713252161</v>
      </c>
      <c r="O1037" s="7" t="n">
        <f aca="false">I1037-2*STDEV(E1018:E1037)</f>
        <v>16788.6196747839</v>
      </c>
      <c r="P1037" s="7" t="n">
        <f aca="false">MAX(E1037-E1036,0)</f>
        <v>0</v>
      </c>
      <c r="Q1037" s="7" t="n">
        <f aca="false">MAX(E1036-E1037,0)</f>
        <v>79.75</v>
      </c>
      <c r="R1037" s="7" t="n">
        <f aca="false">(R1036*13+P1037)/14</f>
        <v>84.8843932639575</v>
      </c>
      <c r="S1037" s="7" t="n">
        <f aca="false">(S1036*13+Q1037)/14</f>
        <v>40.6553707729363</v>
      </c>
      <c r="T1037" s="7" t="n">
        <f aca="false">IF(S1037=0,100,100-100/(1+R1037/S1037))</f>
        <v>67.615543103149</v>
      </c>
      <c r="U1037" s="7" t="n">
        <f aca="false">E1037*2/13+U1036*11/13</f>
        <v>17623.8714250106</v>
      </c>
      <c r="V1037" s="7" t="n">
        <f aca="false">E1037*2/27+V1036*25/27</f>
        <v>17327.2079181283</v>
      </c>
      <c r="W1037" s="7" t="n">
        <f aca="false">U1037-V1037</f>
        <v>296.663506882298</v>
      </c>
      <c r="X1037" s="7" t="n">
        <f aca="false">W1037*2/10+X1036*8/10</f>
        <v>277.974113961139</v>
      </c>
      <c r="Y1037" s="7" t="n">
        <f aca="false">W1037-X1037</f>
        <v>18.6893929211586</v>
      </c>
      <c r="Z1037" s="8" t="s">
        <v>42</v>
      </c>
      <c r="AA1037" s="7" t="str">
        <f aca="false">IFERROR(INDEX(02_轉折點45!B:B,MATCH(A1037,02_轉折點45!A:A,0)),"")</f>
        <v/>
      </c>
      <c r="AB1037" s="7" t="n">
        <f aca="false">COUNTIFS(05_訊號明細!A:A,A1037,05_訊號明細!C:C,"TOP")</f>
        <v>0</v>
      </c>
      <c r="AC1037" s="7" t="n">
        <f aca="false">COUNTIFS(05_訊號明細!A:A,A1037,05_訊號明細!C:C,"BOTTOM")</f>
        <v>0</v>
      </c>
    </row>
    <row r="1038" customFormat="false" ht="15" hidden="false" customHeight="false" outlineLevel="0" collapsed="false">
      <c r="A1038" s="7" t="s">
        <v>1079</v>
      </c>
      <c r="B1038" s="7" t="n">
        <v>17519.8</v>
      </c>
      <c r="C1038" s="7" t="n">
        <v>17717.67</v>
      </c>
      <c r="D1038" s="7" t="n">
        <v>17478.23</v>
      </c>
      <c r="E1038" s="7" t="n">
        <v>17600.42</v>
      </c>
      <c r="F1038" s="7" t="n">
        <v>5600</v>
      </c>
      <c r="G1038" s="7" t="n">
        <f aca="false">AVERAGE(E1034:E1038)</f>
        <v>17796.746</v>
      </c>
      <c r="H1038" s="7" t="n">
        <f aca="false">AVERAGE(E1029:E1038)</f>
        <v>17629.418</v>
      </c>
      <c r="I1038" s="7" t="n">
        <f aca="false">AVERAGE(E1019:E1038)</f>
        <v>17478.581</v>
      </c>
      <c r="J1038" s="7" t="n">
        <f aca="false">AVERAGE(E989:E1038)</f>
        <v>16894.5658</v>
      </c>
      <c r="K1038" s="7" t="n">
        <f aca="false">AVERAGE(E939:E1038)</f>
        <v>16000.278</v>
      </c>
      <c r="L1038" s="7" t="n">
        <f aca="false">AVERAGE(E839:E1038)</f>
        <v>15393.8829</v>
      </c>
      <c r="M1038" s="7" t="n">
        <f aca="false">I1038</f>
        <v>17478.581</v>
      </c>
      <c r="N1038" s="7" t="n">
        <f aca="false">I1038+2*STDEV(E1019:E1038)</f>
        <v>18066.3025864282</v>
      </c>
      <c r="O1038" s="7" t="n">
        <f aca="false">I1038-2*STDEV(E1019:E1038)</f>
        <v>16890.8594135718</v>
      </c>
      <c r="P1038" s="7" t="n">
        <f aca="false">MAX(E1038-E1037,0)</f>
        <v>0</v>
      </c>
      <c r="Q1038" s="7" t="n">
        <f aca="false">MAX(E1037-E1038,0)</f>
        <v>282.240000000002</v>
      </c>
      <c r="R1038" s="7" t="n">
        <f aca="false">(R1037*13+P1038)/14</f>
        <v>78.8212223165319</v>
      </c>
      <c r="S1038" s="7" t="n">
        <f aca="false">(S1037*13+Q1038)/14</f>
        <v>57.9114157177267</v>
      </c>
      <c r="T1038" s="7" t="n">
        <f aca="false">IF(S1038=0,100,100-100/(1+R1038/S1038))</f>
        <v>57.6462382717893</v>
      </c>
      <c r="U1038" s="7" t="n">
        <f aca="false">E1038*2/13+U1037*11/13</f>
        <v>17620.2635134705</v>
      </c>
      <c r="V1038" s="7" t="n">
        <f aca="false">E1038*2/27+V1037*25/27</f>
        <v>17347.4458501188</v>
      </c>
      <c r="W1038" s="7" t="n">
        <f aca="false">U1038-V1038</f>
        <v>272.817663351714</v>
      </c>
      <c r="X1038" s="7" t="n">
        <f aca="false">W1038*2/10+X1037*8/10</f>
        <v>276.942823839254</v>
      </c>
      <c r="Y1038" s="7" t="n">
        <f aca="false">W1038-X1038</f>
        <v>-4.12516048754014</v>
      </c>
      <c r="Z1038" s="8" t="s">
        <v>42</v>
      </c>
      <c r="AA1038" s="7" t="str">
        <f aca="false">IFERROR(INDEX(02_轉折點45!B:B,MATCH(A1038,02_轉折點45!A:A,0)),"")</f>
        <v/>
      </c>
      <c r="AB1038" s="7" t="n">
        <f aca="false">COUNTIFS(05_訊號明細!A:A,A1038,05_訊號明細!C:C,"TOP")</f>
        <v>0</v>
      </c>
      <c r="AC1038" s="7" t="n">
        <f aca="false">COUNTIFS(05_訊號明細!A:A,A1038,05_訊號明細!C:C,"BOTTOM")</f>
        <v>0</v>
      </c>
    </row>
    <row r="1039" customFormat="false" ht="15" hidden="false" customHeight="false" outlineLevel="0" collapsed="false">
      <c r="A1039" s="7" t="s">
        <v>1080</v>
      </c>
      <c r="B1039" s="7" t="n">
        <v>17728.9</v>
      </c>
      <c r="C1039" s="7" t="n">
        <v>17815.18</v>
      </c>
      <c r="D1039" s="7" t="n">
        <v>17619.92</v>
      </c>
      <c r="E1039" s="7" t="n">
        <v>17807.63</v>
      </c>
      <c r="F1039" s="7" t="n">
        <v>5093</v>
      </c>
      <c r="G1039" s="7" t="n">
        <f aca="false">AVERAGE(E1035:E1039)</f>
        <v>17807.258</v>
      </c>
      <c r="H1039" s="7" t="n">
        <f aca="false">AVERAGE(E1030:E1039)</f>
        <v>17696.457</v>
      </c>
      <c r="I1039" s="7" t="n">
        <f aca="false">AVERAGE(E1020:E1039)</f>
        <v>17532.1485</v>
      </c>
      <c r="J1039" s="7" t="n">
        <f aca="false">AVERAGE(E990:E1039)</f>
        <v>16930.7668</v>
      </c>
      <c r="K1039" s="7" t="n">
        <f aca="false">AVERAGE(E940:E1039)</f>
        <v>16031.4119</v>
      </c>
      <c r="L1039" s="7" t="n">
        <f aca="false">AVERAGE(E840:E1039)</f>
        <v>15416.6911</v>
      </c>
      <c r="M1039" s="7" t="n">
        <f aca="false">I1039</f>
        <v>17532.1485</v>
      </c>
      <c r="N1039" s="7" t="n">
        <f aca="false">I1039+2*STDEV(E1020:E1039)</f>
        <v>18022.1757986284</v>
      </c>
      <c r="O1039" s="7" t="n">
        <f aca="false">I1039-2*STDEV(E1020:E1039)</f>
        <v>17042.1212013716</v>
      </c>
      <c r="P1039" s="7" t="n">
        <f aca="false">MAX(E1039-E1038,0)</f>
        <v>207.210000000003</v>
      </c>
      <c r="Q1039" s="7" t="n">
        <f aca="false">MAX(E1038-E1039,0)</f>
        <v>0</v>
      </c>
      <c r="R1039" s="7" t="n">
        <f aca="false">(R1038*13+P1039)/14</f>
        <v>87.9918492939227</v>
      </c>
      <c r="S1039" s="7" t="n">
        <f aca="false">(S1038*13+Q1039)/14</f>
        <v>53.7748860236034</v>
      </c>
      <c r="T1039" s="7" t="n">
        <f aca="false">IF(S1039=0,100,100-100/(1+R1039/S1039))</f>
        <v>62.0680507996749</v>
      </c>
      <c r="U1039" s="7" t="n">
        <f aca="false">E1039*2/13+U1038*11/13</f>
        <v>17649.0891267827</v>
      </c>
      <c r="V1039" s="7" t="n">
        <f aca="false">E1039*2/27+V1038*25/27</f>
        <v>17381.5335649248</v>
      </c>
      <c r="W1039" s="7" t="n">
        <f aca="false">U1039-V1039</f>
        <v>267.555561857931</v>
      </c>
      <c r="X1039" s="7" t="n">
        <f aca="false">W1039*2/10+X1038*8/10</f>
        <v>275.06537144299</v>
      </c>
      <c r="Y1039" s="7" t="n">
        <f aca="false">W1039-X1039</f>
        <v>-7.50980958505863</v>
      </c>
      <c r="Z1039" s="8" t="s">
        <v>42</v>
      </c>
      <c r="AA1039" s="7" t="str">
        <f aca="false">IFERROR(INDEX(02_轉折點45!B:B,MATCH(A1039,02_轉折點45!A:A,0)),"")</f>
        <v/>
      </c>
      <c r="AB1039" s="7" t="n">
        <f aca="false">COUNTIFS(05_訊號明細!A:A,A1039,05_訊號明細!C:C,"TOP")</f>
        <v>0</v>
      </c>
      <c r="AC1039" s="7" t="n">
        <f aca="false">COUNTIFS(05_訊號明細!A:A,A1039,05_訊號明細!C:C,"BOTTOM")</f>
        <v>0</v>
      </c>
    </row>
    <row r="1040" customFormat="false" ht="15" hidden="false" customHeight="false" outlineLevel="0" collapsed="false">
      <c r="A1040" s="7" t="s">
        <v>1081</v>
      </c>
      <c r="B1040" s="7" t="n">
        <v>17815.32</v>
      </c>
      <c r="C1040" s="7" t="n">
        <v>17864.59</v>
      </c>
      <c r="D1040" s="7" t="n">
        <v>17722.31</v>
      </c>
      <c r="E1040" s="7" t="n">
        <v>17845.72</v>
      </c>
      <c r="F1040" s="7" t="n">
        <v>6049</v>
      </c>
      <c r="G1040" s="7" t="n">
        <f aca="false">AVERAGE(E1036:E1040)</f>
        <v>17819.768</v>
      </c>
      <c r="H1040" s="7" t="n">
        <f aca="false">AVERAGE(E1031:E1040)</f>
        <v>17746.558</v>
      </c>
      <c r="I1040" s="7" t="n">
        <f aca="false">AVERAGE(E1021:E1040)</f>
        <v>17575.32</v>
      </c>
      <c r="J1040" s="7" t="n">
        <f aca="false">AVERAGE(E991:E1040)</f>
        <v>16970.8878</v>
      </c>
      <c r="K1040" s="7" t="n">
        <f aca="false">AVERAGE(E941:E1040)</f>
        <v>16062.8581</v>
      </c>
      <c r="L1040" s="7" t="n">
        <f aca="false">AVERAGE(E841:E1040)</f>
        <v>15439.76235</v>
      </c>
      <c r="M1040" s="7" t="n">
        <f aca="false">I1040</f>
        <v>17575.32</v>
      </c>
      <c r="N1040" s="7" t="n">
        <f aca="false">I1040+2*STDEV(E1021:E1040)</f>
        <v>18010.4386712901</v>
      </c>
      <c r="O1040" s="7" t="n">
        <f aca="false">I1040-2*STDEV(E1021:E1040)</f>
        <v>17140.2013287099</v>
      </c>
      <c r="P1040" s="7" t="n">
        <f aca="false">MAX(E1040-E1039,0)</f>
        <v>38.0900000000001</v>
      </c>
      <c r="Q1040" s="7" t="n">
        <f aca="false">MAX(E1039-E1040,0)</f>
        <v>0</v>
      </c>
      <c r="R1040" s="7" t="n">
        <f aca="false">(R1039*13+P1040)/14</f>
        <v>84.427431487214</v>
      </c>
      <c r="S1040" s="7" t="n">
        <f aca="false">(S1039*13+Q1040)/14</f>
        <v>49.9338227362031</v>
      </c>
      <c r="T1040" s="7" t="n">
        <f aca="false">IF(S1040=0,100,100-100/(1+R1040/S1040))</f>
        <v>62.8361442256465</v>
      </c>
      <c r="U1040" s="7" t="n">
        <f aca="false">E1040*2/13+U1039*11/13</f>
        <v>17679.3400303546</v>
      </c>
      <c r="V1040" s="7" t="n">
        <f aca="false">E1040*2/27+V1039*25/27</f>
        <v>17415.9177453007</v>
      </c>
      <c r="W1040" s="7" t="n">
        <f aca="false">U1040-V1040</f>
        <v>263.422285053879</v>
      </c>
      <c r="X1040" s="7" t="n">
        <f aca="false">W1040*2/10+X1039*8/10</f>
        <v>272.736754165168</v>
      </c>
      <c r="Y1040" s="7" t="n">
        <f aca="false">W1040-X1040</f>
        <v>-9.31446911128853</v>
      </c>
      <c r="Z1040" s="8" t="s">
        <v>42</v>
      </c>
      <c r="AA1040" s="7" t="str">
        <f aca="false">IFERROR(INDEX(02_轉折點45!B:B,MATCH(A1040,02_轉折點45!A:A,0)),"")</f>
        <v/>
      </c>
      <c r="AB1040" s="7" t="n">
        <f aca="false">COUNTIFS(05_訊號明細!A:A,A1040,05_訊號明細!C:C,"TOP")</f>
        <v>0</v>
      </c>
      <c r="AC1040" s="7" t="n">
        <f aca="false">COUNTIFS(05_訊號明細!A:A,A1040,05_訊號明細!C:C,"BOTTOM")</f>
        <v>0</v>
      </c>
    </row>
    <row r="1041" customFormat="false" ht="15" hidden="false" customHeight="false" outlineLevel="0" collapsed="false">
      <c r="A1041" s="7" t="s">
        <v>1082</v>
      </c>
      <c r="B1041" s="7" t="n">
        <v>17853.59</v>
      </c>
      <c r="C1041" s="7" t="n">
        <v>17864.16</v>
      </c>
      <c r="D1041" s="7" t="n">
        <v>17663.4</v>
      </c>
      <c r="E1041" s="7" t="n">
        <v>17685.98</v>
      </c>
      <c r="F1041" s="7" t="n">
        <v>5224</v>
      </c>
      <c r="G1041" s="7" t="n">
        <f aca="false">AVERAGE(E1037:E1041)</f>
        <v>17764.482</v>
      </c>
      <c r="H1041" s="7" t="n">
        <f aca="false">AVERAGE(E1032:E1041)</f>
        <v>17750.883</v>
      </c>
      <c r="I1041" s="7" t="n">
        <f aca="false">AVERAGE(E1022:E1041)</f>
        <v>17593.919</v>
      </c>
      <c r="J1041" s="7" t="n">
        <f aca="false">AVERAGE(E992:E1041)</f>
        <v>17007.0532</v>
      </c>
      <c r="K1041" s="7" t="n">
        <f aca="false">AVERAGE(E942:E1041)</f>
        <v>16092.0289</v>
      </c>
      <c r="L1041" s="7" t="n">
        <f aca="false">AVERAGE(E842:E1041)</f>
        <v>15462.62395</v>
      </c>
      <c r="M1041" s="7" t="n">
        <f aca="false">I1041</f>
        <v>17593.919</v>
      </c>
      <c r="N1041" s="7" t="n">
        <f aca="false">I1041+2*STDEV(E1022:E1041)</f>
        <v>18013.5299133045</v>
      </c>
      <c r="O1041" s="7" t="n">
        <f aca="false">I1041-2*STDEV(E1022:E1041)</f>
        <v>17174.3080866955</v>
      </c>
      <c r="P1041" s="7" t="n">
        <f aca="false">MAX(E1041-E1040,0)</f>
        <v>0</v>
      </c>
      <c r="Q1041" s="7" t="n">
        <f aca="false">MAX(E1040-E1041,0)</f>
        <v>159.740000000002</v>
      </c>
      <c r="R1041" s="7" t="n">
        <f aca="false">(R1040*13+P1041)/14</f>
        <v>78.3969006666987</v>
      </c>
      <c r="S1041" s="7" t="n">
        <f aca="false">(S1040*13+Q1041)/14</f>
        <v>57.7771211121887</v>
      </c>
      <c r="T1041" s="7" t="n">
        <f aca="false">IF(S1041=0,100,100-100/(1+R1041/S1041))</f>
        <v>57.5711135226627</v>
      </c>
      <c r="U1041" s="7" t="n">
        <f aca="false">E1041*2/13+U1040*11/13</f>
        <v>17680.3615641462</v>
      </c>
      <c r="V1041" s="7" t="n">
        <f aca="false">E1041*2/27+V1040*25/27</f>
        <v>17435.9223567599</v>
      </c>
      <c r="W1041" s="7" t="n">
        <f aca="false">U1041-V1041</f>
        <v>244.439207386276</v>
      </c>
      <c r="X1041" s="7" t="n">
        <f aca="false">W1041*2/10+X1040*8/10</f>
        <v>267.077244809389</v>
      </c>
      <c r="Y1041" s="7" t="n">
        <f aca="false">W1041-X1041</f>
        <v>-22.6380374231129</v>
      </c>
      <c r="Z1041" s="8" t="s">
        <v>42</v>
      </c>
      <c r="AA1041" s="7" t="str">
        <f aca="false">IFERROR(INDEX(02_轉折點45!B:B,MATCH(A1041,02_轉折點45!A:A,0)),"")</f>
        <v/>
      </c>
      <c r="AB1041" s="7" t="n">
        <f aca="false">COUNTIFS(05_訊號明細!A:A,A1041,05_訊號明細!C:C,"TOP")</f>
        <v>0</v>
      </c>
      <c r="AC1041" s="7" t="n">
        <f aca="false">COUNTIFS(05_訊號明細!A:A,A1041,05_訊號明細!C:C,"BOTTOM")</f>
        <v>0</v>
      </c>
    </row>
    <row r="1042" customFormat="false" ht="15" hidden="false" customHeight="false" outlineLevel="0" collapsed="false">
      <c r="A1042" s="7" t="s">
        <v>1083</v>
      </c>
      <c r="B1042" s="7" t="n">
        <v>17591.17</v>
      </c>
      <c r="C1042" s="7" t="n">
        <v>17657.08</v>
      </c>
      <c r="D1042" s="7" t="n">
        <v>17399.41</v>
      </c>
      <c r="E1042" s="7" t="n">
        <v>17546.1</v>
      </c>
      <c r="F1042" s="7" t="n">
        <v>5596</v>
      </c>
      <c r="G1042" s="7" t="n">
        <f aca="false">AVERAGE(E1038:E1042)</f>
        <v>17697.17</v>
      </c>
      <c r="H1042" s="7" t="n">
        <f aca="false">AVERAGE(E1033:E1042)</f>
        <v>17744.189</v>
      </c>
      <c r="I1042" s="7" t="n">
        <f aca="false">AVERAGE(E1023:E1042)</f>
        <v>17604.705</v>
      </c>
      <c r="J1042" s="7" t="n">
        <f aca="false">AVERAGE(E993:E1042)</f>
        <v>17042.2142</v>
      </c>
      <c r="K1042" s="7" t="n">
        <f aca="false">AVERAGE(E943:E1042)</f>
        <v>16122.0316</v>
      </c>
      <c r="L1042" s="7" t="n">
        <f aca="false">AVERAGE(E843:E1042)</f>
        <v>15485.2034</v>
      </c>
      <c r="M1042" s="7" t="n">
        <f aca="false">I1042</f>
        <v>17604.705</v>
      </c>
      <c r="N1042" s="7" t="n">
        <f aca="false">I1042+2*STDEV(E1023:E1042)</f>
        <v>18006.5049920096</v>
      </c>
      <c r="O1042" s="7" t="n">
        <f aca="false">I1042-2*STDEV(E1023:E1042)</f>
        <v>17202.9050079904</v>
      </c>
      <c r="P1042" s="7" t="n">
        <f aca="false">MAX(E1042-E1041,0)</f>
        <v>0</v>
      </c>
      <c r="Q1042" s="7" t="n">
        <f aca="false">MAX(E1041-E1042,0)</f>
        <v>139.880000000001</v>
      </c>
      <c r="R1042" s="7" t="n">
        <f aca="false">(R1041*13+P1042)/14</f>
        <v>72.7971220476488</v>
      </c>
      <c r="S1042" s="7" t="n">
        <f aca="false">(S1041*13+Q1042)/14</f>
        <v>63.6416124613182</v>
      </c>
      <c r="T1042" s="7" t="n">
        <f aca="false">IF(S1042=0,100,100-100/(1+R1042/S1042))</f>
        <v>53.3551724219961</v>
      </c>
      <c r="U1042" s="7" t="n">
        <f aca="false">E1042*2/13+U1041*11/13</f>
        <v>17659.7059388929</v>
      </c>
      <c r="V1042" s="7" t="n">
        <f aca="false">E1042*2/27+V1041*25/27</f>
        <v>17444.0836636666</v>
      </c>
      <c r="W1042" s="7" t="n">
        <f aca="false">U1042-V1042</f>
        <v>215.622275226346</v>
      </c>
      <c r="X1042" s="7" t="n">
        <f aca="false">W1042*2/10+X1041*8/10</f>
        <v>256.786250892781</v>
      </c>
      <c r="Y1042" s="7" t="n">
        <f aca="false">W1042-X1042</f>
        <v>-41.1639756664349</v>
      </c>
      <c r="Z1042" s="8" t="s">
        <v>42</v>
      </c>
      <c r="AA1042" s="7" t="str">
        <f aca="false">IFERROR(INDEX(02_轉折點45!B:B,MATCH(A1042,02_轉折點45!A:A,0)),"")</f>
        <v/>
      </c>
      <c r="AB1042" s="7" t="n">
        <f aca="false">COUNTIFS(05_訊號明細!A:A,A1042,05_訊號明細!C:C,"TOP")</f>
        <v>1</v>
      </c>
      <c r="AC1042" s="7" t="n">
        <f aca="false">COUNTIFS(05_訊號明細!A:A,A1042,05_訊號明細!C:C,"BOTTOM")</f>
        <v>0</v>
      </c>
    </row>
    <row r="1043" customFormat="false" ht="15" hidden="false" customHeight="false" outlineLevel="0" collapsed="false">
      <c r="A1043" s="7" t="s">
        <v>1084</v>
      </c>
      <c r="B1043" s="7" t="n">
        <v>17412.79</v>
      </c>
      <c r="C1043" s="7" t="n">
        <v>17482.13</v>
      </c>
      <c r="D1043" s="7" t="n">
        <v>17319.44</v>
      </c>
      <c r="E1043" s="7" t="n">
        <v>17478.91</v>
      </c>
      <c r="F1043" s="7" t="n">
        <v>4846</v>
      </c>
      <c r="G1043" s="7" t="n">
        <f aca="false">AVERAGE(E1039:E1043)</f>
        <v>17672.868</v>
      </c>
      <c r="H1043" s="7" t="n">
        <f aca="false">AVERAGE(E1034:E1043)</f>
        <v>17734.807</v>
      </c>
      <c r="I1043" s="7" t="n">
        <f aca="false">AVERAGE(E1024:E1043)</f>
        <v>17608.44</v>
      </c>
      <c r="J1043" s="7" t="n">
        <f aca="false">AVERAGE(E994:E1043)</f>
        <v>17071.3426</v>
      </c>
      <c r="K1043" s="7" t="n">
        <f aca="false">AVERAGE(E944:E1043)</f>
        <v>16151.0191</v>
      </c>
      <c r="L1043" s="7" t="n">
        <f aca="false">AVERAGE(E844:E1043)</f>
        <v>15507.68555</v>
      </c>
      <c r="M1043" s="7" t="n">
        <f aca="false">I1043</f>
        <v>17608.44</v>
      </c>
      <c r="N1043" s="7" t="n">
        <f aca="false">I1043+2*STDEV(E1024:E1043)</f>
        <v>18003.7286998265</v>
      </c>
      <c r="O1043" s="7" t="n">
        <f aca="false">I1043-2*STDEV(E1024:E1043)</f>
        <v>17213.1513001735</v>
      </c>
      <c r="P1043" s="7" t="n">
        <f aca="false">MAX(E1043-E1042,0)</f>
        <v>0</v>
      </c>
      <c r="Q1043" s="7" t="n">
        <f aca="false">MAX(E1042-E1043,0)</f>
        <v>67.1899999999987</v>
      </c>
      <c r="R1043" s="7" t="n">
        <f aca="false">(R1042*13+P1043)/14</f>
        <v>67.5973276156739</v>
      </c>
      <c r="S1043" s="7" t="n">
        <f aca="false">(S1042*13+Q1043)/14</f>
        <v>63.8950687140811</v>
      </c>
      <c r="T1043" s="7" t="n">
        <f aca="false">IF(S1043=0,100,100-100/(1+R1043/S1043))</f>
        <v>51.4077844061448</v>
      </c>
      <c r="U1043" s="7" t="n">
        <f aca="false">E1043*2/13+U1042*11/13</f>
        <v>17631.8911790633</v>
      </c>
      <c r="V1043" s="7" t="n">
        <f aca="false">E1043*2/27+V1042*25/27</f>
        <v>17446.6633922839</v>
      </c>
      <c r="W1043" s="7" t="n">
        <f aca="false">U1043-V1043</f>
        <v>185.227786779375</v>
      </c>
      <c r="X1043" s="7" t="n">
        <f aca="false">W1043*2/10+X1042*8/10</f>
        <v>242.474558070099</v>
      </c>
      <c r="Y1043" s="7" t="n">
        <f aca="false">W1043-X1043</f>
        <v>-57.2467712907248</v>
      </c>
      <c r="Z1043" s="8" t="s">
        <v>42</v>
      </c>
      <c r="AA1043" s="7" t="str">
        <f aca="false">IFERROR(INDEX(02_轉折點45!B:B,MATCH(A1043,02_轉折點45!A:A,0)),"")</f>
        <v/>
      </c>
      <c r="AB1043" s="7" t="n">
        <f aca="false">COUNTIFS(05_訊號明細!A:A,A1043,05_訊號明細!C:C,"TOP")</f>
        <v>0</v>
      </c>
      <c r="AC1043" s="7" t="n">
        <f aca="false">COUNTIFS(05_訊號明細!A:A,A1043,05_訊號明細!C:C,"BOTTOM")</f>
        <v>0</v>
      </c>
    </row>
    <row r="1044" customFormat="false" ht="15" hidden="false" customHeight="false" outlineLevel="0" collapsed="false">
      <c r="A1044" s="7" t="s">
        <v>1085</v>
      </c>
      <c r="B1044" s="7" t="n">
        <v>17857.76</v>
      </c>
      <c r="C1044" s="7" t="n">
        <v>18034.8</v>
      </c>
      <c r="D1044" s="7" t="n">
        <v>17808.26</v>
      </c>
      <c r="E1044" s="7" t="n">
        <v>18004.7</v>
      </c>
      <c r="F1044" s="7" t="n">
        <v>5654</v>
      </c>
      <c r="G1044" s="7" t="n">
        <f aca="false">AVERAGE(E1040:E1044)</f>
        <v>17712.282</v>
      </c>
      <c r="H1044" s="7" t="n">
        <f aca="false">AVERAGE(E1035:E1044)</f>
        <v>17759.77</v>
      </c>
      <c r="I1044" s="7" t="n">
        <f aca="false">AVERAGE(E1025:E1044)</f>
        <v>17633.71</v>
      </c>
      <c r="J1044" s="7" t="n">
        <f aca="false">AVERAGE(E995:E1044)</f>
        <v>17109.7428</v>
      </c>
      <c r="K1044" s="7" t="n">
        <f aca="false">AVERAGE(E945:E1044)</f>
        <v>16184.0384</v>
      </c>
      <c r="L1044" s="7" t="n">
        <f aca="false">AVERAGE(E845:E1044)</f>
        <v>15531.4134</v>
      </c>
      <c r="M1044" s="7" t="n">
        <f aca="false">I1044</f>
        <v>17633.71</v>
      </c>
      <c r="N1044" s="7" t="n">
        <f aca="false">I1044+2*STDEV(E1025:E1044)</f>
        <v>18062.7950687341</v>
      </c>
      <c r="O1044" s="7" t="n">
        <f aca="false">I1044-2*STDEV(E1025:E1044)</f>
        <v>17204.6249312659</v>
      </c>
      <c r="P1044" s="7" t="n">
        <f aca="false">MAX(E1044-E1043,0)</f>
        <v>525.790000000001</v>
      </c>
      <c r="Q1044" s="7" t="n">
        <f aca="false">MAX(E1043-E1044,0)</f>
        <v>0</v>
      </c>
      <c r="R1044" s="7" t="n">
        <f aca="false">(R1043*13+P1044)/14</f>
        <v>100.325375643126</v>
      </c>
      <c r="S1044" s="7" t="n">
        <f aca="false">(S1043*13+Q1044)/14</f>
        <v>59.3311352345039</v>
      </c>
      <c r="T1044" s="7" t="n">
        <f aca="false">IF(S1044=0,100,100-100/(1+R1044/S1044))</f>
        <v>62.8382613973201</v>
      </c>
      <c r="U1044" s="7" t="n">
        <f aca="false">E1044*2/13+U1043*11/13</f>
        <v>17689.2463822843</v>
      </c>
      <c r="V1044" s="7" t="n">
        <f aca="false">E1044*2/27+V1043*25/27</f>
        <v>17487.9994372999</v>
      </c>
      <c r="W1044" s="7" t="n">
        <f aca="false">U1044-V1044</f>
        <v>201.246944984403</v>
      </c>
      <c r="X1044" s="7" t="n">
        <f aca="false">W1044*2/10+X1043*8/10</f>
        <v>234.22903545296</v>
      </c>
      <c r="Y1044" s="7" t="n">
        <f aca="false">W1044-X1044</f>
        <v>-32.9820904685571</v>
      </c>
      <c r="Z1044" s="8" t="s">
        <v>42</v>
      </c>
      <c r="AA1044" s="7" t="str">
        <f aca="false">IFERROR(INDEX(02_轉折點45!B:B,MATCH(A1044,02_轉折點45!A:A,0)),"")</f>
        <v/>
      </c>
      <c r="AB1044" s="7" t="n">
        <f aca="false">COUNTIFS(05_訊號明細!A:A,A1044,05_訊號明細!C:C,"TOP")</f>
        <v>1</v>
      </c>
      <c r="AC1044" s="7" t="n">
        <f aca="false">COUNTIFS(05_訊號明細!A:A,A1044,05_訊號明細!C:C,"BOTTOM")</f>
        <v>0</v>
      </c>
    </row>
    <row r="1045" customFormat="false" ht="15" hidden="false" customHeight="false" outlineLevel="0" collapsed="false">
      <c r="A1045" s="7" t="s">
        <v>1086</v>
      </c>
      <c r="B1045" s="7" t="n">
        <v>18052.59</v>
      </c>
      <c r="C1045" s="7" t="n">
        <v>18091.62</v>
      </c>
      <c r="D1045" s="7" t="n">
        <v>17902.78</v>
      </c>
      <c r="E1045" s="7" t="n">
        <v>17937.61</v>
      </c>
      <c r="F1045" s="7" t="n">
        <v>5078</v>
      </c>
      <c r="G1045" s="7" t="n">
        <f aca="false">AVERAGE(E1041:E1045)</f>
        <v>17730.66</v>
      </c>
      <c r="H1045" s="7" t="n">
        <f aca="false">AVERAGE(E1036:E1045)</f>
        <v>17775.214</v>
      </c>
      <c r="I1045" s="7" t="n">
        <f aca="false">AVERAGE(E1026:E1045)</f>
        <v>17654.741</v>
      </c>
      <c r="J1045" s="7" t="n">
        <f aca="false">AVERAGE(E996:E1045)</f>
        <v>17144.0604</v>
      </c>
      <c r="K1045" s="7" t="n">
        <f aca="false">AVERAGE(E946:E1045)</f>
        <v>16216.2621</v>
      </c>
      <c r="L1045" s="7" t="n">
        <f aca="false">AVERAGE(E846:E1045)</f>
        <v>15554.64325</v>
      </c>
      <c r="M1045" s="7" t="n">
        <f aca="false">I1045</f>
        <v>17654.741</v>
      </c>
      <c r="N1045" s="7" t="n">
        <f aca="false">I1045+2*STDEV(E1026:E1045)</f>
        <v>18100.6409355248</v>
      </c>
      <c r="O1045" s="7" t="n">
        <f aca="false">I1045-2*STDEV(E1026:E1045)</f>
        <v>17208.8410644752</v>
      </c>
      <c r="P1045" s="7" t="n">
        <f aca="false">MAX(E1045-E1044,0)</f>
        <v>0</v>
      </c>
      <c r="Q1045" s="7" t="n">
        <f aca="false">MAX(E1044-E1045,0)</f>
        <v>67.0900000000002</v>
      </c>
      <c r="R1045" s="7" t="n">
        <f aca="false">(R1044*13+P1045)/14</f>
        <v>93.1592773829025</v>
      </c>
      <c r="S1045" s="7" t="n">
        <f aca="false">(S1044*13+Q1045)/14</f>
        <v>59.8853398606107</v>
      </c>
      <c r="T1045" s="7" t="n">
        <f aca="false">IF(S1045=0,100,100-100/(1+R1045/S1045))</f>
        <v>60.8706657318593</v>
      </c>
      <c r="U1045" s="7" t="n">
        <f aca="false">E1045*2/13+U1044*11/13</f>
        <v>17727.4561696252</v>
      </c>
      <c r="V1045" s="7" t="n">
        <f aca="false">E1045*2/27+V1044*25/27</f>
        <v>17521.3039234258</v>
      </c>
      <c r="W1045" s="7" t="n">
        <f aca="false">U1045-V1045</f>
        <v>206.152246199348</v>
      </c>
      <c r="X1045" s="7" t="n">
        <f aca="false">W1045*2/10+X1044*8/10</f>
        <v>228.613677602238</v>
      </c>
      <c r="Y1045" s="7" t="n">
        <f aca="false">W1045-X1045</f>
        <v>-22.4614314028895</v>
      </c>
      <c r="Z1045" s="8" t="s">
        <v>42</v>
      </c>
      <c r="AA1045" s="7" t="str">
        <f aca="false">IFERROR(INDEX(02_轉折點45!B:B,MATCH(A1045,02_轉折點45!A:A,0)),"")</f>
        <v/>
      </c>
      <c r="AB1045" s="7" t="n">
        <f aca="false">COUNTIFS(05_訊號明細!A:A,A1045,05_訊號明細!C:C,"TOP")</f>
        <v>0</v>
      </c>
      <c r="AC1045" s="7" t="n">
        <f aca="false">COUNTIFS(05_訊號明細!A:A,A1045,05_訊號明細!C:C,"BOTTOM")</f>
        <v>0</v>
      </c>
    </row>
    <row r="1046" customFormat="false" ht="15" hidden="false" customHeight="false" outlineLevel="0" collapsed="false">
      <c r="A1046" s="7" t="s">
        <v>1087</v>
      </c>
      <c r="B1046" s="7" t="n">
        <v>17970.21</v>
      </c>
      <c r="C1046" s="7" t="n">
        <v>18014.11</v>
      </c>
      <c r="D1046" s="7" t="n">
        <v>17926.66</v>
      </c>
      <c r="E1046" s="7" t="n">
        <v>17933.33</v>
      </c>
      <c r="F1046" s="7" t="n">
        <v>5418</v>
      </c>
      <c r="G1046" s="7" t="n">
        <f aca="false">AVERAGE(E1042:E1046)</f>
        <v>17780.13</v>
      </c>
      <c r="H1046" s="7" t="n">
        <f aca="false">AVERAGE(E1037:E1046)</f>
        <v>17772.306</v>
      </c>
      <c r="I1046" s="7" t="n">
        <f aca="false">AVERAGE(E1027:E1046)</f>
        <v>17680.357</v>
      </c>
      <c r="J1046" s="7" t="n">
        <f aca="false">AVERAGE(E997:E1046)</f>
        <v>17175.642</v>
      </c>
      <c r="K1046" s="7" t="n">
        <f aca="false">AVERAGE(E947:E1046)</f>
        <v>16247.2197</v>
      </c>
      <c r="L1046" s="7" t="n">
        <f aca="false">AVERAGE(E847:E1046)</f>
        <v>15578.30435</v>
      </c>
      <c r="M1046" s="7" t="n">
        <f aca="false">I1046</f>
        <v>17680.357</v>
      </c>
      <c r="N1046" s="7" t="n">
        <f aca="false">I1046+2*STDEV(E1027:E1046)</f>
        <v>18128.5780769886</v>
      </c>
      <c r="O1046" s="7" t="n">
        <f aca="false">I1046-2*STDEV(E1027:E1046)</f>
        <v>17232.1359230114</v>
      </c>
      <c r="P1046" s="7" t="n">
        <f aca="false">MAX(E1046-E1045,0)</f>
        <v>0</v>
      </c>
      <c r="Q1046" s="7" t="n">
        <f aca="false">MAX(E1045-E1046,0)</f>
        <v>4.27999999999884</v>
      </c>
      <c r="R1046" s="7" t="n">
        <f aca="false">(R1045*13+P1046)/14</f>
        <v>86.5050432841238</v>
      </c>
      <c r="S1046" s="7" t="n">
        <f aca="false">(S1045*13+Q1046)/14</f>
        <v>55.913529870567</v>
      </c>
      <c r="T1046" s="7" t="n">
        <f aca="false">IF(S1046=0,100,100-100/(1+R1046/S1046))</f>
        <v>60.7400013691786</v>
      </c>
      <c r="U1046" s="7" t="n">
        <f aca="false">E1046*2/13+U1045*11/13</f>
        <v>17759.1290666059</v>
      </c>
      <c r="V1046" s="7" t="n">
        <f aca="false">E1046*2/27+V1045*25/27</f>
        <v>17551.8243735424</v>
      </c>
      <c r="W1046" s="7" t="n">
        <f aca="false">U1046-V1046</f>
        <v>207.304693063485</v>
      </c>
      <c r="X1046" s="7" t="n">
        <f aca="false">W1046*2/10+X1045*8/10</f>
        <v>224.351880694487</v>
      </c>
      <c r="Y1046" s="7" t="n">
        <f aca="false">W1046-X1046</f>
        <v>-17.0471876310024</v>
      </c>
      <c r="Z1046" s="8" t="s">
        <v>42</v>
      </c>
      <c r="AA1046" s="7" t="str">
        <f aca="false">IFERROR(INDEX(02_轉折點45!B:B,MATCH(A1046,02_轉折點45!A:A,0)),"")</f>
        <v/>
      </c>
      <c r="AB1046" s="7" t="n">
        <f aca="false">COUNTIFS(05_訊號明細!A:A,A1046,05_訊號明細!C:C,"TOP")</f>
        <v>0</v>
      </c>
      <c r="AC1046" s="7" t="n">
        <f aca="false">COUNTIFS(05_訊號明細!A:A,A1046,05_訊號明細!C:C,"BOTTOM")</f>
        <v>0</v>
      </c>
    </row>
    <row r="1047" customFormat="false" ht="15" hidden="false" customHeight="false" outlineLevel="0" collapsed="false">
      <c r="A1047" s="7" t="s">
        <v>1088</v>
      </c>
      <c r="B1047" s="7" t="n">
        <v>17962.58</v>
      </c>
      <c r="C1047" s="7" t="n">
        <v>17987.54</v>
      </c>
      <c r="D1047" s="7" t="n">
        <v>17871.06</v>
      </c>
      <c r="E1047" s="7" t="n">
        <v>17971.05</v>
      </c>
      <c r="F1047" s="7" t="n">
        <v>5423</v>
      </c>
      <c r="G1047" s="7" t="n">
        <f aca="false">AVERAGE(E1043:E1047)</f>
        <v>17865.12</v>
      </c>
      <c r="H1047" s="7" t="n">
        <f aca="false">AVERAGE(E1038:E1047)</f>
        <v>17781.145</v>
      </c>
      <c r="I1047" s="7" t="n">
        <f aca="false">AVERAGE(E1028:E1047)</f>
        <v>17699.096</v>
      </c>
      <c r="J1047" s="7" t="n">
        <f aca="false">AVERAGE(E998:E1047)</f>
        <v>17203.8156</v>
      </c>
      <c r="K1047" s="7" t="n">
        <f aca="false">AVERAGE(E948:E1047)</f>
        <v>16281.274</v>
      </c>
      <c r="L1047" s="7" t="n">
        <f aca="false">AVERAGE(E848:E1047)</f>
        <v>15601.42045</v>
      </c>
      <c r="M1047" s="7" t="n">
        <f aca="false">I1047</f>
        <v>17699.096</v>
      </c>
      <c r="N1047" s="7" t="n">
        <f aca="false">I1047+2*STDEV(E1028:E1047)</f>
        <v>18163.5580952366</v>
      </c>
      <c r="O1047" s="7" t="n">
        <f aca="false">I1047-2*STDEV(E1028:E1047)</f>
        <v>17234.6339047634</v>
      </c>
      <c r="P1047" s="7" t="n">
        <f aca="false">MAX(E1047-E1046,0)</f>
        <v>37.7199999999975</v>
      </c>
      <c r="Q1047" s="7" t="n">
        <f aca="false">MAX(E1046-E1047,0)</f>
        <v>0</v>
      </c>
      <c r="R1047" s="7" t="n">
        <f aca="false">(R1046*13+P1047)/14</f>
        <v>83.0203973352576</v>
      </c>
      <c r="S1047" s="7" t="n">
        <f aca="false">(S1046*13+Q1047)/14</f>
        <v>51.9197063083837</v>
      </c>
      <c r="T1047" s="7" t="n">
        <f aca="false">IF(S1047=0,100,100-100/(1+R1047/S1047))</f>
        <v>61.5238873348603</v>
      </c>
      <c r="U1047" s="7" t="n">
        <f aca="false">E1047*2/13+U1046*11/13</f>
        <v>17791.7322871281</v>
      </c>
      <c r="V1047" s="7" t="n">
        <f aca="false">E1047*2/27+V1046*25/27</f>
        <v>17582.8781236504</v>
      </c>
      <c r="W1047" s="7" t="n">
        <f aca="false">U1047-V1047</f>
        <v>208.854163477685</v>
      </c>
      <c r="X1047" s="7" t="n">
        <f aca="false">W1047*2/10+X1046*8/10</f>
        <v>221.252337251127</v>
      </c>
      <c r="Y1047" s="7" t="n">
        <f aca="false">W1047-X1047</f>
        <v>-12.3981737734418</v>
      </c>
      <c r="Z1047" s="8" t="s">
        <v>42</v>
      </c>
      <c r="AA1047" s="7" t="str">
        <f aca="false">IFERROR(INDEX(02_轉折點45!B:B,MATCH(A1047,02_轉折點45!A:A,0)),"")</f>
        <v/>
      </c>
      <c r="AB1047" s="7" t="n">
        <f aca="false">COUNTIFS(05_訊號明細!A:A,A1047,05_訊號明細!C:C,"TOP")</f>
        <v>0</v>
      </c>
      <c r="AC1047" s="7" t="n">
        <f aca="false">COUNTIFS(05_訊號明細!A:A,A1047,05_訊號明細!C:C,"BOTTOM")</f>
        <v>0</v>
      </c>
    </row>
    <row r="1048" customFormat="false" ht="15" hidden="false" customHeight="false" outlineLevel="0" collapsed="false">
      <c r="A1048" s="7" t="s">
        <v>1089</v>
      </c>
      <c r="B1048" s="7" t="n">
        <v>17895.03</v>
      </c>
      <c r="C1048" s="7" t="n">
        <v>17931.01</v>
      </c>
      <c r="D1048" s="7" t="n">
        <v>17840.36</v>
      </c>
      <c r="E1048" s="7" t="n">
        <v>17874.5</v>
      </c>
      <c r="F1048" s="7" t="n">
        <v>5582</v>
      </c>
      <c r="G1048" s="7" t="n">
        <f aca="false">AVERAGE(E1044:E1048)</f>
        <v>17944.238</v>
      </c>
      <c r="H1048" s="7" t="n">
        <f aca="false">AVERAGE(E1039:E1048)</f>
        <v>17808.553</v>
      </c>
      <c r="I1048" s="7" t="n">
        <f aca="false">AVERAGE(E1029:E1048)</f>
        <v>17718.9855</v>
      </c>
      <c r="J1048" s="7" t="n">
        <f aca="false">AVERAGE(E999:E1048)</f>
        <v>17230.549</v>
      </c>
      <c r="K1048" s="7" t="n">
        <f aca="false">AVERAGE(E949:E1048)</f>
        <v>16312.2565</v>
      </c>
      <c r="L1048" s="7" t="n">
        <f aca="false">AVERAGE(E849:E1048)</f>
        <v>15623.84405</v>
      </c>
      <c r="M1048" s="7" t="n">
        <f aca="false">I1048</f>
        <v>17718.9855</v>
      </c>
      <c r="N1048" s="7" t="n">
        <f aca="false">I1048+2*STDEV(E1029:E1048)</f>
        <v>18177.3792898208</v>
      </c>
      <c r="O1048" s="7" t="n">
        <f aca="false">I1048-2*STDEV(E1029:E1048)</f>
        <v>17260.5917101792</v>
      </c>
      <c r="P1048" s="7" t="n">
        <f aca="false">MAX(E1048-E1047,0)</f>
        <v>0</v>
      </c>
      <c r="Q1048" s="7" t="n">
        <f aca="false">MAX(E1047-E1048,0)</f>
        <v>96.5499999999993</v>
      </c>
      <c r="R1048" s="7" t="n">
        <f aca="false">(R1047*13+P1048)/14</f>
        <v>77.0903689541678</v>
      </c>
      <c r="S1048" s="7" t="n">
        <f aca="false">(S1047*13+Q1048)/14</f>
        <v>55.1075844292133</v>
      </c>
      <c r="T1048" s="7" t="n">
        <f aca="false">IF(S1048=0,100,100-100/(1+R1048/S1048))</f>
        <v>58.3143437407095</v>
      </c>
      <c r="U1048" s="7" t="n">
        <f aca="false">E1048*2/13+U1047*11/13</f>
        <v>17804.4657814161</v>
      </c>
      <c r="V1048" s="7" t="n">
        <f aca="false">E1048*2/27+V1047*25/27</f>
        <v>17604.4797441207</v>
      </c>
      <c r="W1048" s="7" t="n">
        <f aca="false">U1048-V1048</f>
        <v>199.98603729533</v>
      </c>
      <c r="X1048" s="7" t="n">
        <f aca="false">W1048*2/10+X1047*8/10</f>
        <v>216.999077259967</v>
      </c>
      <c r="Y1048" s="7" t="n">
        <f aca="false">W1048-X1048</f>
        <v>-17.0130399646374</v>
      </c>
      <c r="Z1048" s="8" t="s">
        <v>42</v>
      </c>
      <c r="AA1048" s="7" t="str">
        <f aca="false">IFERROR(INDEX(02_轉折點45!B:B,MATCH(A1048,02_轉折點45!A:A,0)),"")</f>
        <v/>
      </c>
      <c r="AB1048" s="7" t="n">
        <f aca="false">COUNTIFS(05_訊號明細!A:A,A1048,05_訊號明細!C:C,"TOP")</f>
        <v>0</v>
      </c>
      <c r="AC1048" s="7" t="n">
        <f aca="false">COUNTIFS(05_訊號明細!A:A,A1048,05_訊號明細!C:C,"BOTTOM")</f>
        <v>0</v>
      </c>
    </row>
    <row r="1049" customFormat="false" ht="15" hidden="false" customHeight="false" outlineLevel="0" collapsed="false">
      <c r="A1049" s="7" t="s">
        <v>1090</v>
      </c>
      <c r="B1049" s="7" t="n">
        <v>17991.67</v>
      </c>
      <c r="C1049" s="7" t="n">
        <v>18068.52</v>
      </c>
      <c r="D1049" s="7" t="n">
        <v>17866.26</v>
      </c>
      <c r="E1049" s="7" t="n">
        <v>18043.85</v>
      </c>
      <c r="F1049" s="7" t="n">
        <v>6265</v>
      </c>
      <c r="G1049" s="7" t="n">
        <f aca="false">AVERAGE(E1045:E1049)</f>
        <v>17952.068</v>
      </c>
      <c r="H1049" s="7" t="n">
        <f aca="false">AVERAGE(E1040:E1049)</f>
        <v>17832.175</v>
      </c>
      <c r="I1049" s="7" t="n">
        <f aca="false">AVERAGE(E1030:E1049)</f>
        <v>17764.316</v>
      </c>
      <c r="J1049" s="7" t="n">
        <f aca="false">AVERAGE(E1000:E1049)</f>
        <v>17258.957</v>
      </c>
      <c r="K1049" s="7" t="n">
        <f aca="false">AVERAGE(E950:E1049)</f>
        <v>16345.4628</v>
      </c>
      <c r="L1049" s="7" t="n">
        <f aca="false">AVERAGE(E850:E1049)</f>
        <v>15647.3624</v>
      </c>
      <c r="M1049" s="7" t="n">
        <f aca="false">I1049</f>
        <v>17764.316</v>
      </c>
      <c r="N1049" s="7" t="n">
        <f aca="false">I1049+2*STDEV(E1030:E1049)</f>
        <v>18154.7557380768</v>
      </c>
      <c r="O1049" s="7" t="n">
        <f aca="false">I1049-2*STDEV(E1030:E1049)</f>
        <v>17373.8762619232</v>
      </c>
      <c r="P1049" s="7" t="n">
        <f aca="false">MAX(E1049-E1048,0)</f>
        <v>169.349999999999</v>
      </c>
      <c r="Q1049" s="7" t="n">
        <f aca="false">MAX(E1048-E1049,0)</f>
        <v>0</v>
      </c>
      <c r="R1049" s="7" t="n">
        <f aca="false">(R1048*13+P1049)/14</f>
        <v>83.6803426002985</v>
      </c>
      <c r="S1049" s="7" t="n">
        <f aca="false">(S1048*13+Q1049)/14</f>
        <v>51.1713283985553</v>
      </c>
      <c r="T1049" s="7" t="n">
        <f aca="false">IF(S1049=0,100,100-100/(1+R1049/S1049))</f>
        <v>62.0536193437379</v>
      </c>
      <c r="U1049" s="7" t="n">
        <f aca="false">E1049*2/13+U1048*11/13</f>
        <v>17841.2941227367</v>
      </c>
      <c r="V1049" s="7" t="n">
        <f aca="false">E1049*2/27+V1048*25/27</f>
        <v>17637.0256890007</v>
      </c>
      <c r="W1049" s="7" t="n">
        <f aca="false">U1049-V1049</f>
        <v>204.26843373599</v>
      </c>
      <c r="X1049" s="7" t="n">
        <f aca="false">W1049*2/10+X1048*8/10</f>
        <v>214.452948555172</v>
      </c>
      <c r="Y1049" s="7" t="n">
        <f aca="false">W1049-X1049</f>
        <v>-10.1845148191821</v>
      </c>
      <c r="Z1049" s="8" t="s">
        <v>42</v>
      </c>
      <c r="AA1049" s="7" t="str">
        <f aca="false">IFERROR(INDEX(02_轉折點45!B:B,MATCH(A1049,02_轉折點45!A:A,0)),"")</f>
        <v/>
      </c>
      <c r="AB1049" s="7" t="n">
        <f aca="false">COUNTIFS(05_訊號明細!A:A,A1049,05_訊號明細!C:C,"TOP")</f>
        <v>1</v>
      </c>
      <c r="AC1049" s="7" t="n">
        <f aca="false">COUNTIFS(05_訊號明細!A:A,A1049,05_訊號明細!C:C,"BOTTOM")</f>
        <v>0</v>
      </c>
    </row>
    <row r="1050" customFormat="false" ht="15" hidden="false" customHeight="false" outlineLevel="0" collapsed="false">
      <c r="A1050" s="7" t="s">
        <v>1091</v>
      </c>
      <c r="B1050" s="7" t="n">
        <v>18069.29</v>
      </c>
      <c r="C1050" s="7" t="n">
        <v>18333.26</v>
      </c>
      <c r="D1050" s="7" t="n">
        <v>18064.44</v>
      </c>
      <c r="E1050" s="7" t="n">
        <v>18302.91</v>
      </c>
      <c r="F1050" s="7" t="n">
        <v>5458</v>
      </c>
      <c r="G1050" s="7" t="n">
        <f aca="false">AVERAGE(E1046:E1050)</f>
        <v>18025.128</v>
      </c>
      <c r="H1050" s="7" t="n">
        <f aca="false">AVERAGE(E1041:E1050)</f>
        <v>17877.894</v>
      </c>
      <c r="I1050" s="7" t="n">
        <f aca="false">AVERAGE(E1031:E1050)</f>
        <v>17812.226</v>
      </c>
      <c r="J1050" s="7" t="n">
        <f aca="false">AVERAGE(E1001:E1050)</f>
        <v>17290.4192</v>
      </c>
      <c r="K1050" s="7" t="n">
        <f aca="false">AVERAGE(E951:E1050)</f>
        <v>16378.7595</v>
      </c>
      <c r="L1050" s="7" t="n">
        <f aca="false">AVERAGE(E851:E1050)</f>
        <v>15671.8094</v>
      </c>
      <c r="M1050" s="7" t="n">
        <f aca="false">I1050</f>
        <v>17812.226</v>
      </c>
      <c r="N1050" s="7" t="n">
        <f aca="false">I1050+2*STDEV(E1031:E1050)</f>
        <v>18220.6148981635</v>
      </c>
      <c r="O1050" s="7" t="n">
        <f aca="false">I1050-2*STDEV(E1031:E1050)</f>
        <v>17403.8371018366</v>
      </c>
      <c r="P1050" s="7" t="n">
        <f aca="false">MAX(E1050-E1049,0)</f>
        <v>259.060000000001</v>
      </c>
      <c r="Q1050" s="7" t="n">
        <f aca="false">MAX(E1049-E1050,0)</f>
        <v>0</v>
      </c>
      <c r="R1050" s="7" t="n">
        <f aca="false">(R1049*13+P1050)/14</f>
        <v>96.2074609859916</v>
      </c>
      <c r="S1050" s="7" t="n">
        <f aca="false">(S1049*13+Q1050)/14</f>
        <v>47.5162335129442</v>
      </c>
      <c r="T1050" s="7" t="n">
        <f aca="false">IF(S1050=0,100,100-100/(1+R1050/S1050))</f>
        <v>66.9391789025462</v>
      </c>
      <c r="U1050" s="7" t="n">
        <f aca="false">E1050*2/13+U1049*11/13</f>
        <v>17912.311950008</v>
      </c>
      <c r="V1050" s="7" t="n">
        <f aca="false">E1050*2/27+V1049*25/27</f>
        <v>17686.3504527784</v>
      </c>
      <c r="W1050" s="7" t="n">
        <f aca="false">U1050-V1050</f>
        <v>225.961497229542</v>
      </c>
      <c r="X1050" s="7" t="n">
        <f aca="false">W1050*2/10+X1049*8/10</f>
        <v>216.754658290046</v>
      </c>
      <c r="Y1050" s="7" t="n">
        <f aca="false">W1050-X1050</f>
        <v>9.20683893949632</v>
      </c>
      <c r="Z1050" s="8" t="s">
        <v>42</v>
      </c>
      <c r="AA1050" s="7" t="str">
        <f aca="false">IFERROR(INDEX(02_轉折點45!B:B,MATCH(A1050,02_轉折點45!A:A,0)),"")</f>
        <v/>
      </c>
      <c r="AB1050" s="7" t="n">
        <f aca="false">COUNTIFS(05_訊號明細!A:A,A1050,05_訊號明細!C:C,"TOP")</f>
        <v>1</v>
      </c>
      <c r="AC1050" s="7" t="n">
        <f aca="false">COUNTIFS(05_訊號明細!A:A,A1050,05_訊號明細!C:C,"BOTTOM")</f>
        <v>0</v>
      </c>
    </row>
    <row r="1051" customFormat="false" ht="15" hidden="false" customHeight="false" outlineLevel="0" collapsed="false">
      <c r="A1051" s="7" t="s">
        <v>1092</v>
      </c>
      <c r="B1051" s="7" t="n">
        <v>18290.1</v>
      </c>
      <c r="C1051" s="7" t="n">
        <v>18313.43</v>
      </c>
      <c r="D1051" s="7" t="n">
        <v>18218.25</v>
      </c>
      <c r="E1051" s="7" t="n">
        <v>18226.48</v>
      </c>
      <c r="F1051" s="7" t="n">
        <v>5725</v>
      </c>
      <c r="G1051" s="7" t="n">
        <f aca="false">AVERAGE(E1047:E1051)</f>
        <v>18083.758</v>
      </c>
      <c r="H1051" s="7" t="n">
        <f aca="false">AVERAGE(E1042:E1051)</f>
        <v>17931.944</v>
      </c>
      <c r="I1051" s="7" t="n">
        <f aca="false">AVERAGE(E1032:E1051)</f>
        <v>17841.4135</v>
      </c>
      <c r="J1051" s="7" t="n">
        <f aca="false">AVERAGE(E1002:E1051)</f>
        <v>17318.7118</v>
      </c>
      <c r="K1051" s="7" t="n">
        <f aca="false">AVERAGE(E952:E1051)</f>
        <v>16410.5528</v>
      </c>
      <c r="L1051" s="7" t="n">
        <f aca="false">AVERAGE(E852:E1051)</f>
        <v>15695.81175</v>
      </c>
      <c r="M1051" s="7" t="n">
        <f aca="false">I1051</f>
        <v>17841.4135</v>
      </c>
      <c r="N1051" s="7" t="n">
        <f aca="false">I1051+2*STDEV(E1032:E1051)</f>
        <v>18281.0428575406</v>
      </c>
      <c r="O1051" s="7" t="n">
        <f aca="false">I1051-2*STDEV(E1032:E1051)</f>
        <v>17401.7841424594</v>
      </c>
      <c r="P1051" s="7" t="n">
        <f aca="false">MAX(E1051-E1050,0)</f>
        <v>0</v>
      </c>
      <c r="Q1051" s="7" t="n">
        <f aca="false">MAX(E1050-E1051,0)</f>
        <v>76.4300000000003</v>
      </c>
      <c r="R1051" s="7" t="n">
        <f aca="false">(R1050*13+P1051)/14</f>
        <v>89.3354994869922</v>
      </c>
      <c r="S1051" s="7" t="n">
        <f aca="false">(S1050*13+Q1051)/14</f>
        <v>49.5815025477339</v>
      </c>
      <c r="T1051" s="7" t="n">
        <f aca="false">IF(S1051=0,100,100-100/(1+R1051/S1051))</f>
        <v>64.3085426394822</v>
      </c>
      <c r="U1051" s="7" t="n">
        <f aca="false">E1051*2/13+U1050*11/13</f>
        <v>17960.6454961606</v>
      </c>
      <c r="V1051" s="7" t="n">
        <f aca="false">E1051*2/27+V1050*25/27</f>
        <v>17726.3600488689</v>
      </c>
      <c r="W1051" s="7" t="n">
        <f aca="false">U1051-V1051</f>
        <v>234.285447291677</v>
      </c>
      <c r="X1051" s="7" t="n">
        <f aca="false">W1051*2/10+X1050*8/10</f>
        <v>220.260816090372</v>
      </c>
      <c r="Y1051" s="7" t="n">
        <f aca="false">W1051-X1051</f>
        <v>14.0246312013049</v>
      </c>
      <c r="Z1051" s="8" t="s">
        <v>42</v>
      </c>
      <c r="AA1051" s="7" t="str">
        <f aca="false">IFERROR(INDEX(02_轉折點45!B:B,MATCH(A1051,02_轉折點45!A:A,0)),"")</f>
        <v/>
      </c>
      <c r="AB1051" s="7" t="n">
        <f aca="false">COUNTIFS(05_訊號明細!A:A,A1051,05_訊號明細!C:C,"TOP")</f>
        <v>0</v>
      </c>
      <c r="AC1051" s="7" t="n">
        <f aca="false">COUNTIFS(05_訊號明細!A:A,A1051,05_訊號明細!C:C,"BOTTOM")</f>
        <v>0</v>
      </c>
    </row>
    <row r="1052" customFormat="false" ht="15" hidden="false" customHeight="false" outlineLevel="0" collapsed="false">
      <c r="A1052" s="7" t="s">
        <v>1093</v>
      </c>
      <c r="B1052" s="7" t="n">
        <v>18088.71</v>
      </c>
      <c r="C1052" s="7" t="n">
        <v>18097.5</v>
      </c>
      <c r="D1052" s="7" t="n">
        <v>17804.5</v>
      </c>
      <c r="E1052" s="7" t="n">
        <v>17897.87</v>
      </c>
      <c r="F1052" s="7" t="n">
        <v>6357</v>
      </c>
      <c r="G1052" s="7" t="n">
        <f aca="false">AVERAGE(E1048:E1052)</f>
        <v>18069.122</v>
      </c>
      <c r="H1052" s="7" t="n">
        <f aca="false">AVERAGE(E1043:E1052)</f>
        <v>17967.121</v>
      </c>
      <c r="I1052" s="7" t="n">
        <f aca="false">AVERAGE(E1033:E1052)</f>
        <v>17855.655</v>
      </c>
      <c r="J1052" s="7" t="n">
        <f aca="false">AVERAGE(E1003:E1052)</f>
        <v>17345.586</v>
      </c>
      <c r="K1052" s="7" t="n">
        <f aca="false">AVERAGE(E953:E1052)</f>
        <v>16438.2163</v>
      </c>
      <c r="L1052" s="7" t="n">
        <f aca="false">AVERAGE(E853:E1052)</f>
        <v>15717.3548</v>
      </c>
      <c r="M1052" s="7" t="n">
        <f aca="false">I1052</f>
        <v>17855.655</v>
      </c>
      <c r="N1052" s="7" t="n">
        <f aca="false">I1052+2*STDEV(E1033:E1052)</f>
        <v>18282.3998002335</v>
      </c>
      <c r="O1052" s="7" t="n">
        <f aca="false">I1052-2*STDEV(E1033:E1052)</f>
        <v>17428.9101997665</v>
      </c>
      <c r="P1052" s="7" t="n">
        <f aca="false">MAX(E1052-E1051,0)</f>
        <v>0</v>
      </c>
      <c r="Q1052" s="7" t="n">
        <f aca="false">MAX(E1051-E1052,0)</f>
        <v>328.610000000001</v>
      </c>
      <c r="R1052" s="7" t="n">
        <f aca="false">(R1051*13+P1052)/14</f>
        <v>82.9543923807785</v>
      </c>
      <c r="S1052" s="7" t="n">
        <f aca="false">(S1051*13+Q1052)/14</f>
        <v>69.5121095086101</v>
      </c>
      <c r="T1052" s="7" t="n">
        <f aca="false">IF(S1052=0,100,100-100/(1+R1052/S1052))</f>
        <v>54.4082741800952</v>
      </c>
      <c r="U1052" s="7" t="n">
        <f aca="false">E1052*2/13+U1051*11/13</f>
        <v>17950.9877275205</v>
      </c>
      <c r="V1052" s="7" t="n">
        <f aca="false">E1052*2/27+V1051*25/27</f>
        <v>17739.0644896934</v>
      </c>
      <c r="W1052" s="7" t="n">
        <f aca="false">U1052-V1052</f>
        <v>211.923237827061</v>
      </c>
      <c r="X1052" s="7" t="n">
        <f aca="false">W1052*2/10+X1051*8/10</f>
        <v>218.59330043771</v>
      </c>
      <c r="Y1052" s="7" t="n">
        <f aca="false">W1052-X1052</f>
        <v>-6.67006261064901</v>
      </c>
      <c r="Z1052" s="8" t="s">
        <v>42</v>
      </c>
      <c r="AA1052" s="7" t="str">
        <f aca="false">IFERROR(INDEX(02_轉折點45!B:B,MATCH(A1052,02_轉折點45!A:A,0)),"")</f>
        <v/>
      </c>
      <c r="AB1052" s="7" t="n">
        <f aca="false">COUNTIFS(05_訊號明細!A:A,A1052,05_訊號明細!C:C,"TOP")</f>
        <v>0</v>
      </c>
      <c r="AC1052" s="7" t="n">
        <f aca="false">COUNTIFS(05_訊號明細!A:A,A1052,05_訊號明細!C:C,"BOTTOM")</f>
        <v>0</v>
      </c>
    </row>
    <row r="1053" customFormat="false" ht="15" hidden="false" customHeight="false" outlineLevel="0" collapsed="false">
      <c r="A1053" s="7" t="s">
        <v>1094</v>
      </c>
      <c r="B1053" s="7" t="n">
        <v>18083.51</v>
      </c>
      <c r="C1053" s="7" t="n">
        <v>18142.88</v>
      </c>
      <c r="D1053" s="7" t="n">
        <v>17941.64</v>
      </c>
      <c r="E1053" s="7" t="n">
        <v>18017.57</v>
      </c>
      <c r="F1053" s="7" t="n">
        <v>5511</v>
      </c>
      <c r="G1053" s="7" t="n">
        <f aca="false">AVERAGE(E1049:E1053)</f>
        <v>18097.736</v>
      </c>
      <c r="H1053" s="7" t="n">
        <f aca="false">AVERAGE(E1044:E1053)</f>
        <v>18020.987</v>
      </c>
      <c r="I1053" s="7" t="n">
        <f aca="false">AVERAGE(E1034:E1053)</f>
        <v>17877.897</v>
      </c>
      <c r="J1053" s="7" t="n">
        <f aca="false">AVERAGE(E1004:E1053)</f>
        <v>17370.7892</v>
      </c>
      <c r="K1053" s="7" t="n">
        <f aca="false">AVERAGE(E954:E1053)</f>
        <v>16465.9808</v>
      </c>
      <c r="L1053" s="7" t="n">
        <f aca="false">AVERAGE(E854:E1053)</f>
        <v>15738.26955</v>
      </c>
      <c r="M1053" s="7" t="n">
        <f aca="false">I1053</f>
        <v>17877.897</v>
      </c>
      <c r="N1053" s="7" t="n">
        <f aca="false">I1053+2*STDEV(E1034:E1053)</f>
        <v>18288.6225766695</v>
      </c>
      <c r="O1053" s="7" t="n">
        <f aca="false">I1053-2*STDEV(E1034:E1053)</f>
        <v>17467.1714233305</v>
      </c>
      <c r="P1053" s="7" t="n">
        <f aca="false">MAX(E1053-E1052,0)</f>
        <v>119.700000000001</v>
      </c>
      <c r="Q1053" s="7" t="n">
        <f aca="false">MAX(E1052-E1053,0)</f>
        <v>0</v>
      </c>
      <c r="R1053" s="7" t="n">
        <f aca="false">(R1052*13+P1053)/14</f>
        <v>85.5790786392943</v>
      </c>
      <c r="S1053" s="7" t="n">
        <f aca="false">(S1052*13+Q1053)/14</f>
        <v>64.5469588294236</v>
      </c>
      <c r="T1053" s="7" t="n">
        <f aca="false">IF(S1053=0,100,100-100/(1+R1053/S1053))</f>
        <v>57.0048208040705</v>
      </c>
      <c r="U1053" s="7" t="n">
        <f aca="false">E1053*2/13+U1052*11/13</f>
        <v>17961.2311540558</v>
      </c>
      <c r="V1053" s="7" t="n">
        <f aca="false">E1053*2/27+V1052*25/27</f>
        <v>17759.6945274939</v>
      </c>
      <c r="W1053" s="7" t="n">
        <f aca="false">U1053-V1053</f>
        <v>201.536626561883</v>
      </c>
      <c r="X1053" s="7" t="n">
        <f aca="false">W1053*2/10+X1052*8/10</f>
        <v>215.181965662544</v>
      </c>
      <c r="Y1053" s="7" t="n">
        <f aca="false">W1053-X1053</f>
        <v>-13.6453391006613</v>
      </c>
      <c r="Z1053" s="8" t="s">
        <v>42</v>
      </c>
      <c r="AA1053" s="7" t="str">
        <f aca="false">IFERROR(INDEX(02_轉折點45!B:B,MATCH(A1053,02_轉折點45!A:A,0)),"")</f>
        <v/>
      </c>
      <c r="AB1053" s="7" t="n">
        <f aca="false">COUNTIFS(05_訊號明細!A:A,A1053,05_訊號明細!C:C,"TOP")</f>
        <v>0</v>
      </c>
      <c r="AC1053" s="7" t="n">
        <f aca="false">COUNTIFS(05_訊號明細!A:A,A1053,05_訊號明細!C:C,"BOTTOM")</f>
        <v>0</v>
      </c>
    </row>
    <row r="1054" customFormat="false" ht="15" hidden="false" customHeight="false" outlineLevel="0" collapsed="false">
      <c r="A1054" s="7" t="s">
        <v>1095</v>
      </c>
      <c r="B1054" s="7" t="n">
        <v>18161.73</v>
      </c>
      <c r="C1054" s="7" t="n">
        <v>18337.95</v>
      </c>
      <c r="D1054" s="7" t="n">
        <v>18101.43</v>
      </c>
      <c r="E1054" s="7" t="n">
        <v>18297.99</v>
      </c>
      <c r="F1054" s="7" t="n">
        <v>5073</v>
      </c>
      <c r="G1054" s="7" t="n">
        <f aca="false">AVERAGE(E1050:E1054)</f>
        <v>18148.564</v>
      </c>
      <c r="H1054" s="7" t="n">
        <f aca="false">AVERAGE(E1045:E1054)</f>
        <v>18050.316</v>
      </c>
      <c r="I1054" s="7" t="n">
        <f aca="false">AVERAGE(E1035:E1054)</f>
        <v>17905.043</v>
      </c>
      <c r="J1054" s="7" t="n">
        <f aca="false">AVERAGE(E1005:E1054)</f>
        <v>17401.201</v>
      </c>
      <c r="K1054" s="7" t="n">
        <f aca="false">AVERAGE(E955:E1054)</f>
        <v>16497.1197</v>
      </c>
      <c r="L1054" s="7" t="n">
        <f aca="false">AVERAGE(E855:E1054)</f>
        <v>15760.74205</v>
      </c>
      <c r="M1054" s="7" t="n">
        <f aca="false">I1054</f>
        <v>17905.043</v>
      </c>
      <c r="N1054" s="7" t="n">
        <f aca="false">I1054+2*STDEV(E1035:E1054)</f>
        <v>18351.7755049665</v>
      </c>
      <c r="O1054" s="7" t="n">
        <f aca="false">I1054-2*STDEV(E1035:E1054)</f>
        <v>17458.3104950335</v>
      </c>
      <c r="P1054" s="7" t="n">
        <f aca="false">MAX(E1054-E1053,0)</f>
        <v>280.420000000002</v>
      </c>
      <c r="Q1054" s="7" t="n">
        <f aca="false">MAX(E1053-E1054,0)</f>
        <v>0</v>
      </c>
      <c r="R1054" s="7" t="n">
        <f aca="false">(R1053*13+P1054)/14</f>
        <v>99.4962873079163</v>
      </c>
      <c r="S1054" s="7" t="n">
        <f aca="false">(S1053*13+Q1054)/14</f>
        <v>59.9364617701791</v>
      </c>
      <c r="T1054" s="7" t="n">
        <f aca="false">IF(S1054=0,100,100-100/(1+R1054/S1054))</f>
        <v>62.4064302241817</v>
      </c>
      <c r="U1054" s="7" t="n">
        <f aca="false">E1054*2/13+U1053*11/13</f>
        <v>18013.040207278</v>
      </c>
      <c r="V1054" s="7" t="n">
        <f aca="false">E1054*2/27+V1053*25/27</f>
        <v>17799.5682661981</v>
      </c>
      <c r="W1054" s="7" t="n">
        <f aca="false">U1054-V1054</f>
        <v>213.471941079915</v>
      </c>
      <c r="X1054" s="7" t="n">
        <f aca="false">W1054*2/10+X1053*8/10</f>
        <v>214.839960746019</v>
      </c>
      <c r="Y1054" s="7" t="n">
        <f aca="false">W1054-X1054</f>
        <v>-1.36801966610338</v>
      </c>
      <c r="Z1054" s="8" t="s">
        <v>42</v>
      </c>
      <c r="AA1054" s="7" t="str">
        <f aca="false">IFERROR(INDEX(02_轉折點45!B:B,MATCH(A1054,02_轉折點45!A:A,0)),"")</f>
        <v/>
      </c>
      <c r="AB1054" s="7" t="n">
        <f aca="false">COUNTIFS(05_訊號明細!A:A,A1054,05_訊號明細!C:C,"TOP")</f>
        <v>0</v>
      </c>
      <c r="AC1054" s="7" t="n">
        <f aca="false">COUNTIFS(05_訊號明細!A:A,A1054,05_訊號明細!C:C,"BOTTOM")</f>
        <v>0</v>
      </c>
    </row>
    <row r="1055" customFormat="false" ht="15" hidden="false" customHeight="false" outlineLevel="0" collapsed="false">
      <c r="A1055" s="7" t="s">
        <v>1096</v>
      </c>
      <c r="B1055" s="7" t="n">
        <v>18312.79</v>
      </c>
      <c r="C1055" s="7" t="n">
        <v>18416.73</v>
      </c>
      <c r="D1055" s="7" t="n">
        <v>17995.38</v>
      </c>
      <c r="E1055" s="7" t="n">
        <v>18018.45</v>
      </c>
      <c r="F1055" s="7" t="n">
        <v>5412</v>
      </c>
      <c r="G1055" s="7" t="n">
        <f aca="false">AVERAGE(E1051:E1055)</f>
        <v>18091.672</v>
      </c>
      <c r="H1055" s="7" t="n">
        <f aca="false">AVERAGE(E1046:E1055)</f>
        <v>18058.4</v>
      </c>
      <c r="I1055" s="7" t="n">
        <f aca="false">AVERAGE(E1036:E1055)</f>
        <v>17916.807</v>
      </c>
      <c r="J1055" s="7" t="n">
        <f aca="false">AVERAGE(E1006:E1055)</f>
        <v>17424.0008</v>
      </c>
      <c r="K1055" s="7" t="n">
        <f aca="false">AVERAGE(E956:E1055)</f>
        <v>16527.353</v>
      </c>
      <c r="L1055" s="7" t="n">
        <f aca="false">AVERAGE(E856:E1055)</f>
        <v>15781.5856</v>
      </c>
      <c r="M1055" s="7" t="n">
        <f aca="false">I1055</f>
        <v>17916.807</v>
      </c>
      <c r="N1055" s="7" t="n">
        <f aca="false">I1055+2*STDEV(E1036:E1055)</f>
        <v>18362.4165666128</v>
      </c>
      <c r="O1055" s="7" t="n">
        <f aca="false">I1055-2*STDEV(E1036:E1055)</f>
        <v>17471.1974333872</v>
      </c>
      <c r="P1055" s="7" t="n">
        <f aca="false">MAX(E1055-E1054,0)</f>
        <v>0</v>
      </c>
      <c r="Q1055" s="7" t="n">
        <f aca="false">MAX(E1054-E1055,0)</f>
        <v>279.540000000001</v>
      </c>
      <c r="R1055" s="7" t="n">
        <f aca="false">(R1054*13+P1055)/14</f>
        <v>92.3894096430651</v>
      </c>
      <c r="S1055" s="7" t="n">
        <f aca="false">(S1054*13+Q1055)/14</f>
        <v>75.6224287865949</v>
      </c>
      <c r="T1055" s="7" t="n">
        <f aca="false">IF(S1055=0,100,100-100/(1+R1055/S1055))</f>
        <v>54.9898212569973</v>
      </c>
      <c r="U1055" s="7" t="n">
        <f aca="false">E1055*2/13+U1054*11/13</f>
        <v>18013.8724830814</v>
      </c>
      <c r="V1055" s="7" t="n">
        <f aca="false">E1055*2/27+V1054*25/27</f>
        <v>17815.7817279612</v>
      </c>
      <c r="W1055" s="7" t="n">
        <f aca="false">U1055-V1055</f>
        <v>198.0907551202</v>
      </c>
      <c r="X1055" s="7" t="n">
        <f aca="false">W1055*2/10+X1054*8/10</f>
        <v>211.490119620855</v>
      </c>
      <c r="Y1055" s="7" t="n">
        <f aca="false">W1055-X1055</f>
        <v>-13.399364500655</v>
      </c>
      <c r="Z1055" s="8" t="s">
        <v>42</v>
      </c>
      <c r="AA1055" s="7" t="str">
        <f aca="false">IFERROR(INDEX(02_轉折點45!B:B,MATCH(A1055,02_轉折點45!A:A,0)),"")</f>
        <v/>
      </c>
      <c r="AB1055" s="7" t="n">
        <f aca="false">COUNTIFS(05_訊號明細!A:A,A1055,05_訊號明細!C:C,"TOP")</f>
        <v>0</v>
      </c>
      <c r="AC1055" s="7" t="n">
        <f aca="false">COUNTIFS(05_訊號明細!A:A,A1055,05_訊號明細!C:C,"BOTTOM")</f>
        <v>0</v>
      </c>
    </row>
    <row r="1056" customFormat="false" ht="15" hidden="false" customHeight="false" outlineLevel="0" collapsed="false">
      <c r="A1056" s="7" t="s">
        <v>1097</v>
      </c>
      <c r="B1056" s="7" t="n">
        <v>17959.68</v>
      </c>
      <c r="C1056" s="7" t="n">
        <v>18003.05</v>
      </c>
      <c r="D1056" s="7" t="n">
        <v>17873.33</v>
      </c>
      <c r="E1056" s="7" t="n">
        <v>17951.69</v>
      </c>
      <c r="F1056" s="7" t="n">
        <v>4918</v>
      </c>
      <c r="G1056" s="7" t="n">
        <f aca="false">AVERAGE(E1052:E1056)</f>
        <v>18036.714</v>
      </c>
      <c r="H1056" s="7" t="n">
        <f aca="false">AVERAGE(E1047:E1056)</f>
        <v>18060.236</v>
      </c>
      <c r="I1056" s="7" t="n">
        <f aca="false">AVERAGE(E1037:E1056)</f>
        <v>17916.271</v>
      </c>
      <c r="J1056" s="7" t="n">
        <f aca="false">AVERAGE(E1007:E1056)</f>
        <v>17444.8986</v>
      </c>
      <c r="K1056" s="7" t="n">
        <f aca="false">AVERAGE(E957:E1056)</f>
        <v>16555.1426</v>
      </c>
      <c r="L1056" s="7" t="n">
        <f aca="false">AVERAGE(E857:E1056)</f>
        <v>15802.98135</v>
      </c>
      <c r="M1056" s="7" t="n">
        <f aca="false">I1056</f>
        <v>17916.271</v>
      </c>
      <c r="N1056" s="7" t="n">
        <f aca="false">I1056+2*STDEV(E1037:E1056)</f>
        <v>18361.6753466288</v>
      </c>
      <c r="O1056" s="7" t="n">
        <f aca="false">I1056-2*STDEV(E1037:E1056)</f>
        <v>17470.8666533712</v>
      </c>
      <c r="P1056" s="7" t="n">
        <f aca="false">MAX(E1056-E1055,0)</f>
        <v>0</v>
      </c>
      <c r="Q1056" s="7" t="n">
        <f aca="false">MAX(E1055-E1056,0)</f>
        <v>66.760000000002</v>
      </c>
      <c r="R1056" s="7" t="n">
        <f aca="false">(R1055*13+P1056)/14</f>
        <v>85.7901660971319</v>
      </c>
      <c r="S1056" s="7" t="n">
        <f aca="false">(S1055*13+Q1056)/14</f>
        <v>74.9893981589812</v>
      </c>
      <c r="T1056" s="7" t="n">
        <f aca="false">IF(S1056=0,100,100-100/(1+R1056/S1056))</f>
        <v>53.3588746144833</v>
      </c>
      <c r="U1056" s="7" t="n">
        <f aca="false">E1056*2/13+U1055*11/13</f>
        <v>18004.3059472227</v>
      </c>
      <c r="V1056" s="7" t="n">
        <f aca="false">E1056*2/27+V1055*25/27</f>
        <v>17825.8490073715</v>
      </c>
      <c r="W1056" s="7" t="n">
        <f aca="false">U1056-V1056</f>
        <v>178.456939851243</v>
      </c>
      <c r="X1056" s="7" t="n">
        <f aca="false">W1056*2/10+X1055*8/10</f>
        <v>204.883483666933</v>
      </c>
      <c r="Y1056" s="7" t="n">
        <f aca="false">W1056-X1056</f>
        <v>-26.4265438156895</v>
      </c>
      <c r="Z1056" s="8" t="s">
        <v>42</v>
      </c>
      <c r="AA1056" s="7" t="str">
        <f aca="false">IFERROR(INDEX(02_轉折點45!B:B,MATCH(A1056,02_轉折點45!A:A,0)),"")</f>
        <v/>
      </c>
      <c r="AB1056" s="7" t="n">
        <f aca="false">COUNTIFS(05_訊號明細!A:A,A1056,05_訊號明細!C:C,"TOP")</f>
        <v>1</v>
      </c>
      <c r="AC1056" s="7" t="n">
        <f aca="false">COUNTIFS(05_訊號明細!A:A,A1056,05_訊號明細!C:C,"BOTTOM")</f>
        <v>0</v>
      </c>
    </row>
    <row r="1057" customFormat="false" ht="15" hidden="false" customHeight="false" outlineLevel="0" collapsed="false">
      <c r="A1057" s="7" t="s">
        <v>1098</v>
      </c>
      <c r="B1057" s="7" t="n">
        <v>18063.02</v>
      </c>
      <c r="C1057" s="7" t="n">
        <v>18228.37</v>
      </c>
      <c r="D1057" s="7" t="n">
        <v>17919.33</v>
      </c>
      <c r="E1057" s="7" t="n">
        <v>18219.11</v>
      </c>
      <c r="F1057" s="7" t="n">
        <v>5100</v>
      </c>
      <c r="G1057" s="7" t="n">
        <f aca="false">AVERAGE(E1053:E1057)</f>
        <v>18100.962</v>
      </c>
      <c r="H1057" s="7" t="n">
        <f aca="false">AVERAGE(E1048:E1057)</f>
        <v>18085.042</v>
      </c>
      <c r="I1057" s="7" t="n">
        <f aca="false">AVERAGE(E1038:E1057)</f>
        <v>17933.0935</v>
      </c>
      <c r="J1057" s="7" t="n">
        <f aca="false">AVERAGE(E1008:E1057)</f>
        <v>17471.3114</v>
      </c>
      <c r="K1057" s="7" t="n">
        <f aca="false">AVERAGE(E958:E1057)</f>
        <v>16586.1136</v>
      </c>
      <c r="L1057" s="7" t="n">
        <f aca="false">AVERAGE(E858:E1057)</f>
        <v>15826.0545</v>
      </c>
      <c r="M1057" s="7" t="n">
        <f aca="false">I1057</f>
        <v>17933.0935</v>
      </c>
      <c r="N1057" s="7" t="n">
        <f aca="false">I1057+2*STDEV(E1038:E1057)</f>
        <v>18398.1346939773</v>
      </c>
      <c r="O1057" s="7" t="n">
        <f aca="false">I1057-2*STDEV(E1038:E1057)</f>
        <v>17468.0523060227</v>
      </c>
      <c r="P1057" s="7" t="n">
        <f aca="false">MAX(E1057-E1056,0)</f>
        <v>267.420000000002</v>
      </c>
      <c r="Q1057" s="7" t="n">
        <f aca="false">MAX(E1056-E1057,0)</f>
        <v>0</v>
      </c>
      <c r="R1057" s="7" t="n">
        <f aca="false">(R1056*13+P1057)/14</f>
        <v>98.7637256616226</v>
      </c>
      <c r="S1057" s="7" t="n">
        <f aca="false">(S1056*13+Q1057)/14</f>
        <v>69.6330125761968</v>
      </c>
      <c r="T1057" s="7" t="n">
        <f aca="false">IF(S1057=0,100,100-100/(1+R1057/S1057))</f>
        <v>58.6494291368892</v>
      </c>
      <c r="U1057" s="7" t="n">
        <f aca="false">E1057*2/13+U1056*11/13</f>
        <v>18037.3527245731</v>
      </c>
      <c r="V1057" s="7" t="n">
        <f aca="false">E1057*2/27+V1056*25/27</f>
        <v>17854.9794512699</v>
      </c>
      <c r="W1057" s="7" t="n">
        <f aca="false">U1057-V1057</f>
        <v>182.373273303187</v>
      </c>
      <c r="X1057" s="7" t="n">
        <f aca="false">W1057*2/10+X1056*8/10</f>
        <v>200.381441594183</v>
      </c>
      <c r="Y1057" s="7" t="n">
        <f aca="false">W1057-X1057</f>
        <v>-18.0081682909968</v>
      </c>
      <c r="Z1057" s="8" t="s">
        <v>42</v>
      </c>
      <c r="AA1057" s="7" t="str">
        <f aca="false">IFERROR(INDEX(02_轉折點45!B:B,MATCH(A1057,02_轉折點45!A:A,0)),"")</f>
        <v/>
      </c>
      <c r="AB1057" s="7" t="n">
        <f aca="false">COUNTIFS(05_訊號明細!A:A,A1057,05_訊號明細!C:C,"TOP")</f>
        <v>0</v>
      </c>
      <c r="AC1057" s="7" t="n">
        <f aca="false">COUNTIFS(05_訊號明細!A:A,A1057,05_訊號明細!C:C,"BOTTOM")</f>
        <v>0</v>
      </c>
    </row>
    <row r="1058" customFormat="false" ht="15" hidden="false" customHeight="false" outlineLevel="0" collapsed="false">
      <c r="A1058" s="7" t="s">
        <v>1099</v>
      </c>
      <c r="B1058" s="7" t="n">
        <v>18151.76</v>
      </c>
      <c r="C1058" s="7" t="n">
        <v>18163.74</v>
      </c>
      <c r="D1058" s="7" t="n">
        <v>18030.4</v>
      </c>
      <c r="E1058" s="7" t="n">
        <v>18068.47</v>
      </c>
      <c r="F1058" s="7" t="n">
        <v>4839</v>
      </c>
      <c r="G1058" s="7" t="n">
        <f aca="false">AVERAGE(E1054:E1058)</f>
        <v>18111.142</v>
      </c>
      <c r="H1058" s="7" t="n">
        <f aca="false">AVERAGE(E1049:E1058)</f>
        <v>18104.439</v>
      </c>
      <c r="I1058" s="7" t="n">
        <f aca="false">AVERAGE(E1039:E1058)</f>
        <v>17956.496</v>
      </c>
      <c r="J1058" s="7" t="n">
        <f aca="false">AVERAGE(E1009:E1058)</f>
        <v>17496.1622</v>
      </c>
      <c r="K1058" s="7" t="n">
        <f aca="false">AVERAGE(E959:E1058)</f>
        <v>16617.7057</v>
      </c>
      <c r="L1058" s="7" t="n">
        <f aca="false">AVERAGE(E859:E1058)</f>
        <v>15846.7042</v>
      </c>
      <c r="M1058" s="7" t="n">
        <f aca="false">I1058</f>
        <v>17956.496</v>
      </c>
      <c r="N1058" s="7" t="n">
        <f aca="false">I1058+2*STDEV(E1039:E1058)</f>
        <v>18397.5359985393</v>
      </c>
      <c r="O1058" s="7" t="n">
        <f aca="false">I1058-2*STDEV(E1039:E1058)</f>
        <v>17515.4560014607</v>
      </c>
      <c r="P1058" s="7" t="n">
        <f aca="false">MAX(E1058-E1057,0)</f>
        <v>0</v>
      </c>
      <c r="Q1058" s="7" t="n">
        <f aca="false">MAX(E1057-E1058,0)</f>
        <v>150.639999999999</v>
      </c>
      <c r="R1058" s="7" t="n">
        <f aca="false">(R1057*13+P1058)/14</f>
        <v>91.7091738286496</v>
      </c>
      <c r="S1058" s="7" t="n">
        <f aca="false">(S1057*13+Q1058)/14</f>
        <v>75.4192259636113</v>
      </c>
      <c r="T1058" s="7" t="n">
        <f aca="false">IF(S1058=0,100,100-100/(1+R1058/S1058))</f>
        <v>54.8734828686467</v>
      </c>
      <c r="U1058" s="7" t="n">
        <f aca="false">E1058*2/13+U1057*11/13</f>
        <v>18042.1399977157</v>
      </c>
      <c r="V1058" s="7" t="n">
        <f aca="false">E1058*2/27+V1057*25/27</f>
        <v>17870.7935659906</v>
      </c>
      <c r="W1058" s="7" t="n">
        <f aca="false">U1058-V1058</f>
        <v>171.346431725044</v>
      </c>
      <c r="X1058" s="7" t="n">
        <f aca="false">W1058*2/10+X1057*8/10</f>
        <v>194.574439620355</v>
      </c>
      <c r="Y1058" s="7" t="n">
        <f aca="false">W1058-X1058</f>
        <v>-23.2280078953117</v>
      </c>
      <c r="Z1058" s="8" t="s">
        <v>42</v>
      </c>
      <c r="AA1058" s="7" t="str">
        <f aca="false">IFERROR(INDEX(02_轉折點45!B:B,MATCH(A1058,02_轉折點45!A:A,0)),"")</f>
        <v/>
      </c>
      <c r="AB1058" s="7" t="n">
        <f aca="false">COUNTIFS(05_訊號明細!A:A,A1058,05_訊號明細!C:C,"TOP")</f>
        <v>0</v>
      </c>
      <c r="AC1058" s="7" t="n">
        <f aca="false">COUNTIFS(05_訊號明細!A:A,A1058,05_訊號明細!C:C,"BOTTOM")</f>
        <v>0</v>
      </c>
    </row>
    <row r="1059" customFormat="false" ht="15" hidden="false" customHeight="false" outlineLevel="0" collapsed="false">
      <c r="A1059" s="7" t="s">
        <v>1100</v>
      </c>
      <c r="B1059" s="7" t="n">
        <v>18114.69</v>
      </c>
      <c r="C1059" s="7" t="n">
        <v>18142.9</v>
      </c>
      <c r="D1059" s="7" t="n">
        <v>17913.63</v>
      </c>
      <c r="E1059" s="7" t="n">
        <v>18014.81</v>
      </c>
      <c r="F1059" s="7" t="n">
        <v>5451</v>
      </c>
      <c r="G1059" s="7" t="n">
        <f aca="false">AVERAGE(E1055:E1059)</f>
        <v>18054.506</v>
      </c>
      <c r="H1059" s="7" t="n">
        <f aca="false">AVERAGE(E1050:E1059)</f>
        <v>18101.535</v>
      </c>
      <c r="I1059" s="7" t="n">
        <f aca="false">AVERAGE(E1040:E1059)</f>
        <v>17966.855</v>
      </c>
      <c r="J1059" s="7" t="n">
        <f aca="false">AVERAGE(E1010:E1059)</f>
        <v>17525.5796</v>
      </c>
      <c r="K1059" s="7" t="n">
        <f aca="false">AVERAGE(E960:E1059)</f>
        <v>16650.0225</v>
      </c>
      <c r="L1059" s="7" t="n">
        <f aca="false">AVERAGE(E860:E1059)</f>
        <v>15865.2862</v>
      </c>
      <c r="M1059" s="7" t="n">
        <f aca="false">I1059</f>
        <v>17966.855</v>
      </c>
      <c r="N1059" s="7" t="n">
        <f aca="false">I1059+2*STDEV(E1040:E1059)</f>
        <v>18402.8766292317</v>
      </c>
      <c r="O1059" s="7" t="n">
        <f aca="false">I1059-2*STDEV(E1040:E1059)</f>
        <v>17530.8333707683</v>
      </c>
      <c r="P1059" s="7" t="n">
        <f aca="false">MAX(E1059-E1058,0)</f>
        <v>0</v>
      </c>
      <c r="Q1059" s="7" t="n">
        <f aca="false">MAX(E1058-E1059,0)</f>
        <v>53.6599999999999</v>
      </c>
      <c r="R1059" s="7" t="n">
        <f aca="false">(R1058*13+P1059)/14</f>
        <v>85.1585185551746</v>
      </c>
      <c r="S1059" s="7" t="n">
        <f aca="false">(S1058*13+Q1059)/14</f>
        <v>73.864995537639</v>
      </c>
      <c r="T1059" s="7" t="n">
        <f aca="false">IF(S1059=0,100,100-100/(1+R1059/S1059))</f>
        <v>53.5508971996884</v>
      </c>
      <c r="U1059" s="7" t="n">
        <f aca="false">E1059*2/13+U1058*11/13</f>
        <v>18037.9353826825</v>
      </c>
      <c r="V1059" s="7" t="n">
        <f aca="false">E1059*2/27+V1058*25/27</f>
        <v>17881.4614499913</v>
      </c>
      <c r="W1059" s="7" t="n">
        <f aca="false">U1059-V1059</f>
        <v>156.473932691169</v>
      </c>
      <c r="X1059" s="7" t="n">
        <f aca="false">W1059*2/10+X1058*8/10</f>
        <v>186.954338234518</v>
      </c>
      <c r="Y1059" s="7" t="n">
        <f aca="false">W1059-X1059</f>
        <v>-30.4804055433488</v>
      </c>
      <c r="Z1059" s="8" t="s">
        <v>42</v>
      </c>
      <c r="AA1059" s="7" t="str">
        <f aca="false">IFERROR(INDEX(02_轉折點45!B:B,MATCH(A1059,02_轉折點45!A:A,0)),"")</f>
        <v/>
      </c>
      <c r="AB1059" s="7" t="n">
        <f aca="false">COUNTIFS(05_訊號明細!A:A,A1059,05_訊號明細!C:C,"TOP")</f>
        <v>1</v>
      </c>
      <c r="AC1059" s="7" t="n">
        <f aca="false">COUNTIFS(05_訊號明細!A:A,A1059,05_訊號明細!C:C,"BOTTOM")</f>
        <v>0</v>
      </c>
    </row>
    <row r="1060" customFormat="false" ht="15" hidden="false" customHeight="false" outlineLevel="0" collapsed="false">
      <c r="A1060" s="7" t="s">
        <v>1101</v>
      </c>
      <c r="B1060" s="7" t="n">
        <v>17926.92</v>
      </c>
      <c r="C1060" s="7" t="n">
        <v>17930.47</v>
      </c>
      <c r="D1060" s="7" t="n">
        <v>17764.99</v>
      </c>
      <c r="E1060" s="7" t="n">
        <v>17808.25</v>
      </c>
      <c r="F1060" s="7" t="n">
        <v>8262</v>
      </c>
      <c r="G1060" s="7" t="n">
        <f aca="false">AVERAGE(E1056:E1060)</f>
        <v>18012.466</v>
      </c>
      <c r="H1060" s="7" t="n">
        <f aca="false">AVERAGE(E1051:E1060)</f>
        <v>18052.069</v>
      </c>
      <c r="I1060" s="7" t="n">
        <f aca="false">AVERAGE(E1041:E1060)</f>
        <v>17964.9815</v>
      </c>
      <c r="J1060" s="7" t="n">
        <f aca="false">AVERAGE(E1011:E1060)</f>
        <v>17554.3748</v>
      </c>
      <c r="K1060" s="7" t="n">
        <f aca="false">AVERAGE(E961:E1060)</f>
        <v>16682.4962</v>
      </c>
      <c r="L1060" s="7" t="n">
        <f aca="false">AVERAGE(E861:E1060)</f>
        <v>15882.5525</v>
      </c>
      <c r="M1060" s="7" t="n">
        <f aca="false">I1060</f>
        <v>17964.9815</v>
      </c>
      <c r="N1060" s="7" t="n">
        <f aca="false">I1060+2*STDEV(E1041:E1060)</f>
        <v>18403.5094798443</v>
      </c>
      <c r="O1060" s="7" t="n">
        <f aca="false">I1060-2*STDEV(E1041:E1060)</f>
        <v>17526.4535201557</v>
      </c>
      <c r="P1060" s="7" t="n">
        <f aca="false">MAX(E1060-E1059,0)</f>
        <v>0</v>
      </c>
      <c r="Q1060" s="7" t="n">
        <f aca="false">MAX(E1059-E1060,0)</f>
        <v>206.560000000001</v>
      </c>
      <c r="R1060" s="7" t="n">
        <f aca="false">(R1059*13+P1060)/14</f>
        <v>79.075767229805</v>
      </c>
      <c r="S1060" s="7" t="n">
        <f aca="false">(S1059*13+Q1060)/14</f>
        <v>83.3432101420935</v>
      </c>
      <c r="T1060" s="7" t="n">
        <f aca="false">IF(S1060=0,100,100-100/(1+R1060/S1060))</f>
        <v>48.686285623349</v>
      </c>
      <c r="U1060" s="7" t="n">
        <f aca="false">E1060*2/13+U1059*11/13</f>
        <v>18002.5991699621</v>
      </c>
      <c r="V1060" s="7" t="n">
        <f aca="false">E1060*2/27+V1059*25/27</f>
        <v>17876.0383796216</v>
      </c>
      <c r="W1060" s="7" t="n">
        <f aca="false">U1060-V1060</f>
        <v>126.560790340514</v>
      </c>
      <c r="X1060" s="7" t="n">
        <f aca="false">W1060*2/10+X1059*8/10</f>
        <v>174.875628655717</v>
      </c>
      <c r="Y1060" s="7" t="n">
        <f aca="false">W1060-X1060</f>
        <v>-48.3148383152031</v>
      </c>
      <c r="Z1060" s="8" t="s">
        <v>42</v>
      </c>
      <c r="AA1060" s="7" t="str">
        <f aca="false">IFERROR(INDEX(02_轉折點45!B:B,MATCH(A1060,02_轉折點45!A:A,0)),"")</f>
        <v/>
      </c>
      <c r="AB1060" s="7" t="n">
        <f aca="false">COUNTIFS(05_訊號明細!A:A,A1060,05_訊號明細!C:C,"TOP")</f>
        <v>0</v>
      </c>
      <c r="AC1060" s="7" t="n">
        <f aca="false">COUNTIFS(05_訊號明細!A:A,A1060,05_訊號明細!C:C,"BOTTOM")</f>
        <v>0</v>
      </c>
    </row>
    <row r="1061" customFormat="false" ht="15" hidden="false" customHeight="false" outlineLevel="0" collapsed="false">
      <c r="A1061" s="7" t="s">
        <v>1102</v>
      </c>
      <c r="B1061" s="7" t="n">
        <v>18024.24</v>
      </c>
      <c r="C1061" s="7" t="n">
        <v>18124.32</v>
      </c>
      <c r="D1061" s="7" t="n">
        <v>17973.09</v>
      </c>
      <c r="E1061" s="7" t="n">
        <v>17985.01</v>
      </c>
      <c r="F1061" s="7" t="n">
        <v>5025</v>
      </c>
      <c r="G1061" s="7" t="n">
        <f aca="false">AVERAGE(E1057:E1061)</f>
        <v>18019.13</v>
      </c>
      <c r="H1061" s="7" t="n">
        <f aca="false">AVERAGE(E1052:E1061)</f>
        <v>18027.922</v>
      </c>
      <c r="I1061" s="7" t="n">
        <f aca="false">AVERAGE(E1042:E1061)</f>
        <v>17979.933</v>
      </c>
      <c r="J1061" s="7" t="n">
        <f aca="false">AVERAGE(E1012:E1061)</f>
        <v>17588.4348</v>
      </c>
      <c r="K1061" s="7" t="n">
        <f aca="false">AVERAGE(E962:E1061)</f>
        <v>16716.2978</v>
      </c>
      <c r="L1061" s="7" t="n">
        <f aca="false">AVERAGE(E862:E1061)</f>
        <v>15901.2071</v>
      </c>
      <c r="M1061" s="7" t="n">
        <f aca="false">I1061</f>
        <v>17979.933</v>
      </c>
      <c r="N1061" s="7" t="n">
        <f aca="false">I1061+2*STDEV(E1042:E1061)</f>
        <v>18398.3373888821</v>
      </c>
      <c r="O1061" s="7" t="n">
        <f aca="false">I1061-2*STDEV(E1042:E1061)</f>
        <v>17561.5286111179</v>
      </c>
      <c r="P1061" s="7" t="n">
        <f aca="false">MAX(E1061-E1060,0)</f>
        <v>176.759999999998</v>
      </c>
      <c r="Q1061" s="7" t="n">
        <f aca="false">MAX(E1060-E1061,0)</f>
        <v>0</v>
      </c>
      <c r="R1061" s="7" t="n">
        <f aca="false">(R1060*13+P1061)/14</f>
        <v>86.0532124276759</v>
      </c>
      <c r="S1061" s="7" t="n">
        <f aca="false">(S1060*13+Q1061)/14</f>
        <v>77.3901237033725</v>
      </c>
      <c r="T1061" s="7" t="n">
        <f aca="false">IF(S1061=0,100,100-100/(1+R1061/S1061))</f>
        <v>52.6501810747908</v>
      </c>
      <c r="U1061" s="7" t="n">
        <f aca="false">E1061*2/13+U1060*11/13</f>
        <v>17999.8931438141</v>
      </c>
      <c r="V1061" s="7" t="n">
        <f aca="false">E1061*2/27+V1060*25/27</f>
        <v>17884.1103515015</v>
      </c>
      <c r="W1061" s="7" t="n">
        <f aca="false">U1061-V1061</f>
        <v>115.782792312617</v>
      </c>
      <c r="X1061" s="7" t="n">
        <f aca="false">W1061*2/10+X1060*8/10</f>
        <v>163.057061387097</v>
      </c>
      <c r="Y1061" s="7" t="n">
        <f aca="false">W1061-X1061</f>
        <v>-47.2742690744804</v>
      </c>
      <c r="Z1061" s="8" t="s">
        <v>42</v>
      </c>
      <c r="AA1061" s="7" t="str">
        <f aca="false">IFERROR(INDEX(02_轉折點45!B:B,MATCH(A1061,02_轉折點45!A:A,0)),"")</f>
        <v/>
      </c>
      <c r="AB1061" s="7" t="n">
        <f aca="false">COUNTIFS(05_訊號明細!A:A,A1061,05_訊號明細!C:C,"TOP")</f>
        <v>0</v>
      </c>
      <c r="AC1061" s="7" t="n">
        <f aca="false">COUNTIFS(05_訊號明細!A:A,A1061,05_訊號明細!C:C,"BOTTOM")</f>
        <v>0</v>
      </c>
    </row>
    <row r="1062" customFormat="false" ht="15" hidden="false" customHeight="false" outlineLevel="0" collapsed="false">
      <c r="A1062" s="7" t="s">
        <v>1103</v>
      </c>
      <c r="B1062" s="7" t="n">
        <v>17902.52</v>
      </c>
      <c r="C1062" s="7" t="n">
        <v>18039.82</v>
      </c>
      <c r="D1062" s="7" t="n">
        <v>17809.15</v>
      </c>
      <c r="E1062" s="7" t="n">
        <v>18032.2</v>
      </c>
      <c r="F1062" s="7" t="n">
        <v>4759</v>
      </c>
      <c r="G1062" s="7" t="n">
        <f aca="false">AVERAGE(E1058:E1062)</f>
        <v>17981.748</v>
      </c>
      <c r="H1062" s="7" t="n">
        <f aca="false">AVERAGE(E1053:E1062)</f>
        <v>18041.355</v>
      </c>
      <c r="I1062" s="7" t="n">
        <f aca="false">AVERAGE(E1043:E1062)</f>
        <v>18004.238</v>
      </c>
      <c r="J1062" s="7" t="n">
        <f aca="false">AVERAGE(E1013:E1062)</f>
        <v>17622.9592</v>
      </c>
      <c r="K1062" s="7" t="n">
        <f aca="false">AVERAGE(E963:E1062)</f>
        <v>16749.1612</v>
      </c>
      <c r="L1062" s="7" t="n">
        <f aca="false">AVERAGE(E863:E1062)</f>
        <v>15919.16055</v>
      </c>
      <c r="M1062" s="7" t="n">
        <f aca="false">I1062</f>
        <v>18004.238</v>
      </c>
      <c r="N1062" s="7" t="n">
        <f aca="false">I1062+2*STDEV(E1043:E1062)</f>
        <v>18369.6510213795</v>
      </c>
      <c r="O1062" s="7" t="n">
        <f aca="false">I1062-2*STDEV(E1043:E1062)</f>
        <v>17638.8249786205</v>
      </c>
      <c r="P1062" s="7" t="n">
        <f aca="false">MAX(E1062-E1061,0)</f>
        <v>47.1900000000023</v>
      </c>
      <c r="Q1062" s="7" t="n">
        <f aca="false">MAX(E1061-E1062,0)</f>
        <v>0</v>
      </c>
      <c r="R1062" s="7" t="n">
        <f aca="false">(R1061*13+P1062)/14</f>
        <v>83.2772686828421</v>
      </c>
      <c r="S1062" s="7" t="n">
        <f aca="false">(S1061*13+Q1062)/14</f>
        <v>71.8622577245602</v>
      </c>
      <c r="T1062" s="7" t="n">
        <f aca="false">IF(S1062=0,100,100-100/(1+R1062/S1062))</f>
        <v>53.6789499177359</v>
      </c>
      <c r="U1062" s="7" t="n">
        <f aca="false">E1062*2/13+U1061*11/13</f>
        <v>18004.8634293812</v>
      </c>
      <c r="V1062" s="7" t="n">
        <f aca="false">E1062*2/27+V1061*25/27</f>
        <v>17895.079955094</v>
      </c>
      <c r="W1062" s="7" t="n">
        <f aca="false">U1062-V1062</f>
        <v>109.783474287196</v>
      </c>
      <c r="X1062" s="7" t="n">
        <f aca="false">W1062*2/10+X1061*8/10</f>
        <v>152.402343967117</v>
      </c>
      <c r="Y1062" s="7" t="n">
        <f aca="false">W1062-X1062</f>
        <v>-42.6188696799207</v>
      </c>
      <c r="Z1062" s="8" t="s">
        <v>42</v>
      </c>
      <c r="AA1062" s="7" t="str">
        <f aca="false">IFERROR(INDEX(02_轉折點45!B:B,MATCH(A1062,02_轉折點45!A:A,0)),"")</f>
        <v/>
      </c>
      <c r="AB1062" s="7" t="n">
        <f aca="false">COUNTIFS(05_訊號明細!A:A,A1062,05_訊號明細!C:C,"TOP")</f>
        <v>0</v>
      </c>
      <c r="AC1062" s="7" t="n">
        <f aca="false">COUNTIFS(05_訊號明細!A:A,A1062,05_訊號明細!C:C,"BOTTOM")</f>
        <v>0</v>
      </c>
    </row>
    <row r="1063" customFormat="false" ht="15" hidden="false" customHeight="false" outlineLevel="0" collapsed="false">
      <c r="A1063" s="7" t="s">
        <v>1104</v>
      </c>
      <c r="B1063" s="7" t="n">
        <v>18067.7</v>
      </c>
      <c r="C1063" s="7" t="n">
        <v>18249.12</v>
      </c>
      <c r="D1063" s="7" t="n">
        <v>18003.24</v>
      </c>
      <c r="E1063" s="7" t="n">
        <v>18240.11</v>
      </c>
      <c r="F1063" s="7" t="n">
        <v>5298</v>
      </c>
      <c r="G1063" s="7" t="n">
        <f aca="false">AVERAGE(E1059:E1063)</f>
        <v>18016.076</v>
      </c>
      <c r="H1063" s="7" t="n">
        <f aca="false">AVERAGE(E1054:E1063)</f>
        <v>18063.609</v>
      </c>
      <c r="I1063" s="7" t="n">
        <f aca="false">AVERAGE(E1044:E1063)</f>
        <v>18042.298</v>
      </c>
      <c r="J1063" s="7" t="n">
        <f aca="false">AVERAGE(E1014:E1063)</f>
        <v>17654.764</v>
      </c>
      <c r="K1063" s="7" t="n">
        <f aca="false">AVERAGE(E964:E1063)</f>
        <v>16787.7459</v>
      </c>
      <c r="L1063" s="7" t="n">
        <f aca="false">AVERAGE(E864:E1063)</f>
        <v>15937.6279</v>
      </c>
      <c r="M1063" s="7" t="n">
        <f aca="false">I1063</f>
        <v>18042.298</v>
      </c>
      <c r="N1063" s="7" t="n">
        <f aca="false">I1063+2*STDEV(E1044:E1063)</f>
        <v>18326.9756691444</v>
      </c>
      <c r="O1063" s="7" t="n">
        <f aca="false">I1063-2*STDEV(E1044:E1063)</f>
        <v>17757.6203308556</v>
      </c>
      <c r="P1063" s="7" t="n">
        <f aca="false">MAX(E1063-E1062,0)</f>
        <v>207.91</v>
      </c>
      <c r="Q1063" s="7" t="n">
        <f aca="false">MAX(E1062-E1063,0)</f>
        <v>0</v>
      </c>
      <c r="R1063" s="7" t="n">
        <f aca="false">(R1062*13+P1063)/14</f>
        <v>92.1796066340677</v>
      </c>
      <c r="S1063" s="7" t="n">
        <f aca="false">(S1062*13+Q1063)/14</f>
        <v>66.729239315663</v>
      </c>
      <c r="T1063" s="7" t="n">
        <f aca="false">IF(S1063=0,100,100-100/(1+R1063/S1063))</f>
        <v>58.0078510312936</v>
      </c>
      <c r="U1063" s="7" t="n">
        <f aca="false">E1063*2/13+U1062*11/13</f>
        <v>18041.0552094764</v>
      </c>
      <c r="V1063" s="7" t="n">
        <f aca="false">E1063*2/27+V1062*25/27</f>
        <v>17920.6377361981</v>
      </c>
      <c r="W1063" s="7" t="n">
        <f aca="false">U1063-V1063</f>
        <v>120.417473278252</v>
      </c>
      <c r="X1063" s="7" t="n">
        <f aca="false">W1063*2/10+X1062*8/10</f>
        <v>146.005369829344</v>
      </c>
      <c r="Y1063" s="7" t="n">
        <f aca="false">W1063-X1063</f>
        <v>-25.587896551092</v>
      </c>
      <c r="Z1063" s="8" t="s">
        <v>42</v>
      </c>
      <c r="AA1063" s="7" t="str">
        <f aca="false">IFERROR(INDEX(02_轉折點45!B:B,MATCH(A1063,02_轉折點45!A:A,0)),"")</f>
        <v/>
      </c>
      <c r="AB1063" s="7" t="n">
        <f aca="false">COUNTIFS(05_訊號明細!A:A,A1063,05_訊號明細!C:C,"TOP")</f>
        <v>0</v>
      </c>
      <c r="AC1063" s="7" t="n">
        <f aca="false">COUNTIFS(05_訊號明細!A:A,A1063,05_訊號明細!C:C,"BOTTOM")</f>
        <v>0</v>
      </c>
    </row>
    <row r="1064" customFormat="false" ht="15" hidden="false" customHeight="false" outlineLevel="0" collapsed="false">
      <c r="A1064" s="7" t="s">
        <v>1105</v>
      </c>
      <c r="B1064" s="7" t="n">
        <v>18438.24</v>
      </c>
      <c r="C1064" s="7" t="n">
        <v>18464.7</v>
      </c>
      <c r="D1064" s="7" t="n">
        <v>18317.1</v>
      </c>
      <c r="E1064" s="7" t="n">
        <v>18320.38</v>
      </c>
      <c r="F1064" s="7" t="n">
        <v>5135</v>
      </c>
      <c r="G1064" s="7" t="n">
        <f aca="false">AVERAGE(E1060:E1064)</f>
        <v>18077.19</v>
      </c>
      <c r="H1064" s="7" t="n">
        <f aca="false">AVERAGE(E1055:E1064)</f>
        <v>18065.848</v>
      </c>
      <c r="I1064" s="7" t="n">
        <f aca="false">AVERAGE(E1045:E1064)</f>
        <v>18058.082</v>
      </c>
      <c r="J1064" s="7" t="n">
        <f aca="false">AVERAGE(E1015:E1064)</f>
        <v>17687.5976</v>
      </c>
      <c r="K1064" s="7" t="n">
        <f aca="false">AVERAGE(E965:E1064)</f>
        <v>16829.854</v>
      </c>
      <c r="L1064" s="7" t="n">
        <f aca="false">AVERAGE(E865:E1064)</f>
        <v>15956.4473</v>
      </c>
      <c r="M1064" s="7" t="n">
        <f aca="false">I1064</f>
        <v>18058.082</v>
      </c>
      <c r="N1064" s="7" t="n">
        <f aca="false">I1064+2*STDEV(E1045:E1064)</f>
        <v>18367.8798385708</v>
      </c>
      <c r="O1064" s="7" t="n">
        <f aca="false">I1064-2*STDEV(E1045:E1064)</f>
        <v>17748.2841614292</v>
      </c>
      <c r="P1064" s="7" t="n">
        <f aca="false">MAX(E1064-E1063,0)</f>
        <v>80.2700000000004</v>
      </c>
      <c r="Q1064" s="7" t="n">
        <f aca="false">MAX(E1063-E1064,0)</f>
        <v>0</v>
      </c>
      <c r="R1064" s="7" t="n">
        <f aca="false">(R1063*13+P1064)/14</f>
        <v>91.32892044592</v>
      </c>
      <c r="S1064" s="7" t="n">
        <f aca="false">(S1063*13+Q1064)/14</f>
        <v>61.96286507883</v>
      </c>
      <c r="T1064" s="7" t="n">
        <f aca="false">IF(S1064=0,100,100-100/(1+R1064/S1064))</f>
        <v>59.578483043486</v>
      </c>
      <c r="U1064" s="7" t="n">
        <f aca="false">E1064*2/13+U1063*11/13</f>
        <v>18084.0282541723</v>
      </c>
      <c r="V1064" s="7" t="n">
        <f aca="false">E1064*2/27+V1063*25/27</f>
        <v>17950.2482742575</v>
      </c>
      <c r="W1064" s="7" t="n">
        <f aca="false">U1064-V1064</f>
        <v>133.779979914798</v>
      </c>
      <c r="X1064" s="7" t="n">
        <f aca="false">W1064*2/10+X1063*8/10</f>
        <v>143.560291846435</v>
      </c>
      <c r="Y1064" s="7" t="n">
        <f aca="false">W1064-X1064</f>
        <v>-9.78031193163702</v>
      </c>
      <c r="Z1064" s="8" t="s">
        <v>42</v>
      </c>
      <c r="AA1064" s="7" t="str">
        <f aca="false">IFERROR(INDEX(02_轉折點45!B:B,MATCH(A1064,02_轉折點45!A:A,0)),"")</f>
        <v/>
      </c>
      <c r="AB1064" s="7" t="n">
        <f aca="false">COUNTIFS(05_訊號明細!A:A,A1064,05_訊號明細!C:C,"TOP")</f>
        <v>1</v>
      </c>
      <c r="AC1064" s="7" t="n">
        <f aca="false">COUNTIFS(05_訊號明細!A:A,A1064,05_訊號明細!C:C,"BOTTOM")</f>
        <v>0</v>
      </c>
    </row>
    <row r="1065" customFormat="false" ht="15" hidden="false" customHeight="false" outlineLevel="0" collapsed="false">
      <c r="A1065" s="7" t="s">
        <v>1106</v>
      </c>
      <c r="B1065" s="7" t="n">
        <v>18293.15</v>
      </c>
      <c r="C1065" s="7" t="n">
        <v>18386.25</v>
      </c>
      <c r="D1065" s="7" t="n">
        <v>18267.49</v>
      </c>
      <c r="E1065" s="7" t="n">
        <v>18339.44</v>
      </c>
      <c r="F1065" s="7" t="n">
        <v>4340</v>
      </c>
      <c r="G1065" s="7" t="n">
        <f aca="false">AVERAGE(E1061:E1065)</f>
        <v>18183.428</v>
      </c>
      <c r="H1065" s="7" t="n">
        <f aca="false">AVERAGE(E1056:E1065)</f>
        <v>18097.947</v>
      </c>
      <c r="I1065" s="7" t="n">
        <f aca="false">AVERAGE(E1046:E1065)</f>
        <v>18078.1735</v>
      </c>
      <c r="J1065" s="7" t="n">
        <f aca="false">AVERAGE(E1016:E1065)</f>
        <v>17718.5254</v>
      </c>
      <c r="K1065" s="7" t="n">
        <f aca="false">AVERAGE(E966:E1065)</f>
        <v>16871.4442</v>
      </c>
      <c r="L1065" s="7" t="n">
        <f aca="false">AVERAGE(E866:E1065)</f>
        <v>15975.35405</v>
      </c>
      <c r="M1065" s="7" t="n">
        <f aca="false">I1065</f>
        <v>18078.1735</v>
      </c>
      <c r="N1065" s="7" t="n">
        <f aca="false">I1065+2*STDEV(E1046:E1065)</f>
        <v>18406.6325121525</v>
      </c>
      <c r="O1065" s="7" t="n">
        <f aca="false">I1065-2*STDEV(E1046:E1065)</f>
        <v>17749.7144878475</v>
      </c>
      <c r="P1065" s="7" t="n">
        <f aca="false">MAX(E1065-E1064,0)</f>
        <v>19.0599999999977</v>
      </c>
      <c r="Q1065" s="7" t="n">
        <f aca="false">MAX(E1064-E1065,0)</f>
        <v>0</v>
      </c>
      <c r="R1065" s="7" t="n">
        <f aca="false">(R1064*13+P1065)/14</f>
        <v>86.1668546997827</v>
      </c>
      <c r="S1065" s="7" t="n">
        <f aca="false">(S1064*13+Q1065)/14</f>
        <v>57.5369461446278</v>
      </c>
      <c r="T1065" s="7" t="n">
        <f aca="false">IF(S1065=0,100,100-100/(1+R1065/S1065))</f>
        <v>59.9614305212959</v>
      </c>
      <c r="U1065" s="7" t="n">
        <f aca="false">E1065*2/13+U1064*11/13</f>
        <v>18123.322368915</v>
      </c>
      <c r="V1065" s="7" t="n">
        <f aca="false">E1065*2/27+V1064*25/27</f>
        <v>17979.0772909792</v>
      </c>
      <c r="W1065" s="7" t="n">
        <f aca="false">U1065-V1065</f>
        <v>144.245077935851</v>
      </c>
      <c r="X1065" s="7" t="n">
        <f aca="false">W1065*2/10+X1064*8/10</f>
        <v>143.697249064318</v>
      </c>
      <c r="Y1065" s="7" t="n">
        <f aca="false">W1065-X1065</f>
        <v>0.547828871533227</v>
      </c>
      <c r="Z1065" s="8" t="s">
        <v>42</v>
      </c>
      <c r="AA1065" s="7" t="str">
        <f aca="false">IFERROR(INDEX(02_轉折點45!B:B,MATCH(A1065,02_轉折點45!A:A,0)),"")</f>
        <v/>
      </c>
      <c r="AB1065" s="7" t="n">
        <f aca="false">COUNTIFS(05_訊號明細!A:A,A1065,05_訊號明細!C:C,"TOP")</f>
        <v>1</v>
      </c>
      <c r="AC1065" s="7" t="n">
        <f aca="false">COUNTIFS(05_訊號明細!A:A,A1065,05_訊號明細!C:C,"BOTTOM")</f>
        <v>0</v>
      </c>
    </row>
    <row r="1066" customFormat="false" ht="15" hidden="false" customHeight="false" outlineLevel="0" collapsed="false">
      <c r="A1066" s="7" t="s">
        <v>1107</v>
      </c>
      <c r="B1066" s="7" t="n">
        <v>18215.54</v>
      </c>
      <c r="C1066" s="7" t="n">
        <v>18337.35</v>
      </c>
      <c r="D1066" s="7" t="n">
        <v>18189.28</v>
      </c>
      <c r="E1066" s="7" t="n">
        <v>18277.06</v>
      </c>
      <c r="F1066" s="7" t="n">
        <v>4637</v>
      </c>
      <c r="G1066" s="7" t="n">
        <f aca="false">AVERAGE(E1062:E1066)</f>
        <v>18241.838</v>
      </c>
      <c r="H1066" s="7" t="n">
        <f aca="false">AVERAGE(E1057:E1066)</f>
        <v>18130.484</v>
      </c>
      <c r="I1066" s="7" t="n">
        <f aca="false">AVERAGE(E1047:E1066)</f>
        <v>18095.36</v>
      </c>
      <c r="J1066" s="7" t="n">
        <f aca="false">AVERAGE(E1017:E1066)</f>
        <v>17747.6486</v>
      </c>
      <c r="K1066" s="7" t="n">
        <f aca="false">AVERAGE(E967:E1066)</f>
        <v>16910.8597</v>
      </c>
      <c r="L1066" s="7" t="n">
        <f aca="false">AVERAGE(E867:E1066)</f>
        <v>15995.2229</v>
      </c>
      <c r="M1066" s="7" t="n">
        <f aca="false">I1066</f>
        <v>18095.36</v>
      </c>
      <c r="N1066" s="7" t="n">
        <f aca="false">I1066+2*STDEV(E1047:E1066)</f>
        <v>18427.8542318138</v>
      </c>
      <c r="O1066" s="7" t="n">
        <f aca="false">I1066-2*STDEV(E1047:E1066)</f>
        <v>17762.8657681862</v>
      </c>
      <c r="P1066" s="7" t="n">
        <f aca="false">MAX(E1066-E1065,0)</f>
        <v>0</v>
      </c>
      <c r="Q1066" s="7" t="n">
        <f aca="false">MAX(E1065-E1066,0)</f>
        <v>62.3799999999974</v>
      </c>
      <c r="R1066" s="7" t="n">
        <f aca="false">(R1065*13+P1066)/14</f>
        <v>80.0120793640839</v>
      </c>
      <c r="S1066" s="7" t="n">
        <f aca="false">(S1065*13+Q1066)/14</f>
        <v>57.8828785628685</v>
      </c>
      <c r="T1066" s="7" t="n">
        <f aca="false">IF(S1066=0,100,100-100/(1+R1066/S1066))</f>
        <v>58.023933990733</v>
      </c>
      <c r="U1066" s="7" t="n">
        <f aca="false">E1066*2/13+U1065*11/13</f>
        <v>18146.9743121589</v>
      </c>
      <c r="V1066" s="7" t="n">
        <f aca="false">E1066*2/27+V1065*25/27</f>
        <v>18001.15008424</v>
      </c>
      <c r="W1066" s="7" t="n">
        <f aca="false">U1066-V1066</f>
        <v>145.824227918893</v>
      </c>
      <c r="X1066" s="7" t="n">
        <f aca="false">W1066*2/10+X1065*8/10</f>
        <v>144.122644835233</v>
      </c>
      <c r="Y1066" s="7" t="n">
        <f aca="false">W1066-X1066</f>
        <v>1.7015830836595</v>
      </c>
      <c r="Z1066" s="8" t="s">
        <v>42</v>
      </c>
      <c r="AA1066" s="7" t="str">
        <f aca="false">IFERROR(INDEX(02_轉折點45!B:B,MATCH(A1066,02_轉折點45!A:A,0)),"")</f>
        <v/>
      </c>
      <c r="AB1066" s="7" t="n">
        <f aca="false">COUNTIFS(05_訊號明細!A:A,A1066,05_訊號明細!C:C,"TOP")</f>
        <v>0</v>
      </c>
      <c r="AC1066" s="7" t="n">
        <f aca="false">COUNTIFS(05_訊號明細!A:A,A1066,05_訊號明細!C:C,"BOTTOM")</f>
        <v>0</v>
      </c>
    </row>
    <row r="1067" customFormat="false" ht="15" hidden="false" customHeight="false" outlineLevel="0" collapsed="false">
      <c r="A1067" s="7" t="s">
        <v>1108</v>
      </c>
      <c r="B1067" s="7" t="n">
        <v>18329.29</v>
      </c>
      <c r="C1067" s="7" t="n">
        <v>18378.7</v>
      </c>
      <c r="D1067" s="7" t="n">
        <v>18207.88</v>
      </c>
      <c r="E1067" s="7" t="n">
        <v>18210.54</v>
      </c>
      <c r="F1067" s="7" t="n">
        <v>5144</v>
      </c>
      <c r="G1067" s="7" t="n">
        <f aca="false">AVERAGE(E1063:E1067)</f>
        <v>18277.506</v>
      </c>
      <c r="H1067" s="7" t="n">
        <f aca="false">AVERAGE(E1058:E1067)</f>
        <v>18129.627</v>
      </c>
      <c r="I1067" s="7" t="n">
        <f aca="false">AVERAGE(E1048:E1067)</f>
        <v>18107.3345</v>
      </c>
      <c r="J1067" s="7" t="n">
        <f aca="false">AVERAGE(E1018:E1067)</f>
        <v>17775.201</v>
      </c>
      <c r="K1067" s="7" t="n">
        <f aca="false">AVERAGE(E968:E1067)</f>
        <v>16948.8673</v>
      </c>
      <c r="L1067" s="7" t="n">
        <f aca="false">AVERAGE(E868:E1067)</f>
        <v>16013.8529</v>
      </c>
      <c r="M1067" s="7" t="n">
        <f aca="false">I1067</f>
        <v>18107.3345</v>
      </c>
      <c r="N1067" s="7" t="n">
        <f aca="false">I1067+2*STDEV(E1048:E1067)</f>
        <v>18438.2247348434</v>
      </c>
      <c r="O1067" s="7" t="n">
        <f aca="false">I1067-2*STDEV(E1048:E1067)</f>
        <v>17776.4442651566</v>
      </c>
      <c r="P1067" s="7" t="n">
        <f aca="false">MAX(E1067-E1066,0)</f>
        <v>0</v>
      </c>
      <c r="Q1067" s="7" t="n">
        <f aca="false">MAX(E1066-E1067,0)</f>
        <v>66.5200000000004</v>
      </c>
      <c r="R1067" s="7" t="n">
        <f aca="false">(R1066*13+P1067)/14</f>
        <v>74.2969308380779</v>
      </c>
      <c r="S1067" s="7" t="n">
        <f aca="false">(S1066*13+Q1067)/14</f>
        <v>58.4998158083779</v>
      </c>
      <c r="T1067" s="7" t="n">
        <f aca="false">IF(S1067=0,100,100-100/(1+R1067/S1067))</f>
        <v>55.9478546834271</v>
      </c>
      <c r="U1067" s="7" t="n">
        <f aca="false">E1067*2/13+U1066*11/13</f>
        <v>18156.7536487498</v>
      </c>
      <c r="V1067" s="7" t="n">
        <f aca="false">E1067*2/27+V1066*25/27</f>
        <v>18016.6604483703</v>
      </c>
      <c r="W1067" s="7" t="n">
        <f aca="false">U1067-V1067</f>
        <v>140.093200379462</v>
      </c>
      <c r="X1067" s="7" t="n">
        <f aca="false">W1067*2/10+X1066*8/10</f>
        <v>143.316755944079</v>
      </c>
      <c r="Y1067" s="7" t="n">
        <f aca="false">W1067-X1067</f>
        <v>-3.22355556461656</v>
      </c>
      <c r="Z1067" s="8" t="s">
        <v>42</v>
      </c>
      <c r="AA1067" s="7" t="str">
        <f aca="false">IFERROR(INDEX(02_轉折點45!B:B,MATCH(A1067,02_轉折點45!A:A,0)),"")</f>
        <v/>
      </c>
      <c r="AB1067" s="7" t="n">
        <f aca="false">COUNTIFS(05_訊號明細!A:A,A1067,05_訊號明細!C:C,"TOP")</f>
        <v>0</v>
      </c>
      <c r="AC1067" s="7" t="n">
        <f aca="false">COUNTIFS(05_訊號明細!A:A,A1067,05_訊號明細!C:C,"BOTTOM")</f>
        <v>0</v>
      </c>
    </row>
    <row r="1068" customFormat="false" ht="15" hidden="false" customHeight="false" outlineLevel="0" collapsed="false">
      <c r="A1068" s="7" t="s">
        <v>1109</v>
      </c>
      <c r="B1068" s="7" t="n">
        <v>18338.19</v>
      </c>
      <c r="C1068" s="7" t="n">
        <v>18344.09</v>
      </c>
      <c r="D1068" s="7" t="n">
        <v>18168.2</v>
      </c>
      <c r="E1068" s="7" t="n">
        <v>18280.84</v>
      </c>
      <c r="F1068" s="7" t="n">
        <v>4769</v>
      </c>
      <c r="G1068" s="7" t="n">
        <f aca="false">AVERAGE(E1064:E1068)</f>
        <v>18285.652</v>
      </c>
      <c r="H1068" s="7" t="n">
        <f aca="false">AVERAGE(E1059:E1068)</f>
        <v>18150.864</v>
      </c>
      <c r="I1068" s="7" t="n">
        <f aca="false">AVERAGE(E1049:E1068)</f>
        <v>18127.6515</v>
      </c>
      <c r="J1068" s="7" t="n">
        <f aca="false">AVERAGE(E1019:E1068)</f>
        <v>17804.2036</v>
      </c>
      <c r="K1068" s="7" t="n">
        <f aca="false">AVERAGE(E969:E1068)</f>
        <v>16985.0266</v>
      </c>
      <c r="L1068" s="7" t="n">
        <f aca="false">AVERAGE(E869:E1068)</f>
        <v>16032.6153</v>
      </c>
      <c r="M1068" s="7" t="n">
        <f aca="false">I1068</f>
        <v>18127.6515</v>
      </c>
      <c r="N1068" s="7" t="n">
        <f aca="false">I1068+2*STDEV(E1049:E1068)</f>
        <v>18448.0809142011</v>
      </c>
      <c r="O1068" s="7" t="n">
        <f aca="false">I1068-2*STDEV(E1049:E1068)</f>
        <v>17807.2220857989</v>
      </c>
      <c r="P1068" s="7" t="n">
        <f aca="false">MAX(E1068-E1067,0)</f>
        <v>70.2999999999993</v>
      </c>
      <c r="Q1068" s="7" t="n">
        <f aca="false">MAX(E1067-E1068,0)</f>
        <v>0</v>
      </c>
      <c r="R1068" s="7" t="n">
        <f aca="false">(R1067*13+P1068)/14</f>
        <v>74.0114357782152</v>
      </c>
      <c r="S1068" s="7" t="n">
        <f aca="false">(S1067*13+Q1068)/14</f>
        <v>54.3212575363509</v>
      </c>
      <c r="T1068" s="7" t="n">
        <f aca="false">IF(S1068=0,100,100-100/(1+R1068/S1068))</f>
        <v>57.6715362754837</v>
      </c>
      <c r="U1068" s="7" t="n">
        <f aca="false">E1068*2/13+U1067*11/13</f>
        <v>18175.8438566345</v>
      </c>
      <c r="V1068" s="7" t="n">
        <f aca="false">E1068*2/27+V1067*25/27</f>
        <v>18036.2293040466</v>
      </c>
      <c r="W1068" s="7" t="n">
        <f aca="false">U1068-V1068</f>
        <v>139.614552587838</v>
      </c>
      <c r="X1068" s="7" t="n">
        <f aca="false">W1068*2/10+X1067*8/10</f>
        <v>142.576315272831</v>
      </c>
      <c r="Y1068" s="7" t="n">
        <f aca="false">W1068-X1068</f>
        <v>-2.96176268499252</v>
      </c>
      <c r="Z1068" s="8" t="s">
        <v>42</v>
      </c>
      <c r="AA1068" s="7" t="str">
        <f aca="false">IFERROR(INDEX(02_轉折點45!B:B,MATCH(A1068,02_轉折點45!A:A,0)),"")</f>
        <v/>
      </c>
      <c r="AB1068" s="7" t="n">
        <f aca="false">COUNTIFS(05_訊號明細!A:A,A1068,05_訊號明細!C:C,"TOP")</f>
        <v>0</v>
      </c>
      <c r="AC1068" s="7" t="n">
        <f aca="false">COUNTIFS(05_訊號明細!A:A,A1068,05_訊號明細!C:C,"BOTTOM")</f>
        <v>0</v>
      </c>
    </row>
    <row r="1069" customFormat="false" ht="15" hidden="false" customHeight="false" outlineLevel="0" collapsed="false">
      <c r="A1069" s="7" t="s">
        <v>1110</v>
      </c>
      <c r="B1069" s="7" t="n">
        <v>18263.41</v>
      </c>
      <c r="C1069" s="7" t="n">
        <v>18308.32</v>
      </c>
      <c r="D1069" s="7" t="n">
        <v>18231.38</v>
      </c>
      <c r="E1069" s="7" t="n">
        <v>18254.69</v>
      </c>
      <c r="F1069" s="7" t="n">
        <v>5174</v>
      </c>
      <c r="G1069" s="7" t="n">
        <f aca="false">AVERAGE(E1065:E1069)</f>
        <v>18272.514</v>
      </c>
      <c r="H1069" s="7" t="n">
        <f aca="false">AVERAGE(E1060:E1069)</f>
        <v>18174.852</v>
      </c>
      <c r="I1069" s="7" t="n">
        <f aca="false">AVERAGE(E1050:E1069)</f>
        <v>18138.1935</v>
      </c>
      <c r="J1069" s="7" t="n">
        <f aca="false">AVERAGE(E1020:E1069)</f>
        <v>17834.5718</v>
      </c>
      <c r="K1069" s="7" t="n">
        <f aca="false">AVERAGE(E970:E1069)</f>
        <v>17018.378</v>
      </c>
      <c r="L1069" s="7" t="n">
        <f aca="false">AVERAGE(E870:E1069)</f>
        <v>16049.96725</v>
      </c>
      <c r="M1069" s="7" t="n">
        <f aca="false">I1069</f>
        <v>18138.1935</v>
      </c>
      <c r="N1069" s="7" t="n">
        <f aca="false">I1069+2*STDEV(E1050:E1069)</f>
        <v>18460.8794998447</v>
      </c>
      <c r="O1069" s="7" t="n">
        <f aca="false">I1069-2*STDEV(E1050:E1069)</f>
        <v>17815.5075001553</v>
      </c>
      <c r="P1069" s="7" t="n">
        <f aca="false">MAX(E1069-E1068,0)</f>
        <v>0</v>
      </c>
      <c r="Q1069" s="7" t="n">
        <f aca="false">MAX(E1068-E1069,0)</f>
        <v>26.1500000000015</v>
      </c>
      <c r="R1069" s="7" t="n">
        <f aca="false">(R1068*13+P1069)/14</f>
        <v>68.7249046511998</v>
      </c>
      <c r="S1069" s="7" t="n">
        <f aca="false">(S1068*13+Q1069)/14</f>
        <v>52.3090248551831</v>
      </c>
      <c r="T1069" s="7" t="n">
        <f aca="false">IF(S1069=0,100,100-100/(1+R1069/S1069))</f>
        <v>56.781519803152</v>
      </c>
      <c r="U1069" s="7" t="n">
        <f aca="false">E1069*2/13+U1068*11/13</f>
        <v>18187.9740325368</v>
      </c>
      <c r="V1069" s="7" t="n">
        <f aca="false">E1069*2/27+V1068*25/27</f>
        <v>18052.4115778209</v>
      </c>
      <c r="W1069" s="7" t="n">
        <f aca="false">U1069-V1069</f>
        <v>135.562454715906</v>
      </c>
      <c r="X1069" s="7" t="n">
        <f aca="false">W1069*2/10+X1068*8/10</f>
        <v>141.173543161446</v>
      </c>
      <c r="Y1069" s="7" t="n">
        <f aca="false">W1069-X1069</f>
        <v>-5.61108844553988</v>
      </c>
      <c r="Z1069" s="8" t="s">
        <v>42</v>
      </c>
      <c r="AA1069" s="7" t="str">
        <f aca="false">IFERROR(INDEX(02_轉折點45!B:B,MATCH(A1069,02_轉折點45!A:A,0)),"")</f>
        <v/>
      </c>
      <c r="AB1069" s="7" t="n">
        <f aca="false">COUNTIFS(05_訊號明細!A:A,A1069,05_訊號明細!C:C,"TOP")</f>
        <v>0</v>
      </c>
      <c r="AC1069" s="7" t="n">
        <f aca="false">COUNTIFS(05_訊號明細!A:A,A1069,05_訊號明細!C:C,"BOTTOM")</f>
        <v>0</v>
      </c>
    </row>
    <row r="1070" customFormat="false" ht="15" hidden="false" customHeight="false" outlineLevel="0" collapsed="false">
      <c r="A1070" s="7" t="s">
        <v>1111</v>
      </c>
      <c r="B1070" s="7" t="n">
        <v>18280.82</v>
      </c>
      <c r="C1070" s="7" t="n">
        <v>18391.58</v>
      </c>
      <c r="D1070" s="7" t="n">
        <v>18211.28</v>
      </c>
      <c r="E1070" s="7" t="n">
        <v>18293.2</v>
      </c>
      <c r="F1070" s="7" t="n">
        <v>4798</v>
      </c>
      <c r="G1070" s="7" t="n">
        <f aca="false">AVERAGE(E1066:E1070)</f>
        <v>18263.266</v>
      </c>
      <c r="H1070" s="7" t="n">
        <f aca="false">AVERAGE(E1061:E1070)</f>
        <v>18223.347</v>
      </c>
      <c r="I1070" s="7" t="n">
        <f aca="false">AVERAGE(E1051:E1070)</f>
        <v>18137.708</v>
      </c>
      <c r="J1070" s="7" t="n">
        <f aca="false">AVERAGE(E1021:E1070)</f>
        <v>17860.79</v>
      </c>
      <c r="K1070" s="7" t="n">
        <f aca="false">AVERAGE(E971:E1070)</f>
        <v>17050.3151</v>
      </c>
      <c r="L1070" s="7" t="n">
        <f aca="false">AVERAGE(E871:E1070)</f>
        <v>16066.929</v>
      </c>
      <c r="M1070" s="7" t="n">
        <f aca="false">I1070</f>
        <v>18137.708</v>
      </c>
      <c r="N1070" s="7" t="n">
        <f aca="false">I1070+2*STDEV(E1051:E1070)</f>
        <v>18459.3781430184</v>
      </c>
      <c r="O1070" s="7" t="n">
        <f aca="false">I1070-2*STDEV(E1051:E1070)</f>
        <v>17816.0378569816</v>
      </c>
      <c r="P1070" s="7" t="n">
        <f aca="false">MAX(E1070-E1069,0)</f>
        <v>38.510000000002</v>
      </c>
      <c r="Q1070" s="7" t="n">
        <f aca="false">MAX(E1069-E1070,0)</f>
        <v>0</v>
      </c>
      <c r="R1070" s="7" t="n">
        <f aca="false">(R1069*13+P1070)/14</f>
        <v>66.5666971761143</v>
      </c>
      <c r="S1070" s="7" t="n">
        <f aca="false">(S1069*13+Q1070)/14</f>
        <v>48.5726659369557</v>
      </c>
      <c r="T1070" s="7" t="n">
        <f aca="false">IF(S1070=0,100,100-100/(1+R1070/S1070))</f>
        <v>57.8140223954026</v>
      </c>
      <c r="U1070" s="7" t="n">
        <f aca="false">E1070*2/13+U1069*11/13</f>
        <v>18204.1626429158</v>
      </c>
      <c r="V1070" s="7" t="n">
        <f aca="false">E1070*2/27+V1069*25/27</f>
        <v>18070.2477572416</v>
      </c>
      <c r="W1070" s="7" t="n">
        <f aca="false">U1070-V1070</f>
        <v>133.914885674181</v>
      </c>
      <c r="X1070" s="7" t="n">
        <f aca="false">W1070*2/10+X1069*8/10</f>
        <v>139.721811663993</v>
      </c>
      <c r="Y1070" s="7" t="n">
        <f aca="false">W1070-X1070</f>
        <v>-5.80692598981162</v>
      </c>
      <c r="Z1070" s="8" t="s">
        <v>42</v>
      </c>
      <c r="AA1070" s="7" t="str">
        <f aca="false">IFERROR(INDEX(02_轉折點45!B:B,MATCH(A1070,02_轉折點45!A:A,0)),"")</f>
        <v/>
      </c>
      <c r="AB1070" s="7" t="n">
        <f aca="false">COUNTIFS(05_訊號明細!A:A,A1070,05_訊號明細!C:C,"TOP")</f>
        <v>0</v>
      </c>
      <c r="AC1070" s="7" t="n">
        <f aca="false">COUNTIFS(05_訊號明細!A:A,A1070,05_訊號明細!C:C,"BOTTOM")</f>
        <v>0</v>
      </c>
    </row>
    <row r="1071" customFormat="false" ht="15" hidden="false" customHeight="false" outlineLevel="0" collapsed="false">
      <c r="A1071" s="7" t="s">
        <v>1112</v>
      </c>
      <c r="B1071" s="7" t="n">
        <v>18076.43</v>
      </c>
      <c r="C1071" s="7" t="n">
        <v>18135.57</v>
      </c>
      <c r="D1071" s="7" t="n">
        <v>18002.27</v>
      </c>
      <c r="E1071" s="7" t="n">
        <v>18121.78</v>
      </c>
      <c r="F1071" s="7" t="n">
        <v>4710</v>
      </c>
      <c r="G1071" s="7" t="n">
        <f aca="false">AVERAGE(E1067:E1071)</f>
        <v>18232.21</v>
      </c>
      <c r="H1071" s="7" t="n">
        <f aca="false">AVERAGE(E1062:E1071)</f>
        <v>18237.024</v>
      </c>
      <c r="I1071" s="7" t="n">
        <f aca="false">AVERAGE(E1052:E1071)</f>
        <v>18132.473</v>
      </c>
      <c r="J1071" s="7" t="n">
        <f aca="false">AVERAGE(E1022:E1071)</f>
        <v>17876.9456</v>
      </c>
      <c r="K1071" s="7" t="n">
        <f aca="false">AVERAGE(E972:E1071)</f>
        <v>17079.9836</v>
      </c>
      <c r="L1071" s="7" t="n">
        <f aca="false">AVERAGE(E872:E1071)</f>
        <v>16082.50945</v>
      </c>
      <c r="M1071" s="7" t="n">
        <f aca="false">I1071</f>
        <v>18132.473</v>
      </c>
      <c r="N1071" s="7" t="n">
        <f aca="false">I1071+2*STDEV(E1052:E1071)</f>
        <v>18451.4567854384</v>
      </c>
      <c r="O1071" s="7" t="n">
        <f aca="false">I1071-2*STDEV(E1052:E1071)</f>
        <v>17813.4892145616</v>
      </c>
      <c r="P1071" s="7" t="n">
        <f aca="false">MAX(E1071-E1070,0)</f>
        <v>0</v>
      </c>
      <c r="Q1071" s="7" t="n">
        <f aca="false">MAX(E1070-E1071,0)</f>
        <v>171.420000000002</v>
      </c>
      <c r="R1071" s="7" t="n">
        <f aca="false">(R1070*13+P1071)/14</f>
        <v>61.8119330921061</v>
      </c>
      <c r="S1071" s="7" t="n">
        <f aca="false">(S1070*13+Q1071)/14</f>
        <v>57.3474755128876</v>
      </c>
      <c r="T1071" s="7" t="n">
        <f aca="false">IF(S1071=0,100,100-100/(1+R1071/S1071))</f>
        <v>51.8733130818138</v>
      </c>
      <c r="U1071" s="7" t="n">
        <f aca="false">E1071*2/13+U1070*11/13</f>
        <v>18191.4883901595</v>
      </c>
      <c r="V1071" s="7" t="n">
        <f aca="false">E1071*2/27+V1070*25/27</f>
        <v>18074.0649604089</v>
      </c>
      <c r="W1071" s="7" t="n">
        <f aca="false">U1071-V1071</f>
        <v>117.423429750619</v>
      </c>
      <c r="X1071" s="7" t="n">
        <f aca="false">W1071*2/10+X1070*8/10</f>
        <v>135.262135281318</v>
      </c>
      <c r="Y1071" s="7" t="n">
        <f aca="false">W1071-X1071</f>
        <v>-17.838705530699</v>
      </c>
      <c r="Z1071" s="8" t="s">
        <v>42</v>
      </c>
      <c r="AA1071" s="7" t="str">
        <f aca="false">IFERROR(INDEX(02_轉折點45!B:B,MATCH(A1071,02_轉折點45!A:A,0)),"")</f>
        <v/>
      </c>
      <c r="AB1071" s="7" t="n">
        <f aca="false">COUNTIFS(05_訊號明細!A:A,A1071,05_訊號明細!C:C,"TOP")</f>
        <v>1</v>
      </c>
      <c r="AC1071" s="7" t="n">
        <f aca="false">COUNTIFS(05_訊號明細!A:A,A1071,05_訊號明細!C:C,"BOTTOM")</f>
        <v>0</v>
      </c>
    </row>
    <row r="1072" customFormat="false" ht="15" hidden="false" customHeight="false" outlineLevel="0" collapsed="false">
      <c r="A1072" s="7" t="s">
        <v>1113</v>
      </c>
      <c r="B1072" s="7" t="n">
        <v>18054.44</v>
      </c>
      <c r="C1072" s="7" t="n">
        <v>18238.67</v>
      </c>
      <c r="D1072" s="7" t="n">
        <v>18045.42</v>
      </c>
      <c r="E1072" s="7" t="n">
        <v>18160.19</v>
      </c>
      <c r="F1072" s="7" t="n">
        <v>5152</v>
      </c>
      <c r="G1072" s="7" t="n">
        <f aca="false">AVERAGE(E1068:E1072)</f>
        <v>18222.14</v>
      </c>
      <c r="H1072" s="7" t="n">
        <f aca="false">AVERAGE(E1063:E1072)</f>
        <v>18249.823</v>
      </c>
      <c r="I1072" s="7" t="n">
        <f aca="false">AVERAGE(E1053:E1072)</f>
        <v>18145.589</v>
      </c>
      <c r="J1072" s="7" t="n">
        <f aca="false">AVERAGE(E1023:E1072)</f>
        <v>17893.5418</v>
      </c>
      <c r="K1072" s="7" t="n">
        <f aca="false">AVERAGE(E973:E1072)</f>
        <v>17108.6253</v>
      </c>
      <c r="L1072" s="7" t="n">
        <f aca="false">AVERAGE(E873:E1072)</f>
        <v>16097.383</v>
      </c>
      <c r="M1072" s="7" t="n">
        <f aca="false">I1072</f>
        <v>18145.589</v>
      </c>
      <c r="N1072" s="7" t="n">
        <f aca="false">I1072+2*STDEV(E1053:E1072)</f>
        <v>18444.9232396509</v>
      </c>
      <c r="O1072" s="7" t="n">
        <f aca="false">I1072-2*STDEV(E1053:E1072)</f>
        <v>17846.2547603491</v>
      </c>
      <c r="P1072" s="7" t="n">
        <f aca="false">MAX(E1072-E1071,0)</f>
        <v>38.4099999999999</v>
      </c>
      <c r="Q1072" s="7" t="n">
        <f aca="false">MAX(E1071-E1072,0)</f>
        <v>0</v>
      </c>
      <c r="R1072" s="7" t="n">
        <f aca="false">(R1071*13+P1072)/14</f>
        <v>60.1403664426699</v>
      </c>
      <c r="S1072" s="7" t="n">
        <f aca="false">(S1071*13+Q1072)/14</f>
        <v>53.2512272619671</v>
      </c>
      <c r="T1072" s="7" t="n">
        <f aca="false">IF(S1072=0,100,100-100/(1+R1072/S1072))</f>
        <v>53.0377645095313</v>
      </c>
      <c r="U1072" s="7" t="n">
        <f aca="false">E1072*2/13+U1071*11/13</f>
        <v>18186.6732532119</v>
      </c>
      <c r="V1072" s="7" t="n">
        <f aca="false">E1072*2/27+V1071*25/27</f>
        <v>18080.4445929712</v>
      </c>
      <c r="W1072" s="7" t="n">
        <f aca="false">U1072-V1072</f>
        <v>106.2286602407</v>
      </c>
      <c r="X1072" s="7" t="n">
        <f aca="false">W1072*2/10+X1071*8/10</f>
        <v>129.455440273195</v>
      </c>
      <c r="Y1072" s="7" t="n">
        <f aca="false">W1072-X1072</f>
        <v>-23.2267800324943</v>
      </c>
      <c r="Z1072" s="8" t="s">
        <v>42</v>
      </c>
      <c r="AA1072" s="7" t="str">
        <f aca="false">IFERROR(INDEX(02_轉折點45!B:B,MATCH(A1072,02_轉折點45!A:A,0)),"")</f>
        <v/>
      </c>
      <c r="AB1072" s="7" t="n">
        <f aca="false">COUNTIFS(05_訊號明細!A:A,A1072,05_訊號明細!C:C,"TOP")</f>
        <v>0</v>
      </c>
      <c r="AC1072" s="7" t="n">
        <f aca="false">COUNTIFS(05_訊號明細!A:A,A1072,05_訊號明細!C:C,"BOTTOM")</f>
        <v>0</v>
      </c>
    </row>
    <row r="1073" customFormat="false" ht="15" hidden="false" customHeight="false" outlineLevel="0" collapsed="false">
      <c r="A1073" s="7" t="s">
        <v>1114</v>
      </c>
      <c r="B1073" s="7" t="n">
        <v>18331.02</v>
      </c>
      <c r="C1073" s="7" t="n">
        <v>18362.29</v>
      </c>
      <c r="D1073" s="7" t="n">
        <v>17875.75</v>
      </c>
      <c r="E1073" s="7" t="n">
        <v>17878.78</v>
      </c>
      <c r="F1073" s="7" t="n">
        <v>5369</v>
      </c>
      <c r="G1073" s="7" t="n">
        <f aca="false">AVERAGE(E1069:E1073)</f>
        <v>18141.728</v>
      </c>
      <c r="H1073" s="7" t="n">
        <f aca="false">AVERAGE(E1064:E1073)</f>
        <v>18213.69</v>
      </c>
      <c r="I1073" s="7" t="n">
        <f aca="false">AVERAGE(E1054:E1073)</f>
        <v>18138.6495</v>
      </c>
      <c r="J1073" s="7" t="n">
        <f aca="false">AVERAGE(E1024:E1073)</f>
        <v>17903.0332</v>
      </c>
      <c r="K1073" s="7" t="n">
        <f aca="false">AVERAGE(E974:E1073)</f>
        <v>17134.2807</v>
      </c>
      <c r="L1073" s="7" t="n">
        <f aca="false">AVERAGE(E874:E1073)</f>
        <v>16111.3573</v>
      </c>
      <c r="M1073" s="7" t="n">
        <f aca="false">I1073</f>
        <v>18138.6495</v>
      </c>
      <c r="N1073" s="7" t="n">
        <f aca="false">I1073+2*STDEV(E1054:E1073)</f>
        <v>18456.3516886826</v>
      </c>
      <c r="O1073" s="7" t="n">
        <f aca="false">I1073-2*STDEV(E1054:E1073)</f>
        <v>17820.9473113174</v>
      </c>
      <c r="P1073" s="7" t="n">
        <f aca="false">MAX(E1073-E1072,0)</f>
        <v>0</v>
      </c>
      <c r="Q1073" s="7" t="n">
        <f aca="false">MAX(E1072-E1073,0)</f>
        <v>281.41</v>
      </c>
      <c r="R1073" s="7" t="n">
        <f aca="false">(R1072*13+P1073)/14</f>
        <v>55.8446259824792</v>
      </c>
      <c r="S1073" s="7" t="n">
        <f aca="false">(S1072*13+Q1073)/14</f>
        <v>69.5482824575408</v>
      </c>
      <c r="T1073" s="7" t="n">
        <f aca="false">IF(S1073=0,100,100-100/(1+R1073/S1073))</f>
        <v>44.535713125429</v>
      </c>
      <c r="U1073" s="7" t="n">
        <f aca="false">E1073*2/13+U1072*11/13</f>
        <v>18139.3050604101</v>
      </c>
      <c r="V1073" s="7" t="n">
        <f aca="false">E1073*2/27+V1072*25/27</f>
        <v>18065.5064749733</v>
      </c>
      <c r="W1073" s="7" t="n">
        <f aca="false">U1073-V1073</f>
        <v>73.7985854367362</v>
      </c>
      <c r="X1073" s="7" t="n">
        <f aca="false">W1073*2/10+X1072*8/10</f>
        <v>118.324069305903</v>
      </c>
      <c r="Y1073" s="7" t="n">
        <f aca="false">W1073-X1073</f>
        <v>-44.5254838691667</v>
      </c>
      <c r="Z1073" s="8" t="s">
        <v>42</v>
      </c>
      <c r="AA1073" s="7" t="str">
        <f aca="false">IFERROR(INDEX(02_轉折點45!B:B,MATCH(A1073,02_轉折點45!A:A,0)),"")</f>
        <v/>
      </c>
      <c r="AB1073" s="7" t="n">
        <f aca="false">COUNTIFS(05_訊號明細!A:A,A1073,05_訊號明細!C:C,"TOP")</f>
        <v>0</v>
      </c>
      <c r="AC1073" s="7" t="n">
        <f aca="false">COUNTIFS(05_訊號明細!A:A,A1073,05_訊號明細!C:C,"BOTTOM")</f>
        <v>0</v>
      </c>
    </row>
    <row r="1074" customFormat="false" ht="15" hidden="false" customHeight="false" outlineLevel="0" collapsed="false">
      <c r="A1074" s="7" t="s">
        <v>1115</v>
      </c>
      <c r="B1074" s="7" t="n">
        <v>17940.28</v>
      </c>
      <c r="C1074" s="7" t="n">
        <v>18202.96</v>
      </c>
      <c r="D1074" s="7" t="n">
        <v>17912.86</v>
      </c>
      <c r="E1074" s="7" t="n">
        <v>18108.46</v>
      </c>
      <c r="F1074" s="7" t="n">
        <v>4578</v>
      </c>
      <c r="G1074" s="7" t="n">
        <f aca="false">AVERAGE(E1070:E1074)</f>
        <v>18112.482</v>
      </c>
      <c r="H1074" s="7" t="n">
        <f aca="false">AVERAGE(E1065:E1074)</f>
        <v>18192.498</v>
      </c>
      <c r="I1074" s="7" t="n">
        <f aca="false">AVERAGE(E1055:E1074)</f>
        <v>18129.173</v>
      </c>
      <c r="J1074" s="7" t="n">
        <f aca="false">AVERAGE(E1025:E1074)</f>
        <v>17915.2164</v>
      </c>
      <c r="K1074" s="7" t="n">
        <f aca="false">AVERAGE(E975:E1074)</f>
        <v>17163.4863</v>
      </c>
      <c r="L1074" s="7" t="n">
        <f aca="false">AVERAGE(E875:E1074)</f>
        <v>16126.54885</v>
      </c>
      <c r="M1074" s="7" t="n">
        <f aca="false">I1074</f>
        <v>18129.173</v>
      </c>
      <c r="N1074" s="7" t="n">
        <f aca="false">I1074+2*STDEV(E1055:E1074)</f>
        <v>18438.0472422411</v>
      </c>
      <c r="O1074" s="7" t="n">
        <f aca="false">I1074-2*STDEV(E1055:E1074)</f>
        <v>17820.2987577589</v>
      </c>
      <c r="P1074" s="7" t="n">
        <f aca="false">MAX(E1074-E1073,0)</f>
        <v>229.68</v>
      </c>
      <c r="Q1074" s="7" t="n">
        <f aca="false">MAX(E1073-E1074,0)</f>
        <v>0</v>
      </c>
      <c r="R1074" s="7" t="n">
        <f aca="false">(R1073*13+P1074)/14</f>
        <v>68.2614384123022</v>
      </c>
      <c r="S1074" s="7" t="n">
        <f aca="false">(S1073*13+Q1074)/14</f>
        <v>64.5805479962879</v>
      </c>
      <c r="T1074" s="7" t="n">
        <f aca="false">IF(S1074=0,100,100-100/(1+R1074/S1074))</f>
        <v>51.3854393913882</v>
      </c>
      <c r="U1074" s="7" t="n">
        <f aca="false">E1074*2/13+U1073*11/13</f>
        <v>18134.5596665008</v>
      </c>
      <c r="V1074" s="7" t="n">
        <f aca="false">E1074*2/27+V1073*25/27</f>
        <v>18068.6882175679</v>
      </c>
      <c r="W1074" s="7" t="n">
        <f aca="false">U1074-V1074</f>
        <v>65.8714489329286</v>
      </c>
      <c r="X1074" s="7" t="n">
        <f aca="false">W1074*2/10+X1073*8/10</f>
        <v>107.833545231308</v>
      </c>
      <c r="Y1074" s="7" t="n">
        <f aca="false">W1074-X1074</f>
        <v>-41.9620962983794</v>
      </c>
      <c r="Z1074" s="8" t="s">
        <v>42</v>
      </c>
      <c r="AA1074" s="7" t="str">
        <f aca="false">IFERROR(INDEX(02_轉折點45!B:B,MATCH(A1074,02_轉折點45!A:A,0)),"")</f>
        <v/>
      </c>
      <c r="AB1074" s="7" t="n">
        <f aca="false">COUNTIFS(05_訊號明細!A:A,A1074,05_訊號明細!C:C,"TOP")</f>
        <v>1</v>
      </c>
      <c r="AC1074" s="7" t="n">
        <f aca="false">COUNTIFS(05_訊號明細!A:A,A1074,05_訊號明細!C:C,"BOTTOM")</f>
        <v>0</v>
      </c>
    </row>
    <row r="1075" customFormat="false" ht="15" hidden="false" customHeight="false" outlineLevel="0" collapsed="false">
      <c r="A1075" s="7" t="s">
        <v>1116</v>
      </c>
      <c r="B1075" s="7" t="n">
        <v>18130.44</v>
      </c>
      <c r="C1075" s="7" t="n">
        <v>18178.66</v>
      </c>
      <c r="D1075" s="7" t="n">
        <v>18050.69</v>
      </c>
      <c r="E1075" s="7" t="n">
        <v>18100.19</v>
      </c>
      <c r="F1075" s="7" t="n">
        <v>4387</v>
      </c>
      <c r="G1075" s="7" t="n">
        <f aca="false">AVERAGE(E1071:E1075)</f>
        <v>18073.88</v>
      </c>
      <c r="H1075" s="7" t="n">
        <f aca="false">AVERAGE(E1066:E1075)</f>
        <v>18168.573</v>
      </c>
      <c r="I1075" s="7" t="n">
        <f aca="false">AVERAGE(E1056:E1075)</f>
        <v>18133.26</v>
      </c>
      <c r="J1075" s="7" t="n">
        <f aca="false">AVERAGE(E1026:E1075)</f>
        <v>17926.8804</v>
      </c>
      <c r="K1075" s="7" t="n">
        <f aca="false">AVERAGE(E976:E1075)</f>
        <v>17189.197</v>
      </c>
      <c r="L1075" s="7" t="n">
        <f aca="false">AVERAGE(E876:E1075)</f>
        <v>16142.71255</v>
      </c>
      <c r="M1075" s="7" t="n">
        <f aca="false">I1075</f>
        <v>18133.26</v>
      </c>
      <c r="N1075" s="7" t="n">
        <f aca="false">I1075+2*STDEV(E1056:E1075)</f>
        <v>18438.1023314298</v>
      </c>
      <c r="O1075" s="7" t="n">
        <f aca="false">I1075-2*STDEV(E1056:E1075)</f>
        <v>17828.4176685702</v>
      </c>
      <c r="P1075" s="7" t="n">
        <f aca="false">MAX(E1075-E1074,0)</f>
        <v>0</v>
      </c>
      <c r="Q1075" s="7" t="n">
        <f aca="false">MAX(E1074-E1075,0)</f>
        <v>8.27000000000044</v>
      </c>
      <c r="R1075" s="7" t="n">
        <f aca="false">(R1074*13+P1075)/14</f>
        <v>63.385621382852</v>
      </c>
      <c r="S1075" s="7" t="n">
        <f aca="false">(S1074*13+Q1075)/14</f>
        <v>60.5583659965531</v>
      </c>
      <c r="T1075" s="7" t="n">
        <f aca="false">IF(S1075=0,100,100-100/(1+R1075/S1075))</f>
        <v>51.1405375307333</v>
      </c>
      <c r="U1075" s="7" t="n">
        <f aca="false">E1075*2/13+U1074*11/13</f>
        <v>18129.2720255007</v>
      </c>
      <c r="V1075" s="7" t="n">
        <f aca="false">E1075*2/27+V1074*25/27</f>
        <v>18071.0216829332</v>
      </c>
      <c r="W1075" s="7" t="n">
        <f aca="false">U1075-V1075</f>
        <v>58.2503425674549</v>
      </c>
      <c r="X1075" s="7" t="n">
        <f aca="false">W1075*2/10+X1074*8/10</f>
        <v>97.9169046985374</v>
      </c>
      <c r="Y1075" s="7" t="n">
        <f aca="false">W1075-X1075</f>
        <v>-39.6665621310825</v>
      </c>
      <c r="Z1075" s="8" t="s">
        <v>42</v>
      </c>
      <c r="AA1075" s="7" t="str">
        <f aca="false">IFERROR(INDEX(02_轉折點45!B:B,MATCH(A1075,02_轉折點45!A:A,0)),"")</f>
        <v/>
      </c>
      <c r="AB1075" s="7" t="n">
        <f aca="false">COUNTIFS(05_訊號明細!A:A,A1075,05_訊號明細!C:C,"TOP")</f>
        <v>0</v>
      </c>
      <c r="AC1075" s="7" t="n">
        <f aca="false">COUNTIFS(05_訊號明細!A:A,A1075,05_訊號明細!C:C,"BOTTOM")</f>
        <v>0</v>
      </c>
    </row>
    <row r="1076" customFormat="false" ht="15" hidden="false" customHeight="false" outlineLevel="0" collapsed="false">
      <c r="A1076" s="7" t="s">
        <v>1117</v>
      </c>
      <c r="B1076" s="7" t="n">
        <v>18188.87</v>
      </c>
      <c r="C1076" s="7" t="n">
        <v>18210.02</v>
      </c>
      <c r="D1076" s="7" t="n">
        <v>17973.07</v>
      </c>
      <c r="E1076" s="7" t="n">
        <v>18169.9</v>
      </c>
      <c r="F1076" s="7" t="n">
        <v>4869</v>
      </c>
      <c r="G1076" s="7" t="n">
        <f aca="false">AVERAGE(E1072:E1076)</f>
        <v>18083.504</v>
      </c>
      <c r="H1076" s="7" t="n">
        <f aca="false">AVERAGE(E1067:E1076)</f>
        <v>18157.857</v>
      </c>
      <c r="I1076" s="7" t="n">
        <f aca="false">AVERAGE(E1057:E1076)</f>
        <v>18144.1705</v>
      </c>
      <c r="J1076" s="7" t="n">
        <f aca="false">AVERAGE(E1027:E1076)</f>
        <v>17941.8582</v>
      </c>
      <c r="K1076" s="7" t="n">
        <f aca="false">AVERAGE(E977:E1076)</f>
        <v>17216.0681</v>
      </c>
      <c r="L1076" s="7" t="n">
        <f aca="false">AVERAGE(E877:E1076)</f>
        <v>16158.35045</v>
      </c>
      <c r="M1076" s="7" t="n">
        <f aca="false">I1076</f>
        <v>18144.1705</v>
      </c>
      <c r="N1076" s="7" t="n">
        <f aca="false">I1076+2*STDEV(E1057:E1076)</f>
        <v>18437.0351419495</v>
      </c>
      <c r="O1076" s="7" t="n">
        <f aca="false">I1076-2*STDEV(E1057:E1076)</f>
        <v>17851.3058580505</v>
      </c>
      <c r="P1076" s="7" t="n">
        <f aca="false">MAX(E1076-E1075,0)</f>
        <v>69.7100000000028</v>
      </c>
      <c r="Q1076" s="7" t="n">
        <f aca="false">MAX(E1075-E1076,0)</f>
        <v>0</v>
      </c>
      <c r="R1076" s="7" t="n">
        <f aca="false">(R1075*13+P1076)/14</f>
        <v>63.8373627126485</v>
      </c>
      <c r="S1076" s="7" t="n">
        <f aca="false">(S1075*13+Q1076)/14</f>
        <v>56.2327684253707</v>
      </c>
      <c r="T1076" s="7" t="n">
        <f aca="false">IF(S1076=0,100,100-100/(1+R1076/S1076))</f>
        <v>53.1667302330737</v>
      </c>
      <c r="U1076" s="7" t="n">
        <f aca="false">E1076*2/13+U1075*11/13</f>
        <v>18135.522483116</v>
      </c>
      <c r="V1076" s="7" t="n">
        <f aca="false">E1076*2/27+V1075*25/27</f>
        <v>18078.346002716</v>
      </c>
      <c r="W1076" s="7" t="n">
        <f aca="false">U1076-V1076</f>
        <v>57.176480400005</v>
      </c>
      <c r="X1076" s="7" t="n">
        <f aca="false">W1076*2/10+X1075*8/10</f>
        <v>89.7688198388309</v>
      </c>
      <c r="Y1076" s="7" t="n">
        <f aca="false">W1076-X1076</f>
        <v>-32.592339438826</v>
      </c>
      <c r="Z1076" s="8" t="s">
        <v>42</v>
      </c>
      <c r="AA1076" s="7" t="str">
        <f aca="false">IFERROR(INDEX(02_轉折點45!B:B,MATCH(A1076,02_轉折點45!A:A,0)),"")</f>
        <v/>
      </c>
      <c r="AB1076" s="7" t="n">
        <f aca="false">COUNTIFS(05_訊號明細!A:A,A1076,05_訊號明細!C:C,"TOP")</f>
        <v>0</v>
      </c>
      <c r="AC1076" s="7" t="n">
        <f aca="false">COUNTIFS(05_訊號明細!A:A,A1076,05_訊號明細!C:C,"BOTTOM")</f>
        <v>0</v>
      </c>
    </row>
    <row r="1077" customFormat="false" ht="15" hidden="false" customHeight="false" outlineLevel="0" collapsed="false">
      <c r="A1077" s="7" t="s">
        <v>1118</v>
      </c>
      <c r="B1077" s="7" t="n">
        <v>17957.96</v>
      </c>
      <c r="C1077" s="7" t="n">
        <v>18040.83</v>
      </c>
      <c r="D1077" s="7" t="n">
        <v>17932.42</v>
      </c>
      <c r="E1077" s="7" t="n">
        <v>18011.66</v>
      </c>
      <c r="F1077" s="7" t="n">
        <v>5308</v>
      </c>
      <c r="G1077" s="7" t="n">
        <f aca="false">AVERAGE(E1073:E1077)</f>
        <v>18053.798</v>
      </c>
      <c r="H1077" s="7" t="n">
        <f aca="false">AVERAGE(E1068:E1077)</f>
        <v>18137.969</v>
      </c>
      <c r="I1077" s="7" t="n">
        <f aca="false">AVERAGE(E1058:E1077)</f>
        <v>18133.798</v>
      </c>
      <c r="J1077" s="7" t="n">
        <f aca="false">AVERAGE(E1028:E1077)</f>
        <v>17950.166</v>
      </c>
      <c r="K1077" s="7" t="n">
        <f aca="false">AVERAGE(E978:E1077)</f>
        <v>17238.06</v>
      </c>
      <c r="L1077" s="7" t="n">
        <f aca="false">AVERAGE(E878:E1077)</f>
        <v>16173.95135</v>
      </c>
      <c r="M1077" s="7" t="n">
        <f aca="false">I1077</f>
        <v>18133.798</v>
      </c>
      <c r="N1077" s="7" t="n">
        <f aca="false">I1077+2*STDEV(E1058:E1077)</f>
        <v>18430.1610052628</v>
      </c>
      <c r="O1077" s="7" t="n">
        <f aca="false">I1077-2*STDEV(E1058:E1077)</f>
        <v>17837.4349947372</v>
      </c>
      <c r="P1077" s="7" t="n">
        <f aca="false">MAX(E1077-E1076,0)</f>
        <v>0</v>
      </c>
      <c r="Q1077" s="7" t="n">
        <f aca="false">MAX(E1076-E1077,0)</f>
        <v>158.240000000002</v>
      </c>
      <c r="R1077" s="7" t="n">
        <f aca="false">(R1076*13+P1077)/14</f>
        <v>59.2775510903164</v>
      </c>
      <c r="S1077" s="7" t="n">
        <f aca="false">(S1076*13+Q1077)/14</f>
        <v>63.5189992521301</v>
      </c>
      <c r="T1077" s="7" t="n">
        <f aca="false">IF(S1077=0,100,100-100/(1+R1077/S1077))</f>
        <v>48.2729774777934</v>
      </c>
      <c r="U1077" s="7" t="n">
        <f aca="false">E1077*2/13+U1076*11/13</f>
        <v>18116.4667164827</v>
      </c>
      <c r="V1077" s="7" t="n">
        <f aca="false">E1077*2/27+V1076*25/27</f>
        <v>18073.4062988111</v>
      </c>
      <c r="W1077" s="7" t="n">
        <f aca="false">U1077-V1077</f>
        <v>43.0604176716661</v>
      </c>
      <c r="X1077" s="7" t="n">
        <f aca="false">W1077*2/10+X1076*8/10</f>
        <v>80.427139405398</v>
      </c>
      <c r="Y1077" s="7" t="n">
        <f aca="false">W1077-X1077</f>
        <v>-37.3667217337319</v>
      </c>
      <c r="Z1077" s="8" t="s">
        <v>42</v>
      </c>
      <c r="AA1077" s="7" t="str">
        <f aca="false">IFERROR(INDEX(02_轉折點45!B:B,MATCH(A1077,02_轉折點45!A:A,0)),"")</f>
        <v/>
      </c>
      <c r="AB1077" s="7" t="n">
        <f aca="false">COUNTIFS(05_訊號明細!A:A,A1077,05_訊號明細!C:C,"TOP")</f>
        <v>0</v>
      </c>
      <c r="AC1077" s="7" t="n">
        <f aca="false">COUNTIFS(05_訊號明細!A:A,A1077,05_訊號明細!C:C,"BOTTOM")</f>
        <v>0</v>
      </c>
    </row>
    <row r="1078" customFormat="false" ht="15" hidden="false" customHeight="false" outlineLevel="0" collapsed="false">
      <c r="A1078" s="7" t="s">
        <v>1119</v>
      </c>
      <c r="B1078" s="7" t="n">
        <v>18085.11</v>
      </c>
      <c r="C1078" s="7" t="n">
        <v>18337.15</v>
      </c>
      <c r="D1078" s="7" t="n">
        <v>17998.25</v>
      </c>
      <c r="E1078" s="7" t="n">
        <v>18307.98</v>
      </c>
      <c r="F1078" s="7" t="n">
        <v>4715</v>
      </c>
      <c r="G1078" s="7" t="n">
        <f aca="false">AVERAGE(E1074:E1078)</f>
        <v>18139.638</v>
      </c>
      <c r="H1078" s="7" t="n">
        <f aca="false">AVERAGE(E1069:E1078)</f>
        <v>18140.683</v>
      </c>
      <c r="I1078" s="7" t="n">
        <f aca="false">AVERAGE(E1059:E1078)</f>
        <v>18145.7735</v>
      </c>
      <c r="J1078" s="7" t="n">
        <f aca="false">AVERAGE(E1029:E1078)</f>
        <v>17966.7914</v>
      </c>
      <c r="K1078" s="7" t="n">
        <f aca="false">AVERAGE(E979:E1078)</f>
        <v>17262.968</v>
      </c>
      <c r="L1078" s="7" t="n">
        <f aca="false">AVERAGE(E879:E1078)</f>
        <v>16192.04615</v>
      </c>
      <c r="M1078" s="7" t="n">
        <f aca="false">I1078</f>
        <v>18145.7735</v>
      </c>
      <c r="N1078" s="7" t="n">
        <f aca="false">I1078+2*STDEV(E1059:E1078)</f>
        <v>18450.2664404609</v>
      </c>
      <c r="O1078" s="7" t="n">
        <f aca="false">I1078-2*STDEV(E1059:E1078)</f>
        <v>17841.2805595391</v>
      </c>
      <c r="P1078" s="7" t="n">
        <f aca="false">MAX(E1078-E1077,0)</f>
        <v>296.32</v>
      </c>
      <c r="Q1078" s="7" t="n">
        <f aca="false">MAX(E1077-E1078,0)</f>
        <v>0</v>
      </c>
      <c r="R1078" s="7" t="n">
        <f aca="false">(R1077*13+P1078)/14</f>
        <v>76.2091545838653</v>
      </c>
      <c r="S1078" s="7" t="n">
        <f aca="false">(S1077*13+Q1078)/14</f>
        <v>58.9819278769779</v>
      </c>
      <c r="T1078" s="7" t="n">
        <f aca="false">IF(S1078=0,100,100-100/(1+R1078/S1078))</f>
        <v>56.3714360419731</v>
      </c>
      <c r="U1078" s="7" t="n">
        <f aca="false">E1078*2/13+U1077*11/13</f>
        <v>18145.9302985623</v>
      </c>
      <c r="V1078" s="7" t="n">
        <f aca="false">E1078*2/27+V1077*25/27</f>
        <v>18090.7821285288</v>
      </c>
      <c r="W1078" s="7" t="n">
        <f aca="false">U1078-V1078</f>
        <v>55.1481700335462</v>
      </c>
      <c r="X1078" s="7" t="n">
        <f aca="false">W1078*2/10+X1077*8/10</f>
        <v>75.3713455310276</v>
      </c>
      <c r="Y1078" s="7" t="n">
        <f aca="false">W1078-X1078</f>
        <v>-20.2231754974814</v>
      </c>
      <c r="Z1078" s="8" t="s">
        <v>42</v>
      </c>
      <c r="AA1078" s="7" t="str">
        <f aca="false">IFERROR(INDEX(02_轉折點45!B:B,MATCH(A1078,02_轉折點45!A:A,0)),"")</f>
        <v/>
      </c>
      <c r="AB1078" s="7" t="n">
        <f aca="false">COUNTIFS(05_訊號明細!A:A,A1078,05_訊號明細!C:C,"TOP")</f>
        <v>0</v>
      </c>
      <c r="AC1078" s="7" t="n">
        <f aca="false">COUNTIFS(05_訊號明細!A:A,A1078,05_訊號明細!C:C,"BOTTOM")</f>
        <v>0</v>
      </c>
    </row>
    <row r="1079" customFormat="false" ht="15" hidden="false" customHeight="false" outlineLevel="0" collapsed="false">
      <c r="A1079" s="7" t="s">
        <v>1120</v>
      </c>
      <c r="B1079" s="7" t="n">
        <v>18117.67</v>
      </c>
      <c r="C1079" s="7" t="n">
        <v>18166.49</v>
      </c>
      <c r="D1079" s="7" t="n">
        <v>17952.09</v>
      </c>
      <c r="E1079" s="7" t="n">
        <v>18003.49</v>
      </c>
      <c r="F1079" s="7" t="n">
        <v>4553</v>
      </c>
      <c r="G1079" s="7" t="n">
        <f aca="false">AVERAGE(E1075:E1079)</f>
        <v>18118.644</v>
      </c>
      <c r="H1079" s="7" t="n">
        <f aca="false">AVERAGE(E1070:E1079)</f>
        <v>18115.563</v>
      </c>
      <c r="I1079" s="7" t="n">
        <f aca="false">AVERAGE(E1060:E1079)</f>
        <v>18145.2075</v>
      </c>
      <c r="J1079" s="7" t="n">
        <f aca="false">AVERAGE(E1030:E1079)</f>
        <v>17984.1164</v>
      </c>
      <c r="K1079" s="7" t="n">
        <f aca="false">AVERAGE(E980:E1079)</f>
        <v>17284.6712</v>
      </c>
      <c r="L1079" s="7" t="n">
        <f aca="false">AVERAGE(E880:E1079)</f>
        <v>16207.33405</v>
      </c>
      <c r="M1079" s="7" t="n">
        <f aca="false">I1079</f>
        <v>18145.2075</v>
      </c>
      <c r="N1079" s="7" t="n">
        <f aca="false">I1079+2*STDEV(E1060:E1079)</f>
        <v>18450.7656657695</v>
      </c>
      <c r="O1079" s="7" t="n">
        <f aca="false">I1079-2*STDEV(E1060:E1079)</f>
        <v>17839.6493342305</v>
      </c>
      <c r="P1079" s="7" t="n">
        <f aca="false">MAX(E1079-E1078,0)</f>
        <v>0</v>
      </c>
      <c r="Q1079" s="7" t="n">
        <f aca="false">MAX(E1078-E1079,0)</f>
        <v>304.489999999998</v>
      </c>
      <c r="R1079" s="7" t="n">
        <f aca="false">(R1078*13+P1079)/14</f>
        <v>70.7656435421606</v>
      </c>
      <c r="S1079" s="7" t="n">
        <f aca="false">(S1078*13+Q1079)/14</f>
        <v>76.5182187429079</v>
      </c>
      <c r="T1079" s="7" t="n">
        <f aca="false">IF(S1079=0,100,100-100/(1+R1079/S1079))</f>
        <v>48.0471128637253</v>
      </c>
      <c r="U1079" s="7" t="n">
        <f aca="false">E1079*2/13+U1078*11/13</f>
        <v>18124.0164064758</v>
      </c>
      <c r="V1079" s="7" t="n">
        <f aca="false">E1079*2/27+V1078*25/27</f>
        <v>18084.3160449341</v>
      </c>
      <c r="W1079" s="7" t="n">
        <f aca="false">U1079-V1079</f>
        <v>39.7003615417561</v>
      </c>
      <c r="X1079" s="7" t="n">
        <f aca="false">W1079*2/10+X1078*8/10</f>
        <v>68.2371487331733</v>
      </c>
      <c r="Y1079" s="7" t="n">
        <f aca="false">W1079-X1079</f>
        <v>-28.5367871914172</v>
      </c>
      <c r="Z1079" s="8" t="s">
        <v>42</v>
      </c>
      <c r="AA1079" s="7" t="str">
        <f aca="false">IFERROR(INDEX(02_轉折點45!B:B,MATCH(A1079,02_轉折點45!A:A,0)),"")</f>
        <v/>
      </c>
      <c r="AB1079" s="7" t="n">
        <f aca="false">COUNTIFS(05_訊號明細!A:A,A1079,05_訊號明細!C:C,"TOP")</f>
        <v>1</v>
      </c>
      <c r="AC1079" s="7" t="n">
        <f aca="false">COUNTIFS(05_訊號明細!A:A,A1079,05_訊號明細!C:C,"BOTTOM")</f>
        <v>0</v>
      </c>
    </row>
    <row r="1080" customFormat="false" ht="15" hidden="false" customHeight="false" outlineLevel="0" collapsed="false">
      <c r="A1080" s="7" t="s">
        <v>1121</v>
      </c>
      <c r="B1080" s="7" t="n">
        <v>18143.25</v>
      </c>
      <c r="C1080" s="7" t="n">
        <v>18152.08</v>
      </c>
      <c r="D1080" s="7" t="n">
        <v>17676.35</v>
      </c>
      <c r="E1080" s="7" t="n">
        <v>17706.83</v>
      </c>
      <c r="F1080" s="7" t="n">
        <v>4911</v>
      </c>
      <c r="G1080" s="7" t="n">
        <f aca="false">AVERAGE(E1076:E1080)</f>
        <v>18039.972</v>
      </c>
      <c r="H1080" s="7" t="n">
        <f aca="false">AVERAGE(E1071:E1080)</f>
        <v>18056.926</v>
      </c>
      <c r="I1080" s="7" t="n">
        <f aca="false">AVERAGE(E1061:E1080)</f>
        <v>18140.1365</v>
      </c>
      <c r="J1080" s="7" t="n">
        <f aca="false">AVERAGE(E1031:E1080)</f>
        <v>17991.3588</v>
      </c>
      <c r="K1080" s="7" t="n">
        <f aca="false">AVERAGE(E981:E1080)</f>
        <v>17303.3596</v>
      </c>
      <c r="L1080" s="7" t="n">
        <f aca="false">AVERAGE(E881:E1080)</f>
        <v>16221.04535</v>
      </c>
      <c r="M1080" s="7" t="n">
        <f aca="false">I1080</f>
        <v>18140.1365</v>
      </c>
      <c r="N1080" s="7" t="n">
        <f aca="false">I1080+2*STDEV(E1061:E1080)</f>
        <v>18471.5156563674</v>
      </c>
      <c r="O1080" s="7" t="n">
        <f aca="false">I1080-2*STDEV(E1061:E1080)</f>
        <v>17808.7573436327</v>
      </c>
      <c r="P1080" s="7" t="n">
        <f aca="false">MAX(E1080-E1079,0)</f>
        <v>0</v>
      </c>
      <c r="Q1080" s="7" t="n">
        <f aca="false">MAX(E1079-E1080,0)</f>
        <v>296.66</v>
      </c>
      <c r="R1080" s="7" t="n">
        <f aca="false">(R1079*13+P1080)/14</f>
        <v>65.7109547177206</v>
      </c>
      <c r="S1080" s="7" t="n">
        <f aca="false">(S1079*13+Q1080)/14</f>
        <v>92.2426316898431</v>
      </c>
      <c r="T1080" s="7" t="n">
        <f aca="false">IF(S1080=0,100,100-100/(1+R1080/S1080))</f>
        <v>41.6014325551104</v>
      </c>
      <c r="U1080" s="7" t="n">
        <f aca="false">E1080*2/13+U1079*11/13</f>
        <v>18059.8338824026</v>
      </c>
      <c r="V1080" s="7" t="n">
        <f aca="false">E1080*2/27+V1079*25/27</f>
        <v>18056.3541156797</v>
      </c>
      <c r="W1080" s="7" t="n">
        <f aca="false">U1080-V1080</f>
        <v>3.47976672293225</v>
      </c>
      <c r="X1080" s="7" t="n">
        <f aca="false">W1080*2/10+X1079*8/10</f>
        <v>55.2856723311251</v>
      </c>
      <c r="Y1080" s="7" t="n">
        <f aca="false">W1080-X1080</f>
        <v>-51.8059056081928</v>
      </c>
      <c r="Z1080" s="8" t="s">
        <v>42</v>
      </c>
      <c r="AA1080" s="7" t="str">
        <f aca="false">IFERROR(INDEX(02_轉折點45!B:B,MATCH(A1080,02_轉折點45!A:A,0)),"")</f>
        <v/>
      </c>
      <c r="AB1080" s="7" t="n">
        <f aca="false">COUNTIFS(05_訊號明細!A:A,A1080,05_訊號明細!C:C,"TOP")</f>
        <v>3</v>
      </c>
      <c r="AC1080" s="7" t="n">
        <f aca="false">COUNTIFS(05_訊號明細!A:A,A1080,05_訊號明細!C:C,"BOTTOM")</f>
        <v>0</v>
      </c>
    </row>
    <row r="1081" customFormat="false" ht="15" hidden="false" customHeight="false" outlineLevel="0" collapsed="false">
      <c r="A1081" s="7" t="s">
        <v>1122</v>
      </c>
      <c r="B1081" s="7" t="n">
        <v>17691.45</v>
      </c>
      <c r="C1081" s="7" t="n">
        <v>17817.73</v>
      </c>
      <c r="D1081" s="7" t="n">
        <v>17660.89</v>
      </c>
      <c r="E1081" s="7" t="n">
        <v>17713.66</v>
      </c>
      <c r="F1081" s="7" t="n">
        <v>5002</v>
      </c>
      <c r="G1081" s="7" t="n">
        <f aca="false">AVERAGE(E1077:E1081)</f>
        <v>17948.724</v>
      </c>
      <c r="H1081" s="7" t="n">
        <f aca="false">AVERAGE(E1072:E1081)</f>
        <v>18016.114</v>
      </c>
      <c r="I1081" s="7" t="n">
        <f aca="false">AVERAGE(E1062:E1081)</f>
        <v>18126.569</v>
      </c>
      <c r="J1081" s="7" t="n">
        <f aca="false">AVERAGE(E1032:E1081)</f>
        <v>17992.7774</v>
      </c>
      <c r="K1081" s="7" t="n">
        <f aca="false">AVERAGE(E982:E1081)</f>
        <v>17320.2256</v>
      </c>
      <c r="L1081" s="7" t="n">
        <f aca="false">AVERAGE(E882:E1081)</f>
        <v>16234.9139</v>
      </c>
      <c r="M1081" s="7" t="n">
        <f aca="false">I1081</f>
        <v>18126.569</v>
      </c>
      <c r="N1081" s="7" t="n">
        <f aca="false">I1081+2*STDEV(E1062:E1081)</f>
        <v>18503.745246107</v>
      </c>
      <c r="O1081" s="7" t="n">
        <f aca="false">I1081-2*STDEV(E1062:E1081)</f>
        <v>17749.392753893</v>
      </c>
      <c r="P1081" s="7" t="n">
        <f aca="false">MAX(E1081-E1080,0)</f>
        <v>6.82999999999811</v>
      </c>
      <c r="Q1081" s="7" t="n">
        <f aca="false">MAX(E1080-E1081,0)</f>
        <v>0</v>
      </c>
      <c r="R1081" s="7" t="n">
        <f aca="false">(R1080*13+P1081)/14</f>
        <v>61.5051722378832</v>
      </c>
      <c r="S1081" s="7" t="n">
        <f aca="false">(S1080*13+Q1081)/14</f>
        <v>85.6538722834257</v>
      </c>
      <c r="T1081" s="7" t="n">
        <f aca="false">IF(S1081=0,100,100-100/(1+R1081/S1081))</f>
        <v>41.7950336915766</v>
      </c>
      <c r="U1081" s="7" t="n">
        <f aca="false">E1081*2/13+U1080*11/13</f>
        <v>18006.576362033</v>
      </c>
      <c r="V1081" s="7" t="n">
        <f aca="false">E1081*2/27+V1080*25/27</f>
        <v>18030.9693663701</v>
      </c>
      <c r="W1081" s="7" t="n">
        <f aca="false">U1081-V1081</f>
        <v>-24.3930043370965</v>
      </c>
      <c r="X1081" s="7" t="n">
        <f aca="false">W1081*2/10+X1080*8/10</f>
        <v>39.3499369974808</v>
      </c>
      <c r="Y1081" s="7" t="n">
        <f aca="false">W1081-X1081</f>
        <v>-63.7429413345773</v>
      </c>
      <c r="Z1081" s="8" t="s">
        <v>42</v>
      </c>
      <c r="AA1081" s="7" t="str">
        <f aca="false">IFERROR(INDEX(02_轉折點45!B:B,MATCH(A1081,02_轉折點45!A:A,0)),"")</f>
        <v/>
      </c>
      <c r="AB1081" s="7" t="n">
        <f aca="false">COUNTIFS(05_訊號明細!A:A,A1081,05_訊號明細!C:C,"TOP")</f>
        <v>0</v>
      </c>
      <c r="AC1081" s="7" t="n">
        <f aca="false">COUNTIFS(05_訊號明細!A:A,A1081,05_訊號明細!C:C,"BOTTOM")</f>
        <v>0</v>
      </c>
    </row>
    <row r="1082" customFormat="false" ht="15" hidden="false" customHeight="false" outlineLevel="0" collapsed="false">
      <c r="A1082" s="7" t="s">
        <v>1123</v>
      </c>
      <c r="B1082" s="7" t="n">
        <v>17785.82</v>
      </c>
      <c r="C1082" s="7" t="n">
        <v>17788.54</v>
      </c>
      <c r="D1082" s="7" t="n">
        <v>17459.57</v>
      </c>
      <c r="E1082" s="7" t="n">
        <v>17493.62</v>
      </c>
      <c r="F1082" s="7" t="n">
        <v>4991</v>
      </c>
      <c r="G1082" s="7" t="n">
        <f aca="false">AVERAGE(E1078:E1082)</f>
        <v>17845.116</v>
      </c>
      <c r="H1082" s="7" t="n">
        <f aca="false">AVERAGE(E1073:E1082)</f>
        <v>17949.457</v>
      </c>
      <c r="I1082" s="7" t="n">
        <f aca="false">AVERAGE(E1063:E1082)</f>
        <v>18099.64</v>
      </c>
      <c r="J1082" s="7" t="n">
        <f aca="false">AVERAGE(E1033:E1082)</f>
        <v>17990.389</v>
      </c>
      <c r="K1082" s="7" t="n">
        <f aca="false">AVERAGE(E983:E1082)</f>
        <v>17335.8256</v>
      </c>
      <c r="L1082" s="7" t="n">
        <f aca="false">AVERAGE(E883:E1082)</f>
        <v>16246.48595</v>
      </c>
      <c r="M1082" s="7" t="n">
        <f aca="false">I1082</f>
        <v>18099.64</v>
      </c>
      <c r="N1082" s="7" t="n">
        <f aca="false">I1082+2*STDEV(E1063:E1082)</f>
        <v>18570.4645020231</v>
      </c>
      <c r="O1082" s="7" t="n">
        <f aca="false">I1082-2*STDEV(E1063:E1082)</f>
        <v>17628.8154979769</v>
      </c>
      <c r="P1082" s="7" t="n">
        <f aca="false">MAX(E1082-E1081,0)</f>
        <v>0</v>
      </c>
      <c r="Q1082" s="7" t="n">
        <f aca="false">MAX(E1081-E1082,0)</f>
        <v>220.040000000001</v>
      </c>
      <c r="R1082" s="7" t="n">
        <f aca="false">(R1081*13+P1082)/14</f>
        <v>57.111945649463</v>
      </c>
      <c r="S1082" s="7" t="n">
        <f aca="false">(S1081*13+Q1082)/14</f>
        <v>95.2528814060382</v>
      </c>
      <c r="T1082" s="7" t="n">
        <f aca="false">IF(S1082=0,100,100-100/(1+R1082/S1082))</f>
        <v>37.4836809473482</v>
      </c>
      <c r="U1082" s="7" t="n">
        <f aca="false">E1082*2/13+U1081*11/13</f>
        <v>17927.6599986433</v>
      </c>
      <c r="V1082" s="7" t="n">
        <f aca="false">E1082*2/27+V1081*25/27</f>
        <v>17991.1657096019</v>
      </c>
      <c r="W1082" s="7" t="n">
        <f aca="false">U1082-V1082</f>
        <v>-63.5057109586305</v>
      </c>
      <c r="X1082" s="7" t="n">
        <f aca="false">W1082*2/10+X1081*8/10</f>
        <v>18.7788074062585</v>
      </c>
      <c r="Y1082" s="7" t="n">
        <f aca="false">W1082-X1082</f>
        <v>-82.284518364889</v>
      </c>
      <c r="Z1082" s="8" t="s">
        <v>42</v>
      </c>
      <c r="AA1082" s="7" t="str">
        <f aca="false">IFERROR(INDEX(02_轉折點45!B:B,MATCH(A1082,02_轉折點45!A:A,0)),"")</f>
        <v/>
      </c>
      <c r="AB1082" s="7" t="n">
        <f aca="false">COUNTIFS(05_訊號明細!A:A,A1082,05_訊號明細!C:C,"TOP")</f>
        <v>2</v>
      </c>
      <c r="AC1082" s="7" t="n">
        <f aca="false">COUNTIFS(05_訊號明細!A:A,A1082,05_訊號明細!C:C,"BOTTOM")</f>
        <v>0</v>
      </c>
    </row>
    <row r="1083" customFormat="false" ht="15" hidden="false" customHeight="false" outlineLevel="0" collapsed="false">
      <c r="A1083" s="7" t="s">
        <v>1124</v>
      </c>
      <c r="B1083" s="7" t="n">
        <v>17514.77</v>
      </c>
      <c r="C1083" s="7" t="n">
        <v>17590.81</v>
      </c>
      <c r="D1083" s="7" t="n">
        <v>17376.49</v>
      </c>
      <c r="E1083" s="7" t="n">
        <v>17394.31</v>
      </c>
      <c r="F1083" s="7" t="n">
        <v>4933</v>
      </c>
      <c r="G1083" s="7" t="n">
        <f aca="false">AVERAGE(E1079:E1083)</f>
        <v>17662.382</v>
      </c>
      <c r="H1083" s="7" t="n">
        <f aca="false">AVERAGE(E1074:E1083)</f>
        <v>17901.01</v>
      </c>
      <c r="I1083" s="7" t="n">
        <f aca="false">AVERAGE(E1064:E1083)</f>
        <v>18057.35</v>
      </c>
      <c r="J1083" s="7" t="n">
        <f aca="false">AVERAGE(E1034:E1083)</f>
        <v>17986.8206</v>
      </c>
      <c r="K1083" s="7" t="n">
        <f aca="false">AVERAGE(E984:E1083)</f>
        <v>17349.7548</v>
      </c>
      <c r="L1083" s="7" t="n">
        <f aca="false">AVERAGE(E884:E1083)</f>
        <v>16257.41405</v>
      </c>
      <c r="M1083" s="7" t="n">
        <f aca="false">I1083</f>
        <v>18057.35</v>
      </c>
      <c r="N1083" s="7" t="n">
        <f aca="false">I1083+2*STDEV(E1064:E1083)</f>
        <v>18618.3546132843</v>
      </c>
      <c r="O1083" s="7" t="n">
        <f aca="false">I1083-2*STDEV(E1064:E1083)</f>
        <v>17496.3453867157</v>
      </c>
      <c r="P1083" s="7" t="n">
        <f aca="false">MAX(E1083-E1082,0)</f>
        <v>0</v>
      </c>
      <c r="Q1083" s="7" t="n">
        <f aca="false">MAX(E1082-E1083,0)</f>
        <v>99.3099999999977</v>
      </c>
      <c r="R1083" s="7" t="n">
        <f aca="false">(R1082*13+P1083)/14</f>
        <v>53.0325209602157</v>
      </c>
      <c r="S1083" s="7" t="n">
        <f aca="false">(S1082*13+Q1083)/14</f>
        <v>95.542675591321</v>
      </c>
      <c r="T1083" s="7" t="n">
        <f aca="false">IF(S1083=0,100,100-100/(1+R1083/S1083))</f>
        <v>35.6940607793981</v>
      </c>
      <c r="U1083" s="7" t="n">
        <f aca="false">E1083*2/13+U1082*11/13</f>
        <v>17845.6061526982</v>
      </c>
      <c r="V1083" s="7" t="n">
        <f aca="false">E1083*2/27+V1082*25/27</f>
        <v>17946.9541755573</v>
      </c>
      <c r="W1083" s="7" t="n">
        <f aca="false">U1083-V1083</f>
        <v>-101.348022859165</v>
      </c>
      <c r="X1083" s="7" t="n">
        <f aca="false">W1083*2/10+X1082*8/10</f>
        <v>-5.24655864682623</v>
      </c>
      <c r="Y1083" s="7" t="n">
        <f aca="false">W1083-X1083</f>
        <v>-96.101464212339</v>
      </c>
      <c r="Z1083" s="8" t="s">
        <v>42</v>
      </c>
      <c r="AA1083" s="7" t="str">
        <f aca="false">IFERROR(INDEX(02_轉折點45!B:B,MATCH(A1083,02_轉折點45!A:A,0)),"")</f>
        <v/>
      </c>
      <c r="AB1083" s="7" t="n">
        <f aca="false">COUNTIFS(05_訊號明細!A:A,A1083,05_訊號明細!C:C,"TOP")</f>
        <v>0</v>
      </c>
      <c r="AC1083" s="7" t="n">
        <f aca="false">COUNTIFS(05_訊號明細!A:A,A1083,05_訊號明細!C:C,"BOTTOM")</f>
        <v>0</v>
      </c>
    </row>
    <row r="1084" customFormat="false" ht="15" hidden="false" customHeight="false" outlineLevel="0" collapsed="false">
      <c r="A1084" s="7" t="s">
        <v>1125</v>
      </c>
      <c r="B1084" s="7" t="n">
        <v>17334.71</v>
      </c>
      <c r="C1084" s="7" t="n">
        <v>17362.28</v>
      </c>
      <c r="D1084" s="7" t="n">
        <v>16973.94</v>
      </c>
      <c r="E1084" s="7" t="n">
        <v>17037.65</v>
      </c>
      <c r="F1084" s="7" t="n">
        <v>5316</v>
      </c>
      <c r="G1084" s="7" t="n">
        <f aca="false">AVERAGE(E1080:E1084)</f>
        <v>17469.214</v>
      </c>
      <c r="H1084" s="7" t="n">
        <f aca="false">AVERAGE(E1075:E1084)</f>
        <v>17793.929</v>
      </c>
      <c r="I1084" s="7" t="n">
        <f aca="false">AVERAGE(E1065:E1084)</f>
        <v>17993.2135</v>
      </c>
      <c r="J1084" s="7" t="n">
        <f aca="false">AVERAGE(E1035:E1084)</f>
        <v>17972.4722</v>
      </c>
      <c r="K1084" s="7" t="n">
        <f aca="false">AVERAGE(E985:E1084)</f>
        <v>17360.3112</v>
      </c>
      <c r="L1084" s="7" t="n">
        <f aca="false">AVERAGE(E885:E1084)</f>
        <v>16266.5834</v>
      </c>
      <c r="M1084" s="7" t="n">
        <f aca="false">I1084</f>
        <v>17993.2135</v>
      </c>
      <c r="N1084" s="7" t="n">
        <f aca="false">I1084+2*STDEV(E1065:E1084)</f>
        <v>18701.5522285243</v>
      </c>
      <c r="O1084" s="7" t="n">
        <f aca="false">I1084-2*STDEV(E1065:E1084)</f>
        <v>17284.8747714757</v>
      </c>
      <c r="P1084" s="7" t="n">
        <f aca="false">MAX(E1084-E1083,0)</f>
        <v>0</v>
      </c>
      <c r="Q1084" s="7" t="n">
        <f aca="false">MAX(E1083-E1084,0)</f>
        <v>356.66</v>
      </c>
      <c r="R1084" s="7" t="n">
        <f aca="false">(R1083*13+P1084)/14</f>
        <v>49.2444837487717</v>
      </c>
      <c r="S1084" s="7" t="n">
        <f aca="false">(S1083*13+Q1084)/14</f>
        <v>114.193913049084</v>
      </c>
      <c r="T1084" s="7" t="n">
        <f aca="false">IF(S1084=0,100,100-100/(1+R1084/S1084))</f>
        <v>30.1303027401073</v>
      </c>
      <c r="U1084" s="7" t="n">
        <f aca="false">E1084*2/13+U1083*11/13</f>
        <v>17721.3052061292</v>
      </c>
      <c r="V1084" s="7" t="n">
        <f aca="false">E1084*2/27+V1083*25/27</f>
        <v>17879.5983107012</v>
      </c>
      <c r="W1084" s="7" t="n">
        <f aca="false">U1084-V1084</f>
        <v>-158.293104572014</v>
      </c>
      <c r="X1084" s="7" t="n">
        <f aca="false">W1084*2/10+X1083*8/10</f>
        <v>-35.8558678318638</v>
      </c>
      <c r="Y1084" s="7" t="n">
        <f aca="false">W1084-X1084</f>
        <v>-122.43723674015</v>
      </c>
      <c r="Z1084" s="8" t="s">
        <v>42</v>
      </c>
      <c r="AA1084" s="7" t="str">
        <f aca="false">IFERROR(INDEX(02_轉折點45!B:B,MATCH(A1084,02_轉折點45!A:A,0)),"")</f>
        <v/>
      </c>
      <c r="AB1084" s="7" t="n">
        <f aca="false">COUNTIFS(05_訊號明細!A:A,A1084,05_訊號明細!C:C,"TOP")</f>
        <v>2</v>
      </c>
      <c r="AC1084" s="7" t="n">
        <f aca="false">COUNTIFS(05_訊號明細!A:A,A1084,05_訊號明細!C:C,"BOTTOM")</f>
        <v>0</v>
      </c>
    </row>
    <row r="1085" customFormat="false" ht="15" hidden="false" customHeight="false" outlineLevel="0" collapsed="false">
      <c r="A1085" s="7" t="s">
        <v>1126</v>
      </c>
      <c r="B1085" s="7" t="n">
        <v>17161.11</v>
      </c>
      <c r="C1085" s="7" t="n">
        <v>17305.15</v>
      </c>
      <c r="D1085" s="7" t="n">
        <v>17010.25</v>
      </c>
      <c r="E1085" s="7" t="n">
        <v>17210.89</v>
      </c>
      <c r="F1085" s="7" t="n">
        <v>4617</v>
      </c>
      <c r="G1085" s="7" t="n">
        <f aca="false">AVERAGE(E1081:E1085)</f>
        <v>17370.026</v>
      </c>
      <c r="H1085" s="7" t="n">
        <f aca="false">AVERAGE(E1076:E1085)</f>
        <v>17704.999</v>
      </c>
      <c r="I1085" s="7" t="n">
        <f aca="false">AVERAGE(E1066:E1085)</f>
        <v>17936.786</v>
      </c>
      <c r="J1085" s="7" t="n">
        <f aca="false">AVERAGE(E1036:E1085)</f>
        <v>17961.0266</v>
      </c>
      <c r="K1085" s="7" t="n">
        <f aca="false">AVERAGE(E986:E1085)</f>
        <v>17372.8003</v>
      </c>
      <c r="L1085" s="7" t="n">
        <f aca="false">AVERAGE(E886:E1085)</f>
        <v>16277.1906</v>
      </c>
      <c r="M1085" s="7" t="n">
        <f aca="false">I1085</f>
        <v>17936.786</v>
      </c>
      <c r="N1085" s="7" t="n">
        <f aca="false">I1085+2*STDEV(E1066:E1085)</f>
        <v>18706.1683698307</v>
      </c>
      <c r="O1085" s="7" t="n">
        <f aca="false">I1085-2*STDEV(E1066:E1085)</f>
        <v>17167.4036301693</v>
      </c>
      <c r="P1085" s="7" t="n">
        <f aca="false">MAX(E1085-E1084,0)</f>
        <v>173.239999999998</v>
      </c>
      <c r="Q1085" s="7" t="n">
        <f aca="false">MAX(E1084-E1085,0)</f>
        <v>0</v>
      </c>
      <c r="R1085" s="7" t="n">
        <f aca="false">(R1084*13+P1085)/14</f>
        <v>58.101306338145</v>
      </c>
      <c r="S1085" s="7" t="n">
        <f aca="false">(S1084*13+Q1085)/14</f>
        <v>106.037204974149</v>
      </c>
      <c r="T1085" s="7" t="n">
        <f aca="false">IF(S1085=0,100,100-100/(1+R1085/S1085))</f>
        <v>35.3977295600055</v>
      </c>
      <c r="U1085" s="7" t="n">
        <f aca="false">E1085*2/13+U1084*11/13</f>
        <v>17642.7797898016</v>
      </c>
      <c r="V1085" s="7" t="n">
        <f aca="false">E1085*2/27+V1084*25/27</f>
        <v>17830.0643617604</v>
      </c>
      <c r="W1085" s="7" t="n">
        <f aca="false">U1085-V1085</f>
        <v>-187.284571958753</v>
      </c>
      <c r="X1085" s="7" t="n">
        <f aca="false">W1085*2/10+X1084*8/10</f>
        <v>-66.1416086572417</v>
      </c>
      <c r="Y1085" s="7" t="n">
        <f aca="false">W1085-X1085</f>
        <v>-121.142963301511</v>
      </c>
      <c r="Z1085" s="8" t="s">
        <v>42</v>
      </c>
      <c r="AA1085" s="7" t="str">
        <f aca="false">IFERROR(INDEX(02_轉折點45!B:B,MATCH(A1085,02_轉折點45!A:A,0)),"")</f>
        <v/>
      </c>
      <c r="AB1085" s="7" t="n">
        <f aca="false">COUNTIFS(05_訊號明細!A:A,A1085,05_訊號明細!C:C,"TOP")</f>
        <v>0</v>
      </c>
      <c r="AC1085" s="7" t="n">
        <f aca="false">COUNTIFS(05_訊號明細!A:A,A1085,05_訊號明細!C:C,"BOTTOM")</f>
        <v>0</v>
      </c>
    </row>
    <row r="1086" customFormat="false" ht="15" hidden="false" customHeight="false" outlineLevel="0" collapsed="false">
      <c r="A1086" s="7" t="s">
        <v>1127</v>
      </c>
      <c r="B1086" s="7" t="n">
        <v>17297.24</v>
      </c>
      <c r="C1086" s="7" t="n">
        <v>17513.31</v>
      </c>
      <c r="D1086" s="7" t="n">
        <v>17277.25</v>
      </c>
      <c r="E1086" s="7" t="n">
        <v>17471.47</v>
      </c>
      <c r="F1086" s="7" t="n">
        <v>4952</v>
      </c>
      <c r="G1086" s="7" t="n">
        <f aca="false">AVERAGE(E1082:E1086)</f>
        <v>17321.588</v>
      </c>
      <c r="H1086" s="7" t="n">
        <f aca="false">AVERAGE(E1077:E1086)</f>
        <v>17635.156</v>
      </c>
      <c r="I1086" s="7" t="n">
        <f aca="false">AVERAGE(E1067:E1086)</f>
        <v>17896.5065</v>
      </c>
      <c r="J1086" s="7" t="n">
        <f aca="false">AVERAGE(E1037:E1086)</f>
        <v>17951.2078</v>
      </c>
      <c r="K1086" s="7" t="n">
        <f aca="false">AVERAGE(E987:E1086)</f>
        <v>17387.4107</v>
      </c>
      <c r="L1086" s="7" t="n">
        <f aca="false">AVERAGE(E887:E1086)</f>
        <v>16289.3637</v>
      </c>
      <c r="M1086" s="7" t="n">
        <f aca="false">I1086</f>
        <v>17896.5065</v>
      </c>
      <c r="N1086" s="7" t="n">
        <f aca="false">I1086+2*STDEV(E1067:E1086)</f>
        <v>18675.175089683</v>
      </c>
      <c r="O1086" s="7" t="n">
        <f aca="false">I1086-2*STDEV(E1067:E1086)</f>
        <v>17117.837910317</v>
      </c>
      <c r="P1086" s="7" t="n">
        <f aca="false">MAX(E1086-E1085,0)</f>
        <v>260.580000000002</v>
      </c>
      <c r="Q1086" s="7" t="n">
        <f aca="false">MAX(E1085-E1086,0)</f>
        <v>0</v>
      </c>
      <c r="R1086" s="7" t="n">
        <f aca="false">(R1085*13+P1086)/14</f>
        <v>72.5640701711348</v>
      </c>
      <c r="S1086" s="7" t="n">
        <f aca="false">(S1085*13+Q1086)/14</f>
        <v>98.4631189045672</v>
      </c>
      <c r="T1086" s="7" t="n">
        <f aca="false">IF(S1086=0,100,100-100/(1+R1086/S1086))</f>
        <v>42.4283826234293</v>
      </c>
      <c r="U1086" s="7" t="n">
        <f aca="false">E1086*2/13+U1085*11/13</f>
        <v>17616.4244375245</v>
      </c>
      <c r="V1086" s="7" t="n">
        <f aca="false">E1086*2/27+V1085*25/27</f>
        <v>17803.5018164448</v>
      </c>
      <c r="W1086" s="7" t="n">
        <f aca="false">U1086-V1086</f>
        <v>-187.077378920345</v>
      </c>
      <c r="X1086" s="7" t="n">
        <f aca="false">W1086*2/10+X1085*8/10</f>
        <v>-90.3287627098623</v>
      </c>
      <c r="Y1086" s="7" t="n">
        <f aca="false">W1086-X1086</f>
        <v>-96.7486162104826</v>
      </c>
      <c r="Z1086" s="8" t="s">
        <v>42</v>
      </c>
      <c r="AA1086" s="7" t="str">
        <f aca="false">IFERROR(INDEX(02_轉折點45!B:B,MATCH(A1086,02_轉折點45!A:A,0)),"")</f>
        <v/>
      </c>
      <c r="AB1086" s="7" t="n">
        <f aca="false">COUNTIFS(05_訊號明細!A:A,A1086,05_訊號明細!C:C,"TOP")</f>
        <v>1</v>
      </c>
      <c r="AC1086" s="7" t="n">
        <f aca="false">COUNTIFS(05_訊號明細!A:A,A1086,05_訊號明細!C:C,"BOTTOM")</f>
        <v>0</v>
      </c>
    </row>
    <row r="1087" customFormat="false" ht="15" hidden="false" customHeight="false" outlineLevel="0" collapsed="false">
      <c r="A1087" s="7" t="s">
        <v>1128</v>
      </c>
      <c r="B1087" s="7" t="n">
        <v>17613.66</v>
      </c>
      <c r="C1087" s="7" t="n">
        <v>17653.66</v>
      </c>
      <c r="D1087" s="7" t="n">
        <v>17435.33</v>
      </c>
      <c r="E1087" s="7" t="n">
        <v>17526.8</v>
      </c>
      <c r="F1087" s="7" t="n">
        <v>4736</v>
      </c>
      <c r="G1087" s="7" t="n">
        <f aca="false">AVERAGE(E1083:E1087)</f>
        <v>17328.224</v>
      </c>
      <c r="H1087" s="7" t="n">
        <f aca="false">AVERAGE(E1078:E1087)</f>
        <v>17586.67</v>
      </c>
      <c r="I1087" s="7" t="n">
        <f aca="false">AVERAGE(E1068:E1087)</f>
        <v>17862.3195</v>
      </c>
      <c r="J1087" s="7" t="n">
        <f aca="false">AVERAGE(E1038:E1087)</f>
        <v>17944.0906</v>
      </c>
      <c r="K1087" s="7" t="n">
        <f aca="false">AVERAGE(E988:E1087)</f>
        <v>17402.8027</v>
      </c>
      <c r="L1087" s="7" t="n">
        <f aca="false">AVERAGE(E888:E1087)</f>
        <v>16301.7695</v>
      </c>
      <c r="M1087" s="7" t="n">
        <f aca="false">I1087</f>
        <v>17862.3195</v>
      </c>
      <c r="N1087" s="7" t="n">
        <f aca="false">I1087+2*STDEV(E1068:E1087)</f>
        <v>18642.97152266</v>
      </c>
      <c r="O1087" s="7" t="n">
        <f aca="false">I1087-2*STDEV(E1068:E1087)</f>
        <v>17081.66747734</v>
      </c>
      <c r="P1087" s="7" t="n">
        <f aca="false">MAX(E1087-E1086,0)</f>
        <v>55.3299999999981</v>
      </c>
      <c r="Q1087" s="7" t="n">
        <f aca="false">MAX(E1086-E1087,0)</f>
        <v>0</v>
      </c>
      <c r="R1087" s="7" t="n">
        <f aca="false">(R1086*13+P1087)/14</f>
        <v>71.3330651589107</v>
      </c>
      <c r="S1087" s="7" t="n">
        <f aca="false">(S1086*13+Q1087)/14</f>
        <v>91.4300389828124</v>
      </c>
      <c r="T1087" s="7" t="n">
        <f aca="false">IF(S1087=0,100,100-100/(1+R1087/S1087))</f>
        <v>43.8263115802945</v>
      </c>
      <c r="U1087" s="7" t="n">
        <f aca="false">E1087*2/13+U1086*11/13</f>
        <v>17602.6360625207</v>
      </c>
      <c r="V1087" s="7" t="n">
        <f aca="false">E1087*2/27+V1086*25/27</f>
        <v>17783.0053855971</v>
      </c>
      <c r="W1087" s="7" t="n">
        <f aca="false">U1087-V1087</f>
        <v>-180.369323076346</v>
      </c>
      <c r="X1087" s="7" t="n">
        <f aca="false">W1087*2/10+X1086*8/10</f>
        <v>-108.336874783159</v>
      </c>
      <c r="Y1087" s="7" t="n">
        <f aca="false">W1087-X1087</f>
        <v>-72.0324482931866</v>
      </c>
      <c r="Z1087" s="8" t="s">
        <v>42</v>
      </c>
      <c r="AA1087" s="7" t="str">
        <f aca="false">IFERROR(INDEX(02_轉折點45!B:B,MATCH(A1087,02_轉折點45!A:A,0)),"")</f>
        <v/>
      </c>
      <c r="AB1087" s="7" t="n">
        <f aca="false">COUNTIFS(05_訊號明細!A:A,A1087,05_訊號明細!C:C,"TOP")</f>
        <v>0</v>
      </c>
      <c r="AC1087" s="7" t="n">
        <f aca="false">COUNTIFS(05_訊號明細!A:A,A1087,05_訊號明細!C:C,"BOTTOM")</f>
        <v>0</v>
      </c>
    </row>
    <row r="1088" customFormat="false" ht="15" hidden="false" customHeight="false" outlineLevel="0" collapsed="false">
      <c r="A1088" s="7" t="s">
        <v>1129</v>
      </c>
      <c r="B1088" s="7" t="n">
        <v>17205.28</v>
      </c>
      <c r="C1088" s="7" t="n">
        <v>17474.46</v>
      </c>
      <c r="D1088" s="7" t="n">
        <v>17172.42</v>
      </c>
      <c r="E1088" s="7" t="n">
        <v>17430.5</v>
      </c>
      <c r="F1088" s="7" t="n">
        <v>4744</v>
      </c>
      <c r="G1088" s="7" t="n">
        <f aca="false">AVERAGE(E1084:E1088)</f>
        <v>17335.462</v>
      </c>
      <c r="H1088" s="7" t="n">
        <f aca="false">AVERAGE(E1079:E1088)</f>
        <v>17498.922</v>
      </c>
      <c r="I1088" s="7" t="n">
        <f aca="false">AVERAGE(E1069:E1088)</f>
        <v>17819.8025</v>
      </c>
      <c r="J1088" s="7" t="n">
        <f aca="false">AVERAGE(E1039:E1088)</f>
        <v>17940.6922</v>
      </c>
      <c r="K1088" s="7" t="n">
        <f aca="false">AVERAGE(E989:E1088)</f>
        <v>17417.629</v>
      </c>
      <c r="L1088" s="7" t="n">
        <f aca="false">AVERAGE(E889:E1088)</f>
        <v>16313.3267</v>
      </c>
      <c r="M1088" s="7" t="n">
        <f aca="false">I1088</f>
        <v>17819.8025</v>
      </c>
      <c r="N1088" s="7" t="n">
        <f aca="false">I1088+2*STDEV(E1069:E1088)</f>
        <v>18597.0971705587</v>
      </c>
      <c r="O1088" s="7" t="n">
        <f aca="false">I1088-2*STDEV(E1069:E1088)</f>
        <v>17042.5078294413</v>
      </c>
      <c r="P1088" s="7" t="n">
        <f aca="false">MAX(E1088-E1087,0)</f>
        <v>0</v>
      </c>
      <c r="Q1088" s="7" t="n">
        <f aca="false">MAX(E1087-E1088,0)</f>
        <v>96.2999999999993</v>
      </c>
      <c r="R1088" s="7" t="n">
        <f aca="false">(R1087*13+P1088)/14</f>
        <v>66.2378462189885</v>
      </c>
      <c r="S1088" s="7" t="n">
        <f aca="false">(S1087*13+Q1088)/14</f>
        <v>91.7778933411829</v>
      </c>
      <c r="T1088" s="7" t="n">
        <f aca="false">IF(S1088=0,100,100-100/(1+R1088/S1088))</f>
        <v>41.9185116643178</v>
      </c>
      <c r="U1088" s="7" t="n">
        <f aca="false">E1088*2/13+U1087*11/13</f>
        <v>17576.1535913637</v>
      </c>
      <c r="V1088" s="7" t="n">
        <f aca="false">E1088*2/27+V1087*25/27</f>
        <v>17756.8938755528</v>
      </c>
      <c r="W1088" s="7" t="n">
        <f aca="false">U1088-V1088</f>
        <v>-180.740284189153</v>
      </c>
      <c r="X1088" s="7" t="n">
        <f aca="false">W1088*2/10+X1087*8/10</f>
        <v>-122.817556664358</v>
      </c>
      <c r="Y1088" s="7" t="n">
        <f aca="false">W1088-X1088</f>
        <v>-57.9227275247949</v>
      </c>
      <c r="Z1088" s="8" t="s">
        <v>42</v>
      </c>
      <c r="AA1088" s="7" t="str">
        <f aca="false">IFERROR(INDEX(02_轉折點45!B:B,MATCH(A1088,02_轉折點45!A:A,0)),"")</f>
        <v/>
      </c>
      <c r="AB1088" s="7" t="n">
        <f aca="false">COUNTIFS(05_訊號明細!A:A,A1088,05_訊號明細!C:C,"TOP")</f>
        <v>0</v>
      </c>
      <c r="AC1088" s="7" t="n">
        <f aca="false">COUNTIFS(05_訊號明細!A:A,A1088,05_訊號明細!C:C,"BOTTOM")</f>
        <v>0</v>
      </c>
    </row>
    <row r="1089" customFormat="false" ht="15" hidden="false" customHeight="false" outlineLevel="0" collapsed="false">
      <c r="A1089" s="7" t="s">
        <v>1130</v>
      </c>
      <c r="B1089" s="7" t="n">
        <v>17566.22</v>
      </c>
      <c r="C1089" s="7" t="n">
        <v>17772.78</v>
      </c>
      <c r="D1089" s="7" t="n">
        <v>17533.08</v>
      </c>
      <c r="E1089" s="7" t="n">
        <v>17718.3</v>
      </c>
      <c r="F1089" s="7" t="n">
        <v>4694</v>
      </c>
      <c r="G1089" s="7" t="n">
        <f aca="false">AVERAGE(E1085:E1089)</f>
        <v>17471.592</v>
      </c>
      <c r="H1089" s="7" t="n">
        <f aca="false">AVERAGE(E1080:E1089)</f>
        <v>17470.403</v>
      </c>
      <c r="I1089" s="7" t="n">
        <f aca="false">AVERAGE(E1070:E1089)</f>
        <v>17792.983</v>
      </c>
      <c r="J1089" s="7" t="n">
        <f aca="false">AVERAGE(E1040:E1089)</f>
        <v>17938.9056</v>
      </c>
      <c r="K1089" s="7" t="n">
        <f aca="false">AVERAGE(E990:E1089)</f>
        <v>17434.8362</v>
      </c>
      <c r="L1089" s="7" t="n">
        <f aca="false">AVERAGE(E890:E1089)</f>
        <v>16325.38205</v>
      </c>
      <c r="M1089" s="7" t="n">
        <f aca="false">I1089</f>
        <v>17792.983</v>
      </c>
      <c r="N1089" s="7" t="n">
        <f aca="false">I1089+2*STDEV(E1070:E1089)</f>
        <v>18543.6568280295</v>
      </c>
      <c r="O1089" s="7" t="n">
        <f aca="false">I1089-2*STDEV(E1070:E1089)</f>
        <v>17042.3091719705</v>
      </c>
      <c r="P1089" s="7" t="n">
        <f aca="false">MAX(E1089-E1088,0)</f>
        <v>287.799999999999</v>
      </c>
      <c r="Q1089" s="7" t="n">
        <f aca="false">MAX(E1088-E1089,0)</f>
        <v>0</v>
      </c>
      <c r="R1089" s="7" t="n">
        <f aca="false">(R1088*13+P1089)/14</f>
        <v>82.0637143462036</v>
      </c>
      <c r="S1089" s="7" t="n">
        <f aca="false">(S1088*13+Q1089)/14</f>
        <v>85.2223295310984</v>
      </c>
      <c r="T1089" s="7" t="n">
        <f aca="false">IF(S1089=0,100,100-100/(1+R1089/S1089))</f>
        <v>49.0559238799348</v>
      </c>
      <c r="U1089" s="7" t="n">
        <f aca="false">E1089*2/13+U1088*11/13</f>
        <v>17598.0222696154</v>
      </c>
      <c r="V1089" s="7" t="n">
        <f aca="false">E1089*2/27+V1088*25/27</f>
        <v>17754.0350699563</v>
      </c>
      <c r="W1089" s="7" t="n">
        <f aca="false">U1089-V1089</f>
        <v>-156.012800340905</v>
      </c>
      <c r="X1089" s="7" t="n">
        <f aca="false">W1089*2/10+X1088*8/10</f>
        <v>-129.456605399667</v>
      </c>
      <c r="Y1089" s="7" t="n">
        <f aca="false">W1089-X1089</f>
        <v>-26.5561949412374</v>
      </c>
      <c r="Z1089" s="8" t="s">
        <v>42</v>
      </c>
      <c r="AA1089" s="7" t="str">
        <f aca="false">IFERROR(INDEX(02_轉折點45!B:B,MATCH(A1089,02_轉折點45!A:A,0)),"")</f>
        <v/>
      </c>
      <c r="AB1089" s="7" t="n">
        <f aca="false">COUNTIFS(05_訊號明細!A:A,A1089,05_訊號明細!C:C,"TOP")</f>
        <v>0</v>
      </c>
      <c r="AC1089" s="7" t="n">
        <f aca="false">COUNTIFS(05_訊號明細!A:A,A1089,05_訊號明細!C:C,"BOTTOM")</f>
        <v>0</v>
      </c>
    </row>
    <row r="1090" customFormat="false" ht="15" hidden="false" customHeight="false" outlineLevel="0" collapsed="false">
      <c r="A1090" s="7" t="s">
        <v>1131</v>
      </c>
      <c r="B1090" s="7" t="n">
        <v>17801.14</v>
      </c>
      <c r="C1090" s="7" t="n">
        <v>17820</v>
      </c>
      <c r="D1090" s="7" t="n">
        <v>17671.03</v>
      </c>
      <c r="E1090" s="7" t="n">
        <v>17782.72</v>
      </c>
      <c r="F1090" s="7" t="n">
        <v>4973</v>
      </c>
      <c r="G1090" s="7" t="n">
        <f aca="false">AVERAGE(E1086:E1090)</f>
        <v>17585.958</v>
      </c>
      <c r="H1090" s="7" t="n">
        <f aca="false">AVERAGE(E1081:E1090)</f>
        <v>17477.992</v>
      </c>
      <c r="I1090" s="7" t="n">
        <f aca="false">AVERAGE(E1071:E1090)</f>
        <v>17767.459</v>
      </c>
      <c r="J1090" s="7" t="n">
        <f aca="false">AVERAGE(E1041:E1090)</f>
        <v>17937.6456</v>
      </c>
      <c r="K1090" s="7" t="n">
        <f aca="false">AVERAGE(E991:E1090)</f>
        <v>17454.2667</v>
      </c>
      <c r="L1090" s="7" t="n">
        <f aca="false">AVERAGE(E891:E1090)</f>
        <v>16336.43575</v>
      </c>
      <c r="M1090" s="7" t="n">
        <f aca="false">I1090</f>
        <v>17767.459</v>
      </c>
      <c r="N1090" s="7" t="n">
        <f aca="false">I1090+2*STDEV(E1071:E1090)</f>
        <v>18480.2794870321</v>
      </c>
      <c r="O1090" s="7" t="n">
        <f aca="false">I1090-2*STDEV(E1071:E1090)</f>
        <v>17054.6385129679</v>
      </c>
      <c r="P1090" s="7" t="n">
        <f aca="false">MAX(E1090-E1089,0)</f>
        <v>64.4200000000019</v>
      </c>
      <c r="Q1090" s="7" t="n">
        <f aca="false">MAX(E1089-E1090,0)</f>
        <v>0</v>
      </c>
      <c r="R1090" s="7" t="n">
        <f aca="false">(R1089*13+P1090)/14</f>
        <v>80.8034490357606</v>
      </c>
      <c r="S1090" s="7" t="n">
        <f aca="false">(S1089*13+Q1090)/14</f>
        <v>79.1350202788771</v>
      </c>
      <c r="T1090" s="7" t="n">
        <f aca="false">IF(S1090=0,100,100-100/(1+R1090/S1090))</f>
        <v>50.5215845706268</v>
      </c>
      <c r="U1090" s="7" t="n">
        <f aca="false">E1090*2/13+U1089*11/13</f>
        <v>17626.4373050592</v>
      </c>
      <c r="V1090" s="7" t="n">
        <f aca="false">E1090*2/27+V1089*25/27</f>
        <v>17756.1598795892</v>
      </c>
      <c r="W1090" s="7" t="n">
        <f aca="false">U1090-V1090</f>
        <v>-129.722574529991</v>
      </c>
      <c r="X1090" s="7" t="n">
        <f aca="false">W1090*2/10+X1089*8/10</f>
        <v>-129.509799225732</v>
      </c>
      <c r="Y1090" s="7" t="n">
        <f aca="false">W1090-X1090</f>
        <v>-0.212775304259225</v>
      </c>
      <c r="Z1090" s="8" t="s">
        <v>42</v>
      </c>
      <c r="AA1090" s="7" t="str">
        <f aca="false">IFERROR(INDEX(02_轉折點45!B:B,MATCH(A1090,02_轉折點45!A:A,0)),"")</f>
        <v/>
      </c>
      <c r="AB1090" s="7" t="n">
        <f aca="false">COUNTIFS(05_訊號明細!A:A,A1090,05_訊號明細!C:C,"TOP")</f>
        <v>0</v>
      </c>
      <c r="AC1090" s="7" t="n">
        <f aca="false">COUNTIFS(05_訊號明細!A:A,A1090,05_訊號明細!C:C,"BOTTOM")</f>
        <v>0</v>
      </c>
    </row>
    <row r="1091" customFormat="false" ht="15" hidden="false" customHeight="false" outlineLevel="0" collapsed="false">
      <c r="A1091" s="7" t="s">
        <v>1132</v>
      </c>
      <c r="B1091" s="7" t="n">
        <v>17720.35</v>
      </c>
      <c r="C1091" s="7" t="n">
        <v>17768.87</v>
      </c>
      <c r="D1091" s="7" t="n">
        <v>17440.69</v>
      </c>
      <c r="E1091" s="7" t="n">
        <v>17440.69</v>
      </c>
      <c r="F1091" s="7" t="n">
        <v>5229</v>
      </c>
      <c r="G1091" s="7" t="n">
        <f aca="false">AVERAGE(E1087:E1091)</f>
        <v>17579.802</v>
      </c>
      <c r="H1091" s="7" t="n">
        <f aca="false">AVERAGE(E1082:E1091)</f>
        <v>17450.695</v>
      </c>
      <c r="I1091" s="7" t="n">
        <f aca="false">AVERAGE(E1072:E1091)</f>
        <v>17733.4045</v>
      </c>
      <c r="J1091" s="7" t="n">
        <f aca="false">AVERAGE(E1042:E1091)</f>
        <v>17932.7398</v>
      </c>
      <c r="K1091" s="7" t="n">
        <f aca="false">AVERAGE(E992:E1091)</f>
        <v>17469.8965</v>
      </c>
      <c r="L1091" s="7" t="n">
        <f aca="false">AVERAGE(E892:E1091)</f>
        <v>16345.8112</v>
      </c>
      <c r="M1091" s="7" t="n">
        <f aca="false">I1091</f>
        <v>17733.4045</v>
      </c>
      <c r="N1091" s="7" t="n">
        <f aca="false">I1091+2*STDEV(E1072:E1091)</f>
        <v>18440.0015936963</v>
      </c>
      <c r="O1091" s="7" t="n">
        <f aca="false">I1091-2*STDEV(E1072:E1091)</f>
        <v>17026.8074063037</v>
      </c>
      <c r="P1091" s="7" t="n">
        <f aca="false">MAX(E1091-E1090,0)</f>
        <v>0</v>
      </c>
      <c r="Q1091" s="7" t="n">
        <f aca="false">MAX(E1090-E1091,0)</f>
        <v>342.030000000003</v>
      </c>
      <c r="R1091" s="7" t="n">
        <f aca="false">(R1090*13+P1091)/14</f>
        <v>75.0317741046349</v>
      </c>
      <c r="S1091" s="7" t="n">
        <f aca="false">(S1090*13+Q1091)/14</f>
        <v>97.9132331161003</v>
      </c>
      <c r="T1091" s="7" t="n">
        <f aca="false">IF(S1091=0,100,100-100/(1+R1091/S1091))</f>
        <v>43.3847587221003</v>
      </c>
      <c r="U1091" s="7" t="n">
        <f aca="false">E1091*2/13+U1090*11/13</f>
        <v>17597.8607965886</v>
      </c>
      <c r="V1091" s="7" t="n">
        <f aca="false">E1091*2/27+V1090*25/27</f>
        <v>17732.7917403604</v>
      </c>
      <c r="W1091" s="7" t="n">
        <f aca="false">U1091-V1091</f>
        <v>-134.930943771804</v>
      </c>
      <c r="X1091" s="7" t="n">
        <f aca="false">W1091*2/10+X1090*8/10</f>
        <v>-130.594028134946</v>
      </c>
      <c r="Y1091" s="7" t="n">
        <f aca="false">W1091-X1091</f>
        <v>-4.33691563685758</v>
      </c>
      <c r="Z1091" s="8" t="s">
        <v>42</v>
      </c>
      <c r="AA1091" s="7" t="str">
        <f aca="false">IFERROR(INDEX(02_轉折點45!B:B,MATCH(A1091,02_轉折點45!A:A,0)),"")</f>
        <v/>
      </c>
      <c r="AB1091" s="7" t="n">
        <f aca="false">COUNTIFS(05_訊號明細!A:A,A1091,05_訊號明細!C:C,"TOP")</f>
        <v>0</v>
      </c>
      <c r="AC1091" s="7" t="n">
        <f aca="false">COUNTIFS(05_訊號明細!A:A,A1091,05_訊號明細!C:C,"BOTTOM")</f>
        <v>0</v>
      </c>
    </row>
    <row r="1092" customFormat="false" ht="15" hidden="false" customHeight="false" outlineLevel="0" collapsed="false">
      <c r="A1092" s="7" t="s">
        <v>1133</v>
      </c>
      <c r="B1092" s="7" t="n">
        <v>17382.78</v>
      </c>
      <c r="C1092" s="7" t="n">
        <v>17667.86</v>
      </c>
      <c r="D1092" s="7" t="n">
        <v>17284.37</v>
      </c>
      <c r="E1092" s="7" t="n">
        <v>17318.55</v>
      </c>
      <c r="F1092" s="7" t="n">
        <v>5278</v>
      </c>
      <c r="G1092" s="7" t="n">
        <f aca="false">AVERAGE(E1088:E1092)</f>
        <v>17538.152</v>
      </c>
      <c r="H1092" s="7" t="n">
        <f aca="false">AVERAGE(E1083:E1092)</f>
        <v>17433.188</v>
      </c>
      <c r="I1092" s="7" t="n">
        <f aca="false">AVERAGE(E1073:E1092)</f>
        <v>17691.3225</v>
      </c>
      <c r="J1092" s="7" t="n">
        <f aca="false">AVERAGE(E1043:E1092)</f>
        <v>17928.1888</v>
      </c>
      <c r="K1092" s="7" t="n">
        <f aca="false">AVERAGE(E993:E1092)</f>
        <v>17485.2015</v>
      </c>
      <c r="L1092" s="7" t="n">
        <f aca="false">AVERAGE(E893:E1092)</f>
        <v>16353.83755</v>
      </c>
      <c r="M1092" s="7" t="n">
        <f aca="false">I1092</f>
        <v>17691.3225</v>
      </c>
      <c r="N1092" s="7" t="n">
        <f aca="false">I1092+2*STDEV(E1073:E1092)</f>
        <v>18391.1146344867</v>
      </c>
      <c r="O1092" s="7" t="n">
        <f aca="false">I1092-2*STDEV(E1073:E1092)</f>
        <v>16991.5303655133</v>
      </c>
      <c r="P1092" s="7" t="n">
        <f aca="false">MAX(E1092-E1091,0)</f>
        <v>0</v>
      </c>
      <c r="Q1092" s="7" t="n">
        <f aca="false">MAX(E1091-E1092,0)</f>
        <v>122.139999999999</v>
      </c>
      <c r="R1092" s="7" t="n">
        <f aca="false">(R1091*13+P1092)/14</f>
        <v>69.6723616685895</v>
      </c>
      <c r="S1092" s="7" t="n">
        <f aca="false">(S1091*13+Q1092)/14</f>
        <v>99.6437164649502</v>
      </c>
      <c r="T1092" s="7" t="n">
        <f aca="false">IF(S1092=0,100,100-100/(1+R1092/S1092))</f>
        <v>41.1492886184376</v>
      </c>
      <c r="U1092" s="7" t="n">
        <f aca="false">E1092*2/13+U1091*11/13</f>
        <v>17554.8899048057</v>
      </c>
      <c r="V1092" s="7" t="n">
        <f aca="false">E1092*2/27+V1091*25/27</f>
        <v>17702.1071670003</v>
      </c>
      <c r="W1092" s="7" t="n">
        <f aca="false">U1092-V1092</f>
        <v>-147.21726219463</v>
      </c>
      <c r="X1092" s="7" t="n">
        <f aca="false">W1092*2/10+X1091*8/10</f>
        <v>-133.918674946883</v>
      </c>
      <c r="Y1092" s="7" t="n">
        <f aca="false">W1092-X1092</f>
        <v>-13.2985872477471</v>
      </c>
      <c r="Z1092" s="8" t="s">
        <v>42</v>
      </c>
      <c r="AA1092" s="7" t="str">
        <f aca="false">IFERROR(INDEX(02_轉折點45!B:B,MATCH(A1092,02_轉折點45!A:A,0)),"")</f>
        <v/>
      </c>
      <c r="AB1092" s="7" t="n">
        <f aca="false">COUNTIFS(05_訊號明細!A:A,A1092,05_訊號明細!C:C,"TOP")</f>
        <v>0</v>
      </c>
      <c r="AC1092" s="7" t="n">
        <f aca="false">COUNTIFS(05_訊號明細!A:A,A1092,05_訊號明細!C:C,"BOTTOM")</f>
        <v>0</v>
      </c>
    </row>
    <row r="1093" customFormat="false" ht="15" hidden="false" customHeight="false" outlineLevel="0" collapsed="false">
      <c r="A1093" s="7" t="s">
        <v>1134</v>
      </c>
      <c r="B1093" s="7" t="n">
        <v>17474.92</v>
      </c>
      <c r="C1093" s="7" t="n">
        <v>17575.8</v>
      </c>
      <c r="D1093" s="7" t="n">
        <v>17290.64</v>
      </c>
      <c r="E1093" s="7" t="n">
        <v>17541.54</v>
      </c>
      <c r="F1093" s="7" t="n">
        <v>4902</v>
      </c>
      <c r="G1093" s="7" t="n">
        <f aca="false">AVERAGE(E1089:E1093)</f>
        <v>17560.36</v>
      </c>
      <c r="H1093" s="7" t="n">
        <f aca="false">AVERAGE(E1084:E1093)</f>
        <v>17447.911</v>
      </c>
      <c r="I1093" s="7" t="n">
        <f aca="false">AVERAGE(E1074:E1093)</f>
        <v>17674.4605</v>
      </c>
      <c r="J1093" s="7" t="n">
        <f aca="false">AVERAGE(E1044:E1093)</f>
        <v>17929.4414</v>
      </c>
      <c r="K1093" s="7" t="n">
        <f aca="false">AVERAGE(E994:E1093)</f>
        <v>17500.392</v>
      </c>
      <c r="L1093" s="7" t="n">
        <f aca="false">AVERAGE(E894:E1093)</f>
        <v>16362.3385</v>
      </c>
      <c r="M1093" s="7" t="n">
        <f aca="false">I1093</f>
        <v>17674.4605</v>
      </c>
      <c r="N1093" s="7" t="n">
        <f aca="false">I1093+2*STDEV(E1074:E1093)</f>
        <v>18371.4805996415</v>
      </c>
      <c r="O1093" s="7" t="n">
        <f aca="false">I1093-2*STDEV(E1074:E1093)</f>
        <v>16977.4404003585</v>
      </c>
      <c r="P1093" s="7" t="n">
        <f aca="false">MAX(E1093-E1092,0)</f>
        <v>222.990000000002</v>
      </c>
      <c r="Q1093" s="7" t="n">
        <f aca="false">MAX(E1092-E1093,0)</f>
        <v>0</v>
      </c>
      <c r="R1093" s="7" t="n">
        <f aca="false">(R1092*13+P1093)/14</f>
        <v>80.6236215494047</v>
      </c>
      <c r="S1093" s="7" t="n">
        <f aca="false">(S1092*13+Q1093)/14</f>
        <v>92.5263081460252</v>
      </c>
      <c r="T1093" s="7" t="n">
        <f aca="false">IF(S1093=0,100,100-100/(1+R1093/S1093))</f>
        <v>46.5628959198663</v>
      </c>
      <c r="U1093" s="7" t="n">
        <f aca="false">E1093*2/13+U1092*11/13</f>
        <v>17552.8360732971</v>
      </c>
      <c r="V1093" s="7" t="n">
        <f aca="false">E1093*2/27+V1092*25/27</f>
        <v>17690.2133027781</v>
      </c>
      <c r="W1093" s="7" t="n">
        <f aca="false">U1093-V1093</f>
        <v>-137.37722948095</v>
      </c>
      <c r="X1093" s="7" t="n">
        <f aca="false">W1093*2/10+X1092*8/10</f>
        <v>-134.610385853696</v>
      </c>
      <c r="Y1093" s="7" t="n">
        <f aca="false">W1093-X1093</f>
        <v>-2.76684362725322</v>
      </c>
      <c r="Z1093" s="8" t="s">
        <v>42</v>
      </c>
      <c r="AA1093" s="7" t="str">
        <f aca="false">IFERROR(INDEX(02_轉折點45!B:B,MATCH(A1093,02_轉折點45!A:A,0)),"")</f>
        <v/>
      </c>
      <c r="AB1093" s="7" t="n">
        <f aca="false">COUNTIFS(05_訊號明細!A:A,A1093,05_訊號明細!C:C,"TOP")</f>
        <v>1</v>
      </c>
      <c r="AC1093" s="7" t="n">
        <f aca="false">COUNTIFS(05_訊號明細!A:A,A1093,05_訊號明細!C:C,"BOTTOM")</f>
        <v>0</v>
      </c>
    </row>
    <row r="1094" customFormat="false" ht="15" hidden="false" customHeight="false" outlineLevel="0" collapsed="false">
      <c r="A1094" s="7" t="s">
        <v>1135</v>
      </c>
      <c r="B1094" s="7" t="n">
        <v>17848.66</v>
      </c>
      <c r="C1094" s="7" t="n">
        <v>17926.98</v>
      </c>
      <c r="D1094" s="7" t="n">
        <v>17784.78</v>
      </c>
      <c r="E1094" s="7" t="n">
        <v>17890.8</v>
      </c>
      <c r="F1094" s="7" t="n">
        <v>4887</v>
      </c>
      <c r="G1094" s="7" t="n">
        <f aca="false">AVERAGE(E1090:E1094)</f>
        <v>17594.86</v>
      </c>
      <c r="H1094" s="7" t="n">
        <f aca="false">AVERAGE(E1085:E1094)</f>
        <v>17533.226</v>
      </c>
      <c r="I1094" s="7" t="n">
        <f aca="false">AVERAGE(E1075:E1094)</f>
        <v>17663.5775</v>
      </c>
      <c r="J1094" s="7" t="n">
        <f aca="false">AVERAGE(E1045:E1094)</f>
        <v>17927.1634</v>
      </c>
      <c r="K1094" s="7" t="n">
        <f aca="false">AVERAGE(E995:E1094)</f>
        <v>17518.4531</v>
      </c>
      <c r="L1094" s="7" t="n">
        <f aca="false">AVERAGE(E895:E1094)</f>
        <v>16372.66075</v>
      </c>
      <c r="M1094" s="7" t="n">
        <f aca="false">I1094</f>
        <v>17663.5775</v>
      </c>
      <c r="N1094" s="7" t="n">
        <f aca="false">I1094+2*STDEV(E1075:E1094)</f>
        <v>18338.5128592713</v>
      </c>
      <c r="O1094" s="7" t="n">
        <f aca="false">I1094-2*STDEV(E1075:E1094)</f>
        <v>16988.6421407287</v>
      </c>
      <c r="P1094" s="7" t="n">
        <f aca="false">MAX(E1094-E1093,0)</f>
        <v>349.259999999998</v>
      </c>
      <c r="Q1094" s="7" t="n">
        <f aca="false">MAX(E1093-E1094,0)</f>
        <v>0</v>
      </c>
      <c r="R1094" s="7" t="n">
        <f aca="false">(R1093*13+P1094)/14</f>
        <v>99.8119342958756</v>
      </c>
      <c r="S1094" s="7" t="n">
        <f aca="false">(S1093*13+Q1094)/14</f>
        <v>85.9172861355949</v>
      </c>
      <c r="T1094" s="7" t="n">
        <f aca="false">IF(S1094=0,100,100-100/(1+R1094/S1094))</f>
        <v>53.7405660046389</v>
      </c>
      <c r="U1094" s="7" t="n">
        <f aca="false">E1094*2/13+U1093*11/13</f>
        <v>17604.8305235591</v>
      </c>
      <c r="V1094" s="7" t="n">
        <f aca="false">E1094*2/27+V1093*25/27</f>
        <v>17705.0715766464</v>
      </c>
      <c r="W1094" s="7" t="n">
        <f aca="false">U1094-V1094</f>
        <v>-100.241053087258</v>
      </c>
      <c r="X1094" s="7" t="n">
        <f aca="false">W1094*2/10+X1093*8/10</f>
        <v>-127.736519300409</v>
      </c>
      <c r="Y1094" s="7" t="n">
        <f aca="false">W1094-X1094</f>
        <v>27.4954662131503</v>
      </c>
      <c r="Z1094" s="8" t="s">
        <v>42</v>
      </c>
      <c r="AA1094" s="7" t="str">
        <f aca="false">IFERROR(INDEX(02_轉折點45!B:B,MATCH(A1094,02_轉折點45!A:A,0)),"")</f>
        <v/>
      </c>
      <c r="AB1094" s="7" t="n">
        <f aca="false">COUNTIFS(05_訊號明細!A:A,A1094,05_訊號明細!C:C,"TOP")</f>
        <v>0</v>
      </c>
      <c r="AC1094" s="7" t="n">
        <f aca="false">COUNTIFS(05_訊號明細!A:A,A1094,05_訊號明細!C:C,"BOTTOM")</f>
        <v>0</v>
      </c>
    </row>
    <row r="1095" customFormat="false" ht="15" hidden="false" customHeight="false" outlineLevel="0" collapsed="false">
      <c r="A1095" s="7" t="s">
        <v>1136</v>
      </c>
      <c r="B1095" s="7" t="n">
        <v>17950.98</v>
      </c>
      <c r="C1095" s="7" t="n">
        <v>18094.46</v>
      </c>
      <c r="D1095" s="7" t="n">
        <v>17937.28</v>
      </c>
      <c r="E1095" s="7" t="n">
        <v>18093.57</v>
      </c>
      <c r="F1095" s="7" t="n">
        <v>4460</v>
      </c>
      <c r="G1095" s="7" t="n">
        <f aca="false">AVERAGE(E1091:E1095)</f>
        <v>17657.03</v>
      </c>
      <c r="H1095" s="7" t="n">
        <f aca="false">AVERAGE(E1086:E1095)</f>
        <v>17621.494</v>
      </c>
      <c r="I1095" s="7" t="n">
        <f aca="false">AVERAGE(E1076:E1095)</f>
        <v>17663.2465</v>
      </c>
      <c r="J1095" s="7" t="n">
        <f aca="false">AVERAGE(E1046:E1095)</f>
        <v>17930.2826</v>
      </c>
      <c r="K1095" s="7" t="n">
        <f aca="false">AVERAGE(E996:E1095)</f>
        <v>17537.1715</v>
      </c>
      <c r="L1095" s="7" t="n">
        <f aca="false">AVERAGE(E896:E1095)</f>
        <v>16385.79815</v>
      </c>
      <c r="M1095" s="7" t="n">
        <f aca="false">I1095</f>
        <v>17663.2465</v>
      </c>
      <c r="N1095" s="7" t="n">
        <f aca="false">I1095+2*STDEV(E1076:E1095)</f>
        <v>18337.2861903596</v>
      </c>
      <c r="O1095" s="7" t="n">
        <f aca="false">I1095-2*STDEV(E1076:E1095)</f>
        <v>16989.2068096405</v>
      </c>
      <c r="P1095" s="7" t="n">
        <f aca="false">MAX(E1095-E1094,0)</f>
        <v>202.77</v>
      </c>
      <c r="Q1095" s="7" t="n">
        <f aca="false">MAX(E1094-E1095,0)</f>
        <v>0</v>
      </c>
      <c r="R1095" s="7" t="n">
        <f aca="false">(R1094*13+P1095)/14</f>
        <v>107.16608184617</v>
      </c>
      <c r="S1095" s="7" t="n">
        <f aca="false">(S1094*13+Q1095)/14</f>
        <v>79.7803371259095</v>
      </c>
      <c r="T1095" s="7" t="n">
        <f aca="false">IF(S1095=0,100,100-100/(1+R1095/S1095))</f>
        <v>57.3244903194297</v>
      </c>
      <c r="U1095" s="7" t="n">
        <f aca="false">E1095*2/13+U1094*11/13</f>
        <v>17680.0212122423</v>
      </c>
      <c r="V1095" s="7" t="n">
        <f aca="false">E1095*2/27+V1094*25/27</f>
        <v>17733.8492376355</v>
      </c>
      <c r="W1095" s="7" t="n">
        <f aca="false">U1095-V1095</f>
        <v>-53.8280253932062</v>
      </c>
      <c r="X1095" s="7" t="n">
        <f aca="false">W1095*2/10+X1094*8/10</f>
        <v>-112.954820518968</v>
      </c>
      <c r="Y1095" s="7" t="n">
        <f aca="false">W1095-X1095</f>
        <v>59.1267951257621</v>
      </c>
      <c r="Z1095" s="8" t="s">
        <v>42</v>
      </c>
      <c r="AA1095" s="7" t="str">
        <f aca="false">IFERROR(INDEX(02_轉折點45!B:B,MATCH(A1095,02_轉折點45!A:A,0)),"")</f>
        <v/>
      </c>
      <c r="AB1095" s="7" t="n">
        <f aca="false">COUNTIFS(05_訊號明細!A:A,A1095,05_訊號明細!C:C,"TOP")</f>
        <v>0</v>
      </c>
      <c r="AC1095" s="7" t="n">
        <f aca="false">COUNTIFS(05_訊號明細!A:A,A1095,05_訊號明細!C:C,"BOTTOM")</f>
        <v>0</v>
      </c>
    </row>
    <row r="1096" customFormat="false" ht="15" hidden="false" customHeight="false" outlineLevel="0" collapsed="false">
      <c r="A1096" s="7" t="s">
        <v>1137</v>
      </c>
      <c r="B1096" s="7" t="n">
        <v>18106.33</v>
      </c>
      <c r="C1096" s="7" t="n">
        <v>18156.32</v>
      </c>
      <c r="D1096" s="7" t="n">
        <v>18061.61</v>
      </c>
      <c r="E1096" s="7" t="n">
        <v>18091.45</v>
      </c>
      <c r="F1096" s="7" t="n">
        <v>5042</v>
      </c>
      <c r="G1096" s="7" t="n">
        <f aca="false">AVERAGE(E1092:E1096)</f>
        <v>17787.182</v>
      </c>
      <c r="H1096" s="7" t="n">
        <f aca="false">AVERAGE(E1087:E1096)</f>
        <v>17683.492</v>
      </c>
      <c r="I1096" s="7" t="n">
        <f aca="false">AVERAGE(E1077:E1096)</f>
        <v>17659.324</v>
      </c>
      <c r="J1096" s="7" t="n">
        <f aca="false">AVERAGE(E1047:E1096)</f>
        <v>17933.445</v>
      </c>
      <c r="K1096" s="7" t="n">
        <f aca="false">AVERAGE(E997:E1096)</f>
        <v>17554.5435</v>
      </c>
      <c r="L1096" s="7" t="n">
        <f aca="false">AVERAGE(E897:E1096)</f>
        <v>16399.12705</v>
      </c>
      <c r="M1096" s="7" t="n">
        <f aca="false">I1096</f>
        <v>17659.324</v>
      </c>
      <c r="N1096" s="7" t="n">
        <f aca="false">I1096+2*STDEV(E1077:E1096)</f>
        <v>18321.7625402404</v>
      </c>
      <c r="O1096" s="7" t="n">
        <f aca="false">I1096-2*STDEV(E1077:E1096)</f>
        <v>16996.8854597596</v>
      </c>
      <c r="P1096" s="7" t="n">
        <f aca="false">MAX(E1096-E1095,0)</f>
        <v>0</v>
      </c>
      <c r="Q1096" s="7" t="n">
        <f aca="false">MAX(E1095-E1096,0)</f>
        <v>2.11999999999898</v>
      </c>
      <c r="R1096" s="7" t="n">
        <f aca="false">(R1095*13+P1096)/14</f>
        <v>99.511361714301</v>
      </c>
      <c r="S1096" s="7" t="n">
        <f aca="false">(S1095*13+Q1096)/14</f>
        <v>74.2331701883445</v>
      </c>
      <c r="T1096" s="7" t="n">
        <f aca="false">IF(S1096=0,100,100-100/(1+R1096/S1096))</f>
        <v>57.274528656856</v>
      </c>
      <c r="U1096" s="7" t="n">
        <f aca="false">E1096*2/13+U1095*11/13</f>
        <v>17743.3179488204</v>
      </c>
      <c r="V1096" s="7" t="n">
        <f aca="false">E1096*2/27+V1095*25/27</f>
        <v>17760.3381829959</v>
      </c>
      <c r="W1096" s="7" t="n">
        <f aca="false">U1096-V1096</f>
        <v>-17.0202341754302</v>
      </c>
      <c r="X1096" s="7" t="n">
        <f aca="false">W1096*2/10+X1095*8/10</f>
        <v>-93.7679032502607</v>
      </c>
      <c r="Y1096" s="7" t="n">
        <f aca="false">W1096-X1096</f>
        <v>76.7476690748305</v>
      </c>
      <c r="Z1096" s="8" t="s">
        <v>42</v>
      </c>
      <c r="AA1096" s="7" t="str">
        <f aca="false">IFERROR(INDEX(02_轉折點45!B:B,MATCH(A1096,02_轉折點45!A:A,0)),"")</f>
        <v/>
      </c>
      <c r="AB1096" s="7" t="n">
        <f aca="false">COUNTIFS(05_訊號明細!A:A,A1096,05_訊號明細!C:C,"TOP")</f>
        <v>0</v>
      </c>
      <c r="AC1096" s="7" t="n">
        <f aca="false">COUNTIFS(05_訊號明細!A:A,A1096,05_訊號明細!C:C,"BOTTOM")</f>
        <v>0</v>
      </c>
    </row>
    <row r="1097" customFormat="false" ht="15" hidden="false" customHeight="false" outlineLevel="0" collapsed="false">
      <c r="A1097" s="7" t="s">
        <v>1138</v>
      </c>
      <c r="B1097" s="7" t="n">
        <v>17987.7</v>
      </c>
      <c r="C1097" s="7" t="n">
        <v>18135.34</v>
      </c>
      <c r="D1097" s="7" t="n">
        <v>17987.7</v>
      </c>
      <c r="E1097" s="7" t="n">
        <v>18085.01</v>
      </c>
      <c r="F1097" s="7" t="n">
        <v>4530</v>
      </c>
      <c r="G1097" s="7" t="n">
        <f aca="false">AVERAGE(E1093:E1097)</f>
        <v>17940.474</v>
      </c>
      <c r="H1097" s="7" t="n">
        <f aca="false">AVERAGE(E1088:E1097)</f>
        <v>17739.313</v>
      </c>
      <c r="I1097" s="7" t="n">
        <f aca="false">AVERAGE(E1078:E1097)</f>
        <v>17662.9915</v>
      </c>
      <c r="J1097" s="7" t="n">
        <f aca="false">AVERAGE(E1048:E1097)</f>
        <v>17935.7242</v>
      </c>
      <c r="K1097" s="7" t="n">
        <f aca="false">AVERAGE(E998:E1097)</f>
        <v>17569.7699</v>
      </c>
      <c r="L1097" s="7" t="n">
        <f aca="false">AVERAGE(E898:E1097)</f>
        <v>16412.312</v>
      </c>
      <c r="M1097" s="7" t="n">
        <f aca="false">I1097</f>
        <v>17662.9915</v>
      </c>
      <c r="N1097" s="7" t="n">
        <f aca="false">I1097+2*STDEV(E1078:E1097)</f>
        <v>18334.3948685467</v>
      </c>
      <c r="O1097" s="7" t="n">
        <f aca="false">I1097-2*STDEV(E1078:E1097)</f>
        <v>16991.5881314534</v>
      </c>
      <c r="P1097" s="7" t="n">
        <f aca="false">MAX(E1097-E1096,0)</f>
        <v>0</v>
      </c>
      <c r="Q1097" s="7" t="n">
        <f aca="false">MAX(E1096-E1097,0)</f>
        <v>6.44000000000233</v>
      </c>
      <c r="R1097" s="7" t="n">
        <f aca="false">(R1096*13+P1097)/14</f>
        <v>92.4034073061366</v>
      </c>
      <c r="S1097" s="7" t="n">
        <f aca="false">(S1096*13+Q1097)/14</f>
        <v>69.3908008891772</v>
      </c>
      <c r="T1097" s="7" t="n">
        <f aca="false">IF(S1097=0,100,100-100/(1+R1097/S1097))</f>
        <v>57.111690422558</v>
      </c>
      <c r="U1097" s="7" t="n">
        <f aca="false">E1097*2/13+U1096*11/13</f>
        <v>17795.8859566942</v>
      </c>
      <c r="V1097" s="7" t="n">
        <f aca="false">E1097*2/27+V1096*25/27</f>
        <v>17784.3879472184</v>
      </c>
      <c r="W1097" s="7" t="n">
        <f aca="false">U1097-V1097</f>
        <v>11.4980094758212</v>
      </c>
      <c r="X1097" s="7" t="n">
        <f aca="false">W1097*2/10+X1096*8/10</f>
        <v>-72.7147207050443</v>
      </c>
      <c r="Y1097" s="7" t="n">
        <f aca="false">W1097-X1097</f>
        <v>84.2127301808655</v>
      </c>
      <c r="Z1097" s="8" t="s">
        <v>42</v>
      </c>
      <c r="AA1097" s="7" t="str">
        <f aca="false">IFERROR(INDEX(02_轉折點45!B:B,MATCH(A1097,02_轉折點45!A:A,0)),"")</f>
        <v/>
      </c>
      <c r="AB1097" s="7" t="n">
        <f aca="false">COUNTIFS(05_訊號明細!A:A,A1097,05_訊號明細!C:C,"TOP")</f>
        <v>0</v>
      </c>
      <c r="AC1097" s="7" t="n">
        <f aca="false">COUNTIFS(05_訊號明細!A:A,A1097,05_訊號明細!C:C,"BOTTOM")</f>
        <v>0</v>
      </c>
    </row>
    <row r="1098" customFormat="false" ht="15" hidden="false" customHeight="false" outlineLevel="0" collapsed="false">
      <c r="A1098" s="7" t="s">
        <v>1139</v>
      </c>
      <c r="B1098" s="7" t="n">
        <v>18095.8</v>
      </c>
      <c r="C1098" s="7" t="n">
        <v>18138.02</v>
      </c>
      <c r="D1098" s="7" t="n">
        <v>18012.62</v>
      </c>
      <c r="E1098" s="7" t="n">
        <v>18113.46</v>
      </c>
      <c r="F1098" s="7" t="n">
        <v>4505</v>
      </c>
      <c r="G1098" s="7" t="n">
        <f aca="false">AVERAGE(E1094:E1098)</f>
        <v>18054.858</v>
      </c>
      <c r="H1098" s="7" t="n">
        <f aca="false">AVERAGE(E1089:E1098)</f>
        <v>17807.609</v>
      </c>
      <c r="I1098" s="7" t="n">
        <f aca="false">AVERAGE(E1079:E1098)</f>
        <v>17653.2655</v>
      </c>
      <c r="J1098" s="7" t="n">
        <f aca="false">AVERAGE(E1049:E1098)</f>
        <v>17940.5034</v>
      </c>
      <c r="K1098" s="7" t="n">
        <f aca="false">AVERAGE(E999:E1098)</f>
        <v>17585.5262</v>
      </c>
      <c r="L1098" s="7" t="n">
        <f aca="false">AVERAGE(E899:E1098)</f>
        <v>16425.0722</v>
      </c>
      <c r="M1098" s="7" t="n">
        <f aca="false">I1098</f>
        <v>17653.2655</v>
      </c>
      <c r="N1098" s="7" t="n">
        <f aca="false">I1098+2*STDEV(E1079:E1098)</f>
        <v>18290.0727663059</v>
      </c>
      <c r="O1098" s="7" t="n">
        <f aca="false">I1098-2*STDEV(E1079:E1098)</f>
        <v>17016.4582336941</v>
      </c>
      <c r="P1098" s="7" t="n">
        <f aca="false">MAX(E1098-E1097,0)</f>
        <v>28.4500000000007</v>
      </c>
      <c r="Q1098" s="7" t="n">
        <f aca="false">MAX(E1097-E1098,0)</f>
        <v>0</v>
      </c>
      <c r="R1098" s="7" t="n">
        <f aca="false">(R1097*13+P1098)/14</f>
        <v>87.8353067842698</v>
      </c>
      <c r="S1098" s="7" t="n">
        <f aca="false">(S1097*13+Q1098)/14</f>
        <v>64.4343151113788</v>
      </c>
      <c r="T1098" s="7" t="n">
        <f aca="false">IF(S1098=0,100,100-100/(1+R1098/S1098))</f>
        <v>57.6840644186166</v>
      </c>
      <c r="U1098" s="7" t="n">
        <f aca="false">E1098*2/13+U1097*11/13</f>
        <v>17844.7435018182</v>
      </c>
      <c r="V1098" s="7" t="n">
        <f aca="false">E1098*2/27+V1097*25/27</f>
        <v>17808.7636548318</v>
      </c>
      <c r="W1098" s="7" t="n">
        <f aca="false">U1098-V1098</f>
        <v>35.9798469863345</v>
      </c>
      <c r="X1098" s="7" t="n">
        <f aca="false">W1098*2/10+X1097*8/10</f>
        <v>-50.9758071667686</v>
      </c>
      <c r="Y1098" s="7" t="n">
        <f aca="false">W1098-X1098</f>
        <v>86.955654153103</v>
      </c>
      <c r="Z1098" s="8" t="s">
        <v>42</v>
      </c>
      <c r="AA1098" s="7" t="str">
        <f aca="false">IFERROR(INDEX(02_轉折點45!B:B,MATCH(A1098,02_轉折點45!A:A,0)),"")</f>
        <v/>
      </c>
      <c r="AB1098" s="7" t="n">
        <f aca="false">COUNTIFS(05_訊號明細!A:A,A1098,05_訊號明細!C:C,"TOP")</f>
        <v>0</v>
      </c>
      <c r="AC1098" s="7" t="n">
        <f aca="false">COUNTIFS(05_訊號明細!A:A,A1098,05_訊號明細!C:C,"BOTTOM")</f>
        <v>0</v>
      </c>
    </row>
    <row r="1099" customFormat="false" ht="15" hidden="false" customHeight="false" outlineLevel="0" collapsed="false">
      <c r="A1099" s="7" t="s">
        <v>1140</v>
      </c>
      <c r="B1099" s="7" t="n">
        <v>18171.15</v>
      </c>
      <c r="C1099" s="7" t="n">
        <v>18247.61</v>
      </c>
      <c r="D1099" s="7" t="n">
        <v>18099.73</v>
      </c>
      <c r="E1099" s="7" t="n">
        <v>18161.18</v>
      </c>
      <c r="F1099" s="7" t="n">
        <v>4402</v>
      </c>
      <c r="G1099" s="7" t="n">
        <f aca="false">AVERAGE(E1095:E1099)</f>
        <v>18108.934</v>
      </c>
      <c r="H1099" s="7" t="n">
        <f aca="false">AVERAGE(E1090:E1099)</f>
        <v>17851.897</v>
      </c>
      <c r="I1099" s="7" t="n">
        <f aca="false">AVERAGE(E1080:E1099)</f>
        <v>17661.15</v>
      </c>
      <c r="J1099" s="7" t="n">
        <f aca="false">AVERAGE(E1050:E1099)</f>
        <v>17942.85</v>
      </c>
      <c r="K1099" s="7" t="n">
        <f aca="false">AVERAGE(E1000:E1099)</f>
        <v>17600.9035</v>
      </c>
      <c r="L1099" s="7" t="n">
        <f aca="false">AVERAGE(E900:E1099)</f>
        <v>16438.3818</v>
      </c>
      <c r="M1099" s="7" t="n">
        <f aca="false">I1099</f>
        <v>17661.15</v>
      </c>
      <c r="N1099" s="7" t="n">
        <f aca="false">I1099+2*STDEV(E1080:E1099)</f>
        <v>18319.7471103873</v>
      </c>
      <c r="O1099" s="7" t="n">
        <f aca="false">I1099-2*STDEV(E1080:E1099)</f>
        <v>17002.5528896127</v>
      </c>
      <c r="P1099" s="7" t="n">
        <f aca="false">MAX(E1099-E1098,0)</f>
        <v>47.7200000000012</v>
      </c>
      <c r="Q1099" s="7" t="n">
        <f aca="false">MAX(E1098-E1099,0)</f>
        <v>0</v>
      </c>
      <c r="R1099" s="7" t="n">
        <f aca="false">(R1098*13+P1099)/14</f>
        <v>84.9699277282506</v>
      </c>
      <c r="S1099" s="7" t="n">
        <f aca="false">(S1098*13+Q1099)/14</f>
        <v>59.8318640319946</v>
      </c>
      <c r="T1099" s="7" t="n">
        <f aca="false">IF(S1099=0,100,100-100/(1+R1099/S1099))</f>
        <v>58.6801632047061</v>
      </c>
      <c r="U1099" s="7" t="n">
        <f aca="false">E1099*2/13+U1098*11/13</f>
        <v>17893.42604</v>
      </c>
      <c r="V1099" s="7" t="n">
        <f aca="false">E1099*2/27+V1098*25/27</f>
        <v>17834.8685692887</v>
      </c>
      <c r="W1099" s="7" t="n">
        <f aca="false">U1099-V1099</f>
        <v>58.5574707112537</v>
      </c>
      <c r="X1099" s="7" t="n">
        <f aca="false">W1099*2/10+X1098*8/10</f>
        <v>-29.0691515911641</v>
      </c>
      <c r="Y1099" s="7" t="n">
        <f aca="false">W1099-X1099</f>
        <v>87.6266223024178</v>
      </c>
      <c r="Z1099" s="8" t="s">
        <v>42</v>
      </c>
      <c r="AA1099" s="7" t="str">
        <f aca="false">IFERROR(INDEX(02_轉折點45!B:B,MATCH(A1099,02_轉折點45!A:A,0)),"")</f>
        <v/>
      </c>
      <c r="AB1099" s="7" t="n">
        <f aca="false">COUNTIFS(05_訊號明細!A:A,A1099,05_訊號明細!C:C,"TOP")</f>
        <v>0</v>
      </c>
      <c r="AC1099" s="7" t="n">
        <f aca="false">COUNTIFS(05_訊號明細!A:A,A1099,05_訊號明細!C:C,"BOTTOM")</f>
        <v>0</v>
      </c>
    </row>
    <row r="1100" customFormat="false" ht="15" hidden="false" customHeight="false" outlineLevel="0" collapsed="false">
      <c r="A1100" s="7" t="s">
        <v>1141</v>
      </c>
      <c r="B1100" s="7" t="n">
        <v>18228.4</v>
      </c>
      <c r="C1100" s="7" t="n">
        <v>18233.5</v>
      </c>
      <c r="D1100" s="7" t="n">
        <v>18147.57</v>
      </c>
      <c r="E1100" s="7" t="n">
        <v>18198.61</v>
      </c>
      <c r="F1100" s="7" t="n">
        <v>4453</v>
      </c>
      <c r="G1100" s="7" t="n">
        <f aca="false">AVERAGE(E1096:E1100)</f>
        <v>18129.942</v>
      </c>
      <c r="H1100" s="7" t="n">
        <f aca="false">AVERAGE(E1091:E1100)</f>
        <v>17893.486</v>
      </c>
      <c r="I1100" s="7" t="n">
        <f aca="false">AVERAGE(E1081:E1100)</f>
        <v>17685.739</v>
      </c>
      <c r="J1100" s="7" t="n">
        <f aca="false">AVERAGE(E1051:E1100)</f>
        <v>17940.764</v>
      </c>
      <c r="K1100" s="7" t="n">
        <f aca="false">AVERAGE(E1001:E1100)</f>
        <v>17615.5916</v>
      </c>
      <c r="L1100" s="7" t="n">
        <f aca="false">AVERAGE(E901:E1100)</f>
        <v>16452.0502</v>
      </c>
      <c r="M1100" s="7" t="n">
        <f aca="false">I1100</f>
        <v>17685.739</v>
      </c>
      <c r="N1100" s="7" t="n">
        <f aca="false">I1100+2*STDEV(E1081:E1100)</f>
        <v>18386.8655283182</v>
      </c>
      <c r="O1100" s="7" t="n">
        <f aca="false">I1100-2*STDEV(E1081:E1100)</f>
        <v>16984.6124716818</v>
      </c>
      <c r="P1100" s="7" t="n">
        <f aca="false">MAX(E1100-E1099,0)</f>
        <v>37.4300000000003</v>
      </c>
      <c r="Q1100" s="7" t="n">
        <f aca="false">MAX(E1099-E1100,0)</f>
        <v>0</v>
      </c>
      <c r="R1100" s="7" t="n">
        <f aca="false">(R1099*13+P1100)/14</f>
        <v>81.5742186048041</v>
      </c>
      <c r="S1100" s="7" t="n">
        <f aca="false">(S1099*13+Q1100)/14</f>
        <v>55.5581594582807</v>
      </c>
      <c r="T1100" s="7" t="n">
        <f aca="false">IF(S1100=0,100,100-100/(1+R1100/S1100))</f>
        <v>59.4857463693058</v>
      </c>
      <c r="U1100" s="7" t="n">
        <f aca="false">E1100*2/13+U1099*11/13</f>
        <v>17940.3774184615</v>
      </c>
      <c r="V1100" s="7" t="n">
        <f aca="false">E1100*2/27+V1099*25/27</f>
        <v>17861.8123789711</v>
      </c>
      <c r="W1100" s="7" t="n">
        <f aca="false">U1100-V1100</f>
        <v>78.5650394904733</v>
      </c>
      <c r="X1100" s="7" t="n">
        <f aca="false">W1100*2/10+X1099*8/10</f>
        <v>-7.54231337483664</v>
      </c>
      <c r="Y1100" s="7" t="n">
        <f aca="false">W1100-X1100</f>
        <v>86.1073528653099</v>
      </c>
      <c r="Z1100" s="8" t="s">
        <v>42</v>
      </c>
      <c r="AA1100" s="7" t="str">
        <f aca="false">IFERROR(INDEX(02_轉折點45!B:B,MATCH(A1100,02_轉折點45!A:A,0)),"")</f>
        <v/>
      </c>
      <c r="AB1100" s="7" t="n">
        <f aca="false">COUNTIFS(05_訊號明細!A:A,A1100,05_訊號明細!C:C,"TOP")</f>
        <v>0</v>
      </c>
      <c r="AC1100" s="7" t="n">
        <f aca="false">COUNTIFS(05_訊號明細!A:A,A1100,05_訊號明細!C:C,"BOTTOM")</f>
        <v>0</v>
      </c>
    </row>
    <row r="1101" customFormat="false" ht="15" hidden="false" customHeight="false" outlineLevel="0" collapsed="false">
      <c r="A1101" s="7" t="s">
        <v>1142</v>
      </c>
      <c r="B1101" s="7" t="n">
        <v>18187.51</v>
      </c>
      <c r="C1101" s="7" t="n">
        <v>18339.58</v>
      </c>
      <c r="D1101" s="7" t="n">
        <v>18175.3</v>
      </c>
      <c r="E1101" s="7" t="n">
        <v>18322.77</v>
      </c>
      <c r="F1101" s="7" t="n">
        <v>7270</v>
      </c>
      <c r="G1101" s="7" t="n">
        <f aca="false">AVERAGE(E1097:E1101)</f>
        <v>18176.206</v>
      </c>
      <c r="H1101" s="7" t="n">
        <f aca="false">AVERAGE(E1092:E1101)</f>
        <v>17981.694</v>
      </c>
      <c r="I1101" s="7" t="n">
        <f aca="false">AVERAGE(E1082:E1101)</f>
        <v>17716.1945</v>
      </c>
      <c r="J1101" s="7" t="n">
        <f aca="false">AVERAGE(E1052:E1101)</f>
        <v>17942.6898</v>
      </c>
      <c r="K1101" s="7" t="n">
        <f aca="false">AVERAGE(E1002:E1101)</f>
        <v>17630.7008</v>
      </c>
      <c r="L1101" s="7" t="n">
        <f aca="false">AVERAGE(E902:E1101)</f>
        <v>16464.9094</v>
      </c>
      <c r="M1101" s="7" t="n">
        <f aca="false">I1101</f>
        <v>17716.1945</v>
      </c>
      <c r="N1101" s="7" t="n">
        <f aca="false">I1101+2*STDEV(E1082:E1101)</f>
        <v>18473.1239765863</v>
      </c>
      <c r="O1101" s="7" t="n">
        <f aca="false">I1101-2*STDEV(E1082:E1101)</f>
        <v>16959.2650234137</v>
      </c>
      <c r="P1101" s="7" t="n">
        <f aca="false">MAX(E1101-E1100,0)</f>
        <v>124.16</v>
      </c>
      <c r="Q1101" s="7" t="n">
        <f aca="false">MAX(E1100-E1101,0)</f>
        <v>0</v>
      </c>
      <c r="R1101" s="7" t="n">
        <f aca="false">(R1100*13+P1101)/14</f>
        <v>84.6160601330324</v>
      </c>
      <c r="S1101" s="7" t="n">
        <f aca="false">(S1100*13+Q1101)/14</f>
        <v>51.5897194969749</v>
      </c>
      <c r="T1101" s="7" t="n">
        <f aca="false">IF(S1101=0,100,100-100/(1+R1101/S1101))</f>
        <v>62.1236928145674</v>
      </c>
      <c r="U1101" s="7" t="n">
        <f aca="false">E1101*2/13+U1100*11/13</f>
        <v>17999.2070463905</v>
      </c>
      <c r="V1101" s="7" t="n">
        <f aca="false">E1101*2/27+V1100*25/27</f>
        <v>17895.9573879362</v>
      </c>
      <c r="W1101" s="7" t="n">
        <f aca="false">U1101-V1101</f>
        <v>103.249658454359</v>
      </c>
      <c r="X1101" s="7" t="n">
        <f aca="false">W1101*2/10+X1100*8/10</f>
        <v>14.6160809910024</v>
      </c>
      <c r="Y1101" s="7" t="n">
        <f aca="false">W1101-X1101</f>
        <v>88.6335774633563</v>
      </c>
      <c r="Z1101" s="8" t="s">
        <v>42</v>
      </c>
      <c r="AA1101" s="7" t="str">
        <f aca="false">IFERROR(INDEX(02_轉折點45!B:B,MATCH(A1101,02_轉折點45!A:A,0)),"")</f>
        <v/>
      </c>
      <c r="AB1101" s="7" t="n">
        <f aca="false">COUNTIFS(05_訊號明細!A:A,A1101,05_訊號明細!C:C,"TOP")</f>
        <v>0</v>
      </c>
      <c r="AC1101" s="7" t="n">
        <f aca="false">COUNTIFS(05_訊號明細!A:A,A1101,05_訊號明細!C:C,"BOTTOM")</f>
        <v>0</v>
      </c>
    </row>
    <row r="1102" customFormat="false" ht="15" hidden="false" customHeight="false" outlineLevel="0" collapsed="false">
      <c r="A1102" s="7" t="s">
        <v>1143</v>
      </c>
      <c r="B1102" s="7" t="n">
        <v>18412.81</v>
      </c>
      <c r="C1102" s="7" t="n">
        <v>18607.53</v>
      </c>
      <c r="D1102" s="7" t="n">
        <v>18359.32</v>
      </c>
      <c r="E1102" s="7" t="n">
        <v>18596.65</v>
      </c>
      <c r="F1102" s="7" t="n">
        <v>8539</v>
      </c>
      <c r="G1102" s="7" t="n">
        <f aca="false">AVERAGE(E1098:E1102)</f>
        <v>18278.534</v>
      </c>
      <c r="H1102" s="7" t="n">
        <f aca="false">AVERAGE(E1093:E1102)</f>
        <v>18109.504</v>
      </c>
      <c r="I1102" s="7" t="n">
        <f aca="false">AVERAGE(E1083:E1102)</f>
        <v>17771.346</v>
      </c>
      <c r="J1102" s="7" t="n">
        <f aca="false">AVERAGE(E1053:E1102)</f>
        <v>17956.6654</v>
      </c>
      <c r="K1102" s="7" t="n">
        <f aca="false">AVERAGE(E1003:E1102)</f>
        <v>17651.1257</v>
      </c>
      <c r="L1102" s="7" t="n">
        <f aca="false">AVERAGE(E903:E1102)</f>
        <v>16479.10765</v>
      </c>
      <c r="M1102" s="7" t="n">
        <f aca="false">I1102</f>
        <v>17771.346</v>
      </c>
      <c r="N1102" s="7" t="n">
        <f aca="false">I1102+2*STDEV(E1083:E1102)</f>
        <v>18615.6837130384</v>
      </c>
      <c r="O1102" s="7" t="n">
        <f aca="false">I1102-2*STDEV(E1083:E1102)</f>
        <v>16927.0082869616</v>
      </c>
      <c r="P1102" s="7" t="n">
        <f aca="false">MAX(E1102-E1101,0)</f>
        <v>273.880000000001</v>
      </c>
      <c r="Q1102" s="7" t="n">
        <f aca="false">MAX(E1101-E1102,0)</f>
        <v>0</v>
      </c>
      <c r="R1102" s="7" t="n">
        <f aca="false">(R1101*13+P1102)/14</f>
        <v>98.134912980673</v>
      </c>
      <c r="S1102" s="7" t="n">
        <f aca="false">(S1101*13+Q1102)/14</f>
        <v>47.9047395329053</v>
      </c>
      <c r="T1102" s="7" t="n">
        <f aca="false">IF(S1102=0,100,100-100/(1+R1102/S1102))</f>
        <v>67.1974434967577</v>
      </c>
      <c r="U1102" s="7" t="n">
        <f aca="false">E1102*2/13+U1101*11/13</f>
        <v>18091.1213469458</v>
      </c>
      <c r="V1102" s="7" t="n">
        <f aca="false">E1102*2/27+V1101*25/27</f>
        <v>17947.8605443853</v>
      </c>
      <c r="W1102" s="7" t="n">
        <f aca="false">U1102-V1102</f>
        <v>143.260802560493</v>
      </c>
      <c r="X1102" s="7" t="n">
        <f aca="false">W1102*2/10+X1101*8/10</f>
        <v>40.3450253049006</v>
      </c>
      <c r="Y1102" s="7" t="n">
        <f aca="false">W1102-X1102</f>
        <v>102.915777255593</v>
      </c>
      <c r="Z1102" s="8" t="s">
        <v>42</v>
      </c>
      <c r="AA1102" s="7" t="str">
        <f aca="false">IFERROR(INDEX(02_轉折點45!B:B,MATCH(A1102,02_轉折點45!A:A,0)),"")</f>
        <v/>
      </c>
      <c r="AB1102" s="7" t="n">
        <f aca="false">COUNTIFS(05_訊號明細!A:A,A1102,05_訊號明細!C:C,"TOP")</f>
        <v>0</v>
      </c>
      <c r="AC1102" s="7" t="n">
        <f aca="false">COUNTIFS(05_訊號明細!A:A,A1102,05_訊號明細!C:C,"BOTTOM")</f>
        <v>0</v>
      </c>
    </row>
    <row r="1103" customFormat="false" ht="15" hidden="false" customHeight="false" outlineLevel="0" collapsed="false">
      <c r="A1103" s="7" t="s">
        <v>1144</v>
      </c>
      <c r="B1103" s="7" t="n">
        <v>18589.98</v>
      </c>
      <c r="C1103" s="7" t="n">
        <v>18669.5</v>
      </c>
      <c r="D1103" s="7" t="n">
        <v>18553.3</v>
      </c>
      <c r="E1103" s="7" t="n">
        <v>18557.96</v>
      </c>
      <c r="F1103" s="7" t="n">
        <v>11933</v>
      </c>
      <c r="G1103" s="7" t="n">
        <f aca="false">AVERAGE(E1099:E1103)</f>
        <v>18367.434</v>
      </c>
      <c r="H1103" s="7" t="n">
        <f aca="false">AVERAGE(E1094:E1103)</f>
        <v>18211.146</v>
      </c>
      <c r="I1103" s="7" t="n">
        <f aca="false">AVERAGE(E1084:E1103)</f>
        <v>17829.5285</v>
      </c>
      <c r="J1103" s="7" t="n">
        <f aca="false">AVERAGE(E1054:E1103)</f>
        <v>17967.4732</v>
      </c>
      <c r="K1103" s="7" t="n">
        <f aca="false">AVERAGE(E1004:E1103)</f>
        <v>17669.1312</v>
      </c>
      <c r="L1103" s="7" t="n">
        <f aca="false">AVERAGE(E904:E1103)</f>
        <v>16493.3074</v>
      </c>
      <c r="M1103" s="7" t="n">
        <f aca="false">I1103</f>
        <v>17829.5285</v>
      </c>
      <c r="N1103" s="7" t="n">
        <f aca="false">I1103+2*STDEV(E1084:E1103)</f>
        <v>18723.3912821757</v>
      </c>
      <c r="O1103" s="7" t="n">
        <f aca="false">I1103-2*STDEV(E1084:E1103)</f>
        <v>16935.6657178243</v>
      </c>
      <c r="P1103" s="7" t="n">
        <f aca="false">MAX(E1103-E1102,0)</f>
        <v>0</v>
      </c>
      <c r="Q1103" s="7" t="n">
        <f aca="false">MAX(E1102-E1103,0)</f>
        <v>38.6900000000023</v>
      </c>
      <c r="R1103" s="7" t="n">
        <f aca="false">(R1102*13+P1103)/14</f>
        <v>91.1252763391964</v>
      </c>
      <c r="S1103" s="7" t="n">
        <f aca="false">(S1102*13+Q1103)/14</f>
        <v>47.2465438519836</v>
      </c>
      <c r="T1103" s="7" t="n">
        <f aca="false">IF(S1103=0,100,100-100/(1+R1103/S1103))</f>
        <v>65.8553715729793</v>
      </c>
      <c r="U1103" s="7" t="n">
        <f aca="false">E1103*2/13+U1102*11/13</f>
        <v>18162.9426781849</v>
      </c>
      <c r="V1103" s="7" t="n">
        <f aca="false">E1103*2/27+V1102*25/27</f>
        <v>17993.0530966531</v>
      </c>
      <c r="W1103" s="7" t="n">
        <f aca="false">U1103-V1103</f>
        <v>169.889581531847</v>
      </c>
      <c r="X1103" s="7" t="n">
        <f aca="false">W1103*2/10+X1102*8/10</f>
        <v>66.2539365502898</v>
      </c>
      <c r="Y1103" s="7" t="n">
        <f aca="false">W1103-X1103</f>
        <v>103.635644981557</v>
      </c>
      <c r="Z1103" s="8" t="s">
        <v>42</v>
      </c>
      <c r="AA1103" s="7" t="str">
        <f aca="false">IFERROR(INDEX(02_轉折點45!B:B,MATCH(A1103,02_轉折點45!A:A,0)),"")</f>
        <v/>
      </c>
      <c r="AB1103" s="7" t="n">
        <f aca="false">COUNTIFS(05_訊號明細!A:A,A1103,05_訊號明細!C:C,"TOP")</f>
        <v>0</v>
      </c>
      <c r="AC1103" s="7" t="n">
        <f aca="false">COUNTIFS(05_訊號明細!A:A,A1103,05_訊號明細!C:C,"BOTTOM")</f>
        <v>0</v>
      </c>
    </row>
    <row r="1104" customFormat="false" ht="15" hidden="false" customHeight="false" outlineLevel="0" collapsed="false">
      <c r="A1104" s="7" t="s">
        <v>1145</v>
      </c>
      <c r="B1104" s="7" t="n">
        <v>18571.82</v>
      </c>
      <c r="C1104" s="7" t="n">
        <v>18590.37</v>
      </c>
      <c r="D1104" s="7" t="n">
        <v>18462.25</v>
      </c>
      <c r="E1104" s="7" t="n">
        <v>18546.23</v>
      </c>
      <c r="F1104" s="7" t="n">
        <v>9587</v>
      </c>
      <c r="G1104" s="7" t="n">
        <f aca="false">AVERAGE(E1100:E1104)</f>
        <v>18444.444</v>
      </c>
      <c r="H1104" s="7" t="n">
        <f aca="false">AVERAGE(E1095:E1104)</f>
        <v>18276.689</v>
      </c>
      <c r="I1104" s="7" t="n">
        <f aca="false">AVERAGE(E1085:E1104)</f>
        <v>17904.9575</v>
      </c>
      <c r="J1104" s="7" t="n">
        <f aca="false">AVERAGE(E1055:E1104)</f>
        <v>17972.438</v>
      </c>
      <c r="K1104" s="7" t="n">
        <f aca="false">AVERAGE(E1005:E1104)</f>
        <v>17686.8195</v>
      </c>
      <c r="L1104" s="7" t="n">
        <f aca="false">AVERAGE(E905:E1104)</f>
        <v>16509.18485</v>
      </c>
      <c r="M1104" s="7" t="n">
        <f aca="false">I1104</f>
        <v>17904.9575</v>
      </c>
      <c r="N1104" s="7" t="n">
        <f aca="false">I1104+2*STDEV(E1085:E1104)</f>
        <v>18771.6517032167</v>
      </c>
      <c r="O1104" s="7" t="n">
        <f aca="false">I1104-2*STDEV(E1085:E1104)</f>
        <v>17038.2632967833</v>
      </c>
      <c r="P1104" s="7" t="n">
        <f aca="false">MAX(E1104-E1103,0)</f>
        <v>0</v>
      </c>
      <c r="Q1104" s="7" t="n">
        <f aca="false">MAX(E1103-E1104,0)</f>
        <v>11.7299999999996</v>
      </c>
      <c r="R1104" s="7" t="n">
        <f aca="false">(R1103*13+P1104)/14</f>
        <v>84.6163280292538</v>
      </c>
      <c r="S1104" s="7" t="n">
        <f aca="false">(S1103*13+Q1104)/14</f>
        <v>44.7096478625562</v>
      </c>
      <c r="T1104" s="7" t="n">
        <f aca="false">IF(S1104=0,100,100-100/(1+R1104/S1104))</f>
        <v>65.4287179708128</v>
      </c>
      <c r="U1104" s="7" t="n">
        <f aca="false">E1104*2/13+U1103*11/13</f>
        <v>18221.9099584642</v>
      </c>
      <c r="V1104" s="7" t="n">
        <f aca="false">E1104*2/27+V1103*25/27</f>
        <v>18034.0291635677</v>
      </c>
      <c r="W1104" s="7" t="n">
        <f aca="false">U1104-V1104</f>
        <v>187.880794896504</v>
      </c>
      <c r="X1104" s="7" t="n">
        <f aca="false">W1104*2/10+X1103*8/10</f>
        <v>90.5793082195326</v>
      </c>
      <c r="Y1104" s="7" t="n">
        <f aca="false">W1104-X1104</f>
        <v>97.3014866769715</v>
      </c>
      <c r="Z1104" s="8" t="s">
        <v>42</v>
      </c>
      <c r="AA1104" s="7" t="str">
        <f aca="false">IFERROR(INDEX(02_轉折點45!B:B,MATCH(A1104,02_轉折點45!A:A,0)),"")</f>
        <v/>
      </c>
      <c r="AB1104" s="7" t="n">
        <f aca="false">COUNTIFS(05_訊號明細!A:A,A1104,05_訊號明細!C:C,"TOP")</f>
        <v>0</v>
      </c>
      <c r="AC1104" s="7" t="n">
        <f aca="false">COUNTIFS(05_訊號明細!A:A,A1104,05_訊號明細!C:C,"BOTTOM")</f>
        <v>0</v>
      </c>
    </row>
    <row r="1105" customFormat="false" ht="15" hidden="false" customHeight="false" outlineLevel="0" collapsed="false">
      <c r="A1105" s="7" t="s">
        <v>1146</v>
      </c>
      <c r="B1105" s="7" t="n">
        <v>18559.22</v>
      </c>
      <c r="C1105" s="7" t="n">
        <v>18703.83</v>
      </c>
      <c r="D1105" s="7" t="n">
        <v>18549.84</v>
      </c>
      <c r="E1105" s="7" t="n">
        <v>18674.19</v>
      </c>
      <c r="F1105" s="7" t="n">
        <v>6861</v>
      </c>
      <c r="G1105" s="7" t="n">
        <f aca="false">AVERAGE(E1101:E1105)</f>
        <v>18539.56</v>
      </c>
      <c r="H1105" s="7" t="n">
        <f aca="false">AVERAGE(E1096:E1105)</f>
        <v>18334.751</v>
      </c>
      <c r="I1105" s="7" t="n">
        <f aca="false">AVERAGE(E1086:E1105)</f>
        <v>17978.1225</v>
      </c>
      <c r="J1105" s="7" t="n">
        <f aca="false">AVERAGE(E1056:E1105)</f>
        <v>17985.5528</v>
      </c>
      <c r="K1105" s="7" t="n">
        <f aca="false">AVERAGE(E1006:E1105)</f>
        <v>17704.7768</v>
      </c>
      <c r="L1105" s="7" t="n">
        <f aca="false">AVERAGE(E906:E1105)</f>
        <v>16525.7881</v>
      </c>
      <c r="M1105" s="7" t="n">
        <f aca="false">I1105</f>
        <v>17978.1225</v>
      </c>
      <c r="N1105" s="7" t="n">
        <f aca="false">I1105+2*STDEV(E1086:E1105)</f>
        <v>18845.1720765556</v>
      </c>
      <c r="O1105" s="7" t="n">
        <f aca="false">I1105-2*STDEV(E1086:E1105)</f>
        <v>17111.0729234444</v>
      </c>
      <c r="P1105" s="7" t="n">
        <f aca="false">MAX(E1105-E1104,0)</f>
        <v>127.959999999999</v>
      </c>
      <c r="Q1105" s="7" t="n">
        <f aca="false">MAX(E1104-E1105,0)</f>
        <v>0</v>
      </c>
      <c r="R1105" s="7" t="n">
        <f aca="false">(R1104*13+P1105)/14</f>
        <v>87.7123045985927</v>
      </c>
      <c r="S1105" s="7" t="n">
        <f aca="false">(S1104*13+Q1105)/14</f>
        <v>41.5161015866593</v>
      </c>
      <c r="T1105" s="7" t="n">
        <f aca="false">IF(S1105=0,100,100-100/(1+R1105/S1105))</f>
        <v>67.8738577591486</v>
      </c>
      <c r="U1105" s="7" t="n">
        <f aca="false">E1105*2/13+U1104*11/13</f>
        <v>18291.4915033158</v>
      </c>
      <c r="V1105" s="7" t="n">
        <f aca="false">E1105*2/27+V1104*25/27</f>
        <v>18081.4484847849</v>
      </c>
      <c r="W1105" s="7" t="n">
        <f aca="false">U1105-V1105</f>
        <v>210.04301853096</v>
      </c>
      <c r="X1105" s="7" t="n">
        <f aca="false">W1105*2/10+X1104*8/10</f>
        <v>114.472050281818</v>
      </c>
      <c r="Y1105" s="7" t="n">
        <f aca="false">W1105-X1105</f>
        <v>95.5709682491416</v>
      </c>
      <c r="Z1105" s="8" t="s">
        <v>42</v>
      </c>
      <c r="AA1105" s="7" t="str">
        <f aca="false">IFERROR(INDEX(02_轉折點45!B:B,MATCH(A1105,02_轉折點45!A:A,0)),"")</f>
        <v/>
      </c>
      <c r="AB1105" s="7" t="n">
        <f aca="false">COUNTIFS(05_訊號明細!A:A,A1105,05_訊號明細!C:C,"TOP")</f>
        <v>0</v>
      </c>
      <c r="AC1105" s="7" t="n">
        <f aca="false">COUNTIFS(05_訊號明細!A:A,A1105,05_訊號明細!C:C,"BOTTOM")</f>
        <v>0</v>
      </c>
    </row>
    <row r="1106" customFormat="false" ht="15" hidden="false" customHeight="false" outlineLevel="0" collapsed="false">
      <c r="A1106" s="7" t="s">
        <v>1147</v>
      </c>
      <c r="B1106" s="7" t="n">
        <v>18603.99</v>
      </c>
      <c r="C1106" s="7" t="n">
        <v>18721.18</v>
      </c>
      <c r="D1106" s="7" t="n">
        <v>18589.91</v>
      </c>
      <c r="E1106" s="7" t="n">
        <v>18713.8</v>
      </c>
      <c r="F1106" s="7" t="n">
        <v>6245</v>
      </c>
      <c r="G1106" s="7" t="n">
        <f aca="false">AVERAGE(E1102:E1106)</f>
        <v>18617.766</v>
      </c>
      <c r="H1106" s="7" t="n">
        <f aca="false">AVERAGE(E1097:E1106)</f>
        <v>18396.986</v>
      </c>
      <c r="I1106" s="7" t="n">
        <f aca="false">AVERAGE(E1087:E1106)</f>
        <v>18040.239</v>
      </c>
      <c r="J1106" s="7" t="n">
        <f aca="false">AVERAGE(E1057:E1106)</f>
        <v>18000.795</v>
      </c>
      <c r="K1106" s="7" t="n">
        <f aca="false">AVERAGE(E1007:E1106)</f>
        <v>17722.8468</v>
      </c>
      <c r="L1106" s="7" t="n">
        <f aca="false">AVERAGE(E907:E1106)</f>
        <v>16542.9825</v>
      </c>
      <c r="M1106" s="7" t="n">
        <f aca="false">I1106</f>
        <v>18040.239</v>
      </c>
      <c r="N1106" s="7" t="n">
        <f aca="false">I1106+2*STDEV(E1087:E1106)</f>
        <v>18932.1071205059</v>
      </c>
      <c r="O1106" s="7" t="n">
        <f aca="false">I1106-2*STDEV(E1087:E1106)</f>
        <v>17148.3708794941</v>
      </c>
      <c r="P1106" s="7" t="n">
        <f aca="false">MAX(E1106-E1105,0)</f>
        <v>39.6100000000006</v>
      </c>
      <c r="Q1106" s="7" t="n">
        <f aca="false">MAX(E1105-E1106,0)</f>
        <v>0</v>
      </c>
      <c r="R1106" s="7" t="n">
        <f aca="false">(R1105*13+P1106)/14</f>
        <v>84.2764256986933</v>
      </c>
      <c r="S1106" s="7" t="n">
        <f aca="false">(S1105*13+Q1106)/14</f>
        <v>38.5506657590408</v>
      </c>
      <c r="T1106" s="7" t="n">
        <f aca="false">IF(S1106=0,100,100-100/(1+R1106/S1106))</f>
        <v>68.6138739413964</v>
      </c>
      <c r="U1106" s="7" t="n">
        <f aca="false">E1106*2/13+U1105*11/13</f>
        <v>18356.4620412673</v>
      </c>
      <c r="V1106" s="7" t="n">
        <f aca="false">E1106*2/27+V1105*25/27</f>
        <v>18128.2893377638</v>
      </c>
      <c r="W1106" s="7" t="n">
        <f aca="false">U1106-V1106</f>
        <v>228.172703503471</v>
      </c>
      <c r="X1106" s="7" t="n">
        <f aca="false">W1106*2/10+X1105*8/10</f>
        <v>137.212180926149</v>
      </c>
      <c r="Y1106" s="7" t="n">
        <f aca="false">W1106-X1106</f>
        <v>90.9605225773224</v>
      </c>
      <c r="Z1106" s="8" t="s">
        <v>42</v>
      </c>
      <c r="AA1106" s="7" t="str">
        <f aca="false">IFERROR(INDEX(02_轉折點45!B:B,MATCH(A1106,02_轉折點45!A:A,0)),"")</f>
        <v/>
      </c>
      <c r="AB1106" s="7" t="n">
        <f aca="false">COUNTIFS(05_訊號明細!A:A,A1106,05_訊號明細!C:C,"TOP")</f>
        <v>0</v>
      </c>
      <c r="AC1106" s="7" t="n">
        <f aca="false">COUNTIFS(05_訊號明細!A:A,A1106,05_訊號明細!C:C,"BOTTOM")</f>
        <v>0</v>
      </c>
    </row>
    <row r="1107" customFormat="false" ht="15" hidden="false" customHeight="false" outlineLevel="0" collapsed="false">
      <c r="A1107" s="7" t="s">
        <v>1148</v>
      </c>
      <c r="B1107" s="7" t="n">
        <v>18733.54</v>
      </c>
      <c r="C1107" s="7" t="n">
        <v>18756.69</v>
      </c>
      <c r="D1107" s="7" t="n">
        <v>18606.16</v>
      </c>
      <c r="E1107" s="7" t="n">
        <v>18705.2</v>
      </c>
      <c r="F1107" s="7" t="n">
        <v>7277</v>
      </c>
      <c r="G1107" s="7" t="n">
        <f aca="false">AVERAGE(E1103:E1107)</f>
        <v>18639.476</v>
      </c>
      <c r="H1107" s="7" t="n">
        <f aca="false">AVERAGE(E1098:E1107)</f>
        <v>18459.005</v>
      </c>
      <c r="I1107" s="7" t="n">
        <f aca="false">AVERAGE(E1088:E1107)</f>
        <v>18099.159</v>
      </c>
      <c r="J1107" s="7" t="n">
        <f aca="false">AVERAGE(E1058:E1107)</f>
        <v>18010.5168</v>
      </c>
      <c r="K1107" s="7" t="n">
        <f aca="false">AVERAGE(E1008:E1107)</f>
        <v>17740.9141</v>
      </c>
      <c r="L1107" s="7" t="n">
        <f aca="false">AVERAGE(E908:E1107)</f>
        <v>16559.46925</v>
      </c>
      <c r="M1107" s="7" t="n">
        <f aca="false">I1107</f>
        <v>18099.159</v>
      </c>
      <c r="N1107" s="7" t="n">
        <f aca="false">I1107+2*STDEV(E1088:E1107)</f>
        <v>19003.8146463306</v>
      </c>
      <c r="O1107" s="7" t="n">
        <f aca="false">I1107-2*STDEV(E1088:E1107)</f>
        <v>17194.5033536694</v>
      </c>
      <c r="P1107" s="7" t="n">
        <f aca="false">MAX(E1107-E1106,0)</f>
        <v>0</v>
      </c>
      <c r="Q1107" s="7" t="n">
        <f aca="false">MAX(E1106-E1107,0)</f>
        <v>8.59999999999855</v>
      </c>
      <c r="R1107" s="7" t="n">
        <f aca="false">(R1106*13+P1107)/14</f>
        <v>78.2566810059295</v>
      </c>
      <c r="S1107" s="7" t="n">
        <f aca="false">(S1106*13+Q1107)/14</f>
        <v>36.4113324905378</v>
      </c>
      <c r="T1107" s="7" t="n">
        <f aca="false">IF(S1107=0,100,100-100/(1+R1107/S1107))</f>
        <v>68.2463039340439</v>
      </c>
      <c r="U1107" s="7" t="n">
        <f aca="false">E1107*2/13+U1106*11/13</f>
        <v>18410.1140349184</v>
      </c>
      <c r="V1107" s="7" t="n">
        <f aca="false">E1107*2/27+V1106*25/27</f>
        <v>18171.0234608924</v>
      </c>
      <c r="W1107" s="7" t="n">
        <f aca="false">U1107-V1107</f>
        <v>239.090574026053</v>
      </c>
      <c r="X1107" s="7" t="n">
        <f aca="false">W1107*2/10+X1106*8/10</f>
        <v>157.58785954613</v>
      </c>
      <c r="Y1107" s="7" t="n">
        <f aca="false">W1107-X1107</f>
        <v>81.5027144799237</v>
      </c>
      <c r="Z1107" s="8" t="s">
        <v>42</v>
      </c>
      <c r="AA1107" s="7" t="str">
        <f aca="false">IFERROR(INDEX(02_轉折點45!B:B,MATCH(A1107,02_轉折點45!A:A,0)),"")</f>
        <v/>
      </c>
      <c r="AB1107" s="7" t="n">
        <f aca="false">COUNTIFS(05_訊號明細!A:A,A1107,05_訊號明細!C:C,"TOP")</f>
        <v>0</v>
      </c>
      <c r="AC1107" s="7" t="n">
        <f aca="false">COUNTIFS(05_訊號明細!A:A,A1107,05_訊號明細!C:C,"BOTTOM")</f>
        <v>0</v>
      </c>
    </row>
    <row r="1108" customFormat="false" ht="15" hidden="false" customHeight="false" outlineLevel="0" collapsed="false">
      <c r="A1108" s="7" t="s">
        <v>1149</v>
      </c>
      <c r="B1108" s="7" t="n">
        <v>18907.14</v>
      </c>
      <c r="C1108" s="7" t="n">
        <v>18907.54</v>
      </c>
      <c r="D1108" s="7" t="n">
        <v>18554.89</v>
      </c>
      <c r="E1108" s="7" t="n">
        <v>18623.39</v>
      </c>
      <c r="F1108" s="7" t="n">
        <v>7753</v>
      </c>
      <c r="G1108" s="7" t="n">
        <f aca="false">AVERAGE(E1104:E1108)</f>
        <v>18652.562</v>
      </c>
      <c r="H1108" s="7" t="n">
        <f aca="false">AVERAGE(E1099:E1108)</f>
        <v>18509.998</v>
      </c>
      <c r="I1108" s="7" t="n">
        <f aca="false">AVERAGE(E1089:E1108)</f>
        <v>18158.8035</v>
      </c>
      <c r="J1108" s="7" t="n">
        <f aca="false">AVERAGE(E1059:E1108)</f>
        <v>18021.6152</v>
      </c>
      <c r="K1108" s="7" t="n">
        <f aca="false">AVERAGE(E1009:E1108)</f>
        <v>17758.8887</v>
      </c>
      <c r="L1108" s="7" t="n">
        <f aca="false">AVERAGE(E909:E1108)</f>
        <v>16576.22095</v>
      </c>
      <c r="M1108" s="7" t="n">
        <f aca="false">I1108</f>
        <v>18158.8035</v>
      </c>
      <c r="N1108" s="7" t="n">
        <f aca="false">I1108+2*STDEV(E1089:E1108)</f>
        <v>19034.6757194782</v>
      </c>
      <c r="O1108" s="7" t="n">
        <f aca="false">I1108-2*STDEV(E1089:E1108)</f>
        <v>17282.9312805218</v>
      </c>
      <c r="P1108" s="7" t="n">
        <f aca="false">MAX(E1108-E1107,0)</f>
        <v>0</v>
      </c>
      <c r="Q1108" s="7" t="n">
        <f aca="false">MAX(E1107-E1108,0)</f>
        <v>81.8100000000013</v>
      </c>
      <c r="R1108" s="7" t="n">
        <f aca="false">(R1107*13+P1108)/14</f>
        <v>72.6669180769345</v>
      </c>
      <c r="S1108" s="7" t="n">
        <f aca="false">(S1107*13+Q1108)/14</f>
        <v>39.6540944554995</v>
      </c>
      <c r="T1108" s="7" t="n">
        <f aca="false">IF(S1108=0,100,100-100/(1+R1108/S1108))</f>
        <v>64.6957469831846</v>
      </c>
      <c r="U1108" s="7" t="n">
        <f aca="false">E1108*2/13+U1107*11/13</f>
        <v>18442.9257218541</v>
      </c>
      <c r="V1108" s="7" t="n">
        <f aca="false">E1108*2/27+V1107*25/27</f>
        <v>18204.5320934189</v>
      </c>
      <c r="W1108" s="7" t="n">
        <f aca="false">U1108-V1108</f>
        <v>238.393628435184</v>
      </c>
      <c r="X1108" s="7" t="n">
        <f aca="false">W1108*2/10+X1107*8/10</f>
        <v>173.74901332394</v>
      </c>
      <c r="Y1108" s="7" t="n">
        <f aca="false">W1108-X1108</f>
        <v>64.6446151112435</v>
      </c>
      <c r="Z1108" s="8" t="s">
        <v>42</v>
      </c>
      <c r="AA1108" s="7" t="str">
        <f aca="false">IFERROR(INDEX(02_轉折點45!B:B,MATCH(A1108,02_轉折點45!A:A,0)),"")</f>
        <v/>
      </c>
      <c r="AB1108" s="7" t="n">
        <f aca="false">COUNTIFS(05_訊號明細!A:A,A1108,05_訊號明細!C:C,"TOP")</f>
        <v>0</v>
      </c>
      <c r="AC1108" s="7" t="n">
        <f aca="false">COUNTIFS(05_訊號明細!A:A,A1108,05_訊號明細!C:C,"BOTTOM")</f>
        <v>0</v>
      </c>
    </row>
    <row r="1109" customFormat="false" ht="15" hidden="false" customHeight="false" outlineLevel="0" collapsed="false">
      <c r="A1109" s="7" t="s">
        <v>1150</v>
      </c>
      <c r="B1109" s="7" t="n">
        <v>18669.36</v>
      </c>
      <c r="C1109" s="7" t="n">
        <v>18851.99</v>
      </c>
      <c r="D1109" s="7" t="n">
        <v>18664.79</v>
      </c>
      <c r="E1109" s="7" t="n">
        <v>18808.35</v>
      </c>
      <c r="F1109" s="7" t="n">
        <v>5836</v>
      </c>
      <c r="G1109" s="7" t="n">
        <f aca="false">AVERAGE(E1105:E1109)</f>
        <v>18704.986</v>
      </c>
      <c r="H1109" s="7" t="n">
        <f aca="false">AVERAGE(E1100:E1109)</f>
        <v>18574.715</v>
      </c>
      <c r="I1109" s="7" t="n">
        <f aca="false">AVERAGE(E1090:E1109)</f>
        <v>18213.306</v>
      </c>
      <c r="J1109" s="7" t="n">
        <f aca="false">AVERAGE(E1060:E1109)</f>
        <v>18037.486</v>
      </c>
      <c r="K1109" s="7" t="n">
        <f aca="false">AVERAGE(E1010:E1109)</f>
        <v>17781.5328</v>
      </c>
      <c r="L1109" s="7" t="n">
        <f aca="false">AVERAGE(E910:E1109)</f>
        <v>16594.75415</v>
      </c>
      <c r="M1109" s="7" t="n">
        <f aca="false">I1109</f>
        <v>18213.306</v>
      </c>
      <c r="N1109" s="7" t="n">
        <f aca="false">I1109+2*STDEV(E1090:E1109)</f>
        <v>19109.1948041998</v>
      </c>
      <c r="O1109" s="7" t="n">
        <f aca="false">I1109-2*STDEV(E1090:E1109)</f>
        <v>17317.4171958002</v>
      </c>
      <c r="P1109" s="7" t="n">
        <f aca="false">MAX(E1109-E1108,0)</f>
        <v>184.959999999999</v>
      </c>
      <c r="Q1109" s="7" t="n">
        <f aca="false">MAX(E1108-E1109,0)</f>
        <v>0</v>
      </c>
      <c r="R1109" s="7" t="n">
        <f aca="false">(R1108*13+P1109)/14</f>
        <v>80.6878525000106</v>
      </c>
      <c r="S1109" s="7" t="n">
        <f aca="false">(S1108*13+Q1109)/14</f>
        <v>36.8216591372495</v>
      </c>
      <c r="T1109" s="7" t="n">
        <f aca="false">IF(S1109=0,100,100-100/(1+R1109/S1109))</f>
        <v>68.6649543307488</v>
      </c>
      <c r="U1109" s="7" t="n">
        <f aca="false">E1109*2/13+U1108*11/13</f>
        <v>18499.1448415688</v>
      </c>
      <c r="V1109" s="7" t="n">
        <f aca="false">E1109*2/27+V1108*25/27</f>
        <v>18249.2593457582</v>
      </c>
      <c r="W1109" s="7" t="n">
        <f aca="false">U1109-V1109</f>
        <v>249.885495810599</v>
      </c>
      <c r="X1109" s="7" t="n">
        <f aca="false">W1109*2/10+X1108*8/10</f>
        <v>188.976309821272</v>
      </c>
      <c r="Y1109" s="7" t="n">
        <f aca="false">W1109-X1109</f>
        <v>60.9091859893265</v>
      </c>
      <c r="Z1109" s="8" t="s">
        <v>42</v>
      </c>
      <c r="AA1109" s="7" t="str">
        <f aca="false">IFERROR(INDEX(02_轉折點45!B:B,MATCH(A1109,02_轉折點45!A:A,0)),"")</f>
        <v/>
      </c>
      <c r="AB1109" s="7" t="n">
        <f aca="false">COUNTIFS(05_訊號明細!A:A,A1109,05_訊號明細!C:C,"TOP")</f>
        <v>0</v>
      </c>
      <c r="AC1109" s="7" t="n">
        <f aca="false">COUNTIFS(05_訊號明細!A:A,A1109,05_訊號明細!C:C,"BOTTOM")</f>
        <v>0</v>
      </c>
    </row>
    <row r="1110" customFormat="false" ht="15" hidden="false" customHeight="false" outlineLevel="0" collapsed="false">
      <c r="A1110" s="7" t="s">
        <v>1151</v>
      </c>
      <c r="B1110" s="7" t="n">
        <v>18855.15</v>
      </c>
      <c r="C1110" s="7" t="n">
        <v>18875.2</v>
      </c>
      <c r="D1110" s="7" t="n">
        <v>18755.94</v>
      </c>
      <c r="E1110" s="7" t="n">
        <v>18869.44</v>
      </c>
      <c r="F1110" s="7" t="n">
        <v>6293</v>
      </c>
      <c r="G1110" s="7" t="n">
        <f aca="false">AVERAGE(E1106:E1110)</f>
        <v>18744.036</v>
      </c>
      <c r="H1110" s="7" t="n">
        <f aca="false">AVERAGE(E1101:E1110)</f>
        <v>18641.798</v>
      </c>
      <c r="I1110" s="7" t="n">
        <f aca="false">AVERAGE(E1091:E1110)</f>
        <v>18267.642</v>
      </c>
      <c r="J1110" s="7" t="n">
        <f aca="false">AVERAGE(E1061:E1110)</f>
        <v>18058.7098</v>
      </c>
      <c r="K1110" s="7" t="n">
        <f aca="false">AVERAGE(E1011:E1110)</f>
        <v>17806.5423</v>
      </c>
      <c r="L1110" s="7" t="n">
        <f aca="false">AVERAGE(E911:E1110)</f>
        <v>16613.45715</v>
      </c>
      <c r="M1110" s="7" t="n">
        <f aca="false">I1110</f>
        <v>18267.642</v>
      </c>
      <c r="N1110" s="7" t="n">
        <f aca="false">I1110+2*STDEV(E1091:E1110)</f>
        <v>19185.1316029493</v>
      </c>
      <c r="O1110" s="7" t="n">
        <f aca="false">I1110-2*STDEV(E1091:E1110)</f>
        <v>17350.1523970507</v>
      </c>
      <c r="P1110" s="7" t="n">
        <f aca="false">MAX(E1110-E1109,0)</f>
        <v>61.0900000000001</v>
      </c>
      <c r="Q1110" s="7" t="n">
        <f aca="false">MAX(E1109-E1110,0)</f>
        <v>0</v>
      </c>
      <c r="R1110" s="7" t="n">
        <f aca="false">(R1109*13+P1110)/14</f>
        <v>79.288005892867</v>
      </c>
      <c r="S1110" s="7" t="n">
        <f aca="false">(S1109*13+Q1110)/14</f>
        <v>34.191540627446</v>
      </c>
      <c r="T1110" s="7" t="n">
        <f aca="false">IF(S1110=0,100,100-100/(1+R1110/S1110))</f>
        <v>69.8698649440535</v>
      </c>
      <c r="U1110" s="7" t="n">
        <f aca="false">E1110*2/13+U1109*11/13</f>
        <v>18556.1133274813</v>
      </c>
      <c r="V1110" s="7" t="n">
        <f aca="false">E1110*2/27+V1109*25/27</f>
        <v>18295.1986534798</v>
      </c>
      <c r="W1110" s="7" t="n">
        <f aca="false">U1110-V1110</f>
        <v>260.914674001473</v>
      </c>
      <c r="X1110" s="7" t="n">
        <f aca="false">W1110*2/10+X1109*8/10</f>
        <v>203.363982657312</v>
      </c>
      <c r="Y1110" s="7" t="n">
        <f aca="false">W1110-X1110</f>
        <v>57.5506913441608</v>
      </c>
      <c r="Z1110" s="8" t="s">
        <v>42</v>
      </c>
      <c r="AA1110" s="7" t="str">
        <f aca="false">IFERROR(INDEX(02_轉折點45!B:B,MATCH(A1110,02_轉折點45!A:A,0)),"")</f>
        <v/>
      </c>
      <c r="AB1110" s="7" t="n">
        <f aca="false">COUNTIFS(05_訊號明細!A:A,A1110,05_訊號明細!C:C,"TOP")</f>
        <v>0</v>
      </c>
      <c r="AC1110" s="7" t="n">
        <f aca="false">COUNTIFS(05_訊號明細!A:A,A1110,05_訊號明細!C:C,"BOTTOM")</f>
        <v>0</v>
      </c>
    </row>
    <row r="1111" customFormat="false" ht="15" hidden="false" customHeight="false" outlineLevel="0" collapsed="false">
      <c r="A1111" s="7" t="s">
        <v>1152</v>
      </c>
      <c r="B1111" s="7" t="n">
        <v>18708.07</v>
      </c>
      <c r="C1111" s="7" t="n">
        <v>18814.82</v>
      </c>
      <c r="D1111" s="7" t="n">
        <v>18706.62</v>
      </c>
      <c r="E1111" s="7" t="n">
        <v>18736.75</v>
      </c>
      <c r="F1111" s="7" t="n">
        <v>6652</v>
      </c>
      <c r="G1111" s="7" t="n">
        <f aca="false">AVERAGE(E1107:E1111)</f>
        <v>18748.626</v>
      </c>
      <c r="H1111" s="7" t="n">
        <f aca="false">AVERAGE(E1102:E1111)</f>
        <v>18683.196</v>
      </c>
      <c r="I1111" s="7" t="n">
        <f aca="false">AVERAGE(E1092:E1111)</f>
        <v>18332.445</v>
      </c>
      <c r="J1111" s="7" t="n">
        <f aca="false">AVERAGE(E1062:E1111)</f>
        <v>18073.7446</v>
      </c>
      <c r="K1111" s="7" t="n">
        <f aca="false">AVERAGE(E1012:E1111)</f>
        <v>17831.0897</v>
      </c>
      <c r="L1111" s="7" t="n">
        <f aca="false">AVERAGE(E912:E1111)</f>
        <v>16632.00055</v>
      </c>
      <c r="M1111" s="7" t="n">
        <f aca="false">I1111</f>
        <v>18332.445</v>
      </c>
      <c r="N1111" s="7" t="n">
        <f aca="false">I1111+2*STDEV(E1092:E1111)</f>
        <v>19184.774710592</v>
      </c>
      <c r="O1111" s="7" t="n">
        <f aca="false">I1111-2*STDEV(E1092:E1111)</f>
        <v>17480.115289408</v>
      </c>
      <c r="P1111" s="7" t="n">
        <f aca="false">MAX(E1111-E1110,0)</f>
        <v>0</v>
      </c>
      <c r="Q1111" s="7" t="n">
        <f aca="false">MAX(E1110-E1111,0)</f>
        <v>132.689999999999</v>
      </c>
      <c r="R1111" s="7" t="n">
        <f aca="false">(R1110*13+P1111)/14</f>
        <v>73.6245769005193</v>
      </c>
      <c r="S1111" s="7" t="n">
        <f aca="false">(S1110*13+Q1111)/14</f>
        <v>41.2271448683426</v>
      </c>
      <c r="T1111" s="7" t="n">
        <f aca="false">IF(S1111=0,100,100-100/(1+R1111/S1111))</f>
        <v>64.1040254047633</v>
      </c>
      <c r="U1111" s="7" t="n">
        <f aca="false">E1111*2/13+U1110*11/13</f>
        <v>18583.9035847919</v>
      </c>
      <c r="V1111" s="7" t="n">
        <f aca="false">E1111*2/27+V1110*25/27</f>
        <v>18327.9061606295</v>
      </c>
      <c r="W1111" s="7" t="n">
        <f aca="false">U1111-V1111</f>
        <v>255.997424162397</v>
      </c>
      <c r="X1111" s="7" t="n">
        <f aca="false">W1111*2/10+X1110*8/10</f>
        <v>213.890670958329</v>
      </c>
      <c r="Y1111" s="7" t="n">
        <f aca="false">W1111-X1111</f>
        <v>42.1067532040676</v>
      </c>
      <c r="Z1111" s="8" t="s">
        <v>42</v>
      </c>
      <c r="AA1111" s="7" t="str">
        <f aca="false">IFERROR(INDEX(02_轉折點45!B:B,MATCH(A1111,02_轉折點45!A:A,0)),"")</f>
        <v/>
      </c>
      <c r="AB1111" s="7" t="n">
        <f aca="false">COUNTIFS(05_訊號明細!A:A,A1111,05_訊號明細!C:C,"TOP")</f>
        <v>0</v>
      </c>
      <c r="AC1111" s="7" t="n">
        <f aca="false">COUNTIFS(05_訊號明細!A:A,A1111,05_訊號明細!C:C,"BOTTOM")</f>
        <v>0</v>
      </c>
    </row>
    <row r="1112" customFormat="false" ht="15" hidden="false" customHeight="false" outlineLevel="0" collapsed="false">
      <c r="A1112" s="7" t="s">
        <v>1153</v>
      </c>
      <c r="B1112" s="7" t="n">
        <v>18683.25</v>
      </c>
      <c r="C1112" s="7" t="n">
        <v>18705.26</v>
      </c>
      <c r="D1112" s="7" t="n">
        <v>18487.76</v>
      </c>
      <c r="E1112" s="7" t="n">
        <v>18538.66</v>
      </c>
      <c r="F1112" s="7" t="n">
        <v>6659</v>
      </c>
      <c r="G1112" s="7" t="n">
        <f aca="false">AVERAGE(E1108:E1112)</f>
        <v>18715.318</v>
      </c>
      <c r="H1112" s="7" t="n">
        <f aca="false">AVERAGE(E1103:E1112)</f>
        <v>18677.397</v>
      </c>
      <c r="I1112" s="7" t="n">
        <f aca="false">AVERAGE(E1093:E1112)</f>
        <v>18393.4505</v>
      </c>
      <c r="J1112" s="7" t="n">
        <f aca="false">AVERAGE(E1063:E1112)</f>
        <v>18083.8738</v>
      </c>
      <c r="K1112" s="7" t="n">
        <f aca="false">AVERAGE(E1013:E1112)</f>
        <v>17853.4165</v>
      </c>
      <c r="L1112" s="7" t="n">
        <f aca="false">AVERAGE(E913:E1112)</f>
        <v>16648.6659</v>
      </c>
      <c r="M1112" s="7" t="n">
        <f aca="false">I1112</f>
        <v>18393.4505</v>
      </c>
      <c r="N1112" s="7" t="n">
        <f aca="false">I1112+2*STDEV(E1093:E1112)</f>
        <v>19102.9086072896</v>
      </c>
      <c r="O1112" s="7" t="n">
        <f aca="false">I1112-2*STDEV(E1093:E1112)</f>
        <v>17683.9923927104</v>
      </c>
      <c r="P1112" s="7" t="n">
        <f aca="false">MAX(E1112-E1111,0)</f>
        <v>0</v>
      </c>
      <c r="Q1112" s="7" t="n">
        <f aca="false">MAX(E1111-E1112,0)</f>
        <v>198.09</v>
      </c>
      <c r="R1112" s="7" t="n">
        <f aca="false">(R1111*13+P1112)/14</f>
        <v>68.3656785504822</v>
      </c>
      <c r="S1112" s="7" t="n">
        <f aca="false">(S1111*13+Q1112)/14</f>
        <v>52.4316345206039</v>
      </c>
      <c r="T1112" s="7" t="n">
        <f aca="false">IF(S1112=0,100,100-100/(1+R1112/S1112))</f>
        <v>56.5953635990652</v>
      </c>
      <c r="U1112" s="7" t="n">
        <f aca="false">E1112*2/13+U1111*11/13</f>
        <v>18576.9430332854</v>
      </c>
      <c r="V1112" s="7" t="n">
        <f aca="false">E1112*2/27+V1111*25/27</f>
        <v>18343.5175561384</v>
      </c>
      <c r="W1112" s="7" t="n">
        <f aca="false">U1112-V1112</f>
        <v>233.42547714703</v>
      </c>
      <c r="X1112" s="7" t="n">
        <f aca="false">W1112*2/10+X1111*8/10</f>
        <v>217.797632196069</v>
      </c>
      <c r="Y1112" s="7" t="n">
        <f aca="false">W1112-X1112</f>
        <v>15.6278449509603</v>
      </c>
      <c r="Z1112" s="8" t="s">
        <v>42</v>
      </c>
      <c r="AA1112" s="7" t="str">
        <f aca="false">IFERROR(INDEX(02_轉折點45!B:B,MATCH(A1112,02_轉折點45!A:A,0)),"")</f>
        <v/>
      </c>
      <c r="AB1112" s="7" t="n">
        <f aca="false">COUNTIFS(05_訊號明細!A:A,A1112,05_訊號明細!C:C,"TOP")</f>
        <v>0</v>
      </c>
      <c r="AC1112" s="7" t="n">
        <f aca="false">COUNTIFS(05_訊號明細!A:A,A1112,05_訊號明細!C:C,"BOTTOM")</f>
        <v>0</v>
      </c>
    </row>
    <row r="1113" customFormat="false" ht="15" hidden="false" customHeight="false" outlineLevel="0" collapsed="false">
      <c r="A1113" s="7" t="s">
        <v>1154</v>
      </c>
      <c r="B1113" s="7" t="n">
        <v>18550.8</v>
      </c>
      <c r="C1113" s="7" t="n">
        <v>18574.56</v>
      </c>
      <c r="D1113" s="7" t="n">
        <v>18189.78</v>
      </c>
      <c r="E1113" s="7" t="n">
        <v>18536.65</v>
      </c>
      <c r="F1113" s="7" t="n">
        <v>6674</v>
      </c>
      <c r="G1113" s="7" t="n">
        <f aca="false">AVERAGE(E1109:E1113)</f>
        <v>18697.97</v>
      </c>
      <c r="H1113" s="7" t="n">
        <f aca="false">AVERAGE(E1104:E1113)</f>
        <v>18675.266</v>
      </c>
      <c r="I1113" s="7" t="n">
        <f aca="false">AVERAGE(E1094:E1113)</f>
        <v>18443.206</v>
      </c>
      <c r="J1113" s="7" t="n">
        <f aca="false">AVERAGE(E1064:E1113)</f>
        <v>18089.8046</v>
      </c>
      <c r="K1113" s="7" t="n">
        <f aca="false">AVERAGE(E1014:E1113)</f>
        <v>17872.2843</v>
      </c>
      <c r="L1113" s="7" t="n">
        <f aca="false">AVERAGE(E914:E1113)</f>
        <v>16666.1609</v>
      </c>
      <c r="M1113" s="7" t="n">
        <f aca="false">I1113</f>
        <v>18443.206</v>
      </c>
      <c r="N1113" s="7" t="n">
        <f aca="false">I1113+2*STDEV(E1094:E1113)</f>
        <v>19030.0913971657</v>
      </c>
      <c r="O1113" s="7" t="n">
        <f aca="false">I1113-2*STDEV(E1094:E1113)</f>
        <v>17856.3206028343</v>
      </c>
      <c r="P1113" s="7" t="n">
        <f aca="false">MAX(E1113-E1112,0)</f>
        <v>0</v>
      </c>
      <c r="Q1113" s="7" t="n">
        <f aca="false">MAX(E1112-E1113,0)</f>
        <v>2.0099999999984</v>
      </c>
      <c r="R1113" s="7" t="n">
        <f aca="false">(R1112*13+P1113)/14</f>
        <v>63.4824157968764</v>
      </c>
      <c r="S1113" s="7" t="n">
        <f aca="false">(S1112*13+Q1113)/14</f>
        <v>48.8300891977035</v>
      </c>
      <c r="T1113" s="7" t="n">
        <f aca="false">IF(S1113=0,100,100-100/(1+R1113/S1113))</f>
        <v>56.5230165598568</v>
      </c>
      <c r="U1113" s="7" t="n">
        <f aca="false">E1113*2/13+U1112*11/13</f>
        <v>18570.7441050877</v>
      </c>
      <c r="V1113" s="7" t="n">
        <f aca="false">E1113*2/27+V1112*25/27</f>
        <v>18357.8236630911</v>
      </c>
      <c r="W1113" s="7" t="n">
        <f aca="false">U1113-V1113</f>
        <v>212.920441996561</v>
      </c>
      <c r="X1113" s="7" t="n">
        <f aca="false">W1113*2/10+X1112*8/10</f>
        <v>216.822194156168</v>
      </c>
      <c r="Y1113" s="7" t="n">
        <f aca="false">W1113-X1113</f>
        <v>-3.90175215960676</v>
      </c>
      <c r="Z1113" s="8" t="s">
        <v>42</v>
      </c>
      <c r="AA1113" s="7" t="str">
        <f aca="false">IFERROR(INDEX(02_轉折點45!B:B,MATCH(A1113,02_轉折點45!A:A,0)),"")</f>
        <v/>
      </c>
      <c r="AB1113" s="7" t="n">
        <f aca="false">COUNTIFS(05_訊號明細!A:A,A1113,05_訊號明細!C:C,"TOP")</f>
        <v>0</v>
      </c>
      <c r="AC1113" s="7" t="n">
        <f aca="false">COUNTIFS(05_訊號明細!A:A,A1113,05_訊號明細!C:C,"BOTTOM")</f>
        <v>0</v>
      </c>
    </row>
    <row r="1114" customFormat="false" ht="15" hidden="false" customHeight="false" outlineLevel="0" collapsed="false">
      <c r="A1114" s="7" t="s">
        <v>1155</v>
      </c>
      <c r="B1114" s="7" t="n">
        <v>18666.72</v>
      </c>
      <c r="C1114" s="7" t="n">
        <v>18707.22</v>
      </c>
      <c r="D1114" s="7" t="n">
        <v>18392.57</v>
      </c>
      <c r="E1114" s="7" t="n">
        <v>18600.97</v>
      </c>
      <c r="F1114" s="7" t="n">
        <v>5422</v>
      </c>
      <c r="G1114" s="7" t="n">
        <f aca="false">AVERAGE(E1110:E1114)</f>
        <v>18656.494</v>
      </c>
      <c r="H1114" s="7" t="n">
        <f aca="false">AVERAGE(E1105:E1114)</f>
        <v>18680.74</v>
      </c>
      <c r="I1114" s="7" t="n">
        <f aca="false">AVERAGE(E1095:E1114)</f>
        <v>18478.7145</v>
      </c>
      <c r="J1114" s="7" t="n">
        <f aca="false">AVERAGE(E1065:E1114)</f>
        <v>18095.4164</v>
      </c>
      <c r="K1114" s="7" t="n">
        <f aca="false">AVERAGE(E1015:E1114)</f>
        <v>17891.507</v>
      </c>
      <c r="L1114" s="7" t="n">
        <f aca="false">AVERAGE(E915:E1114)</f>
        <v>16684.7834</v>
      </c>
      <c r="M1114" s="7" t="n">
        <f aca="false">I1114</f>
        <v>18478.7145</v>
      </c>
      <c r="N1114" s="7" t="n">
        <f aca="false">I1114+2*STDEV(E1095:E1114)</f>
        <v>19007.9808739048</v>
      </c>
      <c r="O1114" s="7" t="n">
        <f aca="false">I1114-2*STDEV(E1095:E1114)</f>
        <v>17949.4481260952</v>
      </c>
      <c r="P1114" s="7" t="n">
        <f aca="false">MAX(E1114-E1113,0)</f>
        <v>64.3199999999997</v>
      </c>
      <c r="Q1114" s="7" t="n">
        <f aca="false">MAX(E1113-E1114,0)</f>
        <v>0</v>
      </c>
      <c r="R1114" s="7" t="n">
        <f aca="false">(R1113*13+P1114)/14</f>
        <v>63.5422432399566</v>
      </c>
      <c r="S1114" s="7" t="n">
        <f aca="false">(S1113*13+Q1114)/14</f>
        <v>45.3422256835818</v>
      </c>
      <c r="T1114" s="7" t="n">
        <f aca="false">IF(S1114=0,100,100-100/(1+R1114/S1114))</f>
        <v>58.3574901619603</v>
      </c>
      <c r="U1114" s="7" t="n">
        <f aca="false">E1114*2/13+U1113*11/13</f>
        <v>18575.3942427665</v>
      </c>
      <c r="V1114" s="7" t="n">
        <f aca="false">E1114*2/27+V1113*25/27</f>
        <v>18375.8345028621</v>
      </c>
      <c r="W1114" s="7" t="n">
        <f aca="false">U1114-V1114</f>
        <v>199.559739904351</v>
      </c>
      <c r="X1114" s="7" t="n">
        <f aca="false">W1114*2/10+X1113*8/10</f>
        <v>213.369703305804</v>
      </c>
      <c r="Y1114" s="7" t="n">
        <f aca="false">W1114-X1114</f>
        <v>-13.8099634014534</v>
      </c>
      <c r="Z1114" s="8" t="s">
        <v>42</v>
      </c>
      <c r="AA1114" s="7" t="str">
        <f aca="false">IFERROR(INDEX(02_轉折點45!B:B,MATCH(A1114,02_轉折點45!A:A,0)),"")</f>
        <v/>
      </c>
      <c r="AB1114" s="7" t="n">
        <f aca="false">COUNTIFS(05_訊號明細!A:A,A1114,05_訊號明細!C:C,"TOP")</f>
        <v>1</v>
      </c>
      <c r="AC1114" s="7" t="n">
        <f aca="false">COUNTIFS(05_訊號明細!A:A,A1114,05_訊號明細!C:C,"BOTTOM")</f>
        <v>0</v>
      </c>
    </row>
    <row r="1115" customFormat="false" ht="15" hidden="false" customHeight="false" outlineLevel="0" collapsed="false">
      <c r="A1115" s="7" t="s">
        <v>1156</v>
      </c>
      <c r="B1115" s="7" t="n">
        <v>18598</v>
      </c>
      <c r="C1115" s="7" t="n">
        <v>18697.95</v>
      </c>
      <c r="D1115" s="7" t="n">
        <v>18521.85</v>
      </c>
      <c r="E1115" s="7" t="n">
        <v>18654.84</v>
      </c>
      <c r="F1115" s="7" t="n">
        <v>4917</v>
      </c>
      <c r="G1115" s="7" t="n">
        <f aca="false">AVERAGE(E1111:E1115)</f>
        <v>18613.574</v>
      </c>
      <c r="H1115" s="7" t="n">
        <f aca="false">AVERAGE(E1106:E1115)</f>
        <v>18678.805</v>
      </c>
      <c r="I1115" s="7" t="n">
        <f aca="false">AVERAGE(E1096:E1115)</f>
        <v>18506.778</v>
      </c>
      <c r="J1115" s="7" t="n">
        <f aca="false">AVERAGE(E1066:E1115)</f>
        <v>18101.7244</v>
      </c>
      <c r="K1115" s="7" t="n">
        <f aca="false">AVERAGE(E1016:E1115)</f>
        <v>17910.1249</v>
      </c>
      <c r="L1115" s="7" t="n">
        <f aca="false">AVERAGE(E916:E1115)</f>
        <v>16704.47855</v>
      </c>
      <c r="M1115" s="7" t="n">
        <f aca="false">I1115</f>
        <v>18506.778</v>
      </c>
      <c r="N1115" s="7" t="n">
        <f aca="false">I1115+2*STDEV(E1096:E1115)</f>
        <v>19008.8822991503</v>
      </c>
      <c r="O1115" s="7" t="n">
        <f aca="false">I1115-2*STDEV(E1096:E1115)</f>
        <v>18004.6737008497</v>
      </c>
      <c r="P1115" s="7" t="n">
        <f aca="false">MAX(E1115-E1114,0)</f>
        <v>53.869999999999</v>
      </c>
      <c r="Q1115" s="7" t="n">
        <f aca="false">MAX(E1114-E1115,0)</f>
        <v>0</v>
      </c>
      <c r="R1115" s="7" t="n">
        <f aca="false">(R1114*13+P1115)/14</f>
        <v>62.8513687228168</v>
      </c>
      <c r="S1115" s="7" t="n">
        <f aca="false">(S1114*13+Q1115)/14</f>
        <v>42.1034952776117</v>
      </c>
      <c r="T1115" s="7" t="n">
        <f aca="false">IF(S1115=0,100,100-100/(1+R1115/S1115))</f>
        <v>59.884188618986</v>
      </c>
      <c r="U1115" s="7" t="n">
        <f aca="false">E1115*2/13+U1114*11/13</f>
        <v>18587.6166669563</v>
      </c>
      <c r="V1115" s="7" t="n">
        <f aca="false">E1115*2/27+V1114*25/27</f>
        <v>18396.5015767242</v>
      </c>
      <c r="W1115" s="7" t="n">
        <f aca="false">U1115-V1115</f>
        <v>191.115090232055</v>
      </c>
      <c r="X1115" s="7" t="n">
        <f aca="false">W1115*2/10+X1114*8/10</f>
        <v>208.918780691054</v>
      </c>
      <c r="Y1115" s="7" t="n">
        <f aca="false">W1115-X1115</f>
        <v>-17.8036904589993</v>
      </c>
      <c r="Z1115" s="8" t="s">
        <v>42</v>
      </c>
      <c r="AA1115" s="7" t="str">
        <f aca="false">IFERROR(INDEX(02_轉折點45!B:B,MATCH(A1115,02_轉折點45!A:A,0)),"")</f>
        <v/>
      </c>
      <c r="AB1115" s="7" t="n">
        <f aca="false">COUNTIFS(05_訊號明細!A:A,A1115,05_訊號明細!C:C,"TOP")</f>
        <v>0</v>
      </c>
      <c r="AC1115" s="7" t="n">
        <f aca="false">COUNTIFS(05_訊號明細!A:A,A1115,05_訊號明細!C:C,"BOTTOM")</f>
        <v>0</v>
      </c>
    </row>
    <row r="1116" customFormat="false" ht="15" hidden="false" customHeight="false" outlineLevel="0" collapsed="false">
      <c r="A1116" s="7" t="s">
        <v>1157</v>
      </c>
      <c r="B1116" s="7" t="n">
        <v>18791.28</v>
      </c>
      <c r="C1116" s="7" t="n">
        <v>19035.87</v>
      </c>
      <c r="D1116" s="7" t="n">
        <v>18768.25</v>
      </c>
      <c r="E1116" s="7" t="n">
        <v>19035.05</v>
      </c>
      <c r="F1116" s="7" t="n">
        <v>5325</v>
      </c>
      <c r="G1116" s="7" t="n">
        <f aca="false">AVERAGE(E1112:E1116)</f>
        <v>18673.234</v>
      </c>
      <c r="H1116" s="7" t="n">
        <f aca="false">AVERAGE(E1107:E1116)</f>
        <v>18710.93</v>
      </c>
      <c r="I1116" s="7" t="n">
        <f aca="false">AVERAGE(E1097:E1116)</f>
        <v>18553.958</v>
      </c>
      <c r="J1116" s="7" t="n">
        <f aca="false">AVERAGE(E1067:E1116)</f>
        <v>18116.8842</v>
      </c>
      <c r="K1116" s="7" t="n">
        <f aca="false">AVERAGE(E1017:E1116)</f>
        <v>17932.2664</v>
      </c>
      <c r="L1116" s="7" t="n">
        <f aca="false">AVERAGE(E917:E1116)</f>
        <v>16726.1796</v>
      </c>
      <c r="M1116" s="7" t="n">
        <f aca="false">I1116</f>
        <v>18553.958</v>
      </c>
      <c r="N1116" s="7" t="n">
        <f aca="false">I1116+2*STDEV(E1097:E1116)</f>
        <v>19068.9074333315</v>
      </c>
      <c r="O1116" s="7" t="n">
        <f aca="false">I1116-2*STDEV(E1097:E1116)</f>
        <v>18039.0085666685</v>
      </c>
      <c r="P1116" s="7" t="n">
        <f aca="false">MAX(E1116-E1115,0)</f>
        <v>380.209999999999</v>
      </c>
      <c r="Q1116" s="7" t="n">
        <f aca="false">MAX(E1115-E1116,0)</f>
        <v>0</v>
      </c>
      <c r="R1116" s="7" t="n">
        <f aca="false">(R1115*13+P1116)/14</f>
        <v>85.5198423854726</v>
      </c>
      <c r="S1116" s="7" t="n">
        <f aca="false">(S1115*13+Q1116)/14</f>
        <v>39.0961027577823</v>
      </c>
      <c r="T1116" s="7" t="n">
        <f aca="false">IF(S1116=0,100,100-100/(1+R1116/S1116))</f>
        <v>68.6267253256889</v>
      </c>
      <c r="U1116" s="7" t="n">
        <f aca="false">E1116*2/13+U1115*11/13</f>
        <v>18656.4525643476</v>
      </c>
      <c r="V1116" s="7" t="n">
        <f aca="false">E1116*2/27+V1115*25/27</f>
        <v>18443.8014599298</v>
      </c>
      <c r="W1116" s="7" t="n">
        <f aca="false">U1116-V1116</f>
        <v>212.651104417782</v>
      </c>
      <c r="X1116" s="7" t="n">
        <f aca="false">W1116*2/10+X1115*8/10</f>
        <v>209.6652454364</v>
      </c>
      <c r="Y1116" s="7" t="n">
        <f aca="false">W1116-X1116</f>
        <v>2.98585898138236</v>
      </c>
      <c r="Z1116" s="8" t="s">
        <v>42</v>
      </c>
      <c r="AA1116" s="7" t="str">
        <f aca="false">IFERROR(INDEX(02_轉折點45!B:B,MATCH(A1116,02_轉折點45!A:A,0)),"")</f>
        <v/>
      </c>
      <c r="AB1116" s="7" t="n">
        <f aca="false">COUNTIFS(05_訊號明細!A:A,A1116,05_訊號明細!C:C,"TOP")</f>
        <v>0</v>
      </c>
      <c r="AC1116" s="7" t="n">
        <f aca="false">COUNTIFS(05_訊號明細!A:A,A1116,05_訊號明細!C:C,"BOTTOM")</f>
        <v>0</v>
      </c>
    </row>
    <row r="1117" customFormat="false" ht="15" hidden="false" customHeight="false" outlineLevel="0" collapsed="false">
      <c r="A1117" s="7" t="s">
        <v>1158</v>
      </c>
      <c r="B1117" s="7" t="n">
        <v>19053.01</v>
      </c>
      <c r="C1117" s="7" t="n">
        <v>19071.79</v>
      </c>
      <c r="D1117" s="7" t="n">
        <v>18978.86</v>
      </c>
      <c r="E1117" s="7" t="n">
        <v>19021.19</v>
      </c>
      <c r="F1117" s="7" t="n">
        <v>4961</v>
      </c>
      <c r="G1117" s="7" t="n">
        <f aca="false">AVERAGE(E1113:E1117)</f>
        <v>18769.74</v>
      </c>
      <c r="H1117" s="7" t="n">
        <f aca="false">AVERAGE(E1108:E1117)</f>
        <v>18742.529</v>
      </c>
      <c r="I1117" s="7" t="n">
        <f aca="false">AVERAGE(E1098:E1117)</f>
        <v>18600.767</v>
      </c>
      <c r="J1117" s="7" t="n">
        <f aca="false">AVERAGE(E1068:E1117)</f>
        <v>18133.0972</v>
      </c>
      <c r="K1117" s="7" t="n">
        <f aca="false">AVERAGE(E1018:E1117)</f>
        <v>17954.1491</v>
      </c>
      <c r="L1117" s="7" t="n">
        <f aca="false">AVERAGE(E918:E1117)</f>
        <v>16746.6021</v>
      </c>
      <c r="M1117" s="7" t="n">
        <f aca="false">I1117</f>
        <v>18600.767</v>
      </c>
      <c r="N1117" s="7" t="n">
        <f aca="false">I1117+2*STDEV(E1098:E1117)</f>
        <v>19106.3449871582</v>
      </c>
      <c r="O1117" s="7" t="n">
        <f aca="false">I1117-2*STDEV(E1098:E1117)</f>
        <v>18095.1890128418</v>
      </c>
      <c r="P1117" s="7" t="n">
        <f aca="false">MAX(E1117-E1116,0)</f>
        <v>0</v>
      </c>
      <c r="Q1117" s="7" t="n">
        <f aca="false">MAX(E1116-E1117,0)</f>
        <v>13.8600000000006</v>
      </c>
      <c r="R1117" s="7" t="n">
        <f aca="false">(R1116*13+P1117)/14</f>
        <v>79.4112822150817</v>
      </c>
      <c r="S1117" s="7" t="n">
        <f aca="false">(S1116*13+Q1117)/14</f>
        <v>37.2935239893693</v>
      </c>
      <c r="T1117" s="7" t="n">
        <f aca="false">IF(S1117=0,100,100-100/(1+R1117/S1117))</f>
        <v>68.0445688551712</v>
      </c>
      <c r="U1117" s="7" t="n">
        <f aca="false">E1117*2/13+U1116*11/13</f>
        <v>18712.5660159864</v>
      </c>
      <c r="V1117" s="7" t="n">
        <f aca="false">E1117*2/27+V1116*25/27</f>
        <v>18486.5709814165</v>
      </c>
      <c r="W1117" s="7" t="n">
        <f aca="false">U1117-V1117</f>
        <v>225.995034569929</v>
      </c>
      <c r="X1117" s="7" t="n">
        <f aca="false">W1117*2/10+X1116*8/10</f>
        <v>212.931203263106</v>
      </c>
      <c r="Y1117" s="7" t="n">
        <f aca="false">W1117-X1117</f>
        <v>13.0638313068232</v>
      </c>
      <c r="Z1117" s="8" t="s">
        <v>42</v>
      </c>
      <c r="AA1117" s="7" t="str">
        <f aca="false">IFERROR(INDEX(02_轉折點45!B:B,MATCH(A1117,02_轉折點45!A:A,0)),"")</f>
        <v/>
      </c>
      <c r="AB1117" s="7" t="n">
        <f aca="false">COUNTIFS(05_訊號明細!A:A,A1117,05_訊號明細!C:C,"TOP")</f>
        <v>0</v>
      </c>
      <c r="AC1117" s="7" t="n">
        <f aca="false">COUNTIFS(05_訊號明細!A:A,A1117,05_訊號明細!C:C,"BOTTOM")</f>
        <v>0</v>
      </c>
    </row>
    <row r="1118" customFormat="false" ht="15" hidden="false" customHeight="false" outlineLevel="0" collapsed="false">
      <c r="A1118" s="7" t="s">
        <v>1159</v>
      </c>
      <c r="B1118" s="7" t="n">
        <v>18992.58</v>
      </c>
      <c r="C1118" s="7" t="n">
        <v>19113.88</v>
      </c>
      <c r="D1118" s="7" t="n">
        <v>18958.68</v>
      </c>
      <c r="E1118" s="7" t="n">
        <v>19000.95</v>
      </c>
      <c r="F1118" s="7" t="n">
        <v>4756</v>
      </c>
      <c r="G1118" s="7" t="n">
        <f aca="false">AVERAGE(E1114:E1118)</f>
        <v>18862.6</v>
      </c>
      <c r="H1118" s="7" t="n">
        <f aca="false">AVERAGE(E1109:E1118)</f>
        <v>18780.285</v>
      </c>
      <c r="I1118" s="7" t="n">
        <f aca="false">AVERAGE(E1099:E1118)</f>
        <v>18645.1415</v>
      </c>
      <c r="J1118" s="7" t="n">
        <f aca="false">AVERAGE(E1069:E1118)</f>
        <v>18147.4994</v>
      </c>
      <c r="K1118" s="7" t="n">
        <f aca="false">AVERAGE(E1019:E1118)</f>
        <v>17975.8515</v>
      </c>
      <c r="L1118" s="7" t="n">
        <f aca="false">AVERAGE(E919:E1118)</f>
        <v>16767.06205</v>
      </c>
      <c r="M1118" s="7" t="n">
        <f aca="false">I1118</f>
        <v>18645.1415</v>
      </c>
      <c r="N1118" s="7" t="n">
        <f aca="false">I1118+2*STDEV(E1099:E1118)</f>
        <v>19125.8076225414</v>
      </c>
      <c r="O1118" s="7" t="n">
        <f aca="false">I1118-2*STDEV(E1099:E1118)</f>
        <v>18164.4753774586</v>
      </c>
      <c r="P1118" s="7" t="n">
        <f aca="false">MAX(E1118-E1117,0)</f>
        <v>0</v>
      </c>
      <c r="Q1118" s="7" t="n">
        <f aca="false">MAX(E1117-E1118,0)</f>
        <v>20.239999999998</v>
      </c>
      <c r="R1118" s="7" t="n">
        <f aca="false">(R1117*13+P1118)/14</f>
        <v>73.7390477711473</v>
      </c>
      <c r="S1118" s="7" t="n">
        <f aca="false">(S1117*13+Q1118)/14</f>
        <v>36.0754151329856</v>
      </c>
      <c r="T1118" s="7" t="n">
        <f aca="false">IF(S1118=0,100,100-100/(1+R1118/S1118))</f>
        <v>67.1487578421441</v>
      </c>
      <c r="U1118" s="7" t="n">
        <f aca="false">E1118*2/13+U1117*11/13</f>
        <v>18756.9327827578</v>
      </c>
      <c r="V1118" s="7" t="n">
        <f aca="false">E1118*2/27+V1117*25/27</f>
        <v>18524.6731309412</v>
      </c>
      <c r="W1118" s="7" t="n">
        <f aca="false">U1118-V1118</f>
        <v>232.259651816541</v>
      </c>
      <c r="X1118" s="7" t="n">
        <f aca="false">W1118*2/10+X1117*8/10</f>
        <v>216.796892973793</v>
      </c>
      <c r="Y1118" s="7" t="n">
        <f aca="false">W1118-X1118</f>
        <v>15.4627588427482</v>
      </c>
      <c r="Z1118" s="8" t="s">
        <v>42</v>
      </c>
      <c r="AA1118" s="7" t="str">
        <f aca="false">IFERROR(INDEX(02_轉折點45!B:B,MATCH(A1118,02_轉折點45!A:A,0)),"")</f>
        <v/>
      </c>
      <c r="AB1118" s="7" t="n">
        <f aca="false">COUNTIFS(05_訊號明細!A:A,A1118,05_訊號明細!C:C,"TOP")</f>
        <v>1</v>
      </c>
      <c r="AC1118" s="7" t="n">
        <f aca="false">COUNTIFS(05_訊號明細!A:A,A1118,05_訊號明細!C:C,"BOTTOM")</f>
        <v>0</v>
      </c>
    </row>
    <row r="1119" customFormat="false" ht="15" hidden="false" customHeight="false" outlineLevel="0" collapsed="false">
      <c r="A1119" s="7" t="s">
        <v>1160</v>
      </c>
      <c r="B1119" s="7" t="n">
        <v>18945.31</v>
      </c>
      <c r="C1119" s="7" t="n">
        <v>19089.83</v>
      </c>
      <c r="D1119" s="7" t="n">
        <v>18940.71</v>
      </c>
      <c r="E1119" s="7" t="n">
        <v>19074.67</v>
      </c>
      <c r="F1119" s="7" t="n">
        <v>5207</v>
      </c>
      <c r="G1119" s="7" t="n">
        <f aca="false">AVERAGE(E1115:E1119)</f>
        <v>18957.34</v>
      </c>
      <c r="H1119" s="7" t="n">
        <f aca="false">AVERAGE(E1110:E1119)</f>
        <v>18806.917</v>
      </c>
      <c r="I1119" s="7" t="n">
        <f aca="false">AVERAGE(E1100:E1119)</f>
        <v>18690.816</v>
      </c>
      <c r="J1119" s="7" t="n">
        <f aca="false">AVERAGE(E1070:E1119)</f>
        <v>18163.899</v>
      </c>
      <c r="K1119" s="7" t="n">
        <f aca="false">AVERAGE(E1020:E1119)</f>
        <v>17999.2354</v>
      </c>
      <c r="L1119" s="7" t="n">
        <f aca="false">AVERAGE(E920:E1119)</f>
        <v>16786.6951</v>
      </c>
      <c r="M1119" s="7" t="n">
        <f aca="false">I1119</f>
        <v>18690.816</v>
      </c>
      <c r="N1119" s="7" t="n">
        <f aca="false">I1119+2*STDEV(E1100:E1119)</f>
        <v>19151.0201712293</v>
      </c>
      <c r="O1119" s="7" t="n">
        <f aca="false">I1119-2*STDEV(E1100:E1119)</f>
        <v>18230.6118287707</v>
      </c>
      <c r="P1119" s="7" t="n">
        <f aca="false">MAX(E1119-E1118,0)</f>
        <v>73.7199999999975</v>
      </c>
      <c r="Q1119" s="7" t="n">
        <f aca="false">MAX(E1118-E1119,0)</f>
        <v>0</v>
      </c>
      <c r="R1119" s="7" t="n">
        <f aca="false">(R1118*13+P1119)/14</f>
        <v>73.7376872160652</v>
      </c>
      <c r="S1119" s="7" t="n">
        <f aca="false">(S1118*13+Q1119)/14</f>
        <v>33.4985997663438</v>
      </c>
      <c r="T1119" s="7" t="n">
        <f aca="false">IF(S1119=0,100,100-100/(1+R1119/S1119))</f>
        <v>68.7618802282488</v>
      </c>
      <c r="U1119" s="7" t="n">
        <f aca="false">E1119*2/13+U1118*11/13</f>
        <v>18805.8154315643</v>
      </c>
      <c r="V1119" s="7" t="n">
        <f aca="false">E1119*2/27+V1118*25/27</f>
        <v>18565.4136397604</v>
      </c>
      <c r="W1119" s="7" t="n">
        <f aca="false">U1119-V1119</f>
        <v>240.401791803874</v>
      </c>
      <c r="X1119" s="7" t="n">
        <f aca="false">W1119*2/10+X1118*8/10</f>
        <v>221.517872739809</v>
      </c>
      <c r="Y1119" s="7" t="n">
        <f aca="false">W1119-X1119</f>
        <v>18.8839190640645</v>
      </c>
      <c r="Z1119" s="8" t="s">
        <v>42</v>
      </c>
      <c r="AA1119" s="7" t="str">
        <f aca="false">IFERROR(INDEX(02_轉折點45!B:B,MATCH(A1119,02_轉折點45!A:A,0)),"")</f>
        <v/>
      </c>
      <c r="AB1119" s="7" t="n">
        <f aca="false">COUNTIFS(05_訊號明細!A:A,A1119,05_訊號明細!C:C,"TOP")</f>
        <v>0</v>
      </c>
      <c r="AC1119" s="7" t="n">
        <f aca="false">COUNTIFS(05_訊號明細!A:A,A1119,05_訊號明細!C:C,"BOTTOM")</f>
        <v>0</v>
      </c>
    </row>
    <row r="1120" customFormat="false" ht="15" hidden="false" customHeight="false" outlineLevel="0" collapsed="false">
      <c r="A1120" s="7" t="s">
        <v>1161</v>
      </c>
      <c r="B1120" s="7" t="n">
        <v>19031.4</v>
      </c>
      <c r="C1120" s="7" t="n">
        <v>19212.63</v>
      </c>
      <c r="D1120" s="7" t="n">
        <v>18966.56</v>
      </c>
      <c r="E1120" s="7" t="n">
        <v>19210.18</v>
      </c>
      <c r="F1120" s="7" t="n">
        <v>5009</v>
      </c>
      <c r="G1120" s="7" t="n">
        <f aca="false">AVERAGE(E1116:E1120)</f>
        <v>19068.408</v>
      </c>
      <c r="H1120" s="7" t="n">
        <f aca="false">AVERAGE(E1111:E1120)</f>
        <v>18840.991</v>
      </c>
      <c r="I1120" s="7" t="n">
        <f aca="false">AVERAGE(E1101:E1120)</f>
        <v>18741.3945</v>
      </c>
      <c r="J1120" s="7" t="n">
        <f aca="false">AVERAGE(E1071:E1120)</f>
        <v>18182.2386</v>
      </c>
      <c r="K1120" s="7" t="n">
        <f aca="false">AVERAGE(E1021:E1120)</f>
        <v>18021.5143</v>
      </c>
      <c r="L1120" s="7" t="n">
        <f aca="false">AVERAGE(E921:E1120)</f>
        <v>16808.6638</v>
      </c>
      <c r="M1120" s="7" t="n">
        <f aca="false">I1120</f>
        <v>18741.3945</v>
      </c>
      <c r="N1120" s="7" t="n">
        <f aca="false">I1120+2*STDEV(E1101:E1120)</f>
        <v>19196.1474001892</v>
      </c>
      <c r="O1120" s="7" t="n">
        <f aca="false">I1120-2*STDEV(E1101:E1120)</f>
        <v>18286.6415998108</v>
      </c>
      <c r="P1120" s="7" t="n">
        <f aca="false">MAX(E1120-E1119,0)</f>
        <v>135.510000000002</v>
      </c>
      <c r="Q1120" s="7" t="n">
        <f aca="false">MAX(E1119-E1120,0)</f>
        <v>0</v>
      </c>
      <c r="R1120" s="7" t="n">
        <f aca="false">(R1119*13+P1120)/14</f>
        <v>78.1499952720607</v>
      </c>
      <c r="S1120" s="7" t="n">
        <f aca="false">(S1119*13+Q1120)/14</f>
        <v>31.1058426401764</v>
      </c>
      <c r="T1120" s="7" t="n">
        <f aca="false">IF(S1120=0,100,100-100/(1+R1120/S1120))</f>
        <v>71.529354188686</v>
      </c>
      <c r="U1120" s="7" t="n">
        <f aca="false">E1120*2/13+U1119*11/13</f>
        <v>18868.0253651698</v>
      </c>
      <c r="V1120" s="7" t="n">
        <f aca="false">E1120*2/27+V1119*25/27</f>
        <v>18613.1741108892</v>
      </c>
      <c r="W1120" s="7" t="n">
        <f aca="false">U1120-V1120</f>
        <v>254.851254280511</v>
      </c>
      <c r="X1120" s="7" t="n">
        <f aca="false">W1120*2/10+X1119*8/10</f>
        <v>228.184549047949</v>
      </c>
      <c r="Y1120" s="7" t="n">
        <f aca="false">W1120-X1120</f>
        <v>26.6667052325617</v>
      </c>
      <c r="Z1120" s="8" t="s">
        <v>42</v>
      </c>
      <c r="AA1120" s="7" t="str">
        <f aca="false">IFERROR(INDEX(02_轉折點45!B:B,MATCH(A1120,02_轉折點45!A:A,0)),"")</f>
        <v/>
      </c>
      <c r="AB1120" s="7" t="n">
        <f aca="false">COUNTIFS(05_訊號明細!A:A,A1120,05_訊號明細!C:C,"TOP")</f>
        <v>0</v>
      </c>
      <c r="AC1120" s="7" t="n">
        <f aca="false">COUNTIFS(05_訊號明細!A:A,A1120,05_訊號明細!C:C,"BOTTOM")</f>
        <v>0</v>
      </c>
    </row>
    <row r="1121" customFormat="false" ht="15" hidden="false" customHeight="false" outlineLevel="0" collapsed="false">
      <c r="A1121" s="7" t="s">
        <v>1162</v>
      </c>
      <c r="B1121" s="7" t="n">
        <v>19358.26</v>
      </c>
      <c r="C1121" s="7" t="n">
        <v>19556.9</v>
      </c>
      <c r="D1121" s="7" t="n">
        <v>19347.28</v>
      </c>
      <c r="E1121" s="7" t="n">
        <v>19465.18</v>
      </c>
      <c r="F1121" s="7" t="n">
        <v>5561</v>
      </c>
      <c r="G1121" s="7" t="n">
        <f aca="false">AVERAGE(E1117:E1121)</f>
        <v>19154.434</v>
      </c>
      <c r="H1121" s="7" t="n">
        <f aca="false">AVERAGE(E1112:E1121)</f>
        <v>18913.834</v>
      </c>
      <c r="I1121" s="7" t="n">
        <f aca="false">AVERAGE(E1102:E1121)</f>
        <v>18798.515</v>
      </c>
      <c r="J1121" s="7" t="n">
        <f aca="false">AVERAGE(E1072:E1121)</f>
        <v>18209.1066</v>
      </c>
      <c r="K1121" s="7" t="n">
        <f aca="false">AVERAGE(E1022:E1121)</f>
        <v>18043.0261</v>
      </c>
      <c r="L1121" s="7" t="n">
        <f aca="false">AVERAGE(E922:E1121)</f>
        <v>16831.28055</v>
      </c>
      <c r="M1121" s="7" t="n">
        <f aca="false">I1121</f>
        <v>18798.515</v>
      </c>
      <c r="N1121" s="7" t="n">
        <f aca="false">I1121+2*STDEV(E1102:E1121)</f>
        <v>19314.7085374909</v>
      </c>
      <c r="O1121" s="7" t="n">
        <f aca="false">I1121-2*STDEV(E1102:E1121)</f>
        <v>18282.3214625091</v>
      </c>
      <c r="P1121" s="7" t="n">
        <f aca="false">MAX(E1121-E1120,0)</f>
        <v>255</v>
      </c>
      <c r="Q1121" s="7" t="n">
        <f aca="false">MAX(E1120-E1121,0)</f>
        <v>0</v>
      </c>
      <c r="R1121" s="7" t="n">
        <f aca="false">(R1120*13+P1121)/14</f>
        <v>90.7821384669135</v>
      </c>
      <c r="S1121" s="7" t="n">
        <f aca="false">(S1120*13+Q1121)/14</f>
        <v>28.8839967373066</v>
      </c>
      <c r="T1121" s="7" t="n">
        <f aca="false">IF(S1121=0,100,100-100/(1+R1121/S1121))</f>
        <v>75.8628481750382</v>
      </c>
      <c r="U1121" s="7" t="n">
        <f aca="false">E1121*2/13+U1120*11/13</f>
        <v>18959.8953089898</v>
      </c>
      <c r="V1121" s="7" t="n">
        <f aca="false">E1121*2/27+V1120*25/27</f>
        <v>18676.2856582308</v>
      </c>
      <c r="W1121" s="7" t="n">
        <f aca="false">U1121-V1121</f>
        <v>283.609650759012</v>
      </c>
      <c r="X1121" s="7" t="n">
        <f aca="false">W1121*2/10+X1120*8/10</f>
        <v>239.269569390162</v>
      </c>
      <c r="Y1121" s="7" t="n">
        <f aca="false">W1121-X1121</f>
        <v>44.34008136885</v>
      </c>
      <c r="Z1121" s="8" t="s">
        <v>42</v>
      </c>
      <c r="AA1121" s="7" t="str">
        <f aca="false">IFERROR(INDEX(02_轉折點45!B:B,MATCH(A1121,02_轉折點45!A:A,0)),"")</f>
        <v/>
      </c>
      <c r="AB1121" s="7" t="n">
        <f aca="false">COUNTIFS(05_訊號明細!A:A,A1121,05_訊號明細!C:C,"TOP")</f>
        <v>0</v>
      </c>
      <c r="AC1121" s="7" t="n">
        <f aca="false">COUNTIFS(05_訊號明細!A:A,A1121,05_訊號明細!C:C,"BOTTOM")</f>
        <v>0</v>
      </c>
    </row>
    <row r="1122" customFormat="false" ht="15" hidden="false" customHeight="false" outlineLevel="0" collapsed="false">
      <c r="A1122" s="7" t="s">
        <v>1163</v>
      </c>
      <c r="B1122" s="7" t="n">
        <v>19609.05</v>
      </c>
      <c r="C1122" s="7" t="n">
        <v>19639.45</v>
      </c>
      <c r="D1122" s="7" t="n">
        <v>19473.71</v>
      </c>
      <c r="E1122" s="7" t="n">
        <v>19576.92</v>
      </c>
      <c r="F1122" s="7" t="n">
        <v>4916</v>
      </c>
      <c r="G1122" s="7" t="n">
        <f aca="false">AVERAGE(E1118:E1122)</f>
        <v>19265.58</v>
      </c>
      <c r="H1122" s="7" t="n">
        <f aca="false">AVERAGE(E1113:E1122)</f>
        <v>19017.66</v>
      </c>
      <c r="I1122" s="7" t="n">
        <f aca="false">AVERAGE(E1103:E1122)</f>
        <v>18847.5285</v>
      </c>
      <c r="J1122" s="7" t="n">
        <f aca="false">AVERAGE(E1073:E1122)</f>
        <v>18237.4412</v>
      </c>
      <c r="K1122" s="7" t="n">
        <f aca="false">AVERAGE(E1023:E1122)</f>
        <v>18065.4915</v>
      </c>
      <c r="L1122" s="7" t="n">
        <f aca="false">AVERAGE(E923:E1122)</f>
        <v>16853.90285</v>
      </c>
      <c r="M1122" s="7" t="n">
        <f aca="false">I1122</f>
        <v>18847.5285</v>
      </c>
      <c r="N1122" s="7" t="n">
        <f aca="false">I1122+2*STDEV(E1103:E1122)</f>
        <v>19460.1644442442</v>
      </c>
      <c r="O1122" s="7" t="n">
        <f aca="false">I1122-2*STDEV(E1103:E1122)</f>
        <v>18234.8925557558</v>
      </c>
      <c r="P1122" s="7" t="n">
        <f aca="false">MAX(E1122-E1121,0)</f>
        <v>111.739999999998</v>
      </c>
      <c r="Q1122" s="7" t="n">
        <f aca="false">MAX(E1121-E1122,0)</f>
        <v>0</v>
      </c>
      <c r="R1122" s="7" t="n">
        <f aca="false">(R1121*13+P1122)/14</f>
        <v>92.2791285764195</v>
      </c>
      <c r="S1122" s="7" t="n">
        <f aca="false">(S1121*13+Q1122)/14</f>
        <v>26.8208541132133</v>
      </c>
      <c r="T1122" s="7" t="n">
        <f aca="false">IF(S1122=0,100,100-100/(1+R1122/S1122))</f>
        <v>77.4803878997138</v>
      </c>
      <c r="U1122" s="7" t="n">
        <f aca="false">E1122*2/13+U1121*11/13</f>
        <v>19054.8221845298</v>
      </c>
      <c r="V1122" s="7" t="n">
        <f aca="false">E1122*2/27+V1121*25/27</f>
        <v>18742.9993131766</v>
      </c>
      <c r="W1122" s="7" t="n">
        <f aca="false">U1122-V1122</f>
        <v>311.822871353179</v>
      </c>
      <c r="X1122" s="7" t="n">
        <f aca="false">W1122*2/10+X1121*8/10</f>
        <v>253.780229782765</v>
      </c>
      <c r="Y1122" s="7" t="n">
        <f aca="false">W1122-X1122</f>
        <v>58.0426415704136</v>
      </c>
      <c r="Z1122" s="8" t="s">
        <v>42</v>
      </c>
      <c r="AA1122" s="7" t="str">
        <f aca="false">IFERROR(INDEX(02_轉折點45!B:B,MATCH(A1122,02_轉折點45!A:A,0)),"")</f>
        <v/>
      </c>
      <c r="AB1122" s="7" t="n">
        <f aca="false">COUNTIFS(05_訊號明細!A:A,A1122,05_訊號明細!C:C,"TOP")</f>
        <v>0</v>
      </c>
      <c r="AC1122" s="7" t="n">
        <f aca="false">COUNTIFS(05_訊號明細!A:A,A1122,05_訊號明細!C:C,"BOTTOM")</f>
        <v>0</v>
      </c>
    </row>
    <row r="1123" customFormat="false" ht="15" hidden="false" customHeight="false" outlineLevel="0" collapsed="false">
      <c r="A1123" s="7" t="s">
        <v>1164</v>
      </c>
      <c r="B1123" s="7" t="n">
        <v>19557.22</v>
      </c>
      <c r="C1123" s="7" t="n">
        <v>19664.59</v>
      </c>
      <c r="D1123" s="7" t="n">
        <v>19534.62</v>
      </c>
      <c r="E1123" s="7" t="n">
        <v>19659.8</v>
      </c>
      <c r="F1123" s="7" t="n">
        <v>4974</v>
      </c>
      <c r="G1123" s="7" t="n">
        <f aca="false">AVERAGE(E1119:E1123)</f>
        <v>19397.35</v>
      </c>
      <c r="H1123" s="7" t="n">
        <f aca="false">AVERAGE(E1114:E1123)</f>
        <v>19129.975</v>
      </c>
      <c r="I1123" s="7" t="n">
        <f aca="false">AVERAGE(E1104:E1123)</f>
        <v>18902.6205</v>
      </c>
      <c r="J1123" s="7" t="n">
        <f aca="false">AVERAGE(E1074:E1123)</f>
        <v>18273.0616</v>
      </c>
      <c r="K1123" s="7" t="n">
        <f aca="false">AVERAGE(E1024:E1123)</f>
        <v>18088.0474</v>
      </c>
      <c r="L1123" s="7" t="n">
        <f aca="false">AVERAGE(E924:E1123)</f>
        <v>16875.3191</v>
      </c>
      <c r="M1123" s="7" t="n">
        <f aca="false">I1123</f>
        <v>18902.6205</v>
      </c>
      <c r="N1123" s="7" t="n">
        <f aca="false">I1123+2*STDEV(E1104:E1123)</f>
        <v>19598.1726555373</v>
      </c>
      <c r="O1123" s="7" t="n">
        <f aca="false">I1123-2*STDEV(E1104:E1123)</f>
        <v>18207.0683444627</v>
      </c>
      <c r="P1123" s="7" t="n">
        <f aca="false">MAX(E1123-E1122,0)</f>
        <v>82.880000000001</v>
      </c>
      <c r="Q1123" s="7" t="n">
        <f aca="false">MAX(E1122-E1123,0)</f>
        <v>0</v>
      </c>
      <c r="R1123" s="7" t="n">
        <f aca="false">(R1122*13+P1123)/14</f>
        <v>91.6077622495325</v>
      </c>
      <c r="S1123" s="7" t="n">
        <f aca="false">(S1122*13+Q1123)/14</f>
        <v>24.9050788194124</v>
      </c>
      <c r="T1123" s="7" t="n">
        <f aca="false">IF(S1123=0,100,100-100/(1+R1123/S1123))</f>
        <v>78.6246060168809</v>
      </c>
      <c r="U1123" s="7" t="n">
        <f aca="false">E1123*2/13+U1122*11/13</f>
        <v>19147.8956946022</v>
      </c>
      <c r="V1123" s="7" t="n">
        <f aca="false">E1123*2/27+V1122*25/27</f>
        <v>18810.9104751636</v>
      </c>
      <c r="W1123" s="7" t="n">
        <f aca="false">U1123-V1123</f>
        <v>336.9852194386</v>
      </c>
      <c r="X1123" s="7" t="n">
        <f aca="false">W1123*2/10+X1122*8/10</f>
        <v>270.421227713932</v>
      </c>
      <c r="Y1123" s="7" t="n">
        <f aca="false">W1123-X1123</f>
        <v>66.563991724668</v>
      </c>
      <c r="Z1123" s="8" t="s">
        <v>42</v>
      </c>
      <c r="AA1123" s="7" t="str">
        <f aca="false">IFERROR(INDEX(02_轉折點45!B:B,MATCH(A1123,02_轉折點45!A:A,0)),"")</f>
        <v/>
      </c>
      <c r="AB1123" s="7" t="n">
        <f aca="false">COUNTIFS(05_訊號明細!A:A,A1123,05_訊號明細!C:C,"TOP")</f>
        <v>0</v>
      </c>
      <c r="AC1123" s="7" t="n">
        <f aca="false">COUNTIFS(05_訊號明細!A:A,A1123,05_訊號明細!C:C,"BOTTOM")</f>
        <v>0</v>
      </c>
    </row>
    <row r="1124" customFormat="false" ht="15" hidden="false" customHeight="false" outlineLevel="0" collapsed="false">
      <c r="A1124" s="7" t="s">
        <v>1165</v>
      </c>
      <c r="B1124" s="7" t="n">
        <v>19681.86</v>
      </c>
      <c r="C1124" s="7" t="n">
        <v>19977.84</v>
      </c>
      <c r="D1124" s="7" t="n">
        <v>19623.71</v>
      </c>
      <c r="E1124" s="7" t="n">
        <v>19902.75</v>
      </c>
      <c r="F1124" s="7" t="n">
        <v>6061</v>
      </c>
      <c r="G1124" s="7" t="n">
        <f aca="false">AVERAGE(E1120:E1124)</f>
        <v>19562.966</v>
      </c>
      <c r="H1124" s="7" t="n">
        <f aca="false">AVERAGE(E1115:E1124)</f>
        <v>19260.153</v>
      </c>
      <c r="I1124" s="7" t="n">
        <f aca="false">AVERAGE(E1105:E1124)</f>
        <v>18970.4465</v>
      </c>
      <c r="J1124" s="7" t="n">
        <f aca="false">AVERAGE(E1075:E1124)</f>
        <v>18308.9474</v>
      </c>
      <c r="K1124" s="7" t="n">
        <f aca="false">AVERAGE(E1025:E1124)</f>
        <v>18112.0819</v>
      </c>
      <c r="L1124" s="7" t="n">
        <f aca="false">AVERAGE(E925:E1124)</f>
        <v>16897.5207</v>
      </c>
      <c r="M1124" s="7" t="n">
        <f aca="false">I1124</f>
        <v>18970.4465</v>
      </c>
      <c r="N1124" s="7" t="n">
        <f aca="false">I1124+2*STDEV(E1105:E1124)</f>
        <v>19775.5948430308</v>
      </c>
      <c r="O1124" s="7" t="n">
        <f aca="false">I1124-2*STDEV(E1105:E1124)</f>
        <v>18165.2981569692</v>
      </c>
      <c r="P1124" s="7" t="n">
        <f aca="false">MAX(E1124-E1123,0)</f>
        <v>242.950000000001</v>
      </c>
      <c r="Q1124" s="7" t="n">
        <f aca="false">MAX(E1123-E1124,0)</f>
        <v>0</v>
      </c>
      <c r="R1124" s="7" t="n">
        <f aca="false">(R1123*13+P1124)/14</f>
        <v>102.417922088852</v>
      </c>
      <c r="S1124" s="7" t="n">
        <f aca="false">(S1123*13+Q1124)/14</f>
        <v>23.1261446180258</v>
      </c>
      <c r="T1124" s="7" t="n">
        <f aca="false">IF(S1124=0,100,100-100/(1+R1124/S1124))</f>
        <v>81.579261191195</v>
      </c>
      <c r="U1124" s="7" t="n">
        <f aca="false">E1124*2/13+U1123*11/13</f>
        <v>19264.0271262018</v>
      </c>
      <c r="V1124" s="7" t="n">
        <f aca="false">E1124*2/27+V1123*25/27</f>
        <v>18891.7874770033</v>
      </c>
      <c r="W1124" s="7" t="n">
        <f aca="false">U1124-V1124</f>
        <v>372.239649198535</v>
      </c>
      <c r="X1124" s="7" t="n">
        <f aca="false">W1124*2/10+X1123*8/10</f>
        <v>290.784912010853</v>
      </c>
      <c r="Y1124" s="7" t="n">
        <f aca="false">W1124-X1124</f>
        <v>81.4547371876819</v>
      </c>
      <c r="Z1124" s="8" t="s">
        <v>42</v>
      </c>
      <c r="AA1124" s="7" t="str">
        <f aca="false">IFERROR(INDEX(02_轉折點45!B:B,MATCH(A1124,02_轉折點45!A:A,0)),"")</f>
        <v/>
      </c>
      <c r="AB1124" s="7" t="n">
        <f aca="false">COUNTIFS(05_訊號明細!A:A,A1124,05_訊號明細!C:C,"TOP")</f>
        <v>1</v>
      </c>
      <c r="AC1124" s="7" t="n">
        <f aca="false">COUNTIFS(05_訊號明細!A:A,A1124,05_訊號明細!C:C,"BOTTOM")</f>
        <v>0</v>
      </c>
    </row>
    <row r="1125" customFormat="false" ht="15" hidden="false" customHeight="false" outlineLevel="0" collapsed="false">
      <c r="A1125" s="7" t="s">
        <v>1166</v>
      </c>
      <c r="B1125" s="7" t="n">
        <v>19904.43</v>
      </c>
      <c r="C1125" s="7" t="n">
        <v>19940.5</v>
      </c>
      <c r="D1125" s="7" t="n">
        <v>19837.86</v>
      </c>
      <c r="E1125" s="7" t="n">
        <v>19908.86</v>
      </c>
      <c r="F1125" s="7" t="n">
        <v>5796</v>
      </c>
      <c r="G1125" s="7" t="n">
        <f aca="false">AVERAGE(E1121:E1125)</f>
        <v>19702.702</v>
      </c>
      <c r="H1125" s="7" t="n">
        <f aca="false">AVERAGE(E1116:E1125)</f>
        <v>19385.555</v>
      </c>
      <c r="I1125" s="7" t="n">
        <f aca="false">AVERAGE(E1106:E1125)</f>
        <v>19032.18</v>
      </c>
      <c r="J1125" s="7" t="n">
        <f aca="false">AVERAGE(E1076:E1125)</f>
        <v>18345.1208</v>
      </c>
      <c r="K1125" s="7" t="n">
        <f aca="false">AVERAGE(E1026:E1125)</f>
        <v>18136.0006</v>
      </c>
      <c r="L1125" s="7" t="n">
        <f aca="false">AVERAGE(E926:E1125)</f>
        <v>16919.55965</v>
      </c>
      <c r="M1125" s="7" t="n">
        <f aca="false">I1125</f>
        <v>19032.18</v>
      </c>
      <c r="N1125" s="7" t="n">
        <f aca="false">I1125+2*STDEV(E1106:E1125)</f>
        <v>19926.1227499154</v>
      </c>
      <c r="O1125" s="7" t="n">
        <f aca="false">I1125-2*STDEV(E1106:E1125)</f>
        <v>18138.2372500846</v>
      </c>
      <c r="P1125" s="7" t="n">
        <f aca="false">MAX(E1125-E1124,0)</f>
        <v>6.11000000000058</v>
      </c>
      <c r="Q1125" s="7" t="n">
        <f aca="false">MAX(E1124-E1125,0)</f>
        <v>0</v>
      </c>
      <c r="R1125" s="7" t="n">
        <f aca="false">(R1124*13+P1125)/14</f>
        <v>95.5387847967909</v>
      </c>
      <c r="S1125" s="7" t="n">
        <f aca="false">(S1124*13+Q1125)/14</f>
        <v>21.4742771453096</v>
      </c>
      <c r="T1125" s="7" t="n">
        <f aca="false">IF(S1125=0,100,100-100/(1+R1125/S1125))</f>
        <v>81.6479658006596</v>
      </c>
      <c r="U1125" s="7" t="n">
        <f aca="false">E1125*2/13+U1124*11/13</f>
        <v>19363.2321837092</v>
      </c>
      <c r="V1125" s="7" t="n">
        <f aca="false">E1125*2/27+V1124*25/27</f>
        <v>18967.1261824105</v>
      </c>
      <c r="W1125" s="7" t="n">
        <f aca="false">U1125-V1125</f>
        <v>396.106001298784</v>
      </c>
      <c r="X1125" s="7" t="n">
        <f aca="false">W1125*2/10+X1124*8/10</f>
        <v>311.849129868439</v>
      </c>
      <c r="Y1125" s="7" t="n">
        <f aca="false">W1125-X1125</f>
        <v>84.2568714303448</v>
      </c>
      <c r="Z1125" s="8" t="s">
        <v>42</v>
      </c>
      <c r="AA1125" s="7" t="str">
        <f aca="false">IFERROR(INDEX(02_轉折點45!B:B,MATCH(A1125,02_轉折點45!A:A,0)),"")</f>
        <v/>
      </c>
      <c r="AB1125" s="7" t="n">
        <f aca="false">COUNTIFS(05_訊號明細!A:A,A1125,05_訊號明細!C:C,"TOP")</f>
        <v>0</v>
      </c>
      <c r="AC1125" s="7" t="n">
        <f aca="false">COUNTIFS(05_訊號明細!A:A,A1125,05_訊號明細!C:C,"BOTTOM")</f>
        <v>0</v>
      </c>
    </row>
    <row r="1126" customFormat="false" ht="15" hidden="false" customHeight="false" outlineLevel="0" collapsed="false">
      <c r="A1126" s="7" t="s">
        <v>1167</v>
      </c>
      <c r="B1126" s="7" t="n">
        <v>19962.97</v>
      </c>
      <c r="C1126" s="7" t="n">
        <v>19979.93</v>
      </c>
      <c r="D1126" s="7" t="n">
        <v>19685.03</v>
      </c>
      <c r="E1126" s="7" t="n">
        <v>19752.3</v>
      </c>
      <c r="F1126" s="7" t="n">
        <v>6289</v>
      </c>
      <c r="G1126" s="7" t="n">
        <f aca="false">AVERAGE(E1122:E1126)</f>
        <v>19760.126</v>
      </c>
      <c r="H1126" s="7" t="n">
        <f aca="false">AVERAGE(E1117:E1126)</f>
        <v>19457.28</v>
      </c>
      <c r="I1126" s="7" t="n">
        <f aca="false">AVERAGE(E1107:E1126)</f>
        <v>19084.105</v>
      </c>
      <c r="J1126" s="7" t="n">
        <f aca="false">AVERAGE(E1077:E1126)</f>
        <v>18376.7688</v>
      </c>
      <c r="K1126" s="7" t="n">
        <f aca="false">AVERAGE(E1027:E1126)</f>
        <v>18159.3135</v>
      </c>
      <c r="L1126" s="7" t="n">
        <f aca="false">AVERAGE(E927:E1126)</f>
        <v>16940.86685</v>
      </c>
      <c r="M1126" s="7" t="n">
        <f aca="false">I1126</f>
        <v>19084.105</v>
      </c>
      <c r="N1126" s="7" t="n">
        <f aca="false">I1126+2*STDEV(E1107:E1126)</f>
        <v>20019.8476173451</v>
      </c>
      <c r="O1126" s="7" t="n">
        <f aca="false">I1126-2*STDEV(E1107:E1126)</f>
        <v>18148.3623826549</v>
      </c>
      <c r="P1126" s="7" t="n">
        <f aca="false">MAX(E1126-E1125,0)</f>
        <v>0</v>
      </c>
      <c r="Q1126" s="7" t="n">
        <f aca="false">MAX(E1125-E1126,0)</f>
        <v>156.560000000001</v>
      </c>
      <c r="R1126" s="7" t="n">
        <f aca="false">(R1125*13+P1126)/14</f>
        <v>88.7145858827344</v>
      </c>
      <c r="S1126" s="7" t="n">
        <f aca="false">(S1125*13+Q1126)/14</f>
        <v>31.1232573492162</v>
      </c>
      <c r="T1126" s="7" t="n">
        <f aca="false">IF(S1126=0,100,100-100/(1+R1126/S1126))</f>
        <v>74.0288572375456</v>
      </c>
      <c r="U1126" s="7" t="n">
        <f aca="false">E1126*2/13+U1125*11/13</f>
        <v>19423.0887708309</v>
      </c>
      <c r="V1126" s="7" t="n">
        <f aca="false">E1126*2/27+V1125*25/27</f>
        <v>19025.2872059356</v>
      </c>
      <c r="W1126" s="7" t="n">
        <f aca="false">U1126-V1126</f>
        <v>397.801564895282</v>
      </c>
      <c r="X1126" s="7" t="n">
        <f aca="false">W1126*2/10+X1125*8/10</f>
        <v>329.039616873808</v>
      </c>
      <c r="Y1126" s="7" t="n">
        <f aca="false">W1126-X1126</f>
        <v>68.7619480214747</v>
      </c>
      <c r="Z1126" s="8" t="s">
        <v>42</v>
      </c>
      <c r="AA1126" s="7" t="str">
        <f aca="false">IFERROR(INDEX(02_轉折點45!B:B,MATCH(A1126,02_轉折點45!A:A,0)),"")</f>
        <v/>
      </c>
      <c r="AB1126" s="7" t="n">
        <f aca="false">COUNTIFS(05_訊號明細!A:A,A1126,05_訊號明細!C:C,"TOP")</f>
        <v>0</v>
      </c>
      <c r="AC1126" s="7" t="n">
        <f aca="false">COUNTIFS(05_訊號明細!A:A,A1126,05_訊號明細!C:C,"BOTTOM")</f>
        <v>0</v>
      </c>
    </row>
    <row r="1127" customFormat="false" ht="15" hidden="false" customHeight="false" outlineLevel="0" collapsed="false">
      <c r="A1127" s="7" t="s">
        <v>1168</v>
      </c>
      <c r="B1127" s="7" t="n">
        <v>19722.37</v>
      </c>
      <c r="C1127" s="7" t="n">
        <v>19801.97</v>
      </c>
      <c r="D1127" s="7" t="n">
        <v>19643.52</v>
      </c>
      <c r="E1127" s="7" t="n">
        <v>19700.43</v>
      </c>
      <c r="F1127" s="7" t="n">
        <v>8589</v>
      </c>
      <c r="G1127" s="7" t="n">
        <f aca="false">AVERAGE(E1123:E1127)</f>
        <v>19784.828</v>
      </c>
      <c r="H1127" s="7" t="n">
        <f aca="false">AVERAGE(E1118:E1127)</f>
        <v>19525.204</v>
      </c>
      <c r="I1127" s="7" t="n">
        <f aca="false">AVERAGE(E1108:E1127)</f>
        <v>19133.8665</v>
      </c>
      <c r="J1127" s="7" t="n">
        <f aca="false">AVERAGE(E1078:E1127)</f>
        <v>18410.5442</v>
      </c>
      <c r="K1127" s="7" t="n">
        <f aca="false">AVERAGE(E1028:E1127)</f>
        <v>18180.3551</v>
      </c>
      <c r="L1127" s="7" t="n">
        <f aca="false">AVERAGE(E928:E1127)</f>
        <v>16961.8278</v>
      </c>
      <c r="M1127" s="7" t="n">
        <f aca="false">I1127</f>
        <v>19133.8665</v>
      </c>
      <c r="N1127" s="7" t="n">
        <f aca="false">I1127+2*STDEV(E1108:E1127)</f>
        <v>20090.3877229252</v>
      </c>
      <c r="O1127" s="7" t="n">
        <f aca="false">I1127-2*STDEV(E1108:E1127)</f>
        <v>18177.3452770748</v>
      </c>
      <c r="P1127" s="7" t="n">
        <f aca="false">MAX(E1127-E1126,0)</f>
        <v>0</v>
      </c>
      <c r="Q1127" s="7" t="n">
        <f aca="false">MAX(E1126-E1127,0)</f>
        <v>51.869999999999</v>
      </c>
      <c r="R1127" s="7" t="n">
        <f aca="false">(R1126*13+P1127)/14</f>
        <v>82.3778297482534</v>
      </c>
      <c r="S1127" s="7" t="n">
        <f aca="false">(S1126*13+Q1127)/14</f>
        <v>32.6051675385578</v>
      </c>
      <c r="T1127" s="7" t="n">
        <f aca="false">IF(S1127=0,100,100-100/(1+R1127/S1127))</f>
        <v>71.6434879000169</v>
      </c>
      <c r="U1127" s="7" t="n">
        <f aca="false">E1127*2/13+U1126*11/13</f>
        <v>19465.7566522415</v>
      </c>
      <c r="V1127" s="7" t="n">
        <f aca="false">E1127*2/27+V1126*25/27</f>
        <v>19075.2977832737</v>
      </c>
      <c r="W1127" s="7" t="n">
        <f aca="false">U1127-V1127</f>
        <v>390.458868967809</v>
      </c>
      <c r="X1127" s="7" t="n">
        <f aca="false">W1127*2/10+X1126*8/10</f>
        <v>341.323467292608</v>
      </c>
      <c r="Y1127" s="7" t="n">
        <f aca="false">W1127-X1127</f>
        <v>49.1354016752014</v>
      </c>
      <c r="Z1127" s="8" t="s">
        <v>42</v>
      </c>
      <c r="AA1127" s="7" t="str">
        <f aca="false">IFERROR(INDEX(02_轉折點45!B:B,MATCH(A1127,02_轉折點45!A:A,0)),"")</f>
        <v/>
      </c>
      <c r="AB1127" s="7" t="n">
        <f aca="false">COUNTIFS(05_訊號明細!A:A,A1127,05_訊號明細!C:C,"TOP")</f>
        <v>0</v>
      </c>
      <c r="AC1127" s="7" t="n">
        <f aca="false">COUNTIFS(05_訊號明細!A:A,A1127,05_訊號明細!C:C,"BOTTOM")</f>
        <v>0</v>
      </c>
    </row>
    <row r="1128" customFormat="false" ht="15" hidden="false" customHeight="false" outlineLevel="0" collapsed="false">
      <c r="A1128" s="7" t="s">
        <v>1169</v>
      </c>
      <c r="B1128" s="7" t="n">
        <v>19648.23</v>
      </c>
      <c r="C1128" s="7" t="n">
        <v>19723.2</v>
      </c>
      <c r="D1128" s="7" t="n">
        <v>19472.53</v>
      </c>
      <c r="E1128" s="7" t="n">
        <v>19474.62</v>
      </c>
      <c r="F1128" s="7" t="n">
        <v>5503</v>
      </c>
      <c r="G1128" s="7" t="n">
        <f aca="false">AVERAGE(E1124:E1128)</f>
        <v>19747.792</v>
      </c>
      <c r="H1128" s="7" t="n">
        <f aca="false">AVERAGE(E1119:E1128)</f>
        <v>19572.571</v>
      </c>
      <c r="I1128" s="7" t="n">
        <f aca="false">AVERAGE(E1109:E1128)</f>
        <v>19176.428</v>
      </c>
      <c r="J1128" s="7" t="n">
        <f aca="false">AVERAGE(E1079:E1128)</f>
        <v>18433.877</v>
      </c>
      <c r="K1128" s="7" t="n">
        <f aca="false">AVERAGE(E1029:E1128)</f>
        <v>18200.3342</v>
      </c>
      <c r="L1128" s="7" t="n">
        <f aca="false">AVERAGE(E929:E1128)</f>
        <v>16982.3437</v>
      </c>
      <c r="M1128" s="7" t="n">
        <f aca="false">I1128</f>
        <v>19176.428</v>
      </c>
      <c r="N1128" s="7" t="n">
        <f aca="false">I1128+2*STDEV(E1109:E1128)</f>
        <v>20112.8521169268</v>
      </c>
      <c r="O1128" s="7" t="n">
        <f aca="false">I1128-2*STDEV(E1109:E1128)</f>
        <v>18240.0038830732</v>
      </c>
      <c r="P1128" s="7" t="n">
        <f aca="false">MAX(E1128-E1127,0)</f>
        <v>0</v>
      </c>
      <c r="Q1128" s="7" t="n">
        <f aca="false">MAX(E1127-E1128,0)</f>
        <v>225.810000000001</v>
      </c>
      <c r="R1128" s="7" t="n">
        <f aca="false">(R1127*13+P1128)/14</f>
        <v>76.4936990519496</v>
      </c>
      <c r="S1128" s="7" t="n">
        <f aca="false">(S1127*13+Q1128)/14</f>
        <v>46.4055127143752</v>
      </c>
      <c r="T1128" s="7" t="n">
        <f aca="false">IF(S1128=0,100,100-100/(1+R1128/S1128))</f>
        <v>62.2410005341543</v>
      </c>
      <c r="U1128" s="7" t="n">
        <f aca="false">E1128*2/13+U1127*11/13</f>
        <v>19467.1202442044</v>
      </c>
      <c r="V1128" s="7" t="n">
        <f aca="false">E1128*2/27+V1127*25/27</f>
        <v>19104.8772067349</v>
      </c>
      <c r="W1128" s="7" t="n">
        <f aca="false">U1128-V1128</f>
        <v>362.243037469445</v>
      </c>
      <c r="X1128" s="7" t="n">
        <f aca="false">W1128*2/10+X1127*8/10</f>
        <v>345.507381327975</v>
      </c>
      <c r="Y1128" s="7" t="n">
        <f aca="false">W1128-X1128</f>
        <v>16.7356561414696</v>
      </c>
      <c r="Z1128" s="8" t="s">
        <v>42</v>
      </c>
      <c r="AA1128" s="7" t="str">
        <f aca="false">IFERROR(INDEX(02_轉折點45!B:B,MATCH(A1128,02_轉折點45!A:A,0)),"")</f>
        <v/>
      </c>
      <c r="AB1128" s="7" t="n">
        <f aca="false">COUNTIFS(05_訊號明細!A:A,A1128,05_訊號明細!C:C,"TOP")</f>
        <v>0</v>
      </c>
      <c r="AC1128" s="7" t="n">
        <f aca="false">COUNTIFS(05_訊號明細!A:A,A1128,05_訊號明細!C:C,"BOTTOM")</f>
        <v>0</v>
      </c>
    </row>
    <row r="1129" customFormat="false" ht="15" hidden="false" customHeight="false" outlineLevel="0" collapsed="false">
      <c r="A1129" s="7" t="s">
        <v>1170</v>
      </c>
      <c r="B1129" s="7" t="n">
        <v>19555.84</v>
      </c>
      <c r="C1129" s="7" t="n">
        <v>19712.42</v>
      </c>
      <c r="D1129" s="7" t="n">
        <v>19523.51</v>
      </c>
      <c r="E1129" s="7" t="n">
        <v>19701.13</v>
      </c>
      <c r="F1129" s="7" t="n">
        <v>4848</v>
      </c>
      <c r="G1129" s="7" t="n">
        <f aca="false">AVERAGE(E1125:E1129)</f>
        <v>19707.468</v>
      </c>
      <c r="H1129" s="7" t="n">
        <f aca="false">AVERAGE(E1120:E1129)</f>
        <v>19635.217</v>
      </c>
      <c r="I1129" s="7" t="n">
        <f aca="false">AVERAGE(E1110:E1129)</f>
        <v>19221.067</v>
      </c>
      <c r="J1129" s="7" t="n">
        <f aca="false">AVERAGE(E1080:E1129)</f>
        <v>18467.8298</v>
      </c>
      <c r="K1129" s="7" t="n">
        <f aca="false">AVERAGE(E1030:E1129)</f>
        <v>18225.9731</v>
      </c>
      <c r="L1129" s="7" t="n">
        <f aca="false">AVERAGE(E930:E1129)</f>
        <v>17004.55675</v>
      </c>
      <c r="M1129" s="7" t="n">
        <f aca="false">I1129</f>
        <v>19221.067</v>
      </c>
      <c r="N1129" s="7" t="n">
        <f aca="false">I1129+2*STDEV(E1110:E1129)</f>
        <v>20168.6629688013</v>
      </c>
      <c r="O1129" s="7" t="n">
        <f aca="false">I1129-2*STDEV(E1110:E1129)</f>
        <v>18273.4710311987</v>
      </c>
      <c r="P1129" s="7" t="n">
        <f aca="false">MAX(E1129-E1128,0)</f>
        <v>226.510000000002</v>
      </c>
      <c r="Q1129" s="7" t="n">
        <f aca="false">MAX(E1128-E1129,0)</f>
        <v>0</v>
      </c>
      <c r="R1129" s="7" t="n">
        <f aca="false">(R1128*13+P1129)/14</f>
        <v>87.2091491196676</v>
      </c>
      <c r="S1129" s="7" t="n">
        <f aca="false">(S1128*13+Q1129)/14</f>
        <v>43.090833234777</v>
      </c>
      <c r="T1129" s="7" t="n">
        <f aca="false">IF(S1129=0,100,100-100/(1+R1129/S1129))</f>
        <v>66.9295172139314</v>
      </c>
      <c r="U1129" s="7" t="n">
        <f aca="false">E1129*2/13+U1128*11/13</f>
        <v>19503.121745096</v>
      </c>
      <c r="V1129" s="7" t="n">
        <f aca="false">E1129*2/27+V1128*25/27</f>
        <v>19149.0440803101</v>
      </c>
      <c r="W1129" s="7" t="n">
        <f aca="false">U1129-V1129</f>
        <v>354.077664785891</v>
      </c>
      <c r="X1129" s="7" t="n">
        <f aca="false">W1129*2/10+X1128*8/10</f>
        <v>347.221438019559</v>
      </c>
      <c r="Y1129" s="7" t="n">
        <f aca="false">W1129-X1129</f>
        <v>6.85622676633255</v>
      </c>
      <c r="Z1129" s="8" t="s">
        <v>42</v>
      </c>
      <c r="AA1129" s="7" t="str">
        <f aca="false">IFERROR(INDEX(02_轉折點45!B:B,MATCH(A1129,02_轉折點45!A:A,0)),"")</f>
        <v/>
      </c>
      <c r="AB1129" s="7" t="n">
        <f aca="false">COUNTIFS(05_訊號明細!A:A,A1129,05_訊號明細!C:C,"TOP")</f>
        <v>0</v>
      </c>
      <c r="AC1129" s="7" t="n">
        <f aca="false">COUNTIFS(05_訊號明細!A:A,A1129,05_訊號明細!C:C,"BOTTOM")</f>
        <v>0</v>
      </c>
    </row>
    <row r="1130" customFormat="false" ht="15" hidden="false" customHeight="false" outlineLevel="0" collapsed="false">
      <c r="A1130" s="7" t="s">
        <v>1171</v>
      </c>
      <c r="B1130" s="7" t="n">
        <v>19671.07</v>
      </c>
      <c r="C1130" s="7" t="n">
        <v>19763.55</v>
      </c>
      <c r="D1130" s="7" t="n">
        <v>19654.18</v>
      </c>
      <c r="E1130" s="7" t="n">
        <v>19751.05</v>
      </c>
      <c r="F1130" s="7" t="n">
        <v>5294</v>
      </c>
      <c r="G1130" s="7" t="n">
        <f aca="false">AVERAGE(E1126:E1130)</f>
        <v>19675.906</v>
      </c>
      <c r="H1130" s="7" t="n">
        <f aca="false">AVERAGE(E1121:E1130)</f>
        <v>19689.304</v>
      </c>
      <c r="I1130" s="7" t="n">
        <f aca="false">AVERAGE(E1111:E1130)</f>
        <v>19265.1475</v>
      </c>
      <c r="J1130" s="7" t="n">
        <f aca="false">AVERAGE(E1081:E1130)</f>
        <v>18508.7142</v>
      </c>
      <c r="K1130" s="7" t="n">
        <f aca="false">AVERAGE(E1031:E1130)</f>
        <v>18250.0365</v>
      </c>
      <c r="L1130" s="7" t="n">
        <f aca="false">AVERAGE(E931:E1130)</f>
        <v>17026.91085</v>
      </c>
      <c r="M1130" s="7" t="n">
        <f aca="false">I1130</f>
        <v>19265.1475</v>
      </c>
      <c r="N1130" s="7" t="n">
        <f aca="false">I1130+2*STDEV(E1111:E1130)</f>
        <v>20225.8034923165</v>
      </c>
      <c r="O1130" s="7" t="n">
        <f aca="false">I1130-2*STDEV(E1111:E1130)</f>
        <v>18304.4915076835</v>
      </c>
      <c r="P1130" s="7" t="n">
        <f aca="false">MAX(E1130-E1129,0)</f>
        <v>49.9199999999983</v>
      </c>
      <c r="Q1130" s="7" t="n">
        <f aca="false">MAX(E1129-E1130,0)</f>
        <v>0</v>
      </c>
      <c r="R1130" s="7" t="n">
        <f aca="false">(R1129*13+P1130)/14</f>
        <v>84.5456384682626</v>
      </c>
      <c r="S1130" s="7" t="n">
        <f aca="false">(S1129*13+Q1130)/14</f>
        <v>40.01291657515</v>
      </c>
      <c r="T1130" s="7" t="n">
        <f aca="false">IF(S1130=0,100,100-100/(1+R1130/S1130))</f>
        <v>67.8762196934572</v>
      </c>
      <c r="U1130" s="7" t="n">
        <f aca="false">E1130*2/13+U1129*11/13</f>
        <v>19541.2645535428</v>
      </c>
      <c r="V1130" s="7" t="n">
        <f aca="false">E1130*2/27+V1129*25/27</f>
        <v>19193.6371113983</v>
      </c>
      <c r="W1130" s="7" t="n">
        <f aca="false">U1130-V1130</f>
        <v>347.62744214452</v>
      </c>
      <c r="X1130" s="7" t="n">
        <f aca="false">W1130*2/10+X1129*8/10</f>
        <v>347.302638844551</v>
      </c>
      <c r="Y1130" s="7" t="n">
        <f aca="false">W1130-X1130</f>
        <v>0.324803299968835</v>
      </c>
      <c r="Z1130" s="8" t="s">
        <v>42</v>
      </c>
      <c r="AA1130" s="7" t="str">
        <f aca="false">IFERROR(INDEX(02_轉折點45!B:B,MATCH(A1130,02_轉折點45!A:A,0)),"")</f>
        <v/>
      </c>
      <c r="AB1130" s="7" t="n">
        <f aca="false">COUNTIFS(05_訊號明細!A:A,A1130,05_訊號明細!C:C,"TOP")</f>
        <v>1</v>
      </c>
      <c r="AC1130" s="7" t="n">
        <f aca="false">COUNTIFS(05_訊號明細!A:A,A1130,05_訊號明細!C:C,"BOTTOM")</f>
        <v>0</v>
      </c>
    </row>
    <row r="1131" customFormat="false" ht="15" hidden="false" customHeight="false" outlineLevel="0" collapsed="false">
      <c r="A1131" s="7" t="s">
        <v>1172</v>
      </c>
      <c r="B1131" s="7" t="n">
        <v>19740.52</v>
      </c>
      <c r="C1131" s="7" t="n">
        <v>19850.81</v>
      </c>
      <c r="D1131" s="7" t="n">
        <v>19701.34</v>
      </c>
      <c r="E1131" s="7" t="n">
        <v>19789.03</v>
      </c>
      <c r="F1131" s="7" t="n">
        <v>5382</v>
      </c>
      <c r="G1131" s="7" t="n">
        <f aca="false">AVERAGE(E1127:E1131)</f>
        <v>19683.252</v>
      </c>
      <c r="H1131" s="7" t="n">
        <f aca="false">AVERAGE(E1122:E1131)</f>
        <v>19721.689</v>
      </c>
      <c r="I1131" s="7" t="n">
        <f aca="false">AVERAGE(E1112:E1131)</f>
        <v>19317.7615</v>
      </c>
      <c r="J1131" s="7" t="n">
        <f aca="false">AVERAGE(E1082:E1131)</f>
        <v>18550.2216</v>
      </c>
      <c r="K1131" s="7" t="n">
        <f aca="false">AVERAGE(E1032:E1131)</f>
        <v>18271.4995</v>
      </c>
      <c r="L1131" s="7" t="n">
        <f aca="false">AVERAGE(E932:E1131)</f>
        <v>17048.54665</v>
      </c>
      <c r="M1131" s="7" t="n">
        <f aca="false">I1131</f>
        <v>19317.7615</v>
      </c>
      <c r="N1131" s="7" t="n">
        <f aca="false">I1131+2*STDEV(E1112:E1131)</f>
        <v>20271.8076193591</v>
      </c>
      <c r="O1131" s="7" t="n">
        <f aca="false">I1131-2*STDEV(E1112:E1131)</f>
        <v>18363.7153806409</v>
      </c>
      <c r="P1131" s="7" t="n">
        <f aca="false">MAX(E1131-E1130,0)</f>
        <v>37.9799999999996</v>
      </c>
      <c r="Q1131" s="7" t="n">
        <f aca="false">MAX(E1130-E1131,0)</f>
        <v>0</v>
      </c>
      <c r="R1131" s="7" t="n">
        <f aca="false">(R1130*13+P1131)/14</f>
        <v>81.2195214348153</v>
      </c>
      <c r="S1131" s="7" t="n">
        <f aca="false">(S1130*13+Q1131)/14</f>
        <v>37.1548511054965</v>
      </c>
      <c r="T1131" s="7" t="n">
        <f aca="false">IF(S1131=0,100,100-100/(1+R1131/S1131))</f>
        <v>68.6124198100027</v>
      </c>
      <c r="U1131" s="7" t="n">
        <f aca="false">E1131*2/13+U1130*11/13</f>
        <v>19579.3823145362</v>
      </c>
      <c r="V1131" s="7" t="n">
        <f aca="false">E1131*2/27+V1130*25/27</f>
        <v>19237.7402883317</v>
      </c>
      <c r="W1131" s="7" t="n">
        <f aca="false">U1131-V1131</f>
        <v>341.642026204474</v>
      </c>
      <c r="X1131" s="7" t="n">
        <f aca="false">W1131*2/10+X1130*8/10</f>
        <v>346.170516316535</v>
      </c>
      <c r="Y1131" s="7" t="n">
        <f aca="false">W1131-X1131</f>
        <v>-4.52849011206149</v>
      </c>
      <c r="Z1131" s="8" t="s">
        <v>42</v>
      </c>
      <c r="AA1131" s="7" t="str">
        <f aca="false">IFERROR(INDEX(02_轉折點45!B:B,MATCH(A1131,02_轉折點45!A:A,0)),"")</f>
        <v/>
      </c>
      <c r="AB1131" s="7" t="n">
        <f aca="false">COUNTIFS(05_訊號明細!A:A,A1131,05_訊號明細!C:C,"TOP")</f>
        <v>0</v>
      </c>
      <c r="AC1131" s="7" t="n">
        <f aca="false">COUNTIFS(05_訊號明細!A:A,A1131,05_訊號明細!C:C,"BOTTOM")</f>
        <v>0</v>
      </c>
    </row>
    <row r="1132" customFormat="false" ht="15" hidden="false" customHeight="false" outlineLevel="0" collapsed="false">
      <c r="A1132" s="7" t="s">
        <v>1173</v>
      </c>
      <c r="B1132" s="7" t="n">
        <v>19817</v>
      </c>
      <c r="C1132" s="7" t="n">
        <v>20017.71</v>
      </c>
      <c r="D1132" s="7" t="n">
        <v>19665.85</v>
      </c>
      <c r="E1132" s="7" t="n">
        <v>19682.87</v>
      </c>
      <c r="F1132" s="7" t="n">
        <v>8961</v>
      </c>
      <c r="G1132" s="7" t="n">
        <f aca="false">AVERAGE(E1128:E1132)</f>
        <v>19679.74</v>
      </c>
      <c r="H1132" s="7" t="n">
        <f aca="false">AVERAGE(E1123:E1132)</f>
        <v>19732.284</v>
      </c>
      <c r="I1132" s="7" t="n">
        <f aca="false">AVERAGE(E1113:E1132)</f>
        <v>19374.972</v>
      </c>
      <c r="J1132" s="7" t="n">
        <f aca="false">AVERAGE(E1083:E1132)</f>
        <v>18594.0066</v>
      </c>
      <c r="K1132" s="7" t="n">
        <f aca="false">AVERAGE(E1033:E1132)</f>
        <v>18292.1978</v>
      </c>
      <c r="L1132" s="7" t="n">
        <f aca="false">AVERAGE(E933:E1132)</f>
        <v>17070.5123</v>
      </c>
      <c r="M1132" s="7" t="n">
        <f aca="false">I1132</f>
        <v>19374.972</v>
      </c>
      <c r="N1132" s="7" t="n">
        <f aca="false">I1132+2*STDEV(E1113:E1132)</f>
        <v>20267.5511408957</v>
      </c>
      <c r="O1132" s="7" t="n">
        <f aca="false">I1132-2*STDEV(E1113:E1132)</f>
        <v>18482.3928591043</v>
      </c>
      <c r="P1132" s="7" t="n">
        <f aca="false">MAX(E1132-E1131,0)</f>
        <v>0</v>
      </c>
      <c r="Q1132" s="7" t="n">
        <f aca="false">MAX(E1131-E1132,0)</f>
        <v>106.16</v>
      </c>
      <c r="R1132" s="7" t="n">
        <f aca="false">(R1131*13+P1132)/14</f>
        <v>75.4181270466142</v>
      </c>
      <c r="S1132" s="7" t="n">
        <f aca="false">(S1131*13+Q1132)/14</f>
        <v>42.0837903122467</v>
      </c>
      <c r="T1132" s="7" t="n">
        <f aca="false">IF(S1132=0,100,100-100/(1+R1132/S1132))</f>
        <v>64.1845926788418</v>
      </c>
      <c r="U1132" s="7" t="n">
        <f aca="false">E1132*2/13+U1131*11/13</f>
        <v>19595.3034969152</v>
      </c>
      <c r="V1132" s="7" t="n">
        <f aca="false">E1132*2/27+V1131*25/27</f>
        <v>19270.7128595664</v>
      </c>
      <c r="W1132" s="7" t="n">
        <f aca="false">U1132-V1132</f>
        <v>324.590637348836</v>
      </c>
      <c r="X1132" s="7" t="n">
        <f aca="false">W1132*2/10+X1131*8/10</f>
        <v>341.854540522996</v>
      </c>
      <c r="Y1132" s="7" t="n">
        <f aca="false">W1132-X1132</f>
        <v>-17.2639031741595</v>
      </c>
      <c r="Z1132" s="8" t="s">
        <v>42</v>
      </c>
      <c r="AA1132" s="7" t="str">
        <f aca="false">IFERROR(INDEX(02_轉折點45!B:B,MATCH(A1132,02_轉折點45!A:A,0)),"")</f>
        <v/>
      </c>
      <c r="AB1132" s="7" t="n">
        <f aca="false">COUNTIFS(05_訊號明細!A:A,A1132,05_訊號明細!C:C,"TOP")</f>
        <v>0</v>
      </c>
      <c r="AC1132" s="7" t="n">
        <f aca="false">COUNTIFS(05_訊號明細!A:A,A1132,05_訊號明細!C:C,"BOTTOM")</f>
        <v>0</v>
      </c>
    </row>
    <row r="1133" customFormat="false" ht="15" hidden="false" customHeight="false" outlineLevel="0" collapsed="false">
      <c r="A1133" s="7" t="s">
        <v>1174</v>
      </c>
      <c r="B1133" s="7" t="n">
        <v>19720.11</v>
      </c>
      <c r="C1133" s="7" t="n">
        <v>19827.75</v>
      </c>
      <c r="D1133" s="7" t="n">
        <v>19577.54</v>
      </c>
      <c r="E1133" s="7" t="n">
        <v>19812.22</v>
      </c>
      <c r="F1133" s="7" t="n">
        <v>5190</v>
      </c>
      <c r="G1133" s="7" t="n">
        <f aca="false">AVERAGE(E1129:E1133)</f>
        <v>19747.26</v>
      </c>
      <c r="H1133" s="7" t="n">
        <f aca="false">AVERAGE(E1124:E1133)</f>
        <v>19747.526</v>
      </c>
      <c r="I1133" s="7" t="n">
        <f aca="false">AVERAGE(E1114:E1133)</f>
        <v>19438.7505</v>
      </c>
      <c r="J1133" s="7" t="n">
        <f aca="false">AVERAGE(E1084:E1133)</f>
        <v>18642.3648</v>
      </c>
      <c r="K1133" s="7" t="n">
        <f aca="false">AVERAGE(E1034:E1133)</f>
        <v>18314.5927</v>
      </c>
      <c r="L1133" s="7" t="n">
        <f aca="false">AVERAGE(E934:E1133)</f>
        <v>17092.83075</v>
      </c>
      <c r="M1133" s="7" t="n">
        <f aca="false">I1133</f>
        <v>19438.7505</v>
      </c>
      <c r="N1133" s="7" t="n">
        <f aca="false">I1133+2*STDEV(E1114:E1133)</f>
        <v>20258.4245468587</v>
      </c>
      <c r="O1133" s="7" t="n">
        <f aca="false">I1133-2*STDEV(E1114:E1133)</f>
        <v>18619.0764531413</v>
      </c>
      <c r="P1133" s="7" t="n">
        <f aca="false">MAX(E1133-E1132,0)</f>
        <v>129.350000000002</v>
      </c>
      <c r="Q1133" s="7" t="n">
        <f aca="false">MAX(E1132-E1133,0)</f>
        <v>0</v>
      </c>
      <c r="R1133" s="7" t="n">
        <f aca="false">(R1132*13+P1133)/14</f>
        <v>79.2704036861419</v>
      </c>
      <c r="S1133" s="7" t="n">
        <f aca="false">(S1132*13+Q1133)/14</f>
        <v>39.0778052899434</v>
      </c>
      <c r="T1133" s="7" t="n">
        <f aca="false">IF(S1133=0,100,100-100/(1+R1133/S1133))</f>
        <v>66.9806534226134</v>
      </c>
      <c r="U1133" s="7" t="n">
        <f aca="false">E1133*2/13+U1132*11/13</f>
        <v>19628.6752666206</v>
      </c>
      <c r="V1133" s="7" t="n">
        <f aca="false">E1133*2/27+V1132*25/27</f>
        <v>19310.8244995985</v>
      </c>
      <c r="W1133" s="7" t="n">
        <f aca="false">U1133-V1133</f>
        <v>317.850767022064</v>
      </c>
      <c r="X1133" s="7" t="n">
        <f aca="false">W1133*2/10+X1132*8/10</f>
        <v>337.053785822809</v>
      </c>
      <c r="Y1133" s="7" t="n">
        <f aca="false">W1133-X1133</f>
        <v>-19.203018800745</v>
      </c>
      <c r="Z1133" s="8" t="s">
        <v>42</v>
      </c>
      <c r="AA1133" s="7" t="str">
        <f aca="false">IFERROR(INDEX(02_轉折點45!B:B,MATCH(A1133,02_轉折點45!A:A,0)),"")</f>
        <v/>
      </c>
      <c r="AB1133" s="7" t="n">
        <f aca="false">COUNTIFS(05_訊號明細!A:A,A1133,05_訊號明細!C:C,"TOP")</f>
        <v>0</v>
      </c>
      <c r="AC1133" s="7" t="n">
        <f aca="false">COUNTIFS(05_訊號明細!A:A,A1133,05_訊號明細!C:C,"BOTTOM")</f>
        <v>0</v>
      </c>
    </row>
    <row r="1134" customFormat="false" ht="15" hidden="false" customHeight="false" outlineLevel="0" collapsed="false">
      <c r="A1134" s="7" t="s">
        <v>1175</v>
      </c>
      <c r="B1134" s="7" t="n">
        <v>19746.22</v>
      </c>
      <c r="C1134" s="7" t="n">
        <v>20014.92</v>
      </c>
      <c r="D1134" s="7" t="n">
        <v>19741.81</v>
      </c>
      <c r="E1134" s="7" t="n">
        <v>20011.89</v>
      </c>
      <c r="F1134" s="7" t="n">
        <v>4527</v>
      </c>
      <c r="G1134" s="7" t="n">
        <f aca="false">AVERAGE(E1130:E1134)</f>
        <v>19809.412</v>
      </c>
      <c r="H1134" s="7" t="n">
        <f aca="false">AVERAGE(E1125:E1134)</f>
        <v>19758.44</v>
      </c>
      <c r="I1134" s="7" t="n">
        <f aca="false">AVERAGE(E1115:E1134)</f>
        <v>19509.2965</v>
      </c>
      <c r="J1134" s="7" t="n">
        <f aca="false">AVERAGE(E1085:E1134)</f>
        <v>18701.8496</v>
      </c>
      <c r="K1134" s="7" t="n">
        <f aca="false">AVERAGE(E1035:E1134)</f>
        <v>18337.1609</v>
      </c>
      <c r="L1134" s="7" t="n">
        <f aca="false">AVERAGE(E935:E1134)</f>
        <v>17115.52075</v>
      </c>
      <c r="M1134" s="7" t="n">
        <f aca="false">I1134</f>
        <v>19509.2965</v>
      </c>
      <c r="N1134" s="7" t="n">
        <f aca="false">I1134+2*STDEV(E1115:E1134)</f>
        <v>20265.8036102953</v>
      </c>
      <c r="O1134" s="7" t="n">
        <f aca="false">I1134-2*STDEV(E1115:E1134)</f>
        <v>18752.7893897047</v>
      </c>
      <c r="P1134" s="7" t="n">
        <f aca="false">MAX(E1134-E1133,0)</f>
        <v>199.669999999998</v>
      </c>
      <c r="Q1134" s="7" t="n">
        <f aca="false">MAX(E1133-E1134,0)</f>
        <v>0</v>
      </c>
      <c r="R1134" s="7" t="n">
        <f aca="false">(R1133*13+P1134)/14</f>
        <v>87.8703748514173</v>
      </c>
      <c r="S1134" s="7" t="n">
        <f aca="false">(S1133*13+Q1134)/14</f>
        <v>36.2865334835189</v>
      </c>
      <c r="T1134" s="7" t="n">
        <f aca="false">IF(S1134=0,100,100-100/(1+R1134/S1134))</f>
        <v>70.7736492715901</v>
      </c>
      <c r="U1134" s="7" t="n">
        <f aca="false">E1134*2/13+U1133*11/13</f>
        <v>19687.6313794482</v>
      </c>
      <c r="V1134" s="7" t="n">
        <f aca="false">E1134*2/27+V1133*25/27</f>
        <v>19362.755277406</v>
      </c>
      <c r="W1134" s="7" t="n">
        <f aca="false">U1134-V1134</f>
        <v>324.876102042148</v>
      </c>
      <c r="X1134" s="7" t="n">
        <f aca="false">W1134*2/10+X1133*8/10</f>
        <v>334.618249066677</v>
      </c>
      <c r="Y1134" s="7" t="n">
        <f aca="false">W1134-X1134</f>
        <v>-9.74214702452906</v>
      </c>
      <c r="Z1134" s="8" t="s">
        <v>42</v>
      </c>
      <c r="AA1134" s="7" t="str">
        <f aca="false">IFERROR(INDEX(02_轉折點45!B:B,MATCH(A1134,02_轉折點45!A:A,0)),"")</f>
        <v/>
      </c>
      <c r="AB1134" s="7" t="n">
        <f aca="false">COUNTIFS(05_訊號明細!A:A,A1134,05_訊號明細!C:C,"TOP")</f>
        <v>1</v>
      </c>
      <c r="AC1134" s="7" t="n">
        <f aca="false">COUNTIFS(05_訊號明細!A:A,A1134,05_訊號明細!C:C,"BOTTOM")</f>
        <v>0</v>
      </c>
    </row>
    <row r="1135" customFormat="false" ht="15" hidden="false" customHeight="false" outlineLevel="0" collapsed="false">
      <c r="A1135" s="7" t="s">
        <v>1176</v>
      </c>
      <c r="B1135" s="7" t="n">
        <v>19995.28</v>
      </c>
      <c r="C1135" s="7" t="n">
        <v>20186.63</v>
      </c>
      <c r="D1135" s="7" t="n">
        <v>19995.28</v>
      </c>
      <c r="E1135" s="7" t="n">
        <v>20186.63</v>
      </c>
      <c r="F1135" s="7" t="n">
        <v>3714</v>
      </c>
      <c r="G1135" s="7" t="n">
        <f aca="false">AVERAGE(E1131:E1135)</f>
        <v>19896.528</v>
      </c>
      <c r="H1135" s="7" t="n">
        <f aca="false">AVERAGE(E1126:E1135)</f>
        <v>19786.217</v>
      </c>
      <c r="I1135" s="7" t="n">
        <f aca="false">AVERAGE(E1116:E1135)</f>
        <v>19585.886</v>
      </c>
      <c r="J1135" s="7" t="n">
        <f aca="false">AVERAGE(E1086:E1135)</f>
        <v>18761.3644</v>
      </c>
      <c r="K1135" s="7" t="n">
        <f aca="false">AVERAGE(E1036:E1135)</f>
        <v>18361.1955</v>
      </c>
      <c r="L1135" s="7" t="n">
        <f aca="false">AVERAGE(E936:E1135)</f>
        <v>17140.4419</v>
      </c>
      <c r="M1135" s="7" t="n">
        <f aca="false">I1135</f>
        <v>19585.886</v>
      </c>
      <c r="N1135" s="7" t="n">
        <f aca="false">I1135+2*STDEV(E1116:E1135)</f>
        <v>20286.2325333646</v>
      </c>
      <c r="O1135" s="7" t="n">
        <f aca="false">I1135-2*STDEV(E1116:E1135)</f>
        <v>18885.5394666354</v>
      </c>
      <c r="P1135" s="7" t="n">
        <f aca="false">MAX(E1135-E1134,0)</f>
        <v>174.740000000002</v>
      </c>
      <c r="Q1135" s="7" t="n">
        <f aca="false">MAX(E1134-E1135,0)</f>
        <v>0</v>
      </c>
      <c r="R1135" s="7" t="n">
        <f aca="false">(R1134*13+P1135)/14</f>
        <v>94.0753480763162</v>
      </c>
      <c r="S1135" s="7" t="n">
        <f aca="false">(S1134*13+Q1135)/14</f>
        <v>33.6946382346961</v>
      </c>
      <c r="T1135" s="7" t="n">
        <f aca="false">IF(S1135=0,100,100-100/(1+R1135/S1135))</f>
        <v>73.6286750843989</v>
      </c>
      <c r="U1135" s="7" t="n">
        <f aca="false">E1135*2/13+U1134*11/13</f>
        <v>19764.4003979946</v>
      </c>
      <c r="V1135" s="7" t="n">
        <f aca="false">E1135*2/27+V1134*25/27</f>
        <v>19423.7830346352</v>
      </c>
      <c r="W1135" s="7" t="n">
        <f aca="false">U1135-V1135</f>
        <v>340.617363359397</v>
      </c>
      <c r="X1135" s="7" t="n">
        <f aca="false">W1135*2/10+X1134*8/10</f>
        <v>335.818071925221</v>
      </c>
      <c r="Y1135" s="7" t="n">
        <f aca="false">W1135-X1135</f>
        <v>4.7992914341761</v>
      </c>
      <c r="Z1135" s="8" t="s">
        <v>42</v>
      </c>
      <c r="AA1135" s="7" t="str">
        <f aca="false">IFERROR(INDEX(02_轉折點45!B:B,MATCH(A1135,02_轉折點45!A:A,0)),"")</f>
        <v/>
      </c>
      <c r="AB1135" s="7" t="n">
        <f aca="false">COUNTIFS(05_訊號明細!A:A,A1135,05_訊號明細!C:C,"TOP")</f>
        <v>1</v>
      </c>
      <c r="AC1135" s="7" t="n">
        <f aca="false">COUNTIFS(05_訊號明細!A:A,A1135,05_訊號明細!C:C,"BOTTOM")</f>
        <v>0</v>
      </c>
    </row>
    <row r="1136" customFormat="false" ht="15" hidden="false" customHeight="false" outlineLevel="0" collapsed="false">
      <c r="A1136" s="7" t="s">
        <v>1177</v>
      </c>
      <c r="B1136" s="7" t="n">
        <v>20224.13</v>
      </c>
      <c r="C1136" s="7" t="n">
        <v>20407</v>
      </c>
      <c r="D1136" s="7" t="n">
        <v>20201.5</v>
      </c>
      <c r="E1136" s="7" t="n">
        <v>20391.97</v>
      </c>
      <c r="F1136" s="7" t="n">
        <v>4851</v>
      </c>
      <c r="G1136" s="7" t="n">
        <f aca="false">AVERAGE(E1132:E1136)</f>
        <v>20017.116</v>
      </c>
      <c r="H1136" s="7" t="n">
        <f aca="false">AVERAGE(E1127:E1136)</f>
        <v>19850.184</v>
      </c>
      <c r="I1136" s="7" t="n">
        <f aca="false">AVERAGE(E1117:E1136)</f>
        <v>19653.732</v>
      </c>
      <c r="J1136" s="7" t="n">
        <f aca="false">AVERAGE(E1087:E1136)</f>
        <v>18819.7744</v>
      </c>
      <c r="K1136" s="7" t="n">
        <f aca="false">AVERAGE(E1037:E1136)</f>
        <v>18385.4911</v>
      </c>
      <c r="L1136" s="7" t="n">
        <f aca="false">AVERAGE(E937:E1136)</f>
        <v>17166.2749</v>
      </c>
      <c r="M1136" s="7" t="n">
        <f aca="false">I1136</f>
        <v>19653.732</v>
      </c>
      <c r="N1136" s="7" t="n">
        <f aca="false">I1136+2*STDEV(E1117:E1136)</f>
        <v>20391.309048838</v>
      </c>
      <c r="O1136" s="7" t="n">
        <f aca="false">I1136-2*STDEV(E1117:E1136)</f>
        <v>18916.154951162</v>
      </c>
      <c r="P1136" s="7" t="n">
        <f aca="false">MAX(E1136-E1135,0)</f>
        <v>205.34</v>
      </c>
      <c r="Q1136" s="7" t="n">
        <f aca="false">MAX(E1135-E1136,0)</f>
        <v>0</v>
      </c>
      <c r="R1136" s="7" t="n">
        <f aca="false">(R1135*13+P1136)/14</f>
        <v>102.022823213722</v>
      </c>
      <c r="S1136" s="7" t="n">
        <f aca="false">(S1135*13+Q1136)/14</f>
        <v>31.2878783607892</v>
      </c>
      <c r="T1136" s="7" t="n">
        <f aca="false">IF(S1136=0,100,100-100/(1+R1136/S1136))</f>
        <v>76.530107492307</v>
      </c>
      <c r="U1136" s="7" t="n">
        <f aca="false">E1136*2/13+U1135*11/13</f>
        <v>19860.9495675339</v>
      </c>
      <c r="V1136" s="7" t="n">
        <f aca="false">E1136*2/27+V1135*25/27</f>
        <v>19495.5005876252</v>
      </c>
      <c r="W1136" s="7" t="n">
        <f aca="false">U1136-V1136</f>
        <v>365.448979908702</v>
      </c>
      <c r="X1136" s="7" t="n">
        <f aca="false">W1136*2/10+X1135*8/10</f>
        <v>341.744253521917</v>
      </c>
      <c r="Y1136" s="7" t="n">
        <f aca="false">W1136-X1136</f>
        <v>23.704726386785</v>
      </c>
      <c r="Z1136" s="8" t="s">
        <v>42</v>
      </c>
      <c r="AA1136" s="7" t="str">
        <f aca="false">IFERROR(INDEX(02_轉折點45!B:B,MATCH(A1136,02_轉折點45!A:A,0)),"")</f>
        <v/>
      </c>
      <c r="AB1136" s="7" t="n">
        <f aca="false">COUNTIFS(05_訊號明細!A:A,A1136,05_訊號明細!C:C,"TOP")</f>
        <v>1</v>
      </c>
      <c r="AC1136" s="7" t="n">
        <f aca="false">COUNTIFS(05_訊號明細!A:A,A1136,05_訊號明細!C:C,"BOTTOM")</f>
        <v>0</v>
      </c>
    </row>
    <row r="1137" customFormat="false" ht="15" hidden="false" customHeight="false" outlineLevel="0" collapsed="false">
      <c r="A1137" s="7" t="s">
        <v>1178</v>
      </c>
      <c r="B1137" s="7" t="n">
        <v>20393.89</v>
      </c>
      <c r="C1137" s="7" t="n">
        <v>20455.38</v>
      </c>
      <c r="D1137" s="7" t="n">
        <v>20363.37</v>
      </c>
      <c r="E1137" s="7" t="n">
        <v>20439.54</v>
      </c>
      <c r="F1137" s="7" t="n">
        <v>5286</v>
      </c>
      <c r="G1137" s="7" t="n">
        <f aca="false">AVERAGE(E1133:E1137)</f>
        <v>20168.45</v>
      </c>
      <c r="H1137" s="7" t="n">
        <f aca="false">AVERAGE(E1128:E1137)</f>
        <v>19924.095</v>
      </c>
      <c r="I1137" s="7" t="n">
        <f aca="false">AVERAGE(E1118:E1137)</f>
        <v>19724.6495</v>
      </c>
      <c r="J1137" s="7" t="n">
        <f aca="false">AVERAGE(E1088:E1137)</f>
        <v>18878.0292</v>
      </c>
      <c r="K1137" s="7" t="n">
        <f aca="false">AVERAGE(E1038:E1137)</f>
        <v>18411.0599</v>
      </c>
      <c r="L1137" s="7" t="n">
        <f aca="false">AVERAGE(E938:E1137)</f>
        <v>17192.51645</v>
      </c>
      <c r="M1137" s="7" t="n">
        <f aca="false">I1137</f>
        <v>19724.6495</v>
      </c>
      <c r="N1137" s="7" t="n">
        <f aca="false">I1137+2*STDEV(E1118:E1137)</f>
        <v>20478.7112780213</v>
      </c>
      <c r="O1137" s="7" t="n">
        <f aca="false">I1137-2*STDEV(E1118:E1137)</f>
        <v>18970.5877219787</v>
      </c>
      <c r="P1137" s="7" t="n">
        <f aca="false">MAX(E1137-E1136,0)</f>
        <v>47.5699999999997</v>
      </c>
      <c r="Q1137" s="7" t="n">
        <f aca="false">MAX(E1136-E1137,0)</f>
        <v>0</v>
      </c>
      <c r="R1137" s="7" t="n">
        <f aca="false">(R1136*13+P1137)/14</f>
        <v>98.1333358413135</v>
      </c>
      <c r="S1137" s="7" t="n">
        <f aca="false">(S1136*13+Q1137)/14</f>
        <v>29.0530299064471</v>
      </c>
      <c r="T1137" s="7" t="n">
        <f aca="false">IF(S1137=0,100,100-100/(1+R1137/S1137))</f>
        <v>77.1571192119241</v>
      </c>
      <c r="U1137" s="7" t="n">
        <f aca="false">E1137*2/13+U1136*11/13</f>
        <v>19949.963480221</v>
      </c>
      <c r="V1137" s="7" t="n">
        <f aca="false">E1137*2/27+V1136*25/27</f>
        <v>19565.4294329863</v>
      </c>
      <c r="W1137" s="7" t="n">
        <f aca="false">U1137-V1137</f>
        <v>384.534047234698</v>
      </c>
      <c r="X1137" s="7" t="n">
        <f aca="false">W1137*2/10+X1136*8/10</f>
        <v>350.302212264473</v>
      </c>
      <c r="Y1137" s="7" t="n">
        <f aca="false">W1137-X1137</f>
        <v>34.2318349702245</v>
      </c>
      <c r="Z1137" s="8" t="s">
        <v>42</v>
      </c>
      <c r="AA1137" s="7" t="str">
        <f aca="false">IFERROR(INDEX(02_轉折點45!B:B,MATCH(A1137,02_轉折點45!A:A,0)),"")</f>
        <v/>
      </c>
      <c r="AB1137" s="7" t="n">
        <f aca="false">COUNTIFS(05_訊號明細!A:A,A1137,05_訊號明細!C:C,"TOP")</f>
        <v>1</v>
      </c>
      <c r="AC1137" s="7" t="n">
        <f aca="false">COUNTIFS(05_訊號明細!A:A,A1137,05_訊號明細!C:C,"BOTTOM")</f>
        <v>0</v>
      </c>
    </row>
    <row r="1138" customFormat="false" ht="15" hidden="false" customHeight="false" outlineLevel="0" collapsed="false">
      <c r="A1138" s="7" t="s">
        <v>1179</v>
      </c>
      <c r="B1138" s="7" t="n">
        <v>20504.17</v>
      </c>
      <c r="C1138" s="7" t="n">
        <v>20543.9</v>
      </c>
      <c r="D1138" s="7" t="n">
        <v>20395.57</v>
      </c>
      <c r="E1138" s="7" t="n">
        <v>20453.02</v>
      </c>
      <c r="F1138" s="7" t="n">
        <v>4839</v>
      </c>
      <c r="G1138" s="7" t="n">
        <f aca="false">AVERAGE(E1134:E1138)</f>
        <v>20296.61</v>
      </c>
      <c r="H1138" s="7" t="n">
        <f aca="false">AVERAGE(E1129:E1138)</f>
        <v>20021.935</v>
      </c>
      <c r="I1138" s="7" t="n">
        <f aca="false">AVERAGE(E1119:E1138)</f>
        <v>19797.253</v>
      </c>
      <c r="J1138" s="7" t="n">
        <f aca="false">AVERAGE(E1089:E1138)</f>
        <v>18938.4796</v>
      </c>
      <c r="K1138" s="7" t="n">
        <f aca="false">AVERAGE(E1039:E1138)</f>
        <v>18439.5859</v>
      </c>
      <c r="L1138" s="7" t="n">
        <f aca="false">AVERAGE(E939:E1138)</f>
        <v>17219.93195</v>
      </c>
      <c r="M1138" s="7" t="n">
        <f aca="false">I1138</f>
        <v>19797.253</v>
      </c>
      <c r="N1138" s="7" t="n">
        <f aca="false">I1138+2*STDEV(E1119:E1138)</f>
        <v>20537.4166787431</v>
      </c>
      <c r="O1138" s="7" t="n">
        <f aca="false">I1138-2*STDEV(E1119:E1138)</f>
        <v>19057.0893212569</v>
      </c>
      <c r="P1138" s="7" t="n">
        <f aca="false">MAX(E1138-E1137,0)</f>
        <v>13.4799999999996</v>
      </c>
      <c r="Q1138" s="7" t="n">
        <f aca="false">MAX(E1137-E1138,0)</f>
        <v>0</v>
      </c>
      <c r="R1138" s="7" t="n">
        <f aca="false">(R1137*13+P1138)/14</f>
        <v>92.0866689955053</v>
      </c>
      <c r="S1138" s="7" t="n">
        <f aca="false">(S1137*13+Q1138)/14</f>
        <v>26.9778134845581</v>
      </c>
      <c r="T1138" s="7" t="n">
        <f aca="false">IF(S1138=0,100,100-100/(1+R1138/S1138))</f>
        <v>77.3418462646278</v>
      </c>
      <c r="U1138" s="7" t="n">
        <f aca="false">E1138*2/13+U1137*11/13</f>
        <v>20027.3567909562</v>
      </c>
      <c r="V1138" s="7" t="n">
        <f aca="false">E1138*2/27+V1137*25/27</f>
        <v>19631.1768823947</v>
      </c>
      <c r="W1138" s="7" t="n">
        <f aca="false">U1138-V1138</f>
        <v>396.179908561506</v>
      </c>
      <c r="X1138" s="7" t="n">
        <f aca="false">W1138*2/10+X1137*8/10</f>
        <v>359.47775152388</v>
      </c>
      <c r="Y1138" s="7" t="n">
        <f aca="false">W1138-X1138</f>
        <v>36.7021570376259</v>
      </c>
      <c r="Z1138" s="8" t="s">
        <v>42</v>
      </c>
      <c r="AA1138" s="7" t="str">
        <f aca="false">IFERROR(INDEX(02_轉折點45!B:B,MATCH(A1138,02_轉折點45!A:A,0)),"")</f>
        <v/>
      </c>
      <c r="AB1138" s="7" t="n">
        <f aca="false">COUNTIFS(05_訊號明細!A:A,A1138,05_訊號明細!C:C,"TOP")</f>
        <v>1</v>
      </c>
      <c r="AC1138" s="7" t="n">
        <f aca="false">COUNTIFS(05_訊號明細!A:A,A1138,05_訊號明細!C:C,"BOTTOM")</f>
        <v>0</v>
      </c>
    </row>
    <row r="1139" customFormat="false" ht="15" hidden="false" customHeight="false" outlineLevel="0" collapsed="false">
      <c r="A1139" s="7" t="s">
        <v>1180</v>
      </c>
      <c r="B1139" s="7" t="n">
        <v>20533.27</v>
      </c>
      <c r="C1139" s="7" t="n">
        <v>20690.97</v>
      </c>
      <c r="D1139" s="7" t="n">
        <v>20479.94</v>
      </c>
      <c r="E1139" s="7" t="n">
        <v>20675.38</v>
      </c>
      <c r="F1139" s="7" t="n">
        <v>5228</v>
      </c>
      <c r="G1139" s="7" t="n">
        <f aca="false">AVERAGE(E1135:E1139)</f>
        <v>20429.308</v>
      </c>
      <c r="H1139" s="7" t="n">
        <f aca="false">AVERAGE(E1130:E1139)</f>
        <v>20119.36</v>
      </c>
      <c r="I1139" s="7" t="n">
        <f aca="false">AVERAGE(E1120:E1139)</f>
        <v>19877.2885</v>
      </c>
      <c r="J1139" s="7" t="n">
        <f aca="false">AVERAGE(E1090:E1139)</f>
        <v>18997.6212</v>
      </c>
      <c r="K1139" s="7" t="n">
        <f aca="false">AVERAGE(E1040:E1139)</f>
        <v>18468.2634</v>
      </c>
      <c r="L1139" s="7" t="n">
        <f aca="false">AVERAGE(E940:E1139)</f>
        <v>17249.83765</v>
      </c>
      <c r="M1139" s="7" t="n">
        <f aca="false">I1139</f>
        <v>19877.2885</v>
      </c>
      <c r="N1139" s="7" t="n">
        <f aca="false">I1139+2*STDEV(E1120:E1139)</f>
        <v>20634.4463434973</v>
      </c>
      <c r="O1139" s="7" t="n">
        <f aca="false">I1139-2*STDEV(E1120:E1139)</f>
        <v>19120.1306565027</v>
      </c>
      <c r="P1139" s="7" t="n">
        <f aca="false">MAX(E1139-E1138,0)</f>
        <v>222.360000000001</v>
      </c>
      <c r="Q1139" s="7" t="n">
        <f aca="false">MAX(E1138-E1139,0)</f>
        <v>0</v>
      </c>
      <c r="R1139" s="7" t="n">
        <f aca="false">(R1138*13+P1139)/14</f>
        <v>101.391906924398</v>
      </c>
      <c r="S1139" s="7" t="n">
        <f aca="false">(S1138*13+Q1139)/14</f>
        <v>25.0508268070896</v>
      </c>
      <c r="T1139" s="7" t="n">
        <f aca="false">IF(S1139=0,100,100-100/(1+R1139/S1139))</f>
        <v>80.1880060104622</v>
      </c>
      <c r="U1139" s="7" t="n">
        <f aca="false">E1139*2/13+U1138*11/13</f>
        <v>20127.0526692707</v>
      </c>
      <c r="V1139" s="7" t="n">
        <f aca="false">E1139*2/27+V1138*25/27</f>
        <v>19708.5252614766</v>
      </c>
      <c r="W1139" s="7" t="n">
        <f aca="false">U1139-V1139</f>
        <v>418.527407794059</v>
      </c>
      <c r="X1139" s="7" t="n">
        <f aca="false">W1139*2/10+X1138*8/10</f>
        <v>371.287682777916</v>
      </c>
      <c r="Y1139" s="7" t="n">
        <f aca="false">W1139-X1139</f>
        <v>47.2397250161436</v>
      </c>
      <c r="Z1139" s="8" t="s">
        <v>42</v>
      </c>
      <c r="AA1139" s="7" t="str">
        <f aca="false">IFERROR(INDEX(02_轉折點45!B:B,MATCH(A1139,02_轉折點45!A:A,0)),"")</f>
        <v/>
      </c>
      <c r="AB1139" s="7" t="n">
        <f aca="false">COUNTIFS(05_訊號明細!A:A,A1139,05_訊號明細!C:C,"TOP")</f>
        <v>0</v>
      </c>
      <c r="AC1139" s="7" t="n">
        <f aca="false">COUNTIFS(05_訊號明細!A:A,A1139,05_訊號明細!C:C,"BOTTOM")</f>
        <v>0</v>
      </c>
    </row>
    <row r="1140" customFormat="false" ht="15" hidden="false" customHeight="false" outlineLevel="0" collapsed="false">
      <c r="A1140" s="7" t="s">
        <v>1181</v>
      </c>
      <c r="B1140" s="7" t="n">
        <v>20661.41</v>
      </c>
      <c r="C1140" s="7" t="n">
        <v>20672.1</v>
      </c>
      <c r="D1140" s="7" t="n">
        <v>20165</v>
      </c>
      <c r="E1140" s="7" t="n">
        <v>20211.36</v>
      </c>
      <c r="F1140" s="7" t="n">
        <v>6367</v>
      </c>
      <c r="G1140" s="7" t="n">
        <f aca="false">AVERAGE(E1136:E1140)</f>
        <v>20434.254</v>
      </c>
      <c r="H1140" s="7" t="n">
        <f aca="false">AVERAGE(E1131:E1140)</f>
        <v>20165.391</v>
      </c>
      <c r="I1140" s="7" t="n">
        <f aca="false">AVERAGE(E1121:E1140)</f>
        <v>19927.3475</v>
      </c>
      <c r="J1140" s="7" t="n">
        <f aca="false">AVERAGE(E1091:E1140)</f>
        <v>19046.194</v>
      </c>
      <c r="K1140" s="7" t="n">
        <f aca="false">AVERAGE(E1041:E1140)</f>
        <v>18491.9198</v>
      </c>
      <c r="L1140" s="7" t="n">
        <f aca="false">AVERAGE(E941:E1140)</f>
        <v>17277.38895</v>
      </c>
      <c r="M1140" s="7" t="n">
        <f aca="false">I1140</f>
        <v>19927.3475</v>
      </c>
      <c r="N1140" s="7" t="n">
        <f aca="false">I1140+2*STDEV(E1121:E1140)</f>
        <v>20629.1601825473</v>
      </c>
      <c r="O1140" s="7" t="n">
        <f aca="false">I1140-2*STDEV(E1121:E1140)</f>
        <v>19225.5348174527</v>
      </c>
      <c r="P1140" s="7" t="n">
        <f aca="false">MAX(E1140-E1139,0)</f>
        <v>0</v>
      </c>
      <c r="Q1140" s="7" t="n">
        <f aca="false">MAX(E1139-E1140,0)</f>
        <v>464.02</v>
      </c>
      <c r="R1140" s="7" t="n">
        <f aca="false">(R1139*13+P1140)/14</f>
        <v>94.1496278583694</v>
      </c>
      <c r="S1140" s="7" t="n">
        <f aca="false">(S1139*13+Q1140)/14</f>
        <v>56.4057677494404</v>
      </c>
      <c r="T1140" s="7" t="n">
        <f aca="false">IF(S1140=0,100,100-100/(1+R1140/S1140))</f>
        <v>62.5348746076328</v>
      </c>
      <c r="U1140" s="7" t="n">
        <f aca="false">E1140*2/13+U1139*11/13</f>
        <v>20140.0230278444</v>
      </c>
      <c r="V1140" s="7" t="n">
        <f aca="false">E1140*2/27+V1139*25/27</f>
        <v>19745.772279145</v>
      </c>
      <c r="W1140" s="7" t="n">
        <f aca="false">U1140-V1140</f>
        <v>394.250748699404</v>
      </c>
      <c r="X1140" s="7" t="n">
        <f aca="false">W1140*2/10+X1139*8/10</f>
        <v>375.880295962213</v>
      </c>
      <c r="Y1140" s="7" t="n">
        <f aca="false">W1140-X1140</f>
        <v>18.3704527371903</v>
      </c>
      <c r="Z1140" s="8" t="s">
        <v>42</v>
      </c>
      <c r="AA1140" s="7" t="str">
        <f aca="false">IFERROR(INDEX(02_轉折點45!B:B,MATCH(A1140,02_轉折點45!A:A,0)),"")</f>
        <v/>
      </c>
      <c r="AB1140" s="7" t="n">
        <f aca="false">COUNTIFS(05_訊號明細!A:A,A1140,05_訊號明細!C:C,"TOP")</f>
        <v>1</v>
      </c>
      <c r="AC1140" s="7" t="n">
        <f aca="false">COUNTIFS(05_訊號明細!A:A,A1140,05_訊號明細!C:C,"BOTTOM")</f>
        <v>0</v>
      </c>
    </row>
    <row r="1141" customFormat="false" ht="15" hidden="false" customHeight="false" outlineLevel="0" collapsed="false">
      <c r="A1141" s="7" t="s">
        <v>1182</v>
      </c>
      <c r="B1141" s="7" t="n">
        <v>20226.23</v>
      </c>
      <c r="C1141" s="7" t="n">
        <v>20526.08</v>
      </c>
      <c r="D1141" s="7" t="n">
        <v>20217.99</v>
      </c>
      <c r="E1141" s="7" t="n">
        <v>20331.49</v>
      </c>
      <c r="F1141" s="7" t="n">
        <v>5846</v>
      </c>
      <c r="G1141" s="7" t="n">
        <f aca="false">AVERAGE(E1137:E1141)</f>
        <v>20422.158</v>
      </c>
      <c r="H1141" s="7" t="n">
        <f aca="false">AVERAGE(E1132:E1141)</f>
        <v>20219.637</v>
      </c>
      <c r="I1141" s="7" t="n">
        <f aca="false">AVERAGE(E1122:E1141)</f>
        <v>19970.663</v>
      </c>
      <c r="J1141" s="7" t="n">
        <f aca="false">AVERAGE(E1092:E1141)</f>
        <v>19104.01</v>
      </c>
      <c r="K1141" s="7" t="n">
        <f aca="false">AVERAGE(E1042:E1141)</f>
        <v>18518.3749</v>
      </c>
      <c r="L1141" s="7" t="n">
        <f aca="false">AVERAGE(E942:E1141)</f>
        <v>17305.2019</v>
      </c>
      <c r="M1141" s="7" t="n">
        <f aca="false">I1141</f>
        <v>19970.663</v>
      </c>
      <c r="N1141" s="7" t="n">
        <f aca="false">I1141+2*STDEV(E1122:E1141)</f>
        <v>20659.1820297443</v>
      </c>
      <c r="O1141" s="7" t="n">
        <f aca="false">I1141-2*STDEV(E1122:E1141)</f>
        <v>19282.1439702557</v>
      </c>
      <c r="P1141" s="7" t="n">
        <f aca="false">MAX(E1141-E1140,0)</f>
        <v>120.130000000001</v>
      </c>
      <c r="Q1141" s="7" t="n">
        <f aca="false">MAX(E1140-E1141,0)</f>
        <v>0</v>
      </c>
      <c r="R1141" s="7" t="n">
        <f aca="false">(R1140*13+P1141)/14</f>
        <v>96.0053687256288</v>
      </c>
      <c r="S1141" s="7" t="n">
        <f aca="false">(S1140*13+Q1141)/14</f>
        <v>52.3767843387661</v>
      </c>
      <c r="T1141" s="7" t="n">
        <f aca="false">IF(S1141=0,100,100-100/(1+R1141/S1141))</f>
        <v>64.7014258405891</v>
      </c>
      <c r="U1141" s="7" t="n">
        <f aca="false">E1141*2/13+U1140*11/13</f>
        <v>20169.4794850991</v>
      </c>
      <c r="V1141" s="7" t="n">
        <f aca="false">E1141*2/27+V1140*25/27</f>
        <v>19789.1587769861</v>
      </c>
      <c r="W1141" s="7" t="n">
        <f aca="false">U1141-V1141</f>
        <v>380.320708112999</v>
      </c>
      <c r="X1141" s="7" t="n">
        <f aca="false">W1141*2/10+X1140*8/10</f>
        <v>376.76837839237</v>
      </c>
      <c r="Y1141" s="7" t="n">
        <f aca="false">W1141-X1141</f>
        <v>3.55232972062811</v>
      </c>
      <c r="Z1141" s="8" t="s">
        <v>42</v>
      </c>
      <c r="AA1141" s="7" t="str">
        <f aca="false">IFERROR(INDEX(02_轉折點45!B:B,MATCH(A1141,02_轉折點45!A:A,0)),"")</f>
        <v/>
      </c>
      <c r="AB1141" s="7" t="n">
        <f aca="false">COUNTIFS(05_訊號明細!A:A,A1141,05_訊號明細!C:C,"TOP")</f>
        <v>0</v>
      </c>
      <c r="AC1141" s="7" t="n">
        <f aca="false">COUNTIFS(05_訊號明細!A:A,A1141,05_訊號明細!C:C,"BOTTOM")</f>
        <v>0</v>
      </c>
    </row>
    <row r="1142" customFormat="false" ht="15" hidden="false" customHeight="false" outlineLevel="0" collapsed="false">
      <c r="A1142" s="7" t="s">
        <v>1183</v>
      </c>
      <c r="B1142" s="7" t="n">
        <v>20401.02</v>
      </c>
      <c r="C1142" s="7" t="n">
        <v>20585.17</v>
      </c>
      <c r="D1142" s="7" t="n">
        <v>20304.53</v>
      </c>
      <c r="E1142" s="7" t="n">
        <v>20386.88</v>
      </c>
      <c r="F1142" s="7" t="n">
        <v>5450</v>
      </c>
      <c r="G1142" s="7" t="n">
        <f aca="false">AVERAGE(E1138:E1142)</f>
        <v>20411.626</v>
      </c>
      <c r="H1142" s="7" t="n">
        <f aca="false">AVERAGE(E1133:E1142)</f>
        <v>20290.038</v>
      </c>
      <c r="I1142" s="7" t="n">
        <f aca="false">AVERAGE(E1123:E1142)</f>
        <v>20011.161</v>
      </c>
      <c r="J1142" s="7" t="n">
        <f aca="false">AVERAGE(E1093:E1142)</f>
        <v>19165.3766</v>
      </c>
      <c r="K1142" s="7" t="n">
        <f aca="false">AVERAGE(E1043:E1142)</f>
        <v>18546.7827</v>
      </c>
      <c r="L1142" s="7" t="n">
        <f aca="false">AVERAGE(E943:E1142)</f>
        <v>17334.40715</v>
      </c>
      <c r="M1142" s="7" t="n">
        <f aca="false">I1142</f>
        <v>20011.161</v>
      </c>
      <c r="N1142" s="7" t="n">
        <f aca="false">I1142+2*STDEV(E1123:E1142)</f>
        <v>20697.4444981152</v>
      </c>
      <c r="O1142" s="7" t="n">
        <f aca="false">I1142-2*STDEV(E1123:E1142)</f>
        <v>19324.8775018848</v>
      </c>
      <c r="P1142" s="7" t="n">
        <f aca="false">MAX(E1142-E1141,0)</f>
        <v>55.3899999999994</v>
      </c>
      <c r="Q1142" s="7" t="n">
        <f aca="false">MAX(E1141-E1142,0)</f>
        <v>0</v>
      </c>
      <c r="R1142" s="7" t="n">
        <f aca="false">(R1141*13+P1142)/14</f>
        <v>93.1042709595125</v>
      </c>
      <c r="S1142" s="7" t="n">
        <f aca="false">(S1141*13+Q1142)/14</f>
        <v>48.6355854574256</v>
      </c>
      <c r="T1142" s="7" t="n">
        <f aca="false">IF(S1142=0,100,100-100/(1+R1142/S1142))</f>
        <v>65.6867258886163</v>
      </c>
      <c r="U1142" s="7" t="n">
        <f aca="false">E1142*2/13+U1141*11/13</f>
        <v>20202.9257181608</v>
      </c>
      <c r="V1142" s="7" t="n">
        <f aca="false">E1142*2/27+V1141*25/27</f>
        <v>19833.4344231353</v>
      </c>
      <c r="W1142" s="7" t="n">
        <f aca="false">U1142-V1142</f>
        <v>369.491295025498</v>
      </c>
      <c r="X1142" s="7" t="n">
        <f aca="false">W1142*2/10+X1141*8/10</f>
        <v>375.312961718996</v>
      </c>
      <c r="Y1142" s="7" t="n">
        <f aca="false">W1142-X1142</f>
        <v>-5.82166669349761</v>
      </c>
      <c r="Z1142" s="8" t="s">
        <v>42</v>
      </c>
      <c r="AA1142" s="7" t="str">
        <f aca="false">IFERROR(INDEX(02_轉折點45!B:B,MATCH(A1142,02_轉折點45!A:A,0)),"")</f>
        <v/>
      </c>
      <c r="AB1142" s="7" t="n">
        <f aca="false">COUNTIFS(05_訊號明細!A:A,A1142,05_訊號明細!C:C,"TOP")</f>
        <v>0</v>
      </c>
      <c r="AC1142" s="7" t="n">
        <f aca="false">COUNTIFS(05_訊號明細!A:A,A1142,05_訊號明細!C:C,"BOTTOM")</f>
        <v>0</v>
      </c>
    </row>
    <row r="1143" customFormat="false" ht="15" hidden="false" customHeight="false" outlineLevel="0" collapsed="false">
      <c r="A1143" s="7" t="s">
        <v>1184</v>
      </c>
      <c r="B1143" s="7" t="n">
        <v>20441.53</v>
      </c>
      <c r="C1143" s="7" t="n">
        <v>20477</v>
      </c>
      <c r="D1143" s="7" t="n">
        <v>20266.51</v>
      </c>
      <c r="E1143" s="7" t="n">
        <v>20398.62</v>
      </c>
      <c r="F1143" s="7" t="n">
        <v>5813</v>
      </c>
      <c r="G1143" s="7" t="n">
        <f aca="false">AVERAGE(E1139:E1143)</f>
        <v>20400.746</v>
      </c>
      <c r="H1143" s="7" t="n">
        <f aca="false">AVERAGE(E1134:E1143)</f>
        <v>20348.678</v>
      </c>
      <c r="I1143" s="7" t="n">
        <f aca="false">AVERAGE(E1124:E1143)</f>
        <v>20048.102</v>
      </c>
      <c r="J1143" s="7" t="n">
        <f aca="false">AVERAGE(E1094:E1143)</f>
        <v>19222.5182</v>
      </c>
      <c r="K1143" s="7" t="n">
        <f aca="false">AVERAGE(E1044:E1143)</f>
        <v>18575.9798</v>
      </c>
      <c r="L1143" s="7" t="n">
        <f aca="false">AVERAGE(E944:E1143)</f>
        <v>17363.49945</v>
      </c>
      <c r="M1143" s="7" t="n">
        <f aca="false">I1143</f>
        <v>20048.102</v>
      </c>
      <c r="N1143" s="7" t="n">
        <f aca="false">I1143+2*STDEV(E1124:E1143)</f>
        <v>20734.2899616241</v>
      </c>
      <c r="O1143" s="7" t="n">
        <f aca="false">I1143-2*STDEV(E1124:E1143)</f>
        <v>19361.9140383759</v>
      </c>
      <c r="P1143" s="7" t="n">
        <f aca="false">MAX(E1143-E1142,0)</f>
        <v>11.739999999998</v>
      </c>
      <c r="Q1143" s="7" t="n">
        <f aca="false">MAX(E1142-E1143,0)</f>
        <v>0</v>
      </c>
      <c r="R1143" s="7" t="n">
        <f aca="false">(R1142*13+P1143)/14</f>
        <v>87.2925373195471</v>
      </c>
      <c r="S1143" s="7" t="n">
        <f aca="false">(S1142*13+Q1143)/14</f>
        <v>45.1616150676095</v>
      </c>
      <c r="T1143" s="7" t="n">
        <f aca="false">IF(S1143=0,100,100-100/(1+R1143/S1143))</f>
        <v>65.9039643124177</v>
      </c>
      <c r="U1143" s="7" t="n">
        <f aca="false">E1143*2/13+U1142*11/13</f>
        <v>20233.0325307514</v>
      </c>
      <c r="V1143" s="7" t="n">
        <f aca="false">E1143*2/27+V1142*25/27</f>
        <v>19875.3000214216</v>
      </c>
      <c r="W1143" s="7" t="n">
        <f aca="false">U1143-V1143</f>
        <v>357.732509329868</v>
      </c>
      <c r="X1143" s="7" t="n">
        <f aca="false">W1143*2/10+X1142*8/10</f>
        <v>371.79687124117</v>
      </c>
      <c r="Y1143" s="7" t="n">
        <f aca="false">W1143-X1143</f>
        <v>-14.0643619113026</v>
      </c>
      <c r="Z1143" s="8" t="s">
        <v>42</v>
      </c>
      <c r="AA1143" s="7" t="str">
        <f aca="false">IFERROR(INDEX(02_轉折點45!B:B,MATCH(A1143,02_轉折點45!A:A,0)),"")</f>
        <v/>
      </c>
      <c r="AB1143" s="7" t="n">
        <f aca="false">COUNTIFS(05_訊號明細!A:A,A1143,05_訊號明細!C:C,"TOP")</f>
        <v>0</v>
      </c>
      <c r="AC1143" s="7" t="n">
        <f aca="false">COUNTIFS(05_訊號明細!A:A,A1143,05_訊號明細!C:C,"BOTTOM")</f>
        <v>0</v>
      </c>
    </row>
    <row r="1144" customFormat="false" ht="15" hidden="false" customHeight="false" outlineLevel="0" collapsed="false">
      <c r="A1144" s="7" t="s">
        <v>1185</v>
      </c>
      <c r="B1144" s="7" t="n">
        <v>20041.31</v>
      </c>
      <c r="C1144" s="7" t="n">
        <v>20080.27</v>
      </c>
      <c r="D1144" s="7" t="n">
        <v>19793.75</v>
      </c>
      <c r="E1144" s="7" t="n">
        <v>19799.14</v>
      </c>
      <c r="F1144" s="7" t="n">
        <v>6007</v>
      </c>
      <c r="G1144" s="7" t="n">
        <f aca="false">AVERAGE(E1140:E1144)</f>
        <v>20225.498</v>
      </c>
      <c r="H1144" s="7" t="n">
        <f aca="false">AVERAGE(E1135:E1144)</f>
        <v>20327.403</v>
      </c>
      <c r="I1144" s="7" t="n">
        <f aca="false">AVERAGE(E1125:E1144)</f>
        <v>20042.9215</v>
      </c>
      <c r="J1144" s="7" t="n">
        <f aca="false">AVERAGE(E1095:E1144)</f>
        <v>19260.685</v>
      </c>
      <c r="K1144" s="7" t="n">
        <f aca="false">AVERAGE(E1045:E1144)</f>
        <v>18593.9242</v>
      </c>
      <c r="L1144" s="7" t="n">
        <f aca="false">AVERAGE(E945:E1144)</f>
        <v>17388.9813</v>
      </c>
      <c r="M1144" s="7" t="n">
        <f aca="false">I1144</f>
        <v>20042.9215</v>
      </c>
      <c r="N1144" s="7" t="n">
        <f aca="false">I1144+2*STDEV(E1125:E1144)</f>
        <v>20735.2667493868</v>
      </c>
      <c r="O1144" s="7" t="n">
        <f aca="false">I1144-2*STDEV(E1125:E1144)</f>
        <v>19350.5762506132</v>
      </c>
      <c r="P1144" s="7" t="n">
        <f aca="false">MAX(E1144-E1143,0)</f>
        <v>0</v>
      </c>
      <c r="Q1144" s="7" t="n">
        <f aca="false">MAX(E1143-E1144,0)</f>
        <v>599.48</v>
      </c>
      <c r="R1144" s="7" t="n">
        <f aca="false">(R1143*13+P1144)/14</f>
        <v>81.0573560824366</v>
      </c>
      <c r="S1144" s="7" t="n">
        <f aca="false">(S1143*13+Q1144)/14</f>
        <v>84.7557854199231</v>
      </c>
      <c r="T1144" s="7" t="n">
        <f aca="false">IF(S1144=0,100,100-100/(1+R1144/S1144))</f>
        <v>48.8847598857435</v>
      </c>
      <c r="U1144" s="7" t="n">
        <f aca="false">E1144*2/13+U1143*11/13</f>
        <v>20166.2798337127</v>
      </c>
      <c r="V1144" s="7" t="n">
        <f aca="false">E1144*2/27+V1143*25/27</f>
        <v>19869.6585383533</v>
      </c>
      <c r="W1144" s="7" t="n">
        <f aca="false">U1144-V1144</f>
        <v>296.621295359444</v>
      </c>
      <c r="X1144" s="7" t="n">
        <f aca="false">W1144*2/10+X1143*8/10</f>
        <v>356.761756064825</v>
      </c>
      <c r="Y1144" s="7" t="n">
        <f aca="false">W1144-X1144</f>
        <v>-60.140460705381</v>
      </c>
      <c r="Z1144" s="8" t="s">
        <v>42</v>
      </c>
      <c r="AA1144" s="7" t="str">
        <f aca="false">IFERROR(INDEX(02_轉折點45!B:B,MATCH(A1144,02_轉折點45!A:A,0)),"")</f>
        <v/>
      </c>
      <c r="AB1144" s="7" t="n">
        <f aca="false">COUNTIFS(05_訊號明細!A:A,A1144,05_訊號明細!C:C,"TOP")</f>
        <v>1</v>
      </c>
      <c r="AC1144" s="7" t="n">
        <f aca="false">COUNTIFS(05_訊號明細!A:A,A1144,05_訊號明細!C:C,"BOTTOM")</f>
        <v>0</v>
      </c>
    </row>
    <row r="1145" customFormat="false" ht="15" hidden="false" customHeight="false" outlineLevel="0" collapsed="false">
      <c r="A1145" s="7" t="s">
        <v>1186</v>
      </c>
      <c r="B1145" s="7" t="n">
        <v>19936.24</v>
      </c>
      <c r="C1145" s="7" t="n">
        <v>19947.98</v>
      </c>
      <c r="D1145" s="7" t="n">
        <v>19575.79</v>
      </c>
      <c r="E1145" s="7" t="n">
        <v>19705.09</v>
      </c>
      <c r="F1145" s="7" t="n">
        <v>5977</v>
      </c>
      <c r="G1145" s="7" t="n">
        <f aca="false">AVERAGE(E1141:E1145)</f>
        <v>20124.244</v>
      </c>
      <c r="H1145" s="7" t="n">
        <f aca="false">AVERAGE(E1136:E1145)</f>
        <v>20279.249</v>
      </c>
      <c r="I1145" s="7" t="n">
        <f aca="false">AVERAGE(E1126:E1145)</f>
        <v>20032.733</v>
      </c>
      <c r="J1145" s="7" t="n">
        <f aca="false">AVERAGE(E1096:E1145)</f>
        <v>19292.9154</v>
      </c>
      <c r="K1145" s="7" t="n">
        <f aca="false">AVERAGE(E1046:E1145)</f>
        <v>18611.599</v>
      </c>
      <c r="L1145" s="7" t="n">
        <f aca="false">AVERAGE(E946:E1145)</f>
        <v>17413.93055</v>
      </c>
      <c r="M1145" s="7" t="n">
        <f aca="false">I1145</f>
        <v>20032.733</v>
      </c>
      <c r="N1145" s="7" t="n">
        <f aca="false">I1145+2*STDEV(E1126:E1145)</f>
        <v>20739.2374808023</v>
      </c>
      <c r="O1145" s="7" t="n">
        <f aca="false">I1145-2*STDEV(E1126:E1145)</f>
        <v>19326.2285191977</v>
      </c>
      <c r="P1145" s="7" t="n">
        <f aca="false">MAX(E1145-E1144,0)</f>
        <v>0</v>
      </c>
      <c r="Q1145" s="7" t="n">
        <f aca="false">MAX(E1144-E1145,0)</f>
        <v>94.0499999999993</v>
      </c>
      <c r="R1145" s="7" t="n">
        <f aca="false">(R1144*13+P1145)/14</f>
        <v>75.2675449336911</v>
      </c>
      <c r="S1145" s="7" t="n">
        <f aca="false">(S1144*13+Q1145)/14</f>
        <v>85.4196578899285</v>
      </c>
      <c r="T1145" s="7" t="n">
        <f aca="false">IF(S1145=0,100,100-100/(1+R1145/S1145))</f>
        <v>46.8410325222411</v>
      </c>
      <c r="U1145" s="7" t="n">
        <f aca="false">E1145*2/13+U1144*11/13</f>
        <v>20095.3275516031</v>
      </c>
      <c r="V1145" s="7" t="n">
        <f aca="false">E1145*2/27+V1144*25/27</f>
        <v>19857.4682762531</v>
      </c>
      <c r="W1145" s="7" t="n">
        <f aca="false">U1145-V1145</f>
        <v>237.859275350038</v>
      </c>
      <c r="X1145" s="7" t="n">
        <f aca="false">W1145*2/10+X1144*8/10</f>
        <v>332.981259921868</v>
      </c>
      <c r="Y1145" s="7" t="n">
        <f aca="false">W1145-X1145</f>
        <v>-95.1219845718297</v>
      </c>
      <c r="Z1145" s="8" t="s">
        <v>42</v>
      </c>
      <c r="AA1145" s="7" t="str">
        <f aca="false">IFERROR(INDEX(02_轉折點45!B:B,MATCH(A1145,02_轉折點45!A:A,0)),"")</f>
        <v/>
      </c>
      <c r="AB1145" s="7" t="n">
        <f aca="false">COUNTIFS(05_訊號明細!A:A,A1145,05_訊號明細!C:C,"TOP")</f>
        <v>0</v>
      </c>
      <c r="AC1145" s="7" t="n">
        <f aca="false">COUNTIFS(05_訊號明細!A:A,A1145,05_訊號明細!C:C,"BOTTOM")</f>
        <v>0</v>
      </c>
    </row>
    <row r="1146" customFormat="false" ht="15" hidden="false" customHeight="false" outlineLevel="0" collapsed="false">
      <c r="A1146" s="7" t="s">
        <v>1187</v>
      </c>
      <c r="B1146" s="7" t="n">
        <v>19687.8</v>
      </c>
      <c r="C1146" s="7" t="n">
        <v>19784.48</v>
      </c>
      <c r="D1146" s="7" t="n">
        <v>19479.38</v>
      </c>
      <c r="E1146" s="7" t="n">
        <v>19522.62</v>
      </c>
      <c r="F1146" s="7" t="n">
        <v>4993</v>
      </c>
      <c r="G1146" s="7" t="n">
        <f aca="false">AVERAGE(E1142:E1146)</f>
        <v>19962.47</v>
      </c>
      <c r="H1146" s="7" t="n">
        <f aca="false">AVERAGE(E1137:E1146)</f>
        <v>20192.314</v>
      </c>
      <c r="I1146" s="7" t="n">
        <f aca="false">AVERAGE(E1127:E1146)</f>
        <v>20021.249</v>
      </c>
      <c r="J1146" s="7" t="n">
        <f aca="false">AVERAGE(E1097:E1146)</f>
        <v>19321.5388</v>
      </c>
      <c r="K1146" s="7" t="n">
        <f aca="false">AVERAGE(E1047:E1146)</f>
        <v>18627.4919</v>
      </c>
      <c r="L1146" s="7" t="n">
        <f aca="false">AVERAGE(E947:E1146)</f>
        <v>17437.3558</v>
      </c>
      <c r="M1146" s="7" t="n">
        <f aca="false">I1146</f>
        <v>20021.249</v>
      </c>
      <c r="N1146" s="7" t="n">
        <f aca="false">I1146+2*STDEV(E1127:E1146)</f>
        <v>20753.9283973643</v>
      </c>
      <c r="O1146" s="7" t="n">
        <f aca="false">I1146-2*STDEV(E1127:E1146)</f>
        <v>19288.5696026357</v>
      </c>
      <c r="P1146" s="7" t="n">
        <f aca="false">MAX(E1146-E1145,0)</f>
        <v>0</v>
      </c>
      <c r="Q1146" s="7" t="n">
        <f aca="false">MAX(E1145-E1146,0)</f>
        <v>182.470000000001</v>
      </c>
      <c r="R1146" s="7" t="n">
        <f aca="false">(R1145*13+P1146)/14</f>
        <v>69.8912917241418</v>
      </c>
      <c r="S1146" s="7" t="n">
        <f aca="false">(S1145*13+Q1146)/14</f>
        <v>92.3518251835052</v>
      </c>
      <c r="T1146" s="7" t="n">
        <f aca="false">IF(S1146=0,100,100-100/(1+R1146/S1146))</f>
        <v>43.0781243952098</v>
      </c>
      <c r="U1146" s="7" t="n">
        <f aca="false">E1146*2/13+U1145*11/13</f>
        <v>20007.2186975103</v>
      </c>
      <c r="V1146" s="7" t="n">
        <f aca="false">E1146*2/27+V1145*25/27</f>
        <v>19832.6647002343</v>
      </c>
      <c r="W1146" s="7" t="n">
        <f aca="false">U1146-V1146</f>
        <v>174.553997275998</v>
      </c>
      <c r="X1146" s="7" t="n">
        <f aca="false">W1146*2/10+X1145*8/10</f>
        <v>301.295807392694</v>
      </c>
      <c r="Y1146" s="7" t="n">
        <f aca="false">W1146-X1146</f>
        <v>-126.741810116696</v>
      </c>
      <c r="Z1146" s="8" t="s">
        <v>42</v>
      </c>
      <c r="AA1146" s="7" t="str">
        <f aca="false">IFERROR(INDEX(02_轉折點45!B:B,MATCH(A1146,02_轉折點45!A:A,0)),"")</f>
        <v/>
      </c>
      <c r="AB1146" s="7" t="n">
        <f aca="false">COUNTIFS(05_訊號明細!A:A,A1146,05_訊號明細!C:C,"TOP")</f>
        <v>0</v>
      </c>
      <c r="AC1146" s="7" t="n">
        <f aca="false">COUNTIFS(05_訊號明細!A:A,A1146,05_訊號明細!C:C,"BOTTOM")</f>
        <v>0</v>
      </c>
    </row>
    <row r="1147" customFormat="false" ht="15" hidden="false" customHeight="false" outlineLevel="0" collapsed="false">
      <c r="A1147" s="7" t="s">
        <v>1188</v>
      </c>
      <c r="B1147" s="7" t="n">
        <v>19751.02</v>
      </c>
      <c r="C1147" s="7" t="n">
        <v>19861.72</v>
      </c>
      <c r="D1147" s="7" t="n">
        <v>19638.37</v>
      </c>
      <c r="E1147" s="7" t="n">
        <v>19822.87</v>
      </c>
      <c r="F1147" s="7" t="n">
        <v>5094</v>
      </c>
      <c r="G1147" s="7" t="n">
        <f aca="false">AVERAGE(E1143:E1147)</f>
        <v>19849.668</v>
      </c>
      <c r="H1147" s="7" t="n">
        <f aca="false">AVERAGE(E1138:E1147)</f>
        <v>20130.647</v>
      </c>
      <c r="I1147" s="7" t="n">
        <f aca="false">AVERAGE(E1128:E1147)</f>
        <v>20027.371</v>
      </c>
      <c r="J1147" s="7" t="n">
        <f aca="false">AVERAGE(E1098:E1147)</f>
        <v>19356.296</v>
      </c>
      <c r="K1147" s="7" t="n">
        <f aca="false">AVERAGE(E1048:E1147)</f>
        <v>18646.0101</v>
      </c>
      <c r="L1147" s="7" t="n">
        <f aca="false">AVERAGE(E948:E1147)</f>
        <v>17463.64205</v>
      </c>
      <c r="M1147" s="7" t="n">
        <f aca="false">I1147</f>
        <v>20027.371</v>
      </c>
      <c r="N1147" s="7" t="n">
        <f aca="false">I1147+2*STDEV(E1128:E1147)</f>
        <v>20750.7505743781</v>
      </c>
      <c r="O1147" s="7" t="n">
        <f aca="false">I1147-2*STDEV(E1128:E1147)</f>
        <v>19303.991425622</v>
      </c>
      <c r="P1147" s="7" t="n">
        <f aca="false">MAX(E1147-E1146,0)</f>
        <v>300.25</v>
      </c>
      <c r="Q1147" s="7" t="n">
        <f aca="false">MAX(E1146-E1147,0)</f>
        <v>0</v>
      </c>
      <c r="R1147" s="7" t="n">
        <f aca="false">(R1146*13+P1147)/14</f>
        <v>86.3454851724174</v>
      </c>
      <c r="S1147" s="7" t="n">
        <f aca="false">(S1146*13+Q1147)/14</f>
        <v>85.7552662418262</v>
      </c>
      <c r="T1147" s="7" t="n">
        <f aca="false">IF(S1147=0,100,100-100/(1+R1147/S1147))</f>
        <v>50.171474826734</v>
      </c>
      <c r="U1147" s="7" t="n">
        <f aca="false">E1147*2/13+U1146*11/13</f>
        <v>19978.8573594318</v>
      </c>
      <c r="V1147" s="7" t="n">
        <f aca="false">E1147*2/27+V1146*25/27</f>
        <v>19831.9391668836</v>
      </c>
      <c r="W1147" s="7" t="n">
        <f aca="false">U1147-V1147</f>
        <v>146.918192548179</v>
      </c>
      <c r="X1147" s="7" t="n">
        <f aca="false">W1147*2/10+X1146*8/10</f>
        <v>270.420284423791</v>
      </c>
      <c r="Y1147" s="7" t="n">
        <f aca="false">W1147-X1147</f>
        <v>-123.502091875612</v>
      </c>
      <c r="Z1147" s="8" t="s">
        <v>42</v>
      </c>
      <c r="AA1147" s="7" t="str">
        <f aca="false">IFERROR(INDEX(02_轉折點45!B:B,MATCH(A1147,02_轉折點45!A:A,0)),"")</f>
        <v/>
      </c>
      <c r="AB1147" s="7" t="n">
        <f aca="false">COUNTIFS(05_訊號明細!A:A,A1147,05_訊號明細!C:C,"TOP")</f>
        <v>2</v>
      </c>
      <c r="AC1147" s="7" t="n">
        <f aca="false">COUNTIFS(05_訊號明細!A:A,A1147,05_訊號明細!C:C,"BOTTOM")</f>
        <v>0</v>
      </c>
    </row>
    <row r="1148" customFormat="false" ht="15" hidden="false" customHeight="false" outlineLevel="0" collapsed="false">
      <c r="A1148" s="7" t="s">
        <v>1189</v>
      </c>
      <c r="B1148" s="7" t="n">
        <v>19783.33</v>
      </c>
      <c r="C1148" s="7" t="n">
        <v>19904.6</v>
      </c>
      <c r="D1148" s="7" t="n">
        <v>19736.22</v>
      </c>
      <c r="E1148" s="7" t="n">
        <v>19754.34</v>
      </c>
      <c r="F1148" s="7" t="n">
        <v>4938</v>
      </c>
      <c r="G1148" s="7" t="n">
        <f aca="false">AVERAGE(E1144:E1148)</f>
        <v>19720.812</v>
      </c>
      <c r="H1148" s="7" t="n">
        <f aca="false">AVERAGE(E1139:E1148)</f>
        <v>20060.779</v>
      </c>
      <c r="I1148" s="7" t="n">
        <f aca="false">AVERAGE(E1129:E1148)</f>
        <v>20041.357</v>
      </c>
      <c r="J1148" s="7" t="n">
        <f aca="false">AVERAGE(E1099:E1148)</f>
        <v>19389.1136</v>
      </c>
      <c r="K1148" s="7" t="n">
        <f aca="false">AVERAGE(E1049:E1148)</f>
        <v>18664.8085</v>
      </c>
      <c r="L1148" s="7" t="n">
        <f aca="false">AVERAGE(E949:E1148)</f>
        <v>17488.5325</v>
      </c>
      <c r="M1148" s="7" t="n">
        <f aca="false">I1148</f>
        <v>20041.357</v>
      </c>
      <c r="N1148" s="7" t="n">
        <f aca="false">I1148+2*STDEV(E1129:E1148)</f>
        <v>20729.7067636063</v>
      </c>
      <c r="O1148" s="7" t="n">
        <f aca="false">I1148-2*STDEV(E1129:E1148)</f>
        <v>19353.0072363937</v>
      </c>
      <c r="P1148" s="7" t="n">
        <f aca="false">MAX(E1148-E1147,0)</f>
        <v>0</v>
      </c>
      <c r="Q1148" s="7" t="n">
        <f aca="false">MAX(E1147-E1148,0)</f>
        <v>68.5299999999988</v>
      </c>
      <c r="R1148" s="7" t="n">
        <f aca="false">(R1147*13+P1148)/14</f>
        <v>80.1779505172447</v>
      </c>
      <c r="S1148" s="7" t="n">
        <f aca="false">(S1147*13+Q1148)/14</f>
        <v>84.5248900816957</v>
      </c>
      <c r="T1148" s="7" t="n">
        <f aca="false">IF(S1148=0,100,100-100/(1+R1148/S1148))</f>
        <v>48.6803689758345</v>
      </c>
      <c r="U1148" s="7" t="n">
        <f aca="false">E1148*2/13+U1147*11/13</f>
        <v>19944.3162272115</v>
      </c>
      <c r="V1148" s="7" t="n">
        <f aca="false">E1148*2/27+V1147*25/27</f>
        <v>19826.1910804478</v>
      </c>
      <c r="W1148" s="7" t="n">
        <f aca="false">U1148-V1148</f>
        <v>118.125146763723</v>
      </c>
      <c r="X1148" s="7" t="n">
        <f aca="false">W1148*2/10+X1147*8/10</f>
        <v>239.961256891777</v>
      </c>
      <c r="Y1148" s="7" t="n">
        <f aca="false">W1148-X1148</f>
        <v>-121.836110128054</v>
      </c>
      <c r="Z1148" s="8" t="s">
        <v>42</v>
      </c>
      <c r="AA1148" s="7" t="str">
        <f aca="false">IFERROR(INDEX(02_轉折點45!B:B,MATCH(A1148,02_轉折點45!A:A,0)),"")</f>
        <v/>
      </c>
      <c r="AB1148" s="7" t="n">
        <f aca="false">COUNTIFS(05_訊號明細!A:A,A1148,05_訊號明細!C:C,"TOP")</f>
        <v>0</v>
      </c>
      <c r="AC1148" s="7" t="n">
        <f aca="false">COUNTIFS(05_訊號明細!A:A,A1148,05_訊號明細!C:C,"BOTTOM")</f>
        <v>0</v>
      </c>
    </row>
    <row r="1149" customFormat="false" ht="15" hidden="false" customHeight="false" outlineLevel="0" collapsed="false">
      <c r="A1149" s="7" t="s">
        <v>1190</v>
      </c>
      <c r="B1149" s="7" t="n">
        <v>19475.66</v>
      </c>
      <c r="C1149" s="7" t="n">
        <v>19482.55</v>
      </c>
      <c r="D1149" s="7" t="n">
        <v>19005.47</v>
      </c>
      <c r="E1149" s="7" t="n">
        <v>19032.39</v>
      </c>
      <c r="F1149" s="7" t="n">
        <v>6736</v>
      </c>
      <c r="G1149" s="7" t="n">
        <f aca="false">AVERAGE(E1145:E1149)</f>
        <v>19567.462</v>
      </c>
      <c r="H1149" s="7" t="n">
        <f aca="false">AVERAGE(E1140:E1149)</f>
        <v>19896.48</v>
      </c>
      <c r="I1149" s="7" t="n">
        <f aca="false">AVERAGE(E1130:E1149)</f>
        <v>20007.92</v>
      </c>
      <c r="J1149" s="7" t="n">
        <f aca="false">AVERAGE(E1100:E1149)</f>
        <v>19406.5378</v>
      </c>
      <c r="K1149" s="7" t="n">
        <f aca="false">AVERAGE(E1050:E1149)</f>
        <v>18674.6939</v>
      </c>
      <c r="L1149" s="7" t="n">
        <f aca="false">AVERAGE(E950:E1149)</f>
        <v>17510.07835</v>
      </c>
      <c r="M1149" s="7" t="n">
        <f aca="false">I1149</f>
        <v>20007.92</v>
      </c>
      <c r="N1149" s="7" t="n">
        <f aca="false">I1149+2*STDEV(E1130:E1149)</f>
        <v>20819.7496388827</v>
      </c>
      <c r="O1149" s="7" t="n">
        <f aca="false">I1149-2*STDEV(E1130:E1149)</f>
        <v>19196.0903611173</v>
      </c>
      <c r="P1149" s="7" t="n">
        <f aca="false">MAX(E1149-E1148,0)</f>
        <v>0</v>
      </c>
      <c r="Q1149" s="7" t="n">
        <f aca="false">MAX(E1148-E1149,0)</f>
        <v>721.950000000001</v>
      </c>
      <c r="R1149" s="7" t="n">
        <f aca="false">(R1148*13+P1149)/14</f>
        <v>74.4509540517272</v>
      </c>
      <c r="S1149" s="7" t="n">
        <f aca="false">(S1148*13+Q1149)/14</f>
        <v>130.05525507586</v>
      </c>
      <c r="T1149" s="7" t="n">
        <f aca="false">IF(S1149=0,100,100-100/(1+R1149/S1149))</f>
        <v>36.4052291465041</v>
      </c>
      <c r="U1149" s="7" t="n">
        <f aca="false">E1149*2/13+U1148*11/13</f>
        <v>19804.0198845636</v>
      </c>
      <c r="V1149" s="7" t="n">
        <f aca="false">E1149*2/27+V1148*25/27</f>
        <v>19767.3910004146</v>
      </c>
      <c r="W1149" s="7" t="n">
        <f aca="false">U1149-V1149</f>
        <v>36.6288841489695</v>
      </c>
      <c r="X1149" s="7" t="n">
        <f aca="false">W1149*2/10+X1148*8/10</f>
        <v>199.294782343216</v>
      </c>
      <c r="Y1149" s="7" t="n">
        <f aca="false">W1149-X1149</f>
        <v>-162.665898194246</v>
      </c>
      <c r="Z1149" s="8" t="s">
        <v>42</v>
      </c>
      <c r="AA1149" s="7" t="str">
        <f aca="false">IFERROR(INDEX(02_轉折點45!B:B,MATCH(A1149,02_轉折點45!A:A,0)),"")</f>
        <v/>
      </c>
      <c r="AB1149" s="7" t="n">
        <f aca="false">COUNTIFS(05_訊號明細!A:A,A1149,05_訊號明細!C:C,"TOP")</f>
        <v>2</v>
      </c>
      <c r="AC1149" s="7" t="n">
        <f aca="false">COUNTIFS(05_訊號明細!A:A,A1149,05_訊號明細!C:C,"BOTTOM")</f>
        <v>0</v>
      </c>
    </row>
    <row r="1150" customFormat="false" ht="15" hidden="false" customHeight="false" outlineLevel="0" collapsed="false">
      <c r="A1150" s="7" t="s">
        <v>1191</v>
      </c>
      <c r="B1150" s="7" t="n">
        <v>19041.15</v>
      </c>
      <c r="C1150" s="7" t="n">
        <v>19227.2</v>
      </c>
      <c r="D1150" s="7" t="n">
        <v>18721.71</v>
      </c>
      <c r="E1150" s="7" t="n">
        <v>18830.58</v>
      </c>
      <c r="F1150" s="7" t="n">
        <v>6114</v>
      </c>
      <c r="G1150" s="7" t="n">
        <f aca="false">AVERAGE(E1146:E1150)</f>
        <v>19392.56</v>
      </c>
      <c r="H1150" s="7" t="n">
        <f aca="false">AVERAGE(E1141:E1150)</f>
        <v>19758.402</v>
      </c>
      <c r="I1150" s="7" t="n">
        <f aca="false">AVERAGE(E1131:E1150)</f>
        <v>19961.8965</v>
      </c>
      <c r="J1150" s="7" t="n">
        <f aca="false">AVERAGE(E1101:E1150)</f>
        <v>19419.1772</v>
      </c>
      <c r="K1150" s="7" t="n">
        <f aca="false">AVERAGE(E1051:E1150)</f>
        <v>18679.9706</v>
      </c>
      <c r="L1150" s="7" t="n">
        <f aca="false">AVERAGE(E951:E1150)</f>
        <v>17529.36505</v>
      </c>
      <c r="M1150" s="7" t="n">
        <f aca="false">I1150</f>
        <v>19961.8965</v>
      </c>
      <c r="N1150" s="7" t="n">
        <f aca="false">I1150+2*STDEV(E1131:E1150)</f>
        <v>20925.2627472213</v>
      </c>
      <c r="O1150" s="7" t="n">
        <f aca="false">I1150-2*STDEV(E1131:E1150)</f>
        <v>18998.5302527787</v>
      </c>
      <c r="P1150" s="7" t="n">
        <f aca="false">MAX(E1150-E1149,0)</f>
        <v>0</v>
      </c>
      <c r="Q1150" s="7" t="n">
        <f aca="false">MAX(E1149-E1150,0)</f>
        <v>201.809999999998</v>
      </c>
      <c r="R1150" s="7" t="n">
        <f aca="false">(R1149*13+P1150)/14</f>
        <v>69.1330287623181</v>
      </c>
      <c r="S1150" s="7" t="n">
        <f aca="false">(S1149*13+Q1150)/14</f>
        <v>135.180593999013</v>
      </c>
      <c r="T1150" s="7" t="n">
        <f aca="false">IF(S1150=0,100,100-100/(1+R1150/S1150))</f>
        <v>33.8367201501174</v>
      </c>
      <c r="U1150" s="7" t="n">
        <f aca="false">E1150*2/13+U1149*11/13</f>
        <v>19654.259902323</v>
      </c>
      <c r="V1150" s="7" t="n">
        <f aca="false">E1150*2/27+V1149*25/27</f>
        <v>19697.9975929765</v>
      </c>
      <c r="W1150" s="7" t="n">
        <f aca="false">U1150-V1150</f>
        <v>-43.7376906534664</v>
      </c>
      <c r="X1150" s="7" t="n">
        <f aca="false">W1150*2/10+X1149*8/10</f>
        <v>150.688287743879</v>
      </c>
      <c r="Y1150" s="7" t="n">
        <f aca="false">W1150-X1150</f>
        <v>-194.425978397346</v>
      </c>
      <c r="Z1150" s="8" t="s">
        <v>42</v>
      </c>
      <c r="AA1150" s="7" t="str">
        <f aca="false">IFERROR(INDEX(02_轉折點45!B:B,MATCH(A1150,02_轉折點45!A:A,0)),"")</f>
        <v/>
      </c>
      <c r="AB1150" s="7" t="n">
        <f aca="false">COUNTIFS(05_訊號明細!A:A,A1150,05_訊號明細!C:C,"TOP")</f>
        <v>0</v>
      </c>
      <c r="AC1150" s="7" t="n">
        <f aca="false">COUNTIFS(05_訊號明細!A:A,A1150,05_訊號明細!C:C,"BOTTOM")</f>
        <v>0</v>
      </c>
    </row>
    <row r="1151" customFormat="false" ht="15" hidden="false" customHeight="false" outlineLevel="0" collapsed="false">
      <c r="A1151" s="7" t="s">
        <v>1192</v>
      </c>
      <c r="B1151" s="7" t="n">
        <v>18990.2</v>
      </c>
      <c r="C1151" s="7" t="n">
        <v>19142.68</v>
      </c>
      <c r="D1151" s="7" t="n">
        <v>18899.31</v>
      </c>
      <c r="E1151" s="7" t="n">
        <v>19023.66</v>
      </c>
      <c r="F1151" s="7" t="n">
        <v>5282</v>
      </c>
      <c r="G1151" s="7" t="n">
        <f aca="false">AVERAGE(E1147:E1151)</f>
        <v>19292.768</v>
      </c>
      <c r="H1151" s="7" t="n">
        <f aca="false">AVERAGE(E1142:E1151)</f>
        <v>19627.619</v>
      </c>
      <c r="I1151" s="7" t="n">
        <f aca="false">AVERAGE(E1132:E1151)</f>
        <v>19923.628</v>
      </c>
      <c r="J1151" s="7" t="n">
        <f aca="false">AVERAGE(E1102:E1151)</f>
        <v>19433.195</v>
      </c>
      <c r="K1151" s="7" t="n">
        <f aca="false">AVERAGE(E1052:E1151)</f>
        <v>18687.9424</v>
      </c>
      <c r="L1151" s="7" t="n">
        <f aca="false">AVERAGE(E952:E1151)</f>
        <v>17549.2476</v>
      </c>
      <c r="M1151" s="7" t="n">
        <f aca="false">I1151</f>
        <v>19923.628</v>
      </c>
      <c r="N1151" s="7" t="n">
        <f aca="false">I1151+2*STDEV(E1132:E1151)</f>
        <v>20972.8853153998</v>
      </c>
      <c r="O1151" s="7" t="n">
        <f aca="false">I1151-2*STDEV(E1132:E1151)</f>
        <v>18874.3706846002</v>
      </c>
      <c r="P1151" s="7" t="n">
        <f aca="false">MAX(E1151-E1150,0)</f>
        <v>193.079999999998</v>
      </c>
      <c r="Q1151" s="7" t="n">
        <f aca="false">MAX(E1150-E1151,0)</f>
        <v>0</v>
      </c>
      <c r="R1151" s="7" t="n">
        <f aca="false">(R1150*13+P1151)/14</f>
        <v>77.9863838507238</v>
      </c>
      <c r="S1151" s="7" t="n">
        <f aca="false">(S1150*13+Q1151)/14</f>
        <v>125.524837284798</v>
      </c>
      <c r="T1151" s="7" t="n">
        <f aca="false">IF(S1151=0,100,100-100/(1+R1151/S1151))</f>
        <v>38.3204343306413</v>
      </c>
      <c r="U1151" s="7" t="n">
        <f aca="false">E1151*2/13+U1150*11/13</f>
        <v>19557.2445327349</v>
      </c>
      <c r="V1151" s="7" t="n">
        <f aca="false">E1151*2/27+V1150*25/27</f>
        <v>19648.0466601634</v>
      </c>
      <c r="W1151" s="7" t="n">
        <f aca="false">U1151-V1151</f>
        <v>-90.8021274285529</v>
      </c>
      <c r="X1151" s="7" t="n">
        <f aca="false">W1151*2/10+X1150*8/10</f>
        <v>102.390204709393</v>
      </c>
      <c r="Y1151" s="7" t="n">
        <f aca="false">W1151-X1151</f>
        <v>-193.192332137946</v>
      </c>
      <c r="Z1151" s="8" t="s">
        <v>42</v>
      </c>
      <c r="AA1151" s="7" t="str">
        <f aca="false">IFERROR(INDEX(02_轉折點45!B:B,MATCH(A1151,02_轉折點45!A:A,0)),"")</f>
        <v/>
      </c>
      <c r="AB1151" s="7" t="n">
        <f aca="false">COUNTIFS(05_訊號明細!A:A,A1151,05_訊號明細!C:C,"TOP")</f>
        <v>1</v>
      </c>
      <c r="AC1151" s="7" t="n">
        <f aca="false">COUNTIFS(05_訊號明細!A:A,A1151,05_訊號明細!C:C,"BOTTOM")</f>
        <v>0</v>
      </c>
    </row>
    <row r="1152" customFormat="false" ht="15" hidden="false" customHeight="false" outlineLevel="0" collapsed="false">
      <c r="A1152" s="7" t="s">
        <v>1193</v>
      </c>
      <c r="B1152" s="7" t="n">
        <v>19122.43</v>
      </c>
      <c r="C1152" s="7" t="n">
        <v>19224.59</v>
      </c>
      <c r="D1152" s="7" t="n">
        <v>18974.51</v>
      </c>
      <c r="E1152" s="7" t="n">
        <v>19059.49</v>
      </c>
      <c r="F1152" s="7" t="n">
        <v>4897</v>
      </c>
      <c r="G1152" s="7" t="n">
        <f aca="false">AVERAGE(E1148:E1152)</f>
        <v>19140.092</v>
      </c>
      <c r="H1152" s="7" t="n">
        <f aca="false">AVERAGE(E1143:E1152)</f>
        <v>19494.88</v>
      </c>
      <c r="I1152" s="7" t="n">
        <f aca="false">AVERAGE(E1133:E1152)</f>
        <v>19892.459</v>
      </c>
      <c r="J1152" s="7" t="n">
        <f aca="false">AVERAGE(E1103:E1152)</f>
        <v>19442.4518</v>
      </c>
      <c r="K1152" s="7" t="n">
        <f aca="false">AVERAGE(E1053:E1152)</f>
        <v>18699.5586</v>
      </c>
      <c r="L1152" s="7" t="n">
        <f aca="false">AVERAGE(E953:E1152)</f>
        <v>17568.88745</v>
      </c>
      <c r="M1152" s="7" t="n">
        <f aca="false">I1152</f>
        <v>19892.459</v>
      </c>
      <c r="N1152" s="7" t="n">
        <f aca="false">I1152+2*STDEV(E1133:E1152)</f>
        <v>21006.8442946455</v>
      </c>
      <c r="O1152" s="7" t="n">
        <f aca="false">I1152-2*STDEV(E1133:E1152)</f>
        <v>18778.0737053545</v>
      </c>
      <c r="P1152" s="7" t="n">
        <f aca="false">MAX(E1152-E1151,0)</f>
        <v>35.8300000000017</v>
      </c>
      <c r="Q1152" s="7" t="n">
        <f aca="false">MAX(E1151-E1152,0)</f>
        <v>0</v>
      </c>
      <c r="R1152" s="7" t="n">
        <f aca="false">(R1151*13+P1152)/14</f>
        <v>74.9752135756723</v>
      </c>
      <c r="S1152" s="7" t="n">
        <f aca="false">(S1151*13+Q1152)/14</f>
        <v>116.558777478741</v>
      </c>
      <c r="T1152" s="7" t="n">
        <f aca="false">IF(S1152=0,100,100-100/(1+R1152/S1152))</f>
        <v>39.1445994326785</v>
      </c>
      <c r="U1152" s="7" t="n">
        <f aca="false">E1152*2/13+U1151*11/13</f>
        <v>19480.6669123141</v>
      </c>
      <c r="V1152" s="7" t="n">
        <f aca="false">E1152*2/27+V1151*25/27</f>
        <v>19604.4498705217</v>
      </c>
      <c r="W1152" s="7" t="n">
        <f aca="false">U1152-V1152</f>
        <v>-123.782958207572</v>
      </c>
      <c r="X1152" s="7" t="n">
        <f aca="false">W1152*2/10+X1151*8/10</f>
        <v>57.1555721259999</v>
      </c>
      <c r="Y1152" s="7" t="n">
        <f aca="false">W1152-X1152</f>
        <v>-180.938530333572</v>
      </c>
      <c r="Z1152" s="8" t="s">
        <v>42</v>
      </c>
      <c r="AA1152" s="7" t="str">
        <f aca="false">IFERROR(INDEX(02_轉折點45!B:B,MATCH(A1152,02_轉折點45!A:A,0)),"")</f>
        <v/>
      </c>
      <c r="AB1152" s="7" t="n">
        <f aca="false">COUNTIFS(05_訊號明細!A:A,A1152,05_訊號明細!C:C,"TOP")</f>
        <v>0</v>
      </c>
      <c r="AC1152" s="7" t="n">
        <f aca="false">COUNTIFS(05_訊號明細!A:A,A1152,05_訊號明細!C:C,"BOTTOM")</f>
        <v>0</v>
      </c>
    </row>
    <row r="1153" customFormat="false" ht="15" hidden="false" customHeight="false" outlineLevel="0" collapsed="false">
      <c r="A1153" s="7" t="s">
        <v>1194</v>
      </c>
      <c r="B1153" s="7" t="n">
        <v>19129.56</v>
      </c>
      <c r="C1153" s="7" t="n">
        <v>19165.42</v>
      </c>
      <c r="D1153" s="7" t="n">
        <v>18667.22</v>
      </c>
      <c r="E1153" s="7" t="n">
        <v>18796.27</v>
      </c>
      <c r="F1153" s="7" t="n">
        <v>5564</v>
      </c>
      <c r="G1153" s="7" t="n">
        <f aca="false">AVERAGE(E1149:E1153)</f>
        <v>18948.478</v>
      </c>
      <c r="H1153" s="7" t="n">
        <f aca="false">AVERAGE(E1144:E1153)</f>
        <v>19334.645</v>
      </c>
      <c r="I1153" s="7" t="n">
        <f aca="false">AVERAGE(E1134:E1153)</f>
        <v>19841.6615</v>
      </c>
      <c r="J1153" s="7" t="n">
        <f aca="false">AVERAGE(E1104:E1153)</f>
        <v>19447.218</v>
      </c>
      <c r="K1153" s="7" t="n">
        <f aca="false">AVERAGE(E1054:E1153)</f>
        <v>18707.3456</v>
      </c>
      <c r="L1153" s="7" t="n">
        <f aca="false">AVERAGE(E954:E1153)</f>
        <v>17586.6632</v>
      </c>
      <c r="M1153" s="7" t="n">
        <f aca="false">I1153</f>
        <v>19841.6615</v>
      </c>
      <c r="N1153" s="7" t="n">
        <f aca="false">I1153+2*STDEV(E1134:E1153)</f>
        <v>21059.2858984739</v>
      </c>
      <c r="O1153" s="7" t="n">
        <f aca="false">I1153-2*STDEV(E1134:E1153)</f>
        <v>18624.0371015261</v>
      </c>
      <c r="P1153" s="7" t="n">
        <f aca="false">MAX(E1153-E1152,0)</f>
        <v>0</v>
      </c>
      <c r="Q1153" s="7" t="n">
        <f aca="false">MAX(E1152-E1153,0)</f>
        <v>263.220000000001</v>
      </c>
      <c r="R1153" s="7" t="n">
        <f aca="false">(R1152*13+P1153)/14</f>
        <v>69.61984117741</v>
      </c>
      <c r="S1153" s="7" t="n">
        <f aca="false">(S1152*13+Q1153)/14</f>
        <v>127.034579087402</v>
      </c>
      <c r="T1153" s="7" t="n">
        <f aca="false">IF(S1153=0,100,100-100/(1+R1153/S1153))</f>
        <v>35.4021237273288</v>
      </c>
      <c r="U1153" s="7" t="n">
        <f aca="false">E1153*2/13+U1152*11/13</f>
        <v>19375.3750796504</v>
      </c>
      <c r="V1153" s="7" t="n">
        <f aca="false">E1153*2/27+V1152*25/27</f>
        <v>19544.5846949275</v>
      </c>
      <c r="W1153" s="7" t="n">
        <f aca="false">U1153-V1153</f>
        <v>-169.209615277083</v>
      </c>
      <c r="X1153" s="7" t="n">
        <f aca="false">W1153*2/10+X1152*8/10</f>
        <v>11.8825346453834</v>
      </c>
      <c r="Y1153" s="7" t="n">
        <f aca="false">W1153-X1153</f>
        <v>-181.092149922466</v>
      </c>
      <c r="Z1153" s="8" t="s">
        <v>42</v>
      </c>
      <c r="AA1153" s="7" t="str">
        <f aca="false">IFERROR(INDEX(02_轉折點45!B:B,MATCH(A1153,02_轉折點45!A:A,0)),"")</f>
        <v/>
      </c>
      <c r="AB1153" s="7" t="n">
        <f aca="false">COUNTIFS(05_訊號明細!A:A,A1153,05_訊號明細!C:C,"TOP")</f>
        <v>0</v>
      </c>
      <c r="AC1153" s="7" t="n">
        <f aca="false">COUNTIFS(05_訊號明細!A:A,A1153,05_訊號明細!C:C,"BOTTOM")</f>
        <v>0</v>
      </c>
    </row>
    <row r="1154" customFormat="false" ht="15" hidden="false" customHeight="false" outlineLevel="0" collapsed="false">
      <c r="A1154" s="7" t="s">
        <v>1195</v>
      </c>
      <c r="B1154" s="7" t="n">
        <v>19222.85</v>
      </c>
      <c r="C1154" s="7" t="n">
        <v>19426.62</v>
      </c>
      <c r="D1154" s="7" t="n">
        <v>19162.91</v>
      </c>
      <c r="E1154" s="7" t="n">
        <v>19362.43</v>
      </c>
      <c r="F1154" s="7" t="n">
        <v>6293</v>
      </c>
      <c r="G1154" s="7" t="n">
        <f aca="false">AVERAGE(E1150:E1154)</f>
        <v>19014.486</v>
      </c>
      <c r="H1154" s="7" t="n">
        <f aca="false">AVERAGE(E1145:E1154)</f>
        <v>19290.974</v>
      </c>
      <c r="I1154" s="7" t="n">
        <f aca="false">AVERAGE(E1135:E1154)</f>
        <v>19809.1885</v>
      </c>
      <c r="J1154" s="7" t="n">
        <f aca="false">AVERAGE(E1105:E1154)</f>
        <v>19463.542</v>
      </c>
      <c r="K1154" s="7" t="n">
        <f aca="false">AVERAGE(E1055:E1154)</f>
        <v>18717.99</v>
      </c>
      <c r="L1154" s="7" t="n">
        <f aca="false">AVERAGE(E955:E1154)</f>
        <v>17607.55485</v>
      </c>
      <c r="M1154" s="7" t="n">
        <f aca="false">I1154</f>
        <v>19809.1885</v>
      </c>
      <c r="N1154" s="7" t="n">
        <f aca="false">I1154+2*STDEV(E1135:E1154)</f>
        <v>21042.2410885106</v>
      </c>
      <c r="O1154" s="7" t="n">
        <f aca="false">I1154-2*STDEV(E1135:E1154)</f>
        <v>18576.1359114894</v>
      </c>
      <c r="P1154" s="7" t="n">
        <f aca="false">MAX(E1154-E1153,0)</f>
        <v>566.16</v>
      </c>
      <c r="Q1154" s="7" t="n">
        <f aca="false">MAX(E1153-E1154,0)</f>
        <v>0</v>
      </c>
      <c r="R1154" s="7" t="n">
        <f aca="false">(R1153*13+P1154)/14</f>
        <v>105.086995379024</v>
      </c>
      <c r="S1154" s="7" t="n">
        <f aca="false">(S1153*13+Q1154)/14</f>
        <v>117.960680581159</v>
      </c>
      <c r="T1154" s="7" t="n">
        <f aca="false">IF(S1154=0,100,100-100/(1+R1154/S1154))</f>
        <v>47.1141404754126</v>
      </c>
      <c r="U1154" s="7" t="n">
        <f aca="false">E1154*2/13+U1153*11/13</f>
        <v>19373.383528935</v>
      </c>
      <c r="V1154" s="7" t="n">
        <f aca="false">E1154*2/27+V1153*25/27</f>
        <v>19531.0917545625</v>
      </c>
      <c r="W1154" s="7" t="n">
        <f aca="false">U1154-V1154</f>
        <v>-157.708225627532</v>
      </c>
      <c r="X1154" s="7" t="n">
        <f aca="false">W1154*2/10+X1153*8/10</f>
        <v>-22.0356174091996</v>
      </c>
      <c r="Y1154" s="7" t="n">
        <f aca="false">W1154-X1154</f>
        <v>-135.672608218332</v>
      </c>
      <c r="Z1154" s="8" t="s">
        <v>42</v>
      </c>
      <c r="AA1154" s="7" t="str">
        <f aca="false">IFERROR(INDEX(02_轉折點45!B:B,MATCH(A1154,02_轉折點45!A:A,0)),"")</f>
        <v/>
      </c>
      <c r="AB1154" s="7" t="n">
        <f aca="false">COUNTIFS(05_訊號明細!A:A,A1154,05_訊號明細!C:C,"TOP")</f>
        <v>1</v>
      </c>
      <c r="AC1154" s="7" t="n">
        <f aca="false">COUNTIFS(05_訊號明細!A:A,A1154,05_訊號明細!C:C,"BOTTOM")</f>
        <v>0</v>
      </c>
    </row>
    <row r="1155" customFormat="false" ht="15" hidden="false" customHeight="false" outlineLevel="0" collapsed="false">
      <c r="A1155" s="7" t="s">
        <v>1196</v>
      </c>
      <c r="B1155" s="7" t="n">
        <v>19375.97</v>
      </c>
      <c r="C1155" s="7" t="n">
        <v>19538.97</v>
      </c>
      <c r="D1155" s="7" t="n">
        <v>18737.09</v>
      </c>
      <c r="E1155" s="7" t="n">
        <v>18890.39</v>
      </c>
      <c r="F1155" s="7" t="n">
        <v>6665</v>
      </c>
      <c r="G1155" s="7" t="n">
        <f aca="false">AVERAGE(E1151:E1155)</f>
        <v>19026.448</v>
      </c>
      <c r="H1155" s="7" t="n">
        <f aca="false">AVERAGE(E1146:E1155)</f>
        <v>19209.504</v>
      </c>
      <c r="I1155" s="7" t="n">
        <f aca="false">AVERAGE(E1136:E1155)</f>
        <v>19744.3765</v>
      </c>
      <c r="J1155" s="7" t="n">
        <f aca="false">AVERAGE(E1106:E1155)</f>
        <v>19467.866</v>
      </c>
      <c r="K1155" s="7" t="n">
        <f aca="false">AVERAGE(E1056:E1155)</f>
        <v>18726.7094</v>
      </c>
      <c r="L1155" s="7" t="n">
        <f aca="false">AVERAGE(E956:E1155)</f>
        <v>17627.0312</v>
      </c>
      <c r="M1155" s="7" t="n">
        <f aca="false">I1155</f>
        <v>19744.3765</v>
      </c>
      <c r="N1155" s="7" t="n">
        <f aca="false">I1155+2*STDEV(E1136:E1155)</f>
        <v>21029.080475688</v>
      </c>
      <c r="O1155" s="7" t="n">
        <f aca="false">I1155-2*STDEV(E1136:E1155)</f>
        <v>18459.6725243121</v>
      </c>
      <c r="P1155" s="7" t="n">
        <f aca="false">MAX(E1155-E1154,0)</f>
        <v>0</v>
      </c>
      <c r="Q1155" s="7" t="n">
        <f aca="false">MAX(E1154-E1155,0)</f>
        <v>472.040000000001</v>
      </c>
      <c r="R1155" s="7" t="n">
        <f aca="false">(R1154*13+P1155)/14</f>
        <v>97.580781423379</v>
      </c>
      <c r="S1155" s="7" t="n">
        <f aca="false">(S1154*13+Q1155)/14</f>
        <v>143.252060539648</v>
      </c>
      <c r="T1155" s="7" t="n">
        <f aca="false">IF(S1155=0,100,100-100/(1+R1155/S1155))</f>
        <v>40.5180541939374</v>
      </c>
      <c r="U1155" s="7" t="n">
        <f aca="false">E1155*2/13+U1154*11/13</f>
        <v>19299.0768321757</v>
      </c>
      <c r="V1155" s="7" t="n">
        <f aca="false">E1155*2/27+V1154*25/27</f>
        <v>19483.6323653357</v>
      </c>
      <c r="W1155" s="7" t="n">
        <f aca="false">U1155-V1155</f>
        <v>-184.55553315991</v>
      </c>
      <c r="X1155" s="7" t="n">
        <f aca="false">W1155*2/10+X1154*8/10</f>
        <v>-54.5396005593417</v>
      </c>
      <c r="Y1155" s="7" t="n">
        <f aca="false">W1155-X1155</f>
        <v>-130.015932600568</v>
      </c>
      <c r="Z1155" s="8" t="s">
        <v>42</v>
      </c>
      <c r="AA1155" s="7" t="str">
        <f aca="false">IFERROR(INDEX(02_轉折點45!B:B,MATCH(A1155,02_轉折點45!A:A,0)),"")</f>
        <v/>
      </c>
      <c r="AB1155" s="7" t="n">
        <f aca="false">COUNTIFS(05_訊號明細!A:A,A1155,05_訊號明細!C:C,"TOP")</f>
        <v>0</v>
      </c>
      <c r="AC1155" s="7" t="n">
        <f aca="false">COUNTIFS(05_訊號明細!A:A,A1155,05_訊號明細!C:C,"BOTTOM")</f>
        <v>0</v>
      </c>
    </row>
    <row r="1156" customFormat="false" ht="15" hidden="false" customHeight="false" outlineLevel="0" collapsed="false">
      <c r="A1156" s="7" t="s">
        <v>1197</v>
      </c>
      <c r="B1156" s="7" t="n">
        <v>18494.24</v>
      </c>
      <c r="C1156" s="7" t="n">
        <v>18628.78</v>
      </c>
      <c r="D1156" s="7" t="n">
        <v>18263.5</v>
      </c>
      <c r="E1156" s="7" t="n">
        <v>18440.85</v>
      </c>
      <c r="F1156" s="7" t="n">
        <v>6314</v>
      </c>
      <c r="G1156" s="7" t="n">
        <f aca="false">AVERAGE(E1152:E1156)</f>
        <v>18909.886</v>
      </c>
      <c r="H1156" s="7" t="n">
        <f aca="false">AVERAGE(E1147:E1156)</f>
        <v>19101.327</v>
      </c>
      <c r="I1156" s="7" t="n">
        <f aca="false">AVERAGE(E1137:E1156)</f>
        <v>19646.8205</v>
      </c>
      <c r="J1156" s="7" t="n">
        <f aca="false">AVERAGE(E1107:E1156)</f>
        <v>19462.407</v>
      </c>
      <c r="K1156" s="7" t="n">
        <f aca="false">AVERAGE(E1057:E1156)</f>
        <v>18731.601</v>
      </c>
      <c r="L1156" s="7" t="n">
        <f aca="false">AVERAGE(E957:E1156)</f>
        <v>17643.3718</v>
      </c>
      <c r="M1156" s="7" t="n">
        <f aca="false">I1156</f>
        <v>19646.8205</v>
      </c>
      <c r="N1156" s="7" t="n">
        <f aca="false">I1156+2*STDEV(E1137:E1156)</f>
        <v>21017.8873901257</v>
      </c>
      <c r="O1156" s="7" t="n">
        <f aca="false">I1156-2*STDEV(E1137:E1156)</f>
        <v>18275.7536098743</v>
      </c>
      <c r="P1156" s="7" t="n">
        <f aca="false">MAX(E1156-E1155,0)</f>
        <v>0</v>
      </c>
      <c r="Q1156" s="7" t="n">
        <f aca="false">MAX(E1155-E1156,0)</f>
        <v>449.540000000001</v>
      </c>
      <c r="R1156" s="7" t="n">
        <f aca="false">(R1155*13+P1156)/14</f>
        <v>90.6107256074233</v>
      </c>
      <c r="S1156" s="7" t="n">
        <f aca="false">(S1155*13+Q1156)/14</f>
        <v>165.129770501102</v>
      </c>
      <c r="T1156" s="7" t="n">
        <f aca="false">IF(S1156=0,100,100-100/(1+R1156/S1156))</f>
        <v>35.4307303638655</v>
      </c>
      <c r="U1156" s="7" t="n">
        <f aca="false">E1156*2/13+U1155*11/13</f>
        <v>19167.0419349179</v>
      </c>
      <c r="V1156" s="7" t="n">
        <f aca="false">E1156*2/27+V1155*25/27</f>
        <v>19406.3892271626</v>
      </c>
      <c r="W1156" s="7" t="n">
        <f aca="false">U1156-V1156</f>
        <v>-239.347292244704</v>
      </c>
      <c r="X1156" s="7" t="n">
        <f aca="false">W1156*2/10+X1155*8/10</f>
        <v>-91.5011388964141</v>
      </c>
      <c r="Y1156" s="7" t="n">
        <f aca="false">W1156-X1156</f>
        <v>-147.84615334829</v>
      </c>
      <c r="Z1156" s="7" t="s">
        <v>78</v>
      </c>
      <c r="AA1156" s="7" t="str">
        <f aca="false">IFERROR(INDEX(02_轉折點45!B:B,MATCH(A1156,02_轉折點45!A:A,0)),"")</f>
        <v/>
      </c>
      <c r="AB1156" s="7" t="n">
        <f aca="false">COUNTIFS(05_訊號明細!A:A,A1156,05_訊號明細!C:C,"TOP")</f>
        <v>2</v>
      </c>
      <c r="AC1156" s="7" t="n">
        <f aca="false">COUNTIFS(05_訊號明細!A:A,A1156,05_訊號明細!C:C,"BOTTOM")</f>
        <v>0</v>
      </c>
    </row>
    <row r="1157" customFormat="false" ht="15" hidden="false" customHeight="false" outlineLevel="0" collapsed="false">
      <c r="A1157" s="7" t="s">
        <v>1198</v>
      </c>
      <c r="B1157" s="7" t="n">
        <v>17444.4</v>
      </c>
      <c r="C1157" s="7" t="n">
        <v>18169.49</v>
      </c>
      <c r="D1157" s="7" t="n">
        <v>17435.39</v>
      </c>
      <c r="E1157" s="7" t="n">
        <v>17895.16</v>
      </c>
      <c r="F1157" s="7" t="n">
        <v>6852</v>
      </c>
      <c r="G1157" s="7" t="n">
        <f aca="false">AVERAGE(E1153:E1157)</f>
        <v>18677.02</v>
      </c>
      <c r="H1157" s="7" t="n">
        <f aca="false">AVERAGE(E1148:E1157)</f>
        <v>18908.556</v>
      </c>
      <c r="I1157" s="7" t="n">
        <f aca="false">AVERAGE(E1138:E1157)</f>
        <v>19519.6015</v>
      </c>
      <c r="J1157" s="7" t="n">
        <f aca="false">AVERAGE(E1108:E1157)</f>
        <v>19446.2062</v>
      </c>
      <c r="K1157" s="7" t="n">
        <f aca="false">AVERAGE(E1058:E1157)</f>
        <v>18728.3615</v>
      </c>
      <c r="L1157" s="7" t="n">
        <f aca="false">AVERAGE(E958:E1157)</f>
        <v>17657.23755</v>
      </c>
      <c r="M1157" s="7" t="n">
        <f aca="false">I1157</f>
        <v>19519.6015</v>
      </c>
      <c r="N1157" s="7" t="n">
        <f aca="false">I1157+2*STDEV(E1138:E1157)</f>
        <v>21044.5092835142</v>
      </c>
      <c r="O1157" s="7" t="n">
        <f aca="false">I1157-2*STDEV(E1138:E1157)</f>
        <v>17994.6937164858</v>
      </c>
      <c r="P1157" s="7" t="n">
        <f aca="false">MAX(E1157-E1156,0)</f>
        <v>0</v>
      </c>
      <c r="Q1157" s="7" t="n">
        <f aca="false">MAX(E1156-E1157,0)</f>
        <v>545.689999999999</v>
      </c>
      <c r="R1157" s="7" t="n">
        <f aca="false">(R1156*13+P1157)/14</f>
        <v>84.1385309211788</v>
      </c>
      <c r="S1157" s="7" t="n">
        <f aca="false">(S1156*13+Q1157)/14</f>
        <v>192.312644036737</v>
      </c>
      <c r="T1157" s="7" t="n">
        <f aca="false">IF(S1157=0,100,100-100/(1+R1157/S1157))</f>
        <v>30.4352227600361</v>
      </c>
      <c r="U1157" s="7" t="n">
        <f aca="false">E1157*2/13+U1156*11/13</f>
        <v>18971.3677910844</v>
      </c>
      <c r="V1157" s="7" t="n">
        <f aca="false">E1157*2/27+V1156*25/27</f>
        <v>19294.4463214469</v>
      </c>
      <c r="W1157" s="7" t="n">
        <f aca="false">U1157-V1157</f>
        <v>-323.07853036248</v>
      </c>
      <c r="X1157" s="7" t="n">
        <f aca="false">W1157*2/10+X1156*8/10</f>
        <v>-137.816617189627</v>
      </c>
      <c r="Y1157" s="7" t="n">
        <f aca="false">W1157-X1157</f>
        <v>-185.261913172853</v>
      </c>
      <c r="Z1157" s="7" t="s">
        <v>78</v>
      </c>
      <c r="AA1157" s="7" t="str">
        <f aca="false">IFERROR(INDEX(02_轉折點45!B:B,MATCH(A1157,02_轉折點45!A:A,0)),"")</f>
        <v/>
      </c>
      <c r="AB1157" s="7" t="n">
        <f aca="false">COUNTIFS(05_訊號明細!A:A,A1157,05_訊號明細!C:C,"TOP")</f>
        <v>0</v>
      </c>
      <c r="AC1157" s="7" t="n">
        <f aca="false">COUNTIFS(05_訊號明細!A:A,A1157,05_訊號明細!C:C,"BOTTOM")</f>
        <v>0</v>
      </c>
    </row>
    <row r="1158" customFormat="false" ht="15" hidden="false" customHeight="false" outlineLevel="0" collapsed="false">
      <c r="A1158" s="7" t="s">
        <v>1199</v>
      </c>
      <c r="B1158" s="7" t="n">
        <v>17961.45</v>
      </c>
      <c r="C1158" s="7" t="n">
        <v>18368.68</v>
      </c>
      <c r="D1158" s="7" t="n">
        <v>17858.82</v>
      </c>
      <c r="E1158" s="7" t="n">
        <v>18077.92</v>
      </c>
      <c r="F1158" s="7" t="n">
        <v>5909</v>
      </c>
      <c r="G1158" s="7" t="n">
        <f aca="false">AVERAGE(E1154:E1158)</f>
        <v>18533.35</v>
      </c>
      <c r="H1158" s="7" t="n">
        <f aca="false">AVERAGE(E1149:E1158)</f>
        <v>18740.914</v>
      </c>
      <c r="I1158" s="7" t="n">
        <f aca="false">AVERAGE(E1139:E1158)</f>
        <v>19400.8465</v>
      </c>
      <c r="J1158" s="7" t="n">
        <f aca="false">AVERAGE(E1109:E1158)</f>
        <v>19435.2968</v>
      </c>
      <c r="K1158" s="7" t="n">
        <f aca="false">AVERAGE(E1059:E1158)</f>
        <v>18728.456</v>
      </c>
      <c r="L1158" s="7" t="n">
        <f aca="false">AVERAGE(E959:E1158)</f>
        <v>17673.08085</v>
      </c>
      <c r="M1158" s="7" t="n">
        <f aca="false">I1158</f>
        <v>19400.8465</v>
      </c>
      <c r="N1158" s="7" t="n">
        <f aca="false">I1158+2*STDEV(E1139:E1158)</f>
        <v>20988.3306568943</v>
      </c>
      <c r="O1158" s="7" t="n">
        <f aca="false">I1158-2*STDEV(E1139:E1158)</f>
        <v>17813.3623431057</v>
      </c>
      <c r="P1158" s="7" t="n">
        <f aca="false">MAX(E1158-E1157,0)</f>
        <v>182.759999999998</v>
      </c>
      <c r="Q1158" s="7" t="n">
        <f aca="false">MAX(E1157-E1158,0)</f>
        <v>0</v>
      </c>
      <c r="R1158" s="7" t="n">
        <f aca="false">(R1157*13+P1158)/14</f>
        <v>91.1829215696659</v>
      </c>
      <c r="S1158" s="7" t="n">
        <f aca="false">(S1157*13+Q1158)/14</f>
        <v>178.576026605542</v>
      </c>
      <c r="T1158" s="7" t="n">
        <f aca="false">IF(S1158=0,100,100-100/(1+R1158/S1158))</f>
        <v>33.8016300057794</v>
      </c>
      <c r="U1158" s="7" t="n">
        <f aca="false">E1158*2/13+U1157*11/13</f>
        <v>18833.9142847637</v>
      </c>
      <c r="V1158" s="7" t="n">
        <f aca="false">E1158*2/27+V1157*25/27</f>
        <v>19204.333260599</v>
      </c>
      <c r="W1158" s="7" t="n">
        <f aca="false">U1158-V1158</f>
        <v>-370.41897583524</v>
      </c>
      <c r="X1158" s="7" t="n">
        <f aca="false">W1158*2/10+X1157*8/10</f>
        <v>-184.33708891875</v>
      </c>
      <c r="Y1158" s="7" t="n">
        <f aca="false">W1158-X1158</f>
        <v>-186.081886916491</v>
      </c>
      <c r="Z1158" s="7" t="s">
        <v>78</v>
      </c>
      <c r="AA1158" s="7" t="str">
        <f aca="false">IFERROR(INDEX(02_轉折點45!B:B,MATCH(A1158,02_轉折點45!A:A,0)),"")</f>
        <v/>
      </c>
      <c r="AB1158" s="7" t="n">
        <f aca="false">COUNTIFS(05_訊號明細!A:A,A1158,05_訊號明細!C:C,"TOP")</f>
        <v>0</v>
      </c>
      <c r="AC1158" s="7" t="n">
        <f aca="false">COUNTIFS(05_訊號明細!A:A,A1158,05_訊號明細!C:C,"BOTTOM")</f>
        <v>1</v>
      </c>
    </row>
    <row r="1159" customFormat="false" ht="15" hidden="false" customHeight="false" outlineLevel="0" collapsed="false">
      <c r="A1159" s="7" t="s">
        <v>1200</v>
      </c>
      <c r="B1159" s="7" t="n">
        <v>18345.45</v>
      </c>
      <c r="C1159" s="7" t="n">
        <v>18445.75</v>
      </c>
      <c r="D1159" s="7" t="n">
        <v>17851.08</v>
      </c>
      <c r="E1159" s="7" t="n">
        <v>17867.37</v>
      </c>
      <c r="F1159" s="7" t="n">
        <v>5914</v>
      </c>
      <c r="G1159" s="7" t="n">
        <f aca="false">AVERAGE(E1155:E1159)</f>
        <v>18234.338</v>
      </c>
      <c r="H1159" s="7" t="n">
        <f aca="false">AVERAGE(E1150:E1159)</f>
        <v>18624.412</v>
      </c>
      <c r="I1159" s="7" t="n">
        <f aca="false">AVERAGE(E1140:E1159)</f>
        <v>19260.446</v>
      </c>
      <c r="J1159" s="7" t="n">
        <f aca="false">AVERAGE(E1110:E1159)</f>
        <v>19416.4772</v>
      </c>
      <c r="K1159" s="7" t="n">
        <f aca="false">AVERAGE(E1060:E1159)</f>
        <v>18726.9816</v>
      </c>
      <c r="L1159" s="7" t="n">
        <f aca="false">AVERAGE(E960:E1159)</f>
        <v>17688.50205</v>
      </c>
      <c r="M1159" s="7" t="n">
        <f aca="false">I1159</f>
        <v>19260.446</v>
      </c>
      <c r="N1159" s="7" t="n">
        <f aca="false">I1159+2*STDEV(E1140:E1159)</f>
        <v>20869.8507137655</v>
      </c>
      <c r="O1159" s="7" t="n">
        <f aca="false">I1159-2*STDEV(E1140:E1159)</f>
        <v>17651.0412862345</v>
      </c>
      <c r="P1159" s="7" t="n">
        <f aca="false">MAX(E1159-E1158,0)</f>
        <v>0</v>
      </c>
      <c r="Q1159" s="7" t="n">
        <f aca="false">MAX(E1158-E1159,0)</f>
        <v>210.549999999999</v>
      </c>
      <c r="R1159" s="7" t="n">
        <f aca="false">(R1158*13+P1159)/14</f>
        <v>84.6698557432612</v>
      </c>
      <c r="S1159" s="7" t="n">
        <f aca="false">(S1158*13+Q1159)/14</f>
        <v>180.859881848003</v>
      </c>
      <c r="T1159" s="7" t="n">
        <f aca="false">IF(S1159=0,100,100-100/(1+R1159/S1159))</f>
        <v>31.8871462425785</v>
      </c>
      <c r="U1159" s="7" t="n">
        <f aca="false">E1159*2/13+U1158*11/13</f>
        <v>18685.2151640308</v>
      </c>
      <c r="V1159" s="7" t="n">
        <f aca="false">E1159*2/27+V1158*25/27</f>
        <v>19105.298944999</v>
      </c>
      <c r="W1159" s="7" t="n">
        <f aca="false">U1159-V1159</f>
        <v>-420.083780968202</v>
      </c>
      <c r="X1159" s="7" t="n">
        <f aca="false">W1159*2/10+X1158*8/10</f>
        <v>-231.48642732864</v>
      </c>
      <c r="Y1159" s="7" t="n">
        <f aca="false">W1159-X1159</f>
        <v>-188.597353639561</v>
      </c>
      <c r="Z1159" s="7" t="s">
        <v>78</v>
      </c>
      <c r="AA1159" s="7" t="str">
        <f aca="false">IFERROR(INDEX(02_轉折點45!B:B,MATCH(A1159,02_轉折點45!A:A,0)),"")</f>
        <v/>
      </c>
      <c r="AB1159" s="7" t="n">
        <f aca="false">COUNTIFS(05_訊號明細!A:A,A1159,05_訊號明細!C:C,"TOP")</f>
        <v>0</v>
      </c>
      <c r="AC1159" s="7" t="n">
        <f aca="false">COUNTIFS(05_訊號明細!A:A,A1159,05_訊號明細!C:C,"BOTTOM")</f>
        <v>0</v>
      </c>
    </row>
    <row r="1160" customFormat="false" ht="15" hidden="false" customHeight="false" outlineLevel="0" collapsed="false">
      <c r="A1160" s="7" t="s">
        <v>1201</v>
      </c>
      <c r="B1160" s="7" t="n">
        <v>18102.05</v>
      </c>
      <c r="C1160" s="7" t="n">
        <v>18445.41</v>
      </c>
      <c r="D1160" s="7" t="n">
        <v>17965.07</v>
      </c>
      <c r="E1160" s="7" t="n">
        <v>18413.82</v>
      </c>
      <c r="F1160" s="7" t="n">
        <v>5816</v>
      </c>
      <c r="G1160" s="7" t="n">
        <f aca="false">AVERAGE(E1156:E1160)</f>
        <v>18139.024</v>
      </c>
      <c r="H1160" s="7" t="n">
        <f aca="false">AVERAGE(E1151:E1160)</f>
        <v>18582.736</v>
      </c>
      <c r="I1160" s="7" t="n">
        <f aca="false">AVERAGE(E1141:E1160)</f>
        <v>19170.569</v>
      </c>
      <c r="J1160" s="7" t="n">
        <f aca="false">AVERAGE(E1111:E1160)</f>
        <v>19407.3648</v>
      </c>
      <c r="K1160" s="7" t="n">
        <f aca="false">AVERAGE(E1061:E1160)</f>
        <v>18733.0373</v>
      </c>
      <c r="L1160" s="7" t="n">
        <f aca="false">AVERAGE(E961:E1160)</f>
        <v>17707.76675</v>
      </c>
      <c r="M1160" s="7" t="n">
        <f aca="false">I1160</f>
        <v>19170.569</v>
      </c>
      <c r="N1160" s="7" t="n">
        <f aca="false">I1160+2*STDEV(E1141:E1160)</f>
        <v>20756.9818636432</v>
      </c>
      <c r="O1160" s="7" t="n">
        <f aca="false">I1160-2*STDEV(E1141:E1160)</f>
        <v>17584.1561363568</v>
      </c>
      <c r="P1160" s="7" t="n">
        <f aca="false">MAX(E1160-E1159,0)</f>
        <v>546.450000000001</v>
      </c>
      <c r="Q1160" s="7" t="n">
        <f aca="false">MAX(E1159-E1160,0)</f>
        <v>0</v>
      </c>
      <c r="R1160" s="7" t="n">
        <f aca="false">(R1159*13+P1160)/14</f>
        <v>117.6541517616</v>
      </c>
      <c r="S1160" s="7" t="n">
        <f aca="false">(S1159*13+Q1160)/14</f>
        <v>167.94131885886</v>
      </c>
      <c r="T1160" s="7" t="n">
        <f aca="false">IF(S1160=0,100,100-100/(1+R1160/S1160))</f>
        <v>41.1960846248698</v>
      </c>
      <c r="U1160" s="7" t="n">
        <f aca="false">E1160*2/13+U1159*11/13</f>
        <v>18643.4620618723</v>
      </c>
      <c r="V1160" s="7" t="n">
        <f aca="false">E1160*2/27+V1159*25/27</f>
        <v>19054.0782824065</v>
      </c>
      <c r="W1160" s="7" t="n">
        <f aca="false">U1160-V1160</f>
        <v>-410.616220534273</v>
      </c>
      <c r="X1160" s="7" t="n">
        <f aca="false">W1160*2/10+X1159*8/10</f>
        <v>-267.312385969767</v>
      </c>
      <c r="Y1160" s="7" t="n">
        <f aca="false">W1160-X1160</f>
        <v>-143.303834564507</v>
      </c>
      <c r="Z1160" s="7" t="s">
        <v>78</v>
      </c>
      <c r="AA1160" s="7" t="str">
        <f aca="false">IFERROR(INDEX(02_轉折點45!B:B,MATCH(A1160,02_轉折點45!A:A,0)),"")</f>
        <v/>
      </c>
      <c r="AB1160" s="7" t="n">
        <f aca="false">COUNTIFS(05_訊號明細!A:A,A1160,05_訊號明細!C:C,"TOP")</f>
        <v>0</v>
      </c>
      <c r="AC1160" s="7" t="n">
        <f aca="false">COUNTIFS(05_訊號明細!A:A,A1160,05_訊號明細!C:C,"BOTTOM")</f>
        <v>0</v>
      </c>
    </row>
    <row r="1161" customFormat="false" ht="15" hidden="false" customHeight="false" outlineLevel="0" collapsed="false">
      <c r="A1161" s="7" t="s">
        <v>1202</v>
      </c>
      <c r="B1161" s="7" t="n">
        <v>18373.89</v>
      </c>
      <c r="C1161" s="7" t="n">
        <v>18567.63</v>
      </c>
      <c r="D1161" s="7" t="n">
        <v>18313.78</v>
      </c>
      <c r="E1161" s="7" t="n">
        <v>18513.1</v>
      </c>
      <c r="F1161" s="7" t="n">
        <v>5783</v>
      </c>
      <c r="G1161" s="7" t="n">
        <f aca="false">AVERAGE(E1157:E1161)</f>
        <v>18153.474</v>
      </c>
      <c r="H1161" s="7" t="n">
        <f aca="false">AVERAGE(E1152:E1161)</f>
        <v>18531.68</v>
      </c>
      <c r="I1161" s="7" t="n">
        <f aca="false">AVERAGE(E1142:E1161)</f>
        <v>19079.6495</v>
      </c>
      <c r="J1161" s="7" t="n">
        <f aca="false">AVERAGE(E1112:E1161)</f>
        <v>19402.8918</v>
      </c>
      <c r="K1161" s="7" t="n">
        <f aca="false">AVERAGE(E1062:E1161)</f>
        <v>18738.3182</v>
      </c>
      <c r="L1161" s="7" t="n">
        <f aca="false">AVERAGE(E962:E1161)</f>
        <v>17727.308</v>
      </c>
      <c r="M1161" s="7" t="n">
        <f aca="false">I1161</f>
        <v>19079.6495</v>
      </c>
      <c r="N1161" s="7" t="n">
        <f aca="false">I1161+2*STDEV(E1142:E1161)</f>
        <v>20592.6495336936</v>
      </c>
      <c r="O1161" s="7" t="n">
        <f aca="false">I1161-2*STDEV(E1142:E1161)</f>
        <v>17566.6494663064</v>
      </c>
      <c r="P1161" s="7" t="n">
        <f aca="false">MAX(E1161-E1160,0)</f>
        <v>99.2799999999988</v>
      </c>
      <c r="Q1161" s="7" t="n">
        <f aca="false">MAX(E1160-E1161,0)</f>
        <v>0</v>
      </c>
      <c r="R1161" s="7" t="n">
        <f aca="false">(R1160*13+P1161)/14</f>
        <v>116.341712350057</v>
      </c>
      <c r="S1161" s="7" t="n">
        <f aca="false">(S1160*13+Q1161)/14</f>
        <v>155.945510368941</v>
      </c>
      <c r="T1161" s="7" t="n">
        <f aca="false">IF(S1161=0,100,100-100/(1+R1161/S1161))</f>
        <v>42.727569508512</v>
      </c>
      <c r="U1161" s="7" t="n">
        <f aca="false">E1161*2/13+U1160*11/13</f>
        <v>18623.4063600458</v>
      </c>
      <c r="V1161" s="7" t="n">
        <f aca="false">E1161*2/27+V1160*25/27</f>
        <v>19014.0058170431</v>
      </c>
      <c r="W1161" s="7" t="n">
        <f aca="false">U1161-V1161</f>
        <v>-390.599456997326</v>
      </c>
      <c r="X1161" s="7" t="n">
        <f aca="false">W1161*2/10+X1160*8/10</f>
        <v>-291.969800175279</v>
      </c>
      <c r="Y1161" s="7" t="n">
        <f aca="false">W1161-X1161</f>
        <v>-98.6296568220477</v>
      </c>
      <c r="Z1161" s="7" t="s">
        <v>78</v>
      </c>
      <c r="AA1161" s="7" t="str">
        <f aca="false">IFERROR(INDEX(02_轉折點45!B:B,MATCH(A1161,02_轉折點45!A:A,0)),"")</f>
        <v/>
      </c>
      <c r="AB1161" s="7" t="n">
        <f aca="false">COUNTIFS(05_訊號明細!A:A,A1161,05_訊號明細!C:C,"TOP")</f>
        <v>0</v>
      </c>
      <c r="AC1161" s="7" t="n">
        <f aca="false">COUNTIFS(05_訊號明細!A:A,A1161,05_訊號明細!C:C,"BOTTOM")</f>
        <v>0</v>
      </c>
    </row>
    <row r="1162" customFormat="false" ht="15" hidden="false" customHeight="false" outlineLevel="0" collapsed="false">
      <c r="A1162" s="7" t="s">
        <v>1203</v>
      </c>
      <c r="B1162" s="7" t="n">
        <v>18548.23</v>
      </c>
      <c r="C1162" s="7" t="n">
        <v>18665.75</v>
      </c>
      <c r="D1162" s="7" t="n">
        <v>18433.61</v>
      </c>
      <c r="E1162" s="7" t="n">
        <v>18542.03</v>
      </c>
      <c r="F1162" s="7" t="n">
        <v>4891</v>
      </c>
      <c r="G1162" s="7" t="n">
        <f aca="false">AVERAGE(E1158:E1162)</f>
        <v>18282.848</v>
      </c>
      <c r="H1162" s="7" t="n">
        <f aca="false">AVERAGE(E1153:E1162)</f>
        <v>18479.934</v>
      </c>
      <c r="I1162" s="7" t="n">
        <f aca="false">AVERAGE(E1143:E1162)</f>
        <v>18987.407</v>
      </c>
      <c r="J1162" s="7" t="n">
        <f aca="false">AVERAGE(E1113:E1162)</f>
        <v>19402.9592</v>
      </c>
      <c r="K1162" s="7" t="n">
        <f aca="false">AVERAGE(E1063:E1162)</f>
        <v>18743.4165</v>
      </c>
      <c r="L1162" s="7" t="n">
        <f aca="false">AVERAGE(E963:E1162)</f>
        <v>17746.28885</v>
      </c>
      <c r="M1162" s="7" t="n">
        <f aca="false">I1162</f>
        <v>18987.407</v>
      </c>
      <c r="N1162" s="7" t="n">
        <f aca="false">I1162+2*STDEV(E1143:E1162)</f>
        <v>20385.4178278189</v>
      </c>
      <c r="O1162" s="7" t="n">
        <f aca="false">I1162-2*STDEV(E1143:E1162)</f>
        <v>17589.3961721811</v>
      </c>
      <c r="P1162" s="7" t="n">
        <f aca="false">MAX(E1162-E1161,0)</f>
        <v>28.9300000000003</v>
      </c>
      <c r="Q1162" s="7" t="n">
        <f aca="false">MAX(E1161-E1162,0)</f>
        <v>0</v>
      </c>
      <c r="R1162" s="7" t="n">
        <f aca="false">(R1161*13+P1162)/14</f>
        <v>110.098018610767</v>
      </c>
      <c r="S1162" s="7" t="n">
        <f aca="false">(S1161*13+Q1162)/14</f>
        <v>144.806545342588</v>
      </c>
      <c r="T1162" s="7" t="n">
        <f aca="false">IF(S1162=0,100,100-100/(1+R1162/S1162))</f>
        <v>43.1918585149043</v>
      </c>
      <c r="U1162" s="7" t="n">
        <f aca="false">E1162*2/13+U1161*11/13</f>
        <v>18610.8869200387</v>
      </c>
      <c r="V1162" s="7" t="n">
        <f aca="false">E1162*2/27+V1161*25/27</f>
        <v>18979.0446454103</v>
      </c>
      <c r="W1162" s="7" t="n">
        <f aca="false">U1162-V1162</f>
        <v>-368.157725371544</v>
      </c>
      <c r="X1162" s="7" t="n">
        <f aca="false">W1162*2/10+X1161*8/10</f>
        <v>-307.207385214532</v>
      </c>
      <c r="Y1162" s="7" t="n">
        <f aca="false">W1162-X1162</f>
        <v>-60.9503401570123</v>
      </c>
      <c r="Z1162" s="7" t="s">
        <v>78</v>
      </c>
      <c r="AA1162" s="7" t="str">
        <f aca="false">IFERROR(INDEX(02_轉折點45!B:B,MATCH(A1162,02_轉折點45!A:A,0)),"")</f>
        <v/>
      </c>
      <c r="AB1162" s="7" t="n">
        <f aca="false">COUNTIFS(05_訊號明細!A:A,A1162,05_訊號明細!C:C,"TOP")</f>
        <v>1</v>
      </c>
      <c r="AC1162" s="7" t="n">
        <f aca="false">COUNTIFS(05_訊號明細!A:A,A1162,05_訊號明細!C:C,"BOTTOM")</f>
        <v>0</v>
      </c>
    </row>
    <row r="1163" customFormat="false" ht="15" hidden="false" customHeight="false" outlineLevel="0" collapsed="false">
      <c r="A1163" s="7" t="s">
        <v>1204</v>
      </c>
      <c r="B1163" s="7" t="n">
        <v>18724.84</v>
      </c>
      <c r="C1163" s="7" t="n">
        <v>19013.01</v>
      </c>
      <c r="D1163" s="7" t="n">
        <v>18723.74</v>
      </c>
      <c r="E1163" s="7" t="n">
        <v>19006.43</v>
      </c>
      <c r="F1163" s="7" t="n">
        <v>5469</v>
      </c>
      <c r="G1163" s="7" t="n">
        <f aca="false">AVERAGE(E1159:E1163)</f>
        <v>18468.55</v>
      </c>
      <c r="H1163" s="7" t="n">
        <f aca="false">AVERAGE(E1154:E1163)</f>
        <v>18500.95</v>
      </c>
      <c r="I1163" s="7" t="n">
        <f aca="false">AVERAGE(E1144:E1163)</f>
        <v>18917.7975</v>
      </c>
      <c r="J1163" s="7" t="n">
        <f aca="false">AVERAGE(E1114:E1163)</f>
        <v>19412.3548</v>
      </c>
      <c r="K1163" s="7" t="n">
        <f aca="false">AVERAGE(E1064:E1163)</f>
        <v>18751.0797</v>
      </c>
      <c r="L1163" s="7" t="n">
        <f aca="false">AVERAGE(E964:E1163)</f>
        <v>17769.4128</v>
      </c>
      <c r="M1163" s="7" t="n">
        <f aca="false">I1163</f>
        <v>18917.7975</v>
      </c>
      <c r="N1163" s="7" t="n">
        <f aca="false">I1163+2*STDEV(E1144:E1163)</f>
        <v>20148.5861131022</v>
      </c>
      <c r="O1163" s="7" t="n">
        <f aca="false">I1163-2*STDEV(E1144:E1163)</f>
        <v>17687.0088868978</v>
      </c>
      <c r="P1163" s="7" t="n">
        <f aca="false">MAX(E1163-E1162,0)</f>
        <v>464.400000000001</v>
      </c>
      <c r="Q1163" s="7" t="n">
        <f aca="false">MAX(E1162-E1163,0)</f>
        <v>0</v>
      </c>
      <c r="R1163" s="7" t="n">
        <f aca="false">(R1162*13+P1163)/14</f>
        <v>135.405302995712</v>
      </c>
      <c r="S1163" s="7" t="n">
        <f aca="false">(S1162*13+Q1163)/14</f>
        <v>134.463220675261</v>
      </c>
      <c r="T1163" s="7" t="n">
        <f aca="false">IF(S1163=0,100,100-100/(1+R1163/S1163))</f>
        <v>50.1745446833956</v>
      </c>
      <c r="U1163" s="7" t="n">
        <f aca="false">E1163*2/13+U1162*11/13</f>
        <v>18671.7397015712</v>
      </c>
      <c r="V1163" s="7" t="n">
        <f aca="false">E1163*2/27+V1162*25/27</f>
        <v>18981.0731901947</v>
      </c>
      <c r="W1163" s="7" t="n">
        <f aca="false">U1163-V1163</f>
        <v>-309.333488623463</v>
      </c>
      <c r="X1163" s="7" t="n">
        <f aca="false">W1163*2/10+X1162*8/10</f>
        <v>-307.632605896318</v>
      </c>
      <c r="Y1163" s="7" t="n">
        <f aca="false">W1163-X1163</f>
        <v>-1.70088272714457</v>
      </c>
      <c r="Z1163" s="8" t="s">
        <v>42</v>
      </c>
      <c r="AA1163" s="7" t="str">
        <f aca="false">IFERROR(INDEX(02_轉折點45!B:B,MATCH(A1163,02_轉折點45!A:A,0)),"")</f>
        <v/>
      </c>
      <c r="AB1163" s="7" t="n">
        <f aca="false">COUNTIFS(05_訊號明細!A:A,A1163,05_訊號明細!C:C,"TOP")</f>
        <v>0</v>
      </c>
      <c r="AC1163" s="7" t="n">
        <f aca="false">COUNTIFS(05_訊號明細!A:A,A1163,05_訊號明細!C:C,"BOTTOM")</f>
        <v>0</v>
      </c>
    </row>
    <row r="1164" customFormat="false" ht="15" hidden="false" customHeight="false" outlineLevel="0" collapsed="false">
      <c r="A1164" s="7" t="s">
        <v>1205</v>
      </c>
      <c r="B1164" s="7" t="n">
        <v>19043.76</v>
      </c>
      <c r="C1164" s="7" t="n">
        <v>19103</v>
      </c>
      <c r="D1164" s="7" t="n">
        <v>18837.1</v>
      </c>
      <c r="E1164" s="7" t="n">
        <v>19022.68</v>
      </c>
      <c r="F1164" s="7" t="n">
        <v>4985</v>
      </c>
      <c r="G1164" s="7" t="n">
        <f aca="false">AVERAGE(E1160:E1164)</f>
        <v>18699.612</v>
      </c>
      <c r="H1164" s="7" t="n">
        <f aca="false">AVERAGE(E1155:E1164)</f>
        <v>18466.975</v>
      </c>
      <c r="I1164" s="7" t="n">
        <f aca="false">AVERAGE(E1145:E1164)</f>
        <v>18878.9745</v>
      </c>
      <c r="J1164" s="7" t="n">
        <f aca="false">AVERAGE(E1115:E1164)</f>
        <v>19420.789</v>
      </c>
      <c r="K1164" s="7" t="n">
        <f aca="false">AVERAGE(E1065:E1164)</f>
        <v>18758.1027</v>
      </c>
      <c r="L1164" s="7" t="n">
        <f aca="false">AVERAGE(E965:E1164)</f>
        <v>17793.97835</v>
      </c>
      <c r="M1164" s="7" t="n">
        <f aca="false">I1164</f>
        <v>18878.9745</v>
      </c>
      <c r="N1164" s="7" t="n">
        <f aca="false">I1164+2*STDEV(E1145:E1164)</f>
        <v>20039.6987864146</v>
      </c>
      <c r="O1164" s="7" t="n">
        <f aca="false">I1164-2*STDEV(E1145:E1164)</f>
        <v>17718.2502135854</v>
      </c>
      <c r="P1164" s="7" t="n">
        <f aca="false">MAX(E1164-E1163,0)</f>
        <v>16.25</v>
      </c>
      <c r="Q1164" s="7" t="n">
        <f aca="false">MAX(E1163-E1164,0)</f>
        <v>0</v>
      </c>
      <c r="R1164" s="7" t="n">
        <f aca="false">(R1163*13+P1164)/14</f>
        <v>126.89420992459</v>
      </c>
      <c r="S1164" s="7" t="n">
        <f aca="false">(S1163*13+Q1164)/14</f>
        <v>124.858704912742</v>
      </c>
      <c r="T1164" s="7" t="n">
        <f aca="false">IF(S1164=0,100,100-100/(1+R1164/S1164))</f>
        <v>50.4042664239187</v>
      </c>
      <c r="U1164" s="7" t="n">
        <f aca="false">E1164*2/13+U1163*11/13</f>
        <v>18725.7305167141</v>
      </c>
      <c r="V1164" s="7" t="n">
        <f aca="false">E1164*2/27+V1163*25/27</f>
        <v>18984.1551761062</v>
      </c>
      <c r="W1164" s="7" t="n">
        <f aca="false">U1164-V1164</f>
        <v>-258.42465939208</v>
      </c>
      <c r="X1164" s="7" t="n">
        <f aca="false">W1164*2/10+X1163*8/10</f>
        <v>-297.79101659547</v>
      </c>
      <c r="Y1164" s="7" t="n">
        <f aca="false">W1164-X1164</f>
        <v>39.3663572033905</v>
      </c>
      <c r="Z1164" s="8" t="s">
        <v>42</v>
      </c>
      <c r="AA1164" s="7" t="str">
        <f aca="false">IFERROR(INDEX(02_轉折點45!B:B,MATCH(A1164,02_轉折點45!A:A,0)),"")</f>
        <v/>
      </c>
      <c r="AB1164" s="7" t="n">
        <f aca="false">COUNTIFS(05_訊號明細!A:A,A1164,05_訊號明細!C:C,"TOP")</f>
        <v>0</v>
      </c>
      <c r="AC1164" s="7" t="n">
        <f aca="false">COUNTIFS(05_訊號明細!A:A,A1164,05_訊號明細!C:C,"BOTTOM")</f>
        <v>0</v>
      </c>
    </row>
    <row r="1165" customFormat="false" ht="15" hidden="false" customHeight="false" outlineLevel="0" collapsed="false">
      <c r="A1165" s="7" t="s">
        <v>1206</v>
      </c>
      <c r="B1165" s="7" t="n">
        <v>19251.86</v>
      </c>
      <c r="C1165" s="7" t="n">
        <v>19502.92</v>
      </c>
      <c r="D1165" s="7" t="n">
        <v>19239.94</v>
      </c>
      <c r="E1165" s="7" t="n">
        <v>19490.15</v>
      </c>
      <c r="F1165" s="7" t="n">
        <v>5478</v>
      </c>
      <c r="G1165" s="7" t="n">
        <f aca="false">AVERAGE(E1161:E1165)</f>
        <v>18914.878</v>
      </c>
      <c r="H1165" s="7" t="n">
        <f aca="false">AVERAGE(E1156:E1165)</f>
        <v>18526.951</v>
      </c>
      <c r="I1165" s="7" t="n">
        <f aca="false">AVERAGE(E1146:E1165)</f>
        <v>18868.2275</v>
      </c>
      <c r="J1165" s="7" t="n">
        <f aca="false">AVERAGE(E1116:E1165)</f>
        <v>19437.4952</v>
      </c>
      <c r="K1165" s="7" t="n">
        <f aca="false">AVERAGE(E1066:E1165)</f>
        <v>18769.6098</v>
      </c>
      <c r="L1165" s="7" t="n">
        <f aca="false">AVERAGE(E966:E1165)</f>
        <v>17820.527</v>
      </c>
      <c r="M1165" s="7" t="n">
        <f aca="false">I1165</f>
        <v>18868.2275</v>
      </c>
      <c r="N1165" s="7" t="n">
        <f aca="false">I1165+2*STDEV(E1146:E1165)</f>
        <v>20000.3743047243</v>
      </c>
      <c r="O1165" s="7" t="n">
        <f aca="false">I1165-2*STDEV(E1146:E1165)</f>
        <v>17736.0806952757</v>
      </c>
      <c r="P1165" s="7" t="n">
        <f aca="false">MAX(E1165-E1164,0)</f>
        <v>467.470000000001</v>
      </c>
      <c r="Q1165" s="7" t="n">
        <f aca="false">MAX(E1164-E1165,0)</f>
        <v>0</v>
      </c>
      <c r="R1165" s="7" t="n">
        <f aca="false">(R1164*13+P1165)/14</f>
        <v>151.221052072834</v>
      </c>
      <c r="S1165" s="7" t="n">
        <f aca="false">(S1164*13+Q1165)/14</f>
        <v>115.940225990403</v>
      </c>
      <c r="T1165" s="7" t="n">
        <f aca="false">IF(S1165=0,100,100-100/(1+R1165/S1165))</f>
        <v>56.6029078649039</v>
      </c>
      <c r="U1165" s="7" t="n">
        <f aca="false">E1165*2/13+U1164*11/13</f>
        <v>18843.3335141427</v>
      </c>
      <c r="V1165" s="7" t="n">
        <f aca="false">E1165*2/27+V1164*25/27</f>
        <v>19021.6362741724</v>
      </c>
      <c r="W1165" s="7" t="n">
        <f aca="false">U1165-V1165</f>
        <v>-178.302760029688</v>
      </c>
      <c r="X1165" s="7" t="n">
        <f aca="false">W1165*2/10+X1164*8/10</f>
        <v>-273.893365282314</v>
      </c>
      <c r="Y1165" s="7" t="n">
        <f aca="false">W1165-X1165</f>
        <v>95.5906052526257</v>
      </c>
      <c r="Z1165" s="8" t="s">
        <v>42</v>
      </c>
      <c r="AA1165" s="7" t="str">
        <f aca="false">IFERROR(INDEX(02_轉折點45!B:B,MATCH(A1165,02_轉折點45!A:A,0)),"")</f>
        <v/>
      </c>
      <c r="AB1165" s="7" t="n">
        <f aca="false">COUNTIFS(05_訊號明細!A:A,A1165,05_訊號明細!C:C,"TOP")</f>
        <v>0</v>
      </c>
      <c r="AC1165" s="7" t="n">
        <f aca="false">COUNTIFS(05_訊號明細!A:A,A1165,05_訊號明細!C:C,"BOTTOM")</f>
        <v>0</v>
      </c>
    </row>
    <row r="1166" customFormat="false" ht="15" hidden="false" customHeight="false" outlineLevel="0" collapsed="false">
      <c r="A1166" s="7" t="s">
        <v>1207</v>
      </c>
      <c r="B1166" s="7" t="n">
        <v>19393.73</v>
      </c>
      <c r="C1166" s="7" t="n">
        <v>19561.24</v>
      </c>
      <c r="D1166" s="7" t="n">
        <v>19376.72</v>
      </c>
      <c r="E1166" s="7" t="n">
        <v>19508.52</v>
      </c>
      <c r="F1166" s="7" t="n">
        <v>5138</v>
      </c>
      <c r="G1166" s="7" t="n">
        <f aca="false">AVERAGE(E1162:E1166)</f>
        <v>19113.962</v>
      </c>
      <c r="H1166" s="7" t="n">
        <f aca="false">AVERAGE(E1157:E1166)</f>
        <v>18633.718</v>
      </c>
      <c r="I1166" s="7" t="n">
        <f aca="false">AVERAGE(E1147:E1166)</f>
        <v>18867.5225</v>
      </c>
      <c r="J1166" s="7" t="n">
        <f aca="false">AVERAGE(E1117:E1166)</f>
        <v>19446.9646</v>
      </c>
      <c r="K1166" s="7" t="n">
        <f aca="false">AVERAGE(E1067:E1166)</f>
        <v>18781.9244</v>
      </c>
      <c r="L1166" s="7" t="n">
        <f aca="false">AVERAGE(E967:E1166)</f>
        <v>17846.39205</v>
      </c>
      <c r="M1166" s="7" t="n">
        <f aca="false">I1166</f>
        <v>18867.5225</v>
      </c>
      <c r="N1166" s="7" t="n">
        <f aca="false">I1166+2*STDEV(E1147:E1166)</f>
        <v>19997.9698116868</v>
      </c>
      <c r="O1166" s="7" t="n">
        <f aca="false">I1166-2*STDEV(E1147:E1166)</f>
        <v>17737.0751883132</v>
      </c>
      <c r="P1166" s="7" t="n">
        <f aca="false">MAX(E1166-E1165,0)</f>
        <v>18.369999999999</v>
      </c>
      <c r="Q1166" s="7" t="n">
        <f aca="false">MAX(E1165-E1166,0)</f>
        <v>0</v>
      </c>
      <c r="R1166" s="7" t="n">
        <f aca="false">(R1165*13+P1166)/14</f>
        <v>141.731691210488</v>
      </c>
      <c r="S1166" s="7" t="n">
        <f aca="false">(S1165*13+Q1166)/14</f>
        <v>107.658781276803</v>
      </c>
      <c r="T1166" s="7" t="n">
        <f aca="false">IF(S1166=0,100,100-100/(1+R1166/S1166))</f>
        <v>56.8312372950458</v>
      </c>
      <c r="U1166" s="7" t="n">
        <f aca="false">E1166*2/13+U1165*11/13</f>
        <v>18945.6698965823</v>
      </c>
      <c r="V1166" s="7" t="n">
        <f aca="false">E1166*2/27+V1165*25/27</f>
        <v>19057.7017353448</v>
      </c>
      <c r="W1166" s="7" t="n">
        <f aca="false">U1166-V1166</f>
        <v>-112.031838762519</v>
      </c>
      <c r="X1166" s="7" t="n">
        <f aca="false">W1166*2/10+X1165*8/10</f>
        <v>-241.521059978355</v>
      </c>
      <c r="Y1166" s="7" t="n">
        <f aca="false">W1166-X1166</f>
        <v>129.489221215836</v>
      </c>
      <c r="Z1166" s="8" t="s">
        <v>42</v>
      </c>
      <c r="AA1166" s="7" t="str">
        <f aca="false">IFERROR(INDEX(02_轉折點45!B:B,MATCH(A1166,02_轉折點45!A:A,0)),"")</f>
        <v/>
      </c>
      <c r="AB1166" s="7" t="n">
        <f aca="false">COUNTIFS(05_訊號明細!A:A,A1166,05_訊號明細!C:C,"TOP")</f>
        <v>0</v>
      </c>
      <c r="AC1166" s="7" t="n">
        <f aca="false">COUNTIFS(05_訊號明細!A:A,A1166,05_訊號明細!C:C,"BOTTOM")</f>
        <v>0</v>
      </c>
    </row>
    <row r="1167" customFormat="false" ht="15" hidden="false" customHeight="false" outlineLevel="0" collapsed="false">
      <c r="A1167" s="7" t="s">
        <v>1208</v>
      </c>
      <c r="B1167" s="7" t="n">
        <v>19521.93</v>
      </c>
      <c r="C1167" s="7" t="n">
        <v>19767.43</v>
      </c>
      <c r="D1167" s="7" t="n">
        <v>19445.1</v>
      </c>
      <c r="E1167" s="7" t="n">
        <v>19766.49</v>
      </c>
      <c r="F1167" s="7" t="n">
        <v>5564</v>
      </c>
      <c r="G1167" s="7" t="n">
        <f aca="false">AVERAGE(E1163:E1167)</f>
        <v>19358.854</v>
      </c>
      <c r="H1167" s="7" t="n">
        <f aca="false">AVERAGE(E1158:E1167)</f>
        <v>18820.851</v>
      </c>
      <c r="I1167" s="7" t="n">
        <f aca="false">AVERAGE(E1148:E1167)</f>
        <v>18864.7035</v>
      </c>
      <c r="J1167" s="7" t="n">
        <f aca="false">AVERAGE(E1118:E1167)</f>
        <v>19461.8706</v>
      </c>
      <c r="K1167" s="7" t="n">
        <f aca="false">AVERAGE(E1068:E1167)</f>
        <v>18797.4839</v>
      </c>
      <c r="L1167" s="7" t="n">
        <f aca="false">AVERAGE(E968:E1167)</f>
        <v>17873.1756</v>
      </c>
      <c r="M1167" s="7" t="n">
        <f aca="false">I1167</f>
        <v>18864.7035</v>
      </c>
      <c r="N1167" s="7" t="n">
        <f aca="false">I1167+2*STDEV(E1148:E1167)</f>
        <v>19985.3586304299</v>
      </c>
      <c r="O1167" s="7" t="n">
        <f aca="false">I1167-2*STDEV(E1148:E1167)</f>
        <v>17744.0483695701</v>
      </c>
      <c r="P1167" s="7" t="n">
        <f aca="false">MAX(E1167-E1166,0)</f>
        <v>257.970000000001</v>
      </c>
      <c r="Q1167" s="7" t="n">
        <f aca="false">MAX(E1166-E1167,0)</f>
        <v>0</v>
      </c>
      <c r="R1167" s="7" t="n">
        <f aca="false">(R1166*13+P1167)/14</f>
        <v>150.034427552596</v>
      </c>
      <c r="S1167" s="7" t="n">
        <f aca="false">(S1166*13+Q1167)/14</f>
        <v>99.96886832846</v>
      </c>
      <c r="T1167" s="7" t="n">
        <f aca="false">IF(S1167=0,100,100-100/(1+R1167/S1167))</f>
        <v>60.012979838465</v>
      </c>
      <c r="U1167" s="7" t="n">
        <f aca="false">E1167*2/13+U1166*11/13</f>
        <v>19071.9499124927</v>
      </c>
      <c r="V1167" s="7" t="n">
        <f aca="false">E1167*2/27+V1166*25/27</f>
        <v>19110.2045697637</v>
      </c>
      <c r="W1167" s="7" t="n">
        <f aca="false">U1167-V1167</f>
        <v>-38.2546572710016</v>
      </c>
      <c r="X1167" s="7" t="n">
        <f aca="false">W1167*2/10+X1166*8/10</f>
        <v>-200.867779436884</v>
      </c>
      <c r="Y1167" s="7" t="n">
        <f aca="false">W1167-X1167</f>
        <v>162.613122165883</v>
      </c>
      <c r="Z1167" s="8" t="s">
        <v>42</v>
      </c>
      <c r="AA1167" s="7" t="str">
        <f aca="false">IFERROR(INDEX(02_轉折點45!B:B,MATCH(A1167,02_轉折點45!A:A,0)),"")</f>
        <v/>
      </c>
      <c r="AB1167" s="7" t="n">
        <f aca="false">COUNTIFS(05_訊號明細!A:A,A1167,05_訊號明細!C:C,"TOP")</f>
        <v>1</v>
      </c>
      <c r="AC1167" s="7" t="n">
        <f aca="false">COUNTIFS(05_訊號明細!A:A,A1167,05_訊號明細!C:C,"BOTTOM")</f>
        <v>0</v>
      </c>
    </row>
    <row r="1168" customFormat="false" ht="15" hidden="false" customHeight="false" outlineLevel="0" collapsed="false">
      <c r="A1168" s="7" t="s">
        <v>1209</v>
      </c>
      <c r="B1168" s="7" t="n">
        <v>19736.35</v>
      </c>
      <c r="C1168" s="7" t="n">
        <v>19835.38</v>
      </c>
      <c r="D1168" s="7" t="n">
        <v>19652.18</v>
      </c>
      <c r="E1168" s="7" t="n">
        <v>19719.82</v>
      </c>
      <c r="F1168" s="7" t="n">
        <v>5305</v>
      </c>
      <c r="G1168" s="7" t="n">
        <f aca="false">AVERAGE(E1164:E1168)</f>
        <v>19501.532</v>
      </c>
      <c r="H1168" s="7" t="n">
        <f aca="false">AVERAGE(E1159:E1168)</f>
        <v>18985.041</v>
      </c>
      <c r="I1168" s="7" t="n">
        <f aca="false">AVERAGE(E1149:E1168)</f>
        <v>18862.9775</v>
      </c>
      <c r="J1168" s="7" t="n">
        <f aca="false">AVERAGE(E1119:E1168)</f>
        <v>19476.248</v>
      </c>
      <c r="K1168" s="7" t="n">
        <f aca="false">AVERAGE(E1069:E1168)</f>
        <v>18811.8737</v>
      </c>
      <c r="L1168" s="7" t="n">
        <f aca="false">AVERAGE(E969:E1168)</f>
        <v>17898.45015</v>
      </c>
      <c r="M1168" s="7" t="n">
        <f aca="false">I1168</f>
        <v>18862.9775</v>
      </c>
      <c r="N1168" s="7" t="n">
        <f aca="false">I1168+2*STDEV(E1149:E1168)</f>
        <v>19977.955354052</v>
      </c>
      <c r="O1168" s="7" t="n">
        <f aca="false">I1168-2*STDEV(E1149:E1168)</f>
        <v>17747.999645948</v>
      </c>
      <c r="P1168" s="7" t="n">
        <f aca="false">MAX(E1168-E1167,0)</f>
        <v>0</v>
      </c>
      <c r="Q1168" s="7" t="n">
        <f aca="false">MAX(E1167-E1168,0)</f>
        <v>46.6700000000019</v>
      </c>
      <c r="R1168" s="7" t="n">
        <f aca="false">(R1167*13+P1168)/14</f>
        <v>139.317682727411</v>
      </c>
      <c r="S1168" s="7" t="n">
        <f aca="false">(S1167*13+Q1168)/14</f>
        <v>96.1618063049987</v>
      </c>
      <c r="T1168" s="7" t="n">
        <f aca="false">IF(S1168=0,100,100-100/(1+R1168/S1168))</f>
        <v>59.1634045495301</v>
      </c>
      <c r="U1168" s="7" t="n">
        <f aca="false">E1168*2/13+U1167*11/13</f>
        <v>19171.6222336477</v>
      </c>
      <c r="V1168" s="7" t="n">
        <f aca="false">E1168*2/27+V1167*25/27</f>
        <v>19155.3612682997</v>
      </c>
      <c r="W1168" s="7" t="n">
        <f aca="false">U1168-V1168</f>
        <v>16.2609653479449</v>
      </c>
      <c r="X1168" s="7" t="n">
        <f aca="false">W1168*2/10+X1167*8/10</f>
        <v>-157.442030479919</v>
      </c>
      <c r="Y1168" s="7" t="n">
        <f aca="false">W1168-X1168</f>
        <v>173.702995827863</v>
      </c>
      <c r="Z1168" s="8" t="s">
        <v>42</v>
      </c>
      <c r="AA1168" s="7" t="str">
        <f aca="false">IFERROR(INDEX(02_轉折點45!B:B,MATCH(A1168,02_轉折點45!A:A,0)),"")</f>
        <v/>
      </c>
      <c r="AB1168" s="7" t="n">
        <f aca="false">COUNTIFS(05_訊號明細!A:A,A1168,05_訊號明細!C:C,"TOP")</f>
        <v>0</v>
      </c>
      <c r="AC1168" s="7" t="n">
        <f aca="false">COUNTIFS(05_訊號明細!A:A,A1168,05_訊號明細!C:C,"BOTTOM")</f>
        <v>0</v>
      </c>
    </row>
    <row r="1169" customFormat="false" ht="15" hidden="false" customHeight="false" outlineLevel="0" collapsed="false">
      <c r="A1169" s="7" t="s">
        <v>1210</v>
      </c>
      <c r="B1169" s="7" t="n">
        <v>19758.47</v>
      </c>
      <c r="C1169" s="7" t="n">
        <v>19885.34</v>
      </c>
      <c r="D1169" s="7" t="n">
        <v>19690.64</v>
      </c>
      <c r="E1169" s="7" t="n">
        <v>19824.84</v>
      </c>
      <c r="F1169" s="7" t="n">
        <v>4765</v>
      </c>
      <c r="G1169" s="7" t="n">
        <f aca="false">AVERAGE(E1165:E1169)</f>
        <v>19661.964</v>
      </c>
      <c r="H1169" s="7" t="n">
        <f aca="false">AVERAGE(E1160:E1169)</f>
        <v>19180.788</v>
      </c>
      <c r="I1169" s="7" t="n">
        <f aca="false">AVERAGE(E1150:E1169)</f>
        <v>18902.6</v>
      </c>
      <c r="J1169" s="7" t="n">
        <f aca="false">AVERAGE(E1120:E1169)</f>
        <v>19491.2514</v>
      </c>
      <c r="K1169" s="7" t="n">
        <f aca="false">AVERAGE(E1070:E1169)</f>
        <v>18827.5752</v>
      </c>
      <c r="L1169" s="7" t="n">
        <f aca="false">AVERAGE(E970:E1169)</f>
        <v>17922.9766</v>
      </c>
      <c r="M1169" s="7" t="n">
        <f aca="false">I1169</f>
        <v>18902.6</v>
      </c>
      <c r="N1169" s="7" t="n">
        <f aca="false">I1169+2*STDEV(E1150:E1169)</f>
        <v>20096.4583355085</v>
      </c>
      <c r="O1169" s="7" t="n">
        <f aca="false">I1169-2*STDEV(E1150:E1169)</f>
        <v>17708.7416644915</v>
      </c>
      <c r="P1169" s="7" t="n">
        <f aca="false">MAX(E1169-E1168,0)</f>
        <v>105.02</v>
      </c>
      <c r="Q1169" s="7" t="n">
        <f aca="false">MAX(E1168-E1169,0)</f>
        <v>0</v>
      </c>
      <c r="R1169" s="7" t="n">
        <f aca="false">(R1168*13+P1169)/14</f>
        <v>136.867848246882</v>
      </c>
      <c r="S1169" s="7" t="n">
        <f aca="false">(S1168*13+Q1169)/14</f>
        <v>89.2931058546416</v>
      </c>
      <c r="T1169" s="7" t="n">
        <f aca="false">IF(S1169=0,100,100-100/(1+R1169/S1169))</f>
        <v>60.5178947845444</v>
      </c>
      <c r="U1169" s="7" t="n">
        <f aca="false">E1169*2/13+U1168*11/13</f>
        <v>19272.117274625</v>
      </c>
      <c r="V1169" s="7" t="n">
        <f aca="false">E1169*2/27+V1168*25/27</f>
        <v>19204.9522854627</v>
      </c>
      <c r="W1169" s="7" t="n">
        <f aca="false">U1169-V1169</f>
        <v>67.1649891622401</v>
      </c>
      <c r="X1169" s="7" t="n">
        <f aca="false">W1169*2/10+X1168*8/10</f>
        <v>-112.520626551487</v>
      </c>
      <c r="Y1169" s="7" t="n">
        <f aca="false">W1169-X1169</f>
        <v>179.685615713727</v>
      </c>
      <c r="Z1169" s="8" t="s">
        <v>42</v>
      </c>
      <c r="AA1169" s="7" t="str">
        <f aca="false">IFERROR(INDEX(02_轉折點45!B:B,MATCH(A1169,02_轉折點45!A:A,0)),"")</f>
        <v/>
      </c>
      <c r="AB1169" s="7" t="n">
        <f aca="false">COUNTIFS(05_訊號明細!A:A,A1169,05_訊號明細!C:C,"TOP")</f>
        <v>0</v>
      </c>
      <c r="AC1169" s="7" t="n">
        <f aca="false">COUNTIFS(05_訊號明細!A:A,A1169,05_訊號明細!C:C,"BOTTOM")</f>
        <v>0</v>
      </c>
    </row>
    <row r="1170" customFormat="false" ht="15" hidden="false" customHeight="false" outlineLevel="0" collapsed="false">
      <c r="A1170" s="7" t="s">
        <v>1211</v>
      </c>
      <c r="B1170" s="7" t="n">
        <v>19911.28</v>
      </c>
      <c r="C1170" s="7" t="n">
        <v>19938.89</v>
      </c>
      <c r="D1170" s="7" t="n">
        <v>19459.86</v>
      </c>
      <c r="E1170" s="7" t="n">
        <v>19491.84</v>
      </c>
      <c r="F1170" s="7" t="n">
        <v>5065</v>
      </c>
      <c r="G1170" s="7" t="n">
        <f aca="false">AVERAGE(E1166:E1170)</f>
        <v>19662.302</v>
      </c>
      <c r="H1170" s="7" t="n">
        <f aca="false">AVERAGE(E1161:E1170)</f>
        <v>19288.59</v>
      </c>
      <c r="I1170" s="7" t="n">
        <f aca="false">AVERAGE(E1151:E1170)</f>
        <v>18935.663</v>
      </c>
      <c r="J1170" s="7" t="n">
        <f aca="false">AVERAGE(E1121:E1170)</f>
        <v>19496.8846</v>
      </c>
      <c r="K1170" s="7" t="n">
        <f aca="false">AVERAGE(E1071:E1170)</f>
        <v>18839.5616</v>
      </c>
      <c r="L1170" s="7" t="n">
        <f aca="false">AVERAGE(E971:E1170)</f>
        <v>17944.93835</v>
      </c>
      <c r="M1170" s="7" t="n">
        <f aca="false">I1170</f>
        <v>18935.663</v>
      </c>
      <c r="N1170" s="7" t="n">
        <f aca="false">I1170+2*STDEV(E1151:E1170)</f>
        <v>20157.4234083168</v>
      </c>
      <c r="O1170" s="7" t="n">
        <f aca="false">I1170-2*STDEV(E1151:E1170)</f>
        <v>17713.9025916832</v>
      </c>
      <c r="P1170" s="7" t="n">
        <f aca="false">MAX(E1170-E1169,0)</f>
        <v>0</v>
      </c>
      <c r="Q1170" s="7" t="n">
        <f aca="false">MAX(E1169-E1170,0)</f>
        <v>333</v>
      </c>
      <c r="R1170" s="7" t="n">
        <f aca="false">(R1169*13+P1170)/14</f>
        <v>127.091573372104</v>
      </c>
      <c r="S1170" s="7" t="n">
        <f aca="false">(S1169*13+Q1170)/14</f>
        <v>106.700741150739</v>
      </c>
      <c r="T1170" s="7" t="n">
        <f aca="false">IF(S1170=0,100,100-100/(1+R1170/S1170))</f>
        <v>54.360885913419</v>
      </c>
      <c r="U1170" s="7" t="n">
        <f aca="false">E1170*2/13+U1169*11/13</f>
        <v>19305.9207708365</v>
      </c>
      <c r="V1170" s="7" t="n">
        <f aca="false">E1170*2/27+V1169*25/27</f>
        <v>19226.2032272803</v>
      </c>
      <c r="W1170" s="7" t="n">
        <f aca="false">U1170-V1170</f>
        <v>79.7175435562094</v>
      </c>
      <c r="X1170" s="7" t="n">
        <f aca="false">W1170*2/10+X1169*8/10</f>
        <v>-74.0729925299475</v>
      </c>
      <c r="Y1170" s="7" t="n">
        <f aca="false">W1170-X1170</f>
        <v>153.790536086157</v>
      </c>
      <c r="Z1170" s="8" t="s">
        <v>42</v>
      </c>
      <c r="AA1170" s="7" t="str">
        <f aca="false">IFERROR(INDEX(02_轉折點45!B:B,MATCH(A1170,02_轉折點45!A:A,0)),"")</f>
        <v/>
      </c>
      <c r="AB1170" s="7" t="n">
        <f aca="false">COUNTIFS(05_訊號明細!A:A,A1170,05_訊號明細!C:C,"TOP")</f>
        <v>0</v>
      </c>
      <c r="AC1170" s="7" t="n">
        <f aca="false">COUNTIFS(05_訊號明細!A:A,A1170,05_訊號明細!C:C,"BOTTOM")</f>
        <v>0</v>
      </c>
    </row>
    <row r="1171" customFormat="false" ht="15" hidden="false" customHeight="false" outlineLevel="0" collapsed="false">
      <c r="A1171" s="7" t="s">
        <v>1212</v>
      </c>
      <c r="B1171" s="7" t="n">
        <v>19669.78</v>
      </c>
      <c r="C1171" s="7" t="n">
        <v>19818.4</v>
      </c>
      <c r="D1171" s="7" t="n">
        <v>19526.63</v>
      </c>
      <c r="E1171" s="7" t="n">
        <v>19720.87</v>
      </c>
      <c r="F1171" s="7" t="n">
        <v>5381</v>
      </c>
      <c r="G1171" s="7" t="n">
        <f aca="false">AVERAGE(E1167:E1171)</f>
        <v>19704.772</v>
      </c>
      <c r="H1171" s="7" t="n">
        <f aca="false">AVERAGE(E1162:E1171)</f>
        <v>19409.367</v>
      </c>
      <c r="I1171" s="7" t="n">
        <f aca="false">AVERAGE(E1152:E1171)</f>
        <v>18970.5235</v>
      </c>
      <c r="J1171" s="7" t="n">
        <f aca="false">AVERAGE(E1122:E1171)</f>
        <v>19501.9984</v>
      </c>
      <c r="K1171" s="7" t="n">
        <f aca="false">AVERAGE(E1072:E1171)</f>
        <v>18855.5525</v>
      </c>
      <c r="L1171" s="7" t="n">
        <f aca="false">AVERAGE(E972:E1171)</f>
        <v>17967.76805</v>
      </c>
      <c r="M1171" s="7" t="n">
        <f aca="false">I1171</f>
        <v>18970.5235</v>
      </c>
      <c r="N1171" s="7" t="n">
        <f aca="false">I1171+2*STDEV(E1152:E1171)</f>
        <v>20241.6456171577</v>
      </c>
      <c r="O1171" s="7" t="n">
        <f aca="false">I1171-2*STDEV(E1152:E1171)</f>
        <v>17699.4013828423</v>
      </c>
      <c r="P1171" s="7" t="n">
        <f aca="false">MAX(E1171-E1170,0)</f>
        <v>229.029999999999</v>
      </c>
      <c r="Q1171" s="7" t="n">
        <f aca="false">MAX(E1170-E1171,0)</f>
        <v>0</v>
      </c>
      <c r="R1171" s="7" t="n">
        <f aca="false">(R1170*13+P1171)/14</f>
        <v>134.372889559811</v>
      </c>
      <c r="S1171" s="7" t="n">
        <f aca="false">(S1170*13+Q1171)/14</f>
        <v>99.0792596399716</v>
      </c>
      <c r="T1171" s="7" t="n">
        <f aca="false">IF(S1171=0,100,100-100/(1+R1171/S1171))</f>
        <v>57.5590715358196</v>
      </c>
      <c r="U1171" s="7" t="n">
        <f aca="false">E1171*2/13+U1170*11/13</f>
        <v>19369.7591137847</v>
      </c>
      <c r="V1171" s="7" t="n">
        <f aca="false">E1171*2/27+V1170*25/27</f>
        <v>19262.8452104447</v>
      </c>
      <c r="W1171" s="7" t="n">
        <f aca="false">U1171-V1171</f>
        <v>106.913903340017</v>
      </c>
      <c r="X1171" s="7" t="n">
        <f aca="false">W1171*2/10+X1170*8/10</f>
        <v>-37.8756133559546</v>
      </c>
      <c r="Y1171" s="7" t="n">
        <f aca="false">W1171-X1171</f>
        <v>144.789516695972</v>
      </c>
      <c r="Z1171" s="8" t="s">
        <v>42</v>
      </c>
      <c r="AA1171" s="7" t="str">
        <f aca="false">IFERROR(INDEX(02_轉折點45!B:B,MATCH(A1171,02_轉折點45!A:A,0)),"")</f>
        <v/>
      </c>
      <c r="AB1171" s="7" t="n">
        <f aca="false">COUNTIFS(05_訊號明細!A:A,A1171,05_訊號明細!C:C,"TOP")</f>
        <v>1</v>
      </c>
      <c r="AC1171" s="7" t="n">
        <f aca="false">COUNTIFS(05_訊號明細!A:A,A1171,05_訊號明細!C:C,"BOTTOM")</f>
        <v>0</v>
      </c>
    </row>
    <row r="1172" customFormat="false" ht="15" hidden="false" customHeight="false" outlineLevel="0" collapsed="false">
      <c r="A1172" s="7" t="s">
        <v>1213</v>
      </c>
      <c r="B1172" s="7" t="n">
        <v>19679.24</v>
      </c>
      <c r="C1172" s="7" t="n">
        <v>19726.9</v>
      </c>
      <c r="D1172" s="7" t="n">
        <v>19437.34</v>
      </c>
      <c r="E1172" s="7" t="n">
        <v>19516.44</v>
      </c>
      <c r="F1172" s="7" t="n">
        <v>5111</v>
      </c>
      <c r="G1172" s="7" t="n">
        <f aca="false">AVERAGE(E1168:E1172)</f>
        <v>19654.762</v>
      </c>
      <c r="H1172" s="7" t="n">
        <f aca="false">AVERAGE(E1163:E1172)</f>
        <v>19506.808</v>
      </c>
      <c r="I1172" s="7" t="n">
        <f aca="false">AVERAGE(E1153:E1172)</f>
        <v>18993.371</v>
      </c>
      <c r="J1172" s="7" t="n">
        <f aca="false">AVERAGE(E1123:E1172)</f>
        <v>19500.7888</v>
      </c>
      <c r="K1172" s="7" t="n">
        <f aca="false">AVERAGE(E1073:E1172)</f>
        <v>18869.115</v>
      </c>
      <c r="L1172" s="7" t="n">
        <f aca="false">AVERAGE(E973:E1172)</f>
        <v>17988.87015</v>
      </c>
      <c r="M1172" s="7" t="n">
        <f aca="false">I1172</f>
        <v>18993.371</v>
      </c>
      <c r="N1172" s="7" t="n">
        <f aca="false">I1172+2*STDEV(E1153:E1172)</f>
        <v>20287.4456701127</v>
      </c>
      <c r="O1172" s="7" t="n">
        <f aca="false">I1172-2*STDEV(E1153:E1172)</f>
        <v>17699.2963298873</v>
      </c>
      <c r="P1172" s="7" t="n">
        <f aca="false">MAX(E1172-E1171,0)</f>
        <v>0</v>
      </c>
      <c r="Q1172" s="7" t="n">
        <f aca="false">MAX(E1171-E1172,0)</f>
        <v>204.43</v>
      </c>
      <c r="R1172" s="7" t="n">
        <f aca="false">(R1171*13+P1172)/14</f>
        <v>124.774826019825</v>
      </c>
      <c r="S1172" s="7" t="n">
        <f aca="false">(S1171*13+Q1172)/14</f>
        <v>106.604312522831</v>
      </c>
      <c r="T1172" s="7" t="n">
        <f aca="false">IF(S1172=0,100,100-100/(1+R1172/S1172))</f>
        <v>53.9265669349971</v>
      </c>
      <c r="U1172" s="7" t="n">
        <f aca="false">E1172*2/13+U1171*11/13</f>
        <v>19392.3254039717</v>
      </c>
      <c r="V1172" s="7" t="n">
        <f aca="false">E1172*2/27+V1171*25/27</f>
        <v>19281.630009671</v>
      </c>
      <c r="W1172" s="7" t="n">
        <f aca="false">U1172-V1172</f>
        <v>110.695394300667</v>
      </c>
      <c r="X1172" s="7" t="n">
        <f aca="false">W1172*2/10+X1171*8/10</f>
        <v>-8.16141182463039</v>
      </c>
      <c r="Y1172" s="7" t="n">
        <f aca="false">W1172-X1172</f>
        <v>118.856806125297</v>
      </c>
      <c r="Z1172" s="8" t="s">
        <v>42</v>
      </c>
      <c r="AA1172" s="7" t="str">
        <f aca="false">IFERROR(INDEX(02_轉折點45!B:B,MATCH(A1172,02_轉折點45!A:A,0)),"")</f>
        <v/>
      </c>
      <c r="AB1172" s="7" t="n">
        <f aca="false">COUNTIFS(05_訊號明細!A:A,A1172,05_訊號明細!C:C,"TOP")</f>
        <v>0</v>
      </c>
      <c r="AC1172" s="7" t="n">
        <f aca="false">COUNTIFS(05_訊號明細!A:A,A1172,05_訊號明細!C:C,"BOTTOM")</f>
        <v>0</v>
      </c>
    </row>
    <row r="1173" customFormat="false" ht="15" hidden="false" customHeight="false" outlineLevel="0" collapsed="false">
      <c r="A1173" s="7" t="s">
        <v>1214</v>
      </c>
      <c r="B1173" s="7" t="n">
        <v>19450.57</v>
      </c>
      <c r="C1173" s="7" t="n">
        <v>19617.92</v>
      </c>
      <c r="D1173" s="7" t="n">
        <v>19369.53</v>
      </c>
      <c r="E1173" s="7" t="n">
        <v>19581.52</v>
      </c>
      <c r="F1173" s="7" t="n">
        <v>4362</v>
      </c>
      <c r="G1173" s="7" t="n">
        <f aca="false">AVERAGE(E1169:E1173)</f>
        <v>19627.102</v>
      </c>
      <c r="H1173" s="7" t="n">
        <f aca="false">AVERAGE(E1164:E1173)</f>
        <v>19564.317</v>
      </c>
      <c r="I1173" s="7" t="n">
        <f aca="false">AVERAGE(E1154:E1173)</f>
        <v>19032.6335</v>
      </c>
      <c r="J1173" s="7" t="n">
        <f aca="false">AVERAGE(E1124:E1173)</f>
        <v>19499.2232</v>
      </c>
      <c r="K1173" s="7" t="n">
        <f aca="false">AVERAGE(E1074:E1173)</f>
        <v>18886.1424</v>
      </c>
      <c r="L1173" s="7" t="n">
        <f aca="false">AVERAGE(E974:E1173)</f>
        <v>18010.21155</v>
      </c>
      <c r="M1173" s="7" t="n">
        <f aca="false">I1173</f>
        <v>19032.6335</v>
      </c>
      <c r="N1173" s="7" t="n">
        <f aca="false">I1173+2*STDEV(E1154:E1173)</f>
        <v>20348.9863970171</v>
      </c>
      <c r="O1173" s="7" t="n">
        <f aca="false">I1173-2*STDEV(E1154:E1173)</f>
        <v>17716.2806029829</v>
      </c>
      <c r="P1173" s="7" t="n">
        <f aca="false">MAX(E1173-E1172,0)</f>
        <v>65.0800000000018</v>
      </c>
      <c r="Q1173" s="7" t="n">
        <f aca="false">MAX(E1172-E1173,0)</f>
        <v>0</v>
      </c>
      <c r="R1173" s="7" t="n">
        <f aca="false">(R1172*13+P1173)/14</f>
        <v>120.510909875552</v>
      </c>
      <c r="S1173" s="7" t="n">
        <f aca="false">(S1172*13+Q1173)/14</f>
        <v>98.9897187712</v>
      </c>
      <c r="T1173" s="7" t="n">
        <f aca="false">IF(S1173=0,100,100-100/(1+R1173/S1173))</f>
        <v>54.9023073958905</v>
      </c>
      <c r="U1173" s="7" t="n">
        <f aca="false">E1173*2/13+U1172*11/13</f>
        <v>19421.4322648991</v>
      </c>
      <c r="V1173" s="7" t="n">
        <f aca="false">E1173*2/27+V1172*25/27</f>
        <v>19303.8440830287</v>
      </c>
      <c r="W1173" s="7" t="n">
        <f aca="false">U1173-V1173</f>
        <v>117.588181870393</v>
      </c>
      <c r="X1173" s="7" t="n">
        <f aca="false">W1173*2/10+X1172*8/10</f>
        <v>16.9885069143743</v>
      </c>
      <c r="Y1173" s="7" t="n">
        <f aca="false">W1173-X1173</f>
        <v>100.599674956019</v>
      </c>
      <c r="Z1173" s="8" t="s">
        <v>42</v>
      </c>
      <c r="AA1173" s="7" t="str">
        <f aca="false">IFERROR(INDEX(02_轉折點45!B:B,MATCH(A1173,02_轉折點45!A:A,0)),"")</f>
        <v/>
      </c>
      <c r="AB1173" s="7" t="n">
        <f aca="false">COUNTIFS(05_訊號明細!A:A,A1173,05_訊號明細!C:C,"TOP")</f>
        <v>0</v>
      </c>
      <c r="AC1173" s="7" t="n">
        <f aca="false">COUNTIFS(05_訊號明細!A:A,A1173,05_訊號明細!C:C,"BOTTOM")</f>
        <v>0</v>
      </c>
    </row>
    <row r="1174" customFormat="false" ht="15" hidden="false" customHeight="false" outlineLevel="0" collapsed="false">
      <c r="A1174" s="7" t="s">
        <v>1215</v>
      </c>
      <c r="B1174" s="7" t="n">
        <v>19567.45</v>
      </c>
      <c r="C1174" s="7" t="n">
        <v>19587.04</v>
      </c>
      <c r="D1174" s="7" t="n">
        <v>19221.48</v>
      </c>
      <c r="E1174" s="7" t="n">
        <v>19350.78</v>
      </c>
      <c r="F1174" s="7" t="n">
        <v>5212</v>
      </c>
      <c r="G1174" s="7" t="n">
        <f aca="false">AVERAGE(E1170:E1174)</f>
        <v>19532.29</v>
      </c>
      <c r="H1174" s="7" t="n">
        <f aca="false">AVERAGE(E1165:E1174)</f>
        <v>19597.127</v>
      </c>
      <c r="I1174" s="7" t="n">
        <f aca="false">AVERAGE(E1155:E1174)</f>
        <v>19032.051</v>
      </c>
      <c r="J1174" s="7" t="n">
        <f aca="false">AVERAGE(E1125:E1174)</f>
        <v>19488.1838</v>
      </c>
      <c r="K1174" s="7" t="n">
        <f aca="false">AVERAGE(E1075:E1174)</f>
        <v>18898.5656</v>
      </c>
      <c r="L1174" s="7" t="n">
        <f aca="false">AVERAGE(E975:E1174)</f>
        <v>18031.02595</v>
      </c>
      <c r="M1174" s="7" t="n">
        <f aca="false">I1174</f>
        <v>19032.051</v>
      </c>
      <c r="N1174" s="7" t="n">
        <f aca="false">I1174+2*STDEV(E1155:E1174)</f>
        <v>20347.7995912454</v>
      </c>
      <c r="O1174" s="7" t="n">
        <f aca="false">I1174-2*STDEV(E1155:E1174)</f>
        <v>17716.3024087546</v>
      </c>
      <c r="P1174" s="7" t="n">
        <f aca="false">MAX(E1174-E1173,0)</f>
        <v>0</v>
      </c>
      <c r="Q1174" s="7" t="n">
        <f aca="false">MAX(E1173-E1174,0)</f>
        <v>230.740000000002</v>
      </c>
      <c r="R1174" s="7" t="n">
        <f aca="false">(R1173*13+P1174)/14</f>
        <v>111.902987741584</v>
      </c>
      <c r="S1174" s="7" t="n">
        <f aca="false">(S1173*13+Q1174)/14</f>
        <v>108.400453144686</v>
      </c>
      <c r="T1174" s="7" t="n">
        <f aca="false">IF(S1174=0,100,100-100/(1+R1174/S1174))</f>
        <v>50.7949341560003</v>
      </c>
      <c r="U1174" s="7" t="n">
        <f aca="false">E1174*2/13+U1173*11/13</f>
        <v>19410.5626856839</v>
      </c>
      <c r="V1174" s="7" t="n">
        <f aca="false">E1174*2/27+V1173*25/27</f>
        <v>19307.3208176192</v>
      </c>
      <c r="W1174" s="7" t="n">
        <f aca="false">U1174-V1174</f>
        <v>103.241868064677</v>
      </c>
      <c r="X1174" s="7" t="n">
        <f aca="false">W1174*2/10+X1173*8/10</f>
        <v>34.2391791444348</v>
      </c>
      <c r="Y1174" s="7" t="n">
        <f aca="false">W1174-X1174</f>
        <v>69.0026889202422</v>
      </c>
      <c r="Z1174" s="8" t="s">
        <v>42</v>
      </c>
      <c r="AA1174" s="7" t="str">
        <f aca="false">IFERROR(INDEX(02_轉折點45!B:B,MATCH(A1174,02_轉折點45!A:A,0)),"")</f>
        <v/>
      </c>
      <c r="AB1174" s="7" t="n">
        <f aca="false">COUNTIFS(05_訊號明細!A:A,A1174,05_訊號明細!C:C,"TOP")</f>
        <v>1</v>
      </c>
      <c r="AC1174" s="7" t="n">
        <f aca="false">COUNTIFS(05_訊號明細!A:A,A1174,05_訊號明細!C:C,"BOTTOM")</f>
        <v>0</v>
      </c>
    </row>
    <row r="1175" customFormat="false" ht="15" hidden="false" customHeight="false" outlineLevel="0" collapsed="false">
      <c r="A1175" s="7" t="s">
        <v>1216</v>
      </c>
      <c r="B1175" s="7" t="n">
        <v>19425.28</v>
      </c>
      <c r="C1175" s="7" t="n">
        <v>19622.73</v>
      </c>
      <c r="D1175" s="7" t="n">
        <v>19281.65</v>
      </c>
      <c r="E1175" s="7" t="n">
        <v>19325.45</v>
      </c>
      <c r="F1175" s="7" t="n">
        <v>5728</v>
      </c>
      <c r="G1175" s="7" t="n">
        <f aca="false">AVERAGE(E1171:E1175)</f>
        <v>19499.012</v>
      </c>
      <c r="H1175" s="7" t="n">
        <f aca="false">AVERAGE(E1166:E1175)</f>
        <v>19580.657</v>
      </c>
      <c r="I1175" s="7" t="n">
        <f aca="false">AVERAGE(E1156:E1175)</f>
        <v>19053.804</v>
      </c>
      <c r="J1175" s="7" t="n">
        <f aca="false">AVERAGE(E1126:E1175)</f>
        <v>19476.5156</v>
      </c>
      <c r="K1175" s="7" t="n">
        <f aca="false">AVERAGE(E1076:E1175)</f>
        <v>18910.8182</v>
      </c>
      <c r="L1175" s="7" t="n">
        <f aca="false">AVERAGE(E976:E1175)</f>
        <v>18050.0076</v>
      </c>
      <c r="M1175" s="7" t="n">
        <f aca="false">I1175</f>
        <v>19053.804</v>
      </c>
      <c r="N1175" s="7" t="n">
        <f aca="false">I1175+2*STDEV(E1156:E1175)</f>
        <v>20374.069082002</v>
      </c>
      <c r="O1175" s="7" t="n">
        <f aca="false">I1175-2*STDEV(E1156:E1175)</f>
        <v>17733.538917998</v>
      </c>
      <c r="P1175" s="7" t="n">
        <f aca="false">MAX(E1175-E1174,0)</f>
        <v>0</v>
      </c>
      <c r="Q1175" s="7" t="n">
        <f aca="false">MAX(E1174-E1175,0)</f>
        <v>25.3299999999981</v>
      </c>
      <c r="R1175" s="7" t="n">
        <f aca="false">(R1174*13+P1175)/14</f>
        <v>103.909917188613</v>
      </c>
      <c r="S1175" s="7" t="n">
        <f aca="false">(S1174*13+Q1175)/14</f>
        <v>102.466849348637</v>
      </c>
      <c r="T1175" s="7" t="n">
        <f aca="false">IF(S1175=0,100,100-100/(1+R1175/S1175))</f>
        <v>50.3496197426167</v>
      </c>
      <c r="U1175" s="7" t="n">
        <f aca="false">E1175*2/13+U1174*11/13</f>
        <v>19397.4684263479</v>
      </c>
      <c r="V1175" s="7" t="n">
        <f aca="false">E1175*2/27+V1174*25/27</f>
        <v>19308.6637200178</v>
      </c>
      <c r="W1175" s="7" t="n">
        <f aca="false">U1175-V1175</f>
        <v>88.8047063301201</v>
      </c>
      <c r="X1175" s="7" t="n">
        <f aca="false">W1175*2/10+X1174*8/10</f>
        <v>45.1522845815719</v>
      </c>
      <c r="Y1175" s="7" t="n">
        <f aca="false">W1175-X1175</f>
        <v>43.6524217485482</v>
      </c>
      <c r="Z1175" s="8" t="s">
        <v>42</v>
      </c>
      <c r="AA1175" s="7" t="str">
        <f aca="false">IFERROR(INDEX(02_轉折點45!B:B,MATCH(A1175,02_轉折點45!A:A,0)),"")</f>
        <v/>
      </c>
      <c r="AB1175" s="7" t="n">
        <f aca="false">COUNTIFS(05_訊號明細!A:A,A1175,05_訊號明細!C:C,"TOP")</f>
        <v>0</v>
      </c>
      <c r="AC1175" s="7" t="n">
        <f aca="false">COUNTIFS(05_訊號明細!A:A,A1175,05_訊號明細!C:C,"BOTTOM")</f>
        <v>0</v>
      </c>
    </row>
    <row r="1176" customFormat="false" ht="15" hidden="false" customHeight="false" outlineLevel="0" collapsed="false">
      <c r="A1176" s="7" t="s">
        <v>1217</v>
      </c>
      <c r="B1176" s="7" t="n">
        <v>19506.27</v>
      </c>
      <c r="C1176" s="7" t="n">
        <v>19582.17</v>
      </c>
      <c r="D1176" s="7" t="n">
        <v>19326.62</v>
      </c>
      <c r="E1176" s="7" t="n">
        <v>19574.64</v>
      </c>
      <c r="F1176" s="7" t="n">
        <v>5531</v>
      </c>
      <c r="G1176" s="7" t="n">
        <f aca="false">AVERAGE(E1172:E1176)</f>
        <v>19469.766</v>
      </c>
      <c r="H1176" s="7" t="n">
        <f aca="false">AVERAGE(E1167:E1176)</f>
        <v>19587.269</v>
      </c>
      <c r="I1176" s="7" t="n">
        <f aca="false">AVERAGE(E1157:E1176)</f>
        <v>19110.4935</v>
      </c>
      <c r="J1176" s="7" t="n">
        <f aca="false">AVERAGE(E1127:E1176)</f>
        <v>19472.9624</v>
      </c>
      <c r="K1176" s="7" t="n">
        <f aca="false">AVERAGE(E1077:E1176)</f>
        <v>18924.8656</v>
      </c>
      <c r="L1176" s="7" t="n">
        <f aca="false">AVERAGE(E977:E1176)</f>
        <v>18070.46685</v>
      </c>
      <c r="M1176" s="7" t="n">
        <f aca="false">I1176</f>
        <v>19110.4935</v>
      </c>
      <c r="N1176" s="7" t="n">
        <f aca="false">I1176+2*STDEV(E1157:E1176)</f>
        <v>20417.2377875253</v>
      </c>
      <c r="O1176" s="7" t="n">
        <f aca="false">I1176-2*STDEV(E1157:E1176)</f>
        <v>17803.7492124747</v>
      </c>
      <c r="P1176" s="7" t="n">
        <f aca="false">MAX(E1176-E1175,0)</f>
        <v>249.189999999999</v>
      </c>
      <c r="Q1176" s="7" t="n">
        <f aca="false">MAX(E1175-E1176,0)</f>
        <v>0</v>
      </c>
      <c r="R1176" s="7" t="n">
        <f aca="false">(R1175*13+P1176)/14</f>
        <v>114.287065960855</v>
      </c>
      <c r="S1176" s="7" t="n">
        <f aca="false">(S1175*13+Q1176)/14</f>
        <v>95.147788680877</v>
      </c>
      <c r="T1176" s="7" t="n">
        <f aca="false">IF(S1176=0,100,100-100/(1+R1176/S1176))</f>
        <v>54.5692674489923</v>
      </c>
      <c r="U1176" s="7" t="n">
        <f aca="false">E1176*2/13+U1175*11/13</f>
        <v>19424.7255915251</v>
      </c>
      <c r="V1176" s="7" t="n">
        <f aca="false">E1176*2/27+V1175*25/27</f>
        <v>19328.3656666831</v>
      </c>
      <c r="W1176" s="7" t="n">
        <f aca="false">U1176-V1176</f>
        <v>96.3599248420142</v>
      </c>
      <c r="X1176" s="7" t="n">
        <f aca="false">W1176*2/10+X1175*8/10</f>
        <v>55.3938126336603</v>
      </c>
      <c r="Y1176" s="7" t="n">
        <f aca="false">W1176-X1176</f>
        <v>40.9661122083538</v>
      </c>
      <c r="Z1176" s="8" t="s">
        <v>42</v>
      </c>
      <c r="AA1176" s="7" t="str">
        <f aca="false">IFERROR(INDEX(02_轉折點45!B:B,MATCH(A1176,02_轉折點45!A:A,0)),"")</f>
        <v/>
      </c>
      <c r="AB1176" s="7" t="n">
        <f aca="false">COUNTIFS(05_訊號明細!A:A,A1176,05_訊號明細!C:C,"TOP")</f>
        <v>0</v>
      </c>
      <c r="AC1176" s="7" t="n">
        <f aca="false">COUNTIFS(05_訊號明細!A:A,A1176,05_訊號明細!C:C,"BOTTOM")</f>
        <v>0</v>
      </c>
    </row>
    <row r="1177" customFormat="false" ht="15" hidden="false" customHeight="false" outlineLevel="0" collapsed="false">
      <c r="A1177" s="7" t="s">
        <v>1218</v>
      </c>
      <c r="B1177" s="7" t="n">
        <v>19438.11</v>
      </c>
      <c r="C1177" s="7" t="n">
        <v>19438.11</v>
      </c>
      <c r="D1177" s="7" t="n">
        <v>18869.8</v>
      </c>
      <c r="E1177" s="7" t="n">
        <v>18958.74</v>
      </c>
      <c r="F1177" s="7" t="n">
        <v>5814</v>
      </c>
      <c r="G1177" s="7" t="n">
        <f aca="false">AVERAGE(E1173:E1177)</f>
        <v>19358.226</v>
      </c>
      <c r="H1177" s="7" t="n">
        <f aca="false">AVERAGE(E1168:E1177)</f>
        <v>19506.494</v>
      </c>
      <c r="I1177" s="7" t="n">
        <f aca="false">AVERAGE(E1158:E1177)</f>
        <v>19163.6725</v>
      </c>
      <c r="J1177" s="7" t="n">
        <f aca="false">AVERAGE(E1128:E1177)</f>
        <v>19458.1286</v>
      </c>
      <c r="K1177" s="7" t="n">
        <f aca="false">AVERAGE(E1078:E1177)</f>
        <v>18934.3364</v>
      </c>
      <c r="L1177" s="7" t="n">
        <f aca="false">AVERAGE(E978:E1177)</f>
        <v>18086.1982</v>
      </c>
      <c r="M1177" s="7" t="n">
        <f aca="false">I1177</f>
        <v>19163.6725</v>
      </c>
      <c r="N1177" s="7" t="n">
        <f aca="false">I1177+2*STDEV(E1158:E1177)</f>
        <v>20342.4713082768</v>
      </c>
      <c r="O1177" s="7" t="n">
        <f aca="false">I1177-2*STDEV(E1158:E1177)</f>
        <v>17984.8736917232</v>
      </c>
      <c r="P1177" s="7" t="n">
        <f aca="false">MAX(E1177-E1176,0)</f>
        <v>0</v>
      </c>
      <c r="Q1177" s="7" t="n">
        <f aca="false">MAX(E1176-E1177,0)</f>
        <v>615.899999999998</v>
      </c>
      <c r="R1177" s="7" t="n">
        <f aca="false">(R1176*13+P1177)/14</f>
        <v>106.123704106508</v>
      </c>
      <c r="S1177" s="7" t="n">
        <f aca="false">(S1176*13+Q1177)/14</f>
        <v>132.344375203671</v>
      </c>
      <c r="T1177" s="7" t="n">
        <f aca="false">IF(S1177=0,100,100-100/(1+R1177/S1177))</f>
        <v>44.5022681498899</v>
      </c>
      <c r="U1177" s="7" t="n">
        <f aca="false">E1177*2/13+U1176*11/13</f>
        <v>19353.0355005213</v>
      </c>
      <c r="V1177" s="7" t="n">
        <f aca="false">E1177*2/27+V1176*25/27</f>
        <v>19300.9859876696</v>
      </c>
      <c r="W1177" s="7" t="n">
        <f aca="false">U1177-V1177</f>
        <v>52.0495128517068</v>
      </c>
      <c r="X1177" s="7" t="n">
        <f aca="false">W1177*2/10+X1176*8/10</f>
        <v>54.7249526772696</v>
      </c>
      <c r="Y1177" s="7" t="n">
        <f aca="false">W1177-X1177</f>
        <v>-2.6754398255628</v>
      </c>
      <c r="Z1177" s="7" t="s">
        <v>78</v>
      </c>
      <c r="AA1177" s="7" t="str">
        <f aca="false">IFERROR(INDEX(02_轉折點45!B:B,MATCH(A1177,02_轉折點45!A:A,0)),"")</f>
        <v/>
      </c>
      <c r="AB1177" s="7" t="n">
        <f aca="false">COUNTIFS(05_訊號明細!A:A,A1177,05_訊號明細!C:C,"TOP")</f>
        <v>2</v>
      </c>
      <c r="AC1177" s="7" t="n">
        <f aca="false">COUNTIFS(05_訊號明細!A:A,A1177,05_訊號明細!C:C,"BOTTOM")</f>
        <v>0</v>
      </c>
    </row>
    <row r="1178" customFormat="false" ht="15" hidden="false" customHeight="false" outlineLevel="0" collapsed="false">
      <c r="A1178" s="7" t="s">
        <v>1219</v>
      </c>
      <c r="B1178" s="7" t="n">
        <v>18832.64</v>
      </c>
      <c r="C1178" s="7" t="n">
        <v>19070.82</v>
      </c>
      <c r="D1178" s="7" t="n">
        <v>18808.76</v>
      </c>
      <c r="E1178" s="7" t="n">
        <v>18921.4</v>
      </c>
      <c r="F1178" s="7" t="n">
        <v>5012</v>
      </c>
      <c r="G1178" s="7" t="n">
        <f aca="false">AVERAGE(E1174:E1178)</f>
        <v>19226.202</v>
      </c>
      <c r="H1178" s="7" t="n">
        <f aca="false">AVERAGE(E1169:E1178)</f>
        <v>19426.652</v>
      </c>
      <c r="I1178" s="7" t="n">
        <f aca="false">AVERAGE(E1159:E1178)</f>
        <v>19205.8465</v>
      </c>
      <c r="J1178" s="7" t="n">
        <f aca="false">AVERAGE(E1129:E1178)</f>
        <v>19447.0642</v>
      </c>
      <c r="K1178" s="7" t="n">
        <f aca="false">AVERAGE(E1079:E1178)</f>
        <v>18940.4706</v>
      </c>
      <c r="L1178" s="7" t="n">
        <f aca="false">AVERAGE(E979:E1178)</f>
        <v>18101.7193</v>
      </c>
      <c r="M1178" s="7" t="n">
        <f aca="false">I1178</f>
        <v>19205.8465</v>
      </c>
      <c r="N1178" s="7" t="n">
        <f aca="false">I1178+2*STDEV(E1159:E1178)</f>
        <v>20276.4789782802</v>
      </c>
      <c r="O1178" s="7" t="n">
        <f aca="false">I1178-2*STDEV(E1159:E1178)</f>
        <v>18135.2140217198</v>
      </c>
      <c r="P1178" s="7" t="n">
        <f aca="false">MAX(E1178-E1177,0)</f>
        <v>0</v>
      </c>
      <c r="Q1178" s="7" t="n">
        <f aca="false">MAX(E1177-E1178,0)</f>
        <v>37.3400000000001</v>
      </c>
      <c r="R1178" s="7" t="n">
        <f aca="false">(R1177*13+P1178)/14</f>
        <v>98.5434395274721</v>
      </c>
      <c r="S1178" s="7" t="n">
        <f aca="false">(S1177*13+Q1178)/14</f>
        <v>125.558348403409</v>
      </c>
      <c r="T1178" s="7" t="n">
        <f aca="false">IF(S1178=0,100,100-100/(1+R1178/S1178))</f>
        <v>43.972625313398</v>
      </c>
      <c r="U1178" s="7" t="n">
        <f aca="false">E1178*2/13+U1177*11/13</f>
        <v>19286.6300389026</v>
      </c>
      <c r="V1178" s="7" t="n">
        <f aca="false">E1178*2/27+V1177*25/27</f>
        <v>19272.8685071015</v>
      </c>
      <c r="W1178" s="7" t="n">
        <f aca="false">U1178-V1178</f>
        <v>13.7615318011631</v>
      </c>
      <c r="X1178" s="7" t="n">
        <f aca="false">W1178*2/10+X1177*8/10</f>
        <v>46.5322685020483</v>
      </c>
      <c r="Y1178" s="7" t="n">
        <f aca="false">W1178-X1178</f>
        <v>-32.7707367008852</v>
      </c>
      <c r="Z1178" s="7" t="s">
        <v>78</v>
      </c>
      <c r="AA1178" s="7" t="str">
        <f aca="false">IFERROR(INDEX(02_轉折點45!B:B,MATCH(A1178,02_轉折點45!A:A,0)),"")</f>
        <v/>
      </c>
      <c r="AB1178" s="7" t="n">
        <f aca="false">COUNTIFS(05_訊號明細!A:A,A1178,05_訊號明細!C:C,"TOP")</f>
        <v>0</v>
      </c>
      <c r="AC1178" s="7" t="n">
        <f aca="false">COUNTIFS(05_訊號明細!A:A,A1178,05_訊號明細!C:C,"BOTTOM")</f>
        <v>0</v>
      </c>
    </row>
    <row r="1179" customFormat="false" ht="15" hidden="false" customHeight="false" outlineLevel="0" collapsed="false">
      <c r="A1179" s="7" t="s">
        <v>1220</v>
      </c>
      <c r="B1179" s="7" t="n">
        <v>18864.42</v>
      </c>
      <c r="C1179" s="7" t="n">
        <v>19102.36</v>
      </c>
      <c r="D1179" s="7" t="n">
        <v>18806.83</v>
      </c>
      <c r="E1179" s="7" t="n">
        <v>18930.33</v>
      </c>
      <c r="F1179" s="7" t="n">
        <v>4983</v>
      </c>
      <c r="G1179" s="7" t="n">
        <f aca="false">AVERAGE(E1175:E1179)</f>
        <v>19142.112</v>
      </c>
      <c r="H1179" s="7" t="n">
        <f aca="false">AVERAGE(E1170:E1179)</f>
        <v>19337.201</v>
      </c>
      <c r="I1179" s="7" t="n">
        <f aca="false">AVERAGE(E1160:E1179)</f>
        <v>19258.9945</v>
      </c>
      <c r="J1179" s="7" t="n">
        <f aca="false">AVERAGE(E1130:E1179)</f>
        <v>19431.6482</v>
      </c>
      <c r="K1179" s="7" t="n">
        <f aca="false">AVERAGE(E1080:E1179)</f>
        <v>18949.739</v>
      </c>
      <c r="L1179" s="7" t="n">
        <f aca="false">AVERAGE(E980:E1179)</f>
        <v>18117.2051</v>
      </c>
      <c r="M1179" s="7" t="n">
        <f aca="false">I1179</f>
        <v>19258.9945</v>
      </c>
      <c r="N1179" s="7" t="n">
        <f aca="false">I1179+2*STDEV(E1160:E1179)</f>
        <v>20138.3006672041</v>
      </c>
      <c r="O1179" s="7" t="n">
        <f aca="false">I1179-2*STDEV(E1160:E1179)</f>
        <v>18379.6883327959</v>
      </c>
      <c r="P1179" s="7" t="n">
        <f aca="false">MAX(E1179-E1178,0)</f>
        <v>8.93000000000029</v>
      </c>
      <c r="Q1179" s="7" t="n">
        <f aca="false">MAX(E1178-E1179,0)</f>
        <v>0</v>
      </c>
      <c r="R1179" s="7" t="n">
        <f aca="false">(R1178*13+P1179)/14</f>
        <v>92.1424795612241</v>
      </c>
      <c r="S1179" s="7" t="n">
        <f aca="false">(S1178*13+Q1179)/14</f>
        <v>116.589894946023</v>
      </c>
      <c r="T1179" s="7" t="n">
        <f aca="false">IF(S1179=0,100,100-100/(1+R1179/S1179))</f>
        <v>44.1438371880473</v>
      </c>
      <c r="U1179" s="7" t="n">
        <f aca="false">E1179*2/13+U1178*11/13</f>
        <v>19231.8146483022</v>
      </c>
      <c r="V1179" s="7" t="n">
        <f aca="false">E1179*2/27+V1178*25/27</f>
        <v>19247.4952843532</v>
      </c>
      <c r="W1179" s="7" t="n">
        <f aca="false">U1179-V1179</f>
        <v>-15.6806360509872</v>
      </c>
      <c r="X1179" s="7" t="n">
        <f aca="false">W1179*2/10+X1178*8/10</f>
        <v>34.0896875914412</v>
      </c>
      <c r="Y1179" s="7" t="n">
        <f aca="false">W1179-X1179</f>
        <v>-49.7703236424284</v>
      </c>
      <c r="Z1179" s="8" t="s">
        <v>42</v>
      </c>
      <c r="AA1179" s="7" t="str">
        <f aca="false">IFERROR(INDEX(02_轉折點45!B:B,MATCH(A1179,02_轉折點45!A:A,0)),"")</f>
        <v/>
      </c>
      <c r="AB1179" s="7" t="n">
        <f aca="false">COUNTIFS(05_訊號明細!A:A,A1179,05_訊號明細!C:C,"TOP")</f>
        <v>0</v>
      </c>
      <c r="AC1179" s="7" t="n">
        <f aca="false">COUNTIFS(05_訊號明細!A:A,A1179,05_訊號明細!C:C,"BOTTOM")</f>
        <v>0</v>
      </c>
    </row>
    <row r="1180" customFormat="false" ht="15" hidden="false" customHeight="false" outlineLevel="0" collapsed="false">
      <c r="A1180" s="7" t="s">
        <v>1221</v>
      </c>
      <c r="B1180" s="7" t="n">
        <v>18903.03</v>
      </c>
      <c r="C1180" s="7" t="n">
        <v>18930.77</v>
      </c>
      <c r="D1180" s="7" t="n">
        <v>18400.97</v>
      </c>
      <c r="E1180" s="7" t="n">
        <v>18421.31</v>
      </c>
      <c r="F1180" s="7" t="n">
        <v>5549</v>
      </c>
      <c r="G1180" s="7" t="n">
        <f aca="false">AVERAGE(E1176:E1180)</f>
        <v>18961.284</v>
      </c>
      <c r="H1180" s="7" t="n">
        <f aca="false">AVERAGE(E1171:E1180)</f>
        <v>19230.148</v>
      </c>
      <c r="I1180" s="7" t="n">
        <f aca="false">AVERAGE(E1161:E1180)</f>
        <v>19259.369</v>
      </c>
      <c r="J1180" s="7" t="n">
        <f aca="false">AVERAGE(E1131:E1180)</f>
        <v>19405.0534</v>
      </c>
      <c r="K1180" s="7" t="n">
        <f aca="false">AVERAGE(E1081:E1180)</f>
        <v>18956.8838</v>
      </c>
      <c r="L1180" s="7" t="n">
        <f aca="false">AVERAGE(E981:E1180)</f>
        <v>18130.1217</v>
      </c>
      <c r="M1180" s="7" t="n">
        <f aca="false">I1180</f>
        <v>19259.369</v>
      </c>
      <c r="N1180" s="7" t="n">
        <f aca="false">I1180+2*STDEV(E1161:E1180)</f>
        <v>20137.1646152929</v>
      </c>
      <c r="O1180" s="7" t="n">
        <f aca="false">I1180-2*STDEV(E1161:E1180)</f>
        <v>18381.5733847071</v>
      </c>
      <c r="P1180" s="7" t="n">
        <f aca="false">MAX(E1180-E1179,0)</f>
        <v>0</v>
      </c>
      <c r="Q1180" s="7" t="n">
        <f aca="false">MAX(E1179-E1180,0)</f>
        <v>509.02</v>
      </c>
      <c r="R1180" s="7" t="n">
        <f aca="false">(R1179*13+P1180)/14</f>
        <v>85.5608738782795</v>
      </c>
      <c r="S1180" s="7" t="n">
        <f aca="false">(S1179*13+Q1180)/14</f>
        <v>144.620616735593</v>
      </c>
      <c r="T1180" s="7" t="n">
        <f aca="false">IF(S1180=0,100,100-100/(1+R1180/S1180))</f>
        <v>37.1710486582118</v>
      </c>
      <c r="U1180" s="7" t="n">
        <f aca="false">E1180*2/13+U1179*11/13</f>
        <v>19107.1216254865</v>
      </c>
      <c r="V1180" s="7" t="n">
        <f aca="false">E1180*2/27+V1179*25/27</f>
        <v>19186.2963744011</v>
      </c>
      <c r="W1180" s="7" t="n">
        <f aca="false">U1180-V1180</f>
        <v>-79.1747489146255</v>
      </c>
      <c r="X1180" s="7" t="n">
        <f aca="false">W1180*2/10+X1179*8/10</f>
        <v>11.4368002902279</v>
      </c>
      <c r="Y1180" s="7" t="n">
        <f aca="false">W1180-X1180</f>
        <v>-90.6115492048534</v>
      </c>
      <c r="Z1180" s="7" t="s">
        <v>78</v>
      </c>
      <c r="AA1180" s="7" t="str">
        <f aca="false">IFERROR(INDEX(02_轉折點45!B:B,MATCH(A1180,02_轉折點45!A:A,0)),"")</f>
        <v/>
      </c>
      <c r="AB1180" s="7" t="n">
        <f aca="false">COUNTIFS(05_訊號明細!A:A,A1180,05_訊號明細!C:C,"TOP")</f>
        <v>1</v>
      </c>
      <c r="AC1180" s="7" t="n">
        <f aca="false">COUNTIFS(05_訊號明細!A:A,A1180,05_訊號明細!C:C,"BOTTOM")</f>
        <v>0</v>
      </c>
    </row>
    <row r="1181" customFormat="false" ht="15" hidden="false" customHeight="false" outlineLevel="0" collapsed="false">
      <c r="A1181" s="7" t="s">
        <v>1222</v>
      </c>
      <c r="B1181" s="7" t="n">
        <v>18579.8</v>
      </c>
      <c r="C1181" s="7" t="n">
        <v>18693.86</v>
      </c>
      <c r="D1181" s="7" t="n">
        <v>18469.4</v>
      </c>
      <c r="E1181" s="7" t="n">
        <v>18660.78</v>
      </c>
      <c r="F1181" s="7" t="n">
        <v>5132</v>
      </c>
      <c r="G1181" s="7" t="n">
        <f aca="false">AVERAGE(E1177:E1181)</f>
        <v>18778.512</v>
      </c>
      <c r="H1181" s="7" t="n">
        <f aca="false">AVERAGE(E1172:E1181)</f>
        <v>19124.139</v>
      </c>
      <c r="I1181" s="7" t="n">
        <f aca="false">AVERAGE(E1162:E1181)</f>
        <v>19266.753</v>
      </c>
      <c r="J1181" s="7" t="n">
        <f aca="false">AVERAGE(E1132:E1181)</f>
        <v>19382.4884</v>
      </c>
      <c r="K1181" s="7" t="n">
        <f aca="false">AVERAGE(E1082:E1181)</f>
        <v>18966.355</v>
      </c>
      <c r="L1181" s="7" t="n">
        <f aca="false">AVERAGE(E982:E1181)</f>
        <v>18143.2903</v>
      </c>
      <c r="M1181" s="7" t="n">
        <f aca="false">I1181</f>
        <v>19266.753</v>
      </c>
      <c r="N1181" s="7" t="n">
        <f aca="false">I1181+2*STDEV(E1162:E1181)</f>
        <v>20120.2652885706</v>
      </c>
      <c r="O1181" s="7" t="n">
        <f aca="false">I1181-2*STDEV(E1162:E1181)</f>
        <v>18413.2407114294</v>
      </c>
      <c r="P1181" s="7" t="n">
        <f aca="false">MAX(E1181-E1180,0)</f>
        <v>239.469999999998</v>
      </c>
      <c r="Q1181" s="7" t="n">
        <f aca="false">MAX(E1180-E1181,0)</f>
        <v>0</v>
      </c>
      <c r="R1181" s="7" t="n">
        <f aca="false">(R1180*13+P1181)/14</f>
        <v>96.5543828869736</v>
      </c>
      <c r="S1181" s="7" t="n">
        <f aca="false">(S1180*13+Q1181)/14</f>
        <v>134.29057268305</v>
      </c>
      <c r="T1181" s="7" t="n">
        <f aca="false">IF(S1181=0,100,100-100/(1+R1181/S1181))</f>
        <v>41.8265076005462</v>
      </c>
      <c r="U1181" s="7" t="n">
        <f aca="false">E1181*2/13+U1180*11/13</f>
        <v>19038.4536831039</v>
      </c>
      <c r="V1181" s="7" t="n">
        <f aca="false">E1181*2/27+V1180*25/27</f>
        <v>19147.3692355566</v>
      </c>
      <c r="W1181" s="7" t="n">
        <f aca="false">U1181-V1181</f>
        <v>-108.915552452636</v>
      </c>
      <c r="X1181" s="7" t="n">
        <f aca="false">W1181*2/10+X1180*8/10</f>
        <v>-12.6336702583449</v>
      </c>
      <c r="Y1181" s="7" t="n">
        <f aca="false">W1181-X1181</f>
        <v>-96.281882194291</v>
      </c>
      <c r="Z1181" s="8" t="s">
        <v>42</v>
      </c>
      <c r="AA1181" s="7" t="str">
        <f aca="false">IFERROR(INDEX(02_轉折點45!B:B,MATCH(A1181,02_轉折點45!A:A,0)),"")</f>
        <v/>
      </c>
      <c r="AB1181" s="7" t="n">
        <f aca="false">COUNTIFS(05_訊號明細!A:A,A1181,05_訊號明細!C:C,"TOP")</f>
        <v>0</v>
      </c>
      <c r="AC1181" s="7" t="n">
        <f aca="false">COUNTIFS(05_訊號明細!A:A,A1181,05_訊號明細!C:C,"BOTTOM")</f>
        <v>0</v>
      </c>
    </row>
    <row r="1182" customFormat="false" ht="15" hidden="false" customHeight="false" outlineLevel="0" collapsed="false">
      <c r="A1182" s="7" t="s">
        <v>1223</v>
      </c>
      <c r="B1182" s="7" t="n">
        <v>18722.15</v>
      </c>
      <c r="C1182" s="7" t="n">
        <v>18845.74</v>
      </c>
      <c r="D1182" s="7" t="n">
        <v>18570.67</v>
      </c>
      <c r="E1182" s="7" t="n">
        <v>18829.14</v>
      </c>
      <c r="F1182" s="7" t="n">
        <v>4964</v>
      </c>
      <c r="G1182" s="7" t="n">
        <f aca="false">AVERAGE(E1178:E1182)</f>
        <v>18752.592</v>
      </c>
      <c r="H1182" s="7" t="n">
        <f aca="false">AVERAGE(E1173:E1182)</f>
        <v>19055.409</v>
      </c>
      <c r="I1182" s="7" t="n">
        <f aca="false">AVERAGE(E1163:E1182)</f>
        <v>19281.1085</v>
      </c>
      <c r="J1182" s="7" t="n">
        <f aca="false">AVERAGE(E1133:E1182)</f>
        <v>19365.4138</v>
      </c>
      <c r="K1182" s="7" t="n">
        <f aca="false">AVERAGE(E1083:E1182)</f>
        <v>18979.7102</v>
      </c>
      <c r="L1182" s="7" t="n">
        <f aca="false">AVERAGE(E983:E1182)</f>
        <v>18157.7679</v>
      </c>
      <c r="M1182" s="7" t="n">
        <f aca="false">I1182</f>
        <v>19281.1085</v>
      </c>
      <c r="N1182" s="7" t="n">
        <f aca="false">I1182+2*STDEV(E1163:E1182)</f>
        <v>20091.8853114534</v>
      </c>
      <c r="O1182" s="7" t="n">
        <f aca="false">I1182-2*STDEV(E1163:E1182)</f>
        <v>18470.3316885466</v>
      </c>
      <c r="P1182" s="7" t="n">
        <f aca="false">MAX(E1182-E1181,0)</f>
        <v>168.360000000001</v>
      </c>
      <c r="Q1182" s="7" t="n">
        <f aca="false">MAX(E1181-E1182,0)</f>
        <v>0</v>
      </c>
      <c r="R1182" s="7" t="n">
        <f aca="false">(R1181*13+P1182)/14</f>
        <v>101.683355537904</v>
      </c>
      <c r="S1182" s="7" t="n">
        <f aca="false">(S1181*13+Q1182)/14</f>
        <v>124.698388919975</v>
      </c>
      <c r="T1182" s="7" t="n">
        <f aca="false">IF(S1182=0,100,100-100/(1+R1182/S1182))</f>
        <v>44.9167647247384</v>
      </c>
      <c r="U1182" s="7" t="n">
        <f aca="false">E1182*2/13+U1181*11/13</f>
        <v>19006.251578011</v>
      </c>
      <c r="V1182" s="7" t="n">
        <f aca="false">E1182*2/27+V1181*25/27</f>
        <v>19123.7966995894</v>
      </c>
      <c r="W1182" s="7" t="n">
        <f aca="false">U1182-V1182</f>
        <v>-117.545121578398</v>
      </c>
      <c r="X1182" s="7" t="n">
        <f aca="false">W1182*2/10+X1181*8/10</f>
        <v>-33.6159605223555</v>
      </c>
      <c r="Y1182" s="7" t="n">
        <f aca="false">W1182-X1182</f>
        <v>-83.9291610560424</v>
      </c>
      <c r="Z1182" s="8" t="s">
        <v>42</v>
      </c>
      <c r="AA1182" s="7" t="str">
        <f aca="false">IFERROR(INDEX(02_轉折點45!B:B,MATCH(A1182,02_轉折點45!A:A,0)),"")</f>
        <v/>
      </c>
      <c r="AB1182" s="7" t="n">
        <f aca="false">COUNTIFS(05_訊號明細!A:A,A1182,05_訊號明細!C:C,"TOP")</f>
        <v>0</v>
      </c>
      <c r="AC1182" s="7" t="n">
        <f aca="false">COUNTIFS(05_訊號明細!A:A,A1182,05_訊號明細!C:C,"BOTTOM")</f>
        <v>0</v>
      </c>
    </row>
    <row r="1183" customFormat="false" ht="15" hidden="false" customHeight="false" outlineLevel="0" collapsed="false">
      <c r="A1183" s="7" t="s">
        <v>1224</v>
      </c>
      <c r="B1183" s="7" t="n">
        <v>18866</v>
      </c>
      <c r="C1183" s="7" t="n">
        <v>19266.39</v>
      </c>
      <c r="D1183" s="7" t="n">
        <v>18531.58</v>
      </c>
      <c r="E1183" s="7" t="n">
        <v>19237.3</v>
      </c>
      <c r="F1183" s="7" t="n">
        <v>6087</v>
      </c>
      <c r="G1183" s="7" t="n">
        <f aca="false">AVERAGE(E1179:E1183)</f>
        <v>18815.772</v>
      </c>
      <c r="H1183" s="7" t="n">
        <f aca="false">AVERAGE(E1174:E1183)</f>
        <v>19020.987</v>
      </c>
      <c r="I1183" s="7" t="n">
        <f aca="false">AVERAGE(E1164:E1183)</f>
        <v>19292.652</v>
      </c>
      <c r="J1183" s="7" t="n">
        <f aca="false">AVERAGE(E1134:E1183)</f>
        <v>19353.9154</v>
      </c>
      <c r="K1183" s="7" t="n">
        <f aca="false">AVERAGE(E1084:E1183)</f>
        <v>18998.1401</v>
      </c>
      <c r="L1183" s="7" t="n">
        <f aca="false">AVERAGE(E984:E1183)</f>
        <v>18173.94745</v>
      </c>
      <c r="M1183" s="7" t="n">
        <f aca="false">I1183</f>
        <v>19292.652</v>
      </c>
      <c r="N1183" s="7" t="n">
        <f aca="false">I1183+2*STDEV(E1164:E1183)</f>
        <v>20093.4754300321</v>
      </c>
      <c r="O1183" s="7" t="n">
        <f aca="false">I1183-2*STDEV(E1164:E1183)</f>
        <v>18491.8285699679</v>
      </c>
      <c r="P1183" s="7" t="n">
        <f aca="false">MAX(E1183-E1182,0)</f>
        <v>408.16</v>
      </c>
      <c r="Q1183" s="7" t="n">
        <f aca="false">MAX(E1182-E1183,0)</f>
        <v>0</v>
      </c>
      <c r="R1183" s="7" t="n">
        <f aca="false">(R1182*13+P1183)/14</f>
        <v>123.574544428054</v>
      </c>
      <c r="S1183" s="7" t="n">
        <f aca="false">(S1182*13+Q1183)/14</f>
        <v>115.791361139977</v>
      </c>
      <c r="T1183" s="7" t="n">
        <f aca="false">IF(S1183=0,100,100-100/(1+R1183/S1183))</f>
        <v>51.6257919584677</v>
      </c>
      <c r="U1183" s="7" t="n">
        <f aca="false">E1183*2/13+U1182*11/13</f>
        <v>19041.7974890863</v>
      </c>
      <c r="V1183" s="7" t="n">
        <f aca="false">E1183*2/27+V1182*25/27</f>
        <v>19132.2043514717</v>
      </c>
      <c r="W1183" s="7" t="n">
        <f aca="false">U1183-V1183</f>
        <v>-90.4068623854328</v>
      </c>
      <c r="X1183" s="7" t="n">
        <f aca="false">W1183*2/10+X1182*8/10</f>
        <v>-44.9741408949709</v>
      </c>
      <c r="Y1183" s="7" t="n">
        <f aca="false">W1183-X1183</f>
        <v>-45.4327214904618</v>
      </c>
      <c r="Z1183" s="8" t="s">
        <v>42</v>
      </c>
      <c r="AA1183" s="7" t="str">
        <f aca="false">IFERROR(INDEX(02_轉折點45!B:B,MATCH(A1183,02_轉折點45!A:A,0)),"")</f>
        <v/>
      </c>
      <c r="AB1183" s="7" t="n">
        <f aca="false">COUNTIFS(05_訊號明細!A:A,A1183,05_訊號明細!C:C,"TOP")</f>
        <v>0</v>
      </c>
      <c r="AC1183" s="7" t="n">
        <f aca="false">COUNTIFS(05_訊號明細!A:A,A1183,05_訊號明細!C:C,"BOTTOM")</f>
        <v>0</v>
      </c>
    </row>
    <row r="1184" customFormat="false" ht="15" hidden="false" customHeight="false" outlineLevel="0" collapsed="false">
      <c r="A1184" s="7" t="s">
        <v>1225</v>
      </c>
      <c r="B1184" s="7" t="n">
        <v>19236.42</v>
      </c>
      <c r="C1184" s="7" t="n">
        <v>19456.41</v>
      </c>
      <c r="D1184" s="7" t="n">
        <v>19166.8</v>
      </c>
      <c r="E1184" s="7" t="n">
        <v>19423.07</v>
      </c>
      <c r="F1184" s="7" t="n">
        <v>4983</v>
      </c>
      <c r="G1184" s="7" t="n">
        <f aca="false">AVERAGE(E1180:E1184)</f>
        <v>18914.32</v>
      </c>
      <c r="H1184" s="7" t="n">
        <f aca="false">AVERAGE(E1175:E1184)</f>
        <v>19028.216</v>
      </c>
      <c r="I1184" s="7" t="n">
        <f aca="false">AVERAGE(E1165:E1184)</f>
        <v>19312.6715</v>
      </c>
      <c r="J1184" s="7" t="n">
        <f aca="false">AVERAGE(E1135:E1184)</f>
        <v>19342.139</v>
      </c>
      <c r="K1184" s="7" t="n">
        <f aca="false">AVERAGE(E1085:E1184)</f>
        <v>19021.9943</v>
      </c>
      <c r="L1184" s="7" t="n">
        <f aca="false">AVERAGE(E985:E1184)</f>
        <v>18191.15275</v>
      </c>
      <c r="M1184" s="7" t="n">
        <f aca="false">I1184</f>
        <v>19312.6715</v>
      </c>
      <c r="N1184" s="7" t="n">
        <f aca="false">I1184+2*STDEV(E1165:E1184)</f>
        <v>20105.052277053</v>
      </c>
      <c r="O1184" s="7" t="n">
        <f aca="false">I1184-2*STDEV(E1165:E1184)</f>
        <v>18520.290722947</v>
      </c>
      <c r="P1184" s="7" t="n">
        <f aca="false">MAX(E1184-E1183,0)</f>
        <v>185.77</v>
      </c>
      <c r="Q1184" s="7" t="n">
        <f aca="false">MAX(E1183-E1184,0)</f>
        <v>0</v>
      </c>
      <c r="R1184" s="7" t="n">
        <f aca="false">(R1183*13+P1184)/14</f>
        <v>128.017076968907</v>
      </c>
      <c r="S1184" s="7" t="n">
        <f aca="false">(S1183*13+Q1184)/14</f>
        <v>107.520549629979</v>
      </c>
      <c r="T1184" s="7" t="n">
        <f aca="false">IF(S1184=0,100,100-100/(1+R1184/S1184))</f>
        <v>54.3510091433997</v>
      </c>
      <c r="U1184" s="7" t="n">
        <f aca="false">E1184*2/13+U1183*11/13</f>
        <v>19100.4547984576</v>
      </c>
      <c r="V1184" s="7" t="n">
        <f aca="false">E1184*2/27+V1183*25/27</f>
        <v>19153.7499550664</v>
      </c>
      <c r="W1184" s="7" t="n">
        <f aca="false">U1184-V1184</f>
        <v>-53.2951566087759</v>
      </c>
      <c r="X1184" s="7" t="n">
        <f aca="false">W1184*2/10+X1183*8/10</f>
        <v>-46.6383440377319</v>
      </c>
      <c r="Y1184" s="7" t="n">
        <f aca="false">W1184-X1184</f>
        <v>-6.65681257104395</v>
      </c>
      <c r="Z1184" s="8" t="s">
        <v>42</v>
      </c>
      <c r="AA1184" s="7" t="str">
        <f aca="false">IFERROR(INDEX(02_轉折點45!B:B,MATCH(A1184,02_轉折點45!A:A,0)),"")</f>
        <v/>
      </c>
      <c r="AB1184" s="7" t="n">
        <f aca="false">COUNTIFS(05_訊號明細!A:A,A1184,05_訊號明細!C:C,"TOP")</f>
        <v>0</v>
      </c>
      <c r="AC1184" s="7" t="n">
        <f aca="false">COUNTIFS(05_訊號明細!A:A,A1184,05_訊號明細!C:C,"BOTTOM")</f>
        <v>0</v>
      </c>
    </row>
    <row r="1185" customFormat="false" ht="15" hidden="false" customHeight="false" outlineLevel="0" collapsed="false">
      <c r="A1185" s="7" t="s">
        <v>1226</v>
      </c>
      <c r="B1185" s="7" t="n">
        <v>19396.1</v>
      </c>
      <c r="C1185" s="7" t="n">
        <v>19556.8</v>
      </c>
      <c r="D1185" s="7" t="n">
        <v>19384.69</v>
      </c>
      <c r="E1185" s="7" t="n">
        <v>19514.59</v>
      </c>
      <c r="F1185" s="7" t="n">
        <v>4803</v>
      </c>
      <c r="G1185" s="7" t="n">
        <f aca="false">AVERAGE(E1181:E1185)</f>
        <v>19132.976</v>
      </c>
      <c r="H1185" s="7" t="n">
        <f aca="false">AVERAGE(E1176:E1185)</f>
        <v>19047.13</v>
      </c>
      <c r="I1185" s="7" t="n">
        <f aca="false">AVERAGE(E1166:E1185)</f>
        <v>19313.8935</v>
      </c>
      <c r="J1185" s="7" t="n">
        <f aca="false">AVERAGE(E1136:E1185)</f>
        <v>19328.6982</v>
      </c>
      <c r="K1185" s="7" t="n">
        <f aca="false">AVERAGE(E1086:E1185)</f>
        <v>19045.0313</v>
      </c>
      <c r="L1185" s="7" t="n">
        <f aca="false">AVERAGE(E986:E1185)</f>
        <v>18208.9158</v>
      </c>
      <c r="M1185" s="7" t="n">
        <f aca="false">I1185</f>
        <v>19313.8935</v>
      </c>
      <c r="N1185" s="7" t="n">
        <f aca="false">I1185+2*STDEV(E1166:E1185)</f>
        <v>20107.5011522677</v>
      </c>
      <c r="O1185" s="7" t="n">
        <f aca="false">I1185-2*STDEV(E1166:E1185)</f>
        <v>18520.2858477323</v>
      </c>
      <c r="P1185" s="7" t="n">
        <f aca="false">MAX(E1185-E1184,0)</f>
        <v>91.5200000000004</v>
      </c>
      <c r="Q1185" s="7" t="n">
        <f aca="false">MAX(E1184-E1185,0)</f>
        <v>0</v>
      </c>
      <c r="R1185" s="7" t="n">
        <f aca="false">(R1184*13+P1185)/14</f>
        <v>125.4101428997</v>
      </c>
      <c r="S1185" s="7" t="n">
        <f aca="false">(S1184*13+Q1185)/14</f>
        <v>99.8405103706945</v>
      </c>
      <c r="T1185" s="7" t="n">
        <f aca="false">IF(S1185=0,100,100-100/(1+R1185/S1185))</f>
        <v>55.6758176186754</v>
      </c>
      <c r="U1185" s="7" t="n">
        <f aca="false">E1185*2/13+U1184*11/13</f>
        <v>19164.1679063872</v>
      </c>
      <c r="V1185" s="7" t="n">
        <f aca="false">E1185*2/27+V1184*25/27</f>
        <v>19180.4788472837</v>
      </c>
      <c r="W1185" s="7" t="n">
        <f aca="false">U1185-V1185</f>
        <v>-16.3109408964847</v>
      </c>
      <c r="X1185" s="7" t="n">
        <f aca="false">W1185*2/10+X1184*8/10</f>
        <v>-40.5728634094825</v>
      </c>
      <c r="Y1185" s="7" t="n">
        <f aca="false">W1185-X1185</f>
        <v>24.2619225129978</v>
      </c>
      <c r="Z1185" s="8" t="s">
        <v>42</v>
      </c>
      <c r="AA1185" s="7" t="str">
        <f aca="false">IFERROR(INDEX(02_轉折點45!B:B,MATCH(A1185,02_轉折點45!A:A,0)),"")</f>
        <v/>
      </c>
      <c r="AB1185" s="7" t="n">
        <f aca="false">COUNTIFS(05_訊號明細!A:A,A1185,05_訊號明細!C:C,"TOP")</f>
        <v>0</v>
      </c>
      <c r="AC1185" s="7" t="n">
        <f aca="false">COUNTIFS(05_訊號明細!A:A,A1185,05_訊號明細!C:C,"BOTTOM")</f>
        <v>0</v>
      </c>
    </row>
    <row r="1186" customFormat="false" ht="15" hidden="false" customHeight="false" outlineLevel="0" collapsed="false">
      <c r="A1186" s="7" t="s">
        <v>1227</v>
      </c>
      <c r="B1186" s="7" t="n">
        <v>19412.79</v>
      </c>
      <c r="C1186" s="7" t="n">
        <v>19446.06</v>
      </c>
      <c r="D1186" s="7" t="n">
        <v>19294.18</v>
      </c>
      <c r="E1186" s="7" t="n">
        <v>19423.06</v>
      </c>
      <c r="F1186" s="7" t="n">
        <v>4676</v>
      </c>
      <c r="G1186" s="7" t="n">
        <f aca="false">AVERAGE(E1182:E1186)</f>
        <v>19285.432</v>
      </c>
      <c r="H1186" s="7" t="n">
        <f aca="false">AVERAGE(E1177:E1186)</f>
        <v>19031.972</v>
      </c>
      <c r="I1186" s="7" t="n">
        <f aca="false">AVERAGE(E1167:E1186)</f>
        <v>19309.6205</v>
      </c>
      <c r="J1186" s="7" t="n">
        <f aca="false">AVERAGE(E1137:E1186)</f>
        <v>19309.32</v>
      </c>
      <c r="K1186" s="7" t="n">
        <f aca="false">AVERAGE(E1087:E1186)</f>
        <v>19064.5472</v>
      </c>
      <c r="L1186" s="7" t="n">
        <f aca="false">AVERAGE(E987:E1186)</f>
        <v>18225.97895</v>
      </c>
      <c r="M1186" s="7" t="n">
        <f aca="false">I1186</f>
        <v>19309.6205</v>
      </c>
      <c r="N1186" s="7" t="n">
        <f aca="false">I1186+2*STDEV(E1167:E1186)</f>
        <v>20099.7284116032</v>
      </c>
      <c r="O1186" s="7" t="n">
        <f aca="false">I1186-2*STDEV(E1167:E1186)</f>
        <v>18519.5125883969</v>
      </c>
      <c r="P1186" s="7" t="n">
        <f aca="false">MAX(E1186-E1185,0)</f>
        <v>0</v>
      </c>
      <c r="Q1186" s="7" t="n">
        <f aca="false">MAX(E1185-E1186,0)</f>
        <v>91.5299999999988</v>
      </c>
      <c r="R1186" s="7" t="n">
        <f aca="false">(R1185*13+P1186)/14</f>
        <v>116.452275549721</v>
      </c>
      <c r="S1186" s="7" t="n">
        <f aca="false">(S1185*13+Q1186)/14</f>
        <v>99.2469024870733</v>
      </c>
      <c r="T1186" s="7" t="n">
        <f aca="false">IF(S1186=0,100,100-100/(1+R1186/S1186))</f>
        <v>53.9882797002854</v>
      </c>
      <c r="U1186" s="7" t="n">
        <f aca="false">E1186*2/13+U1185*11/13</f>
        <v>19203.9974592507</v>
      </c>
      <c r="V1186" s="7" t="n">
        <f aca="false">E1186*2/27+V1185*25/27</f>
        <v>19198.447821559</v>
      </c>
      <c r="W1186" s="7" t="n">
        <f aca="false">U1186-V1186</f>
        <v>5.54963769173992</v>
      </c>
      <c r="X1186" s="7" t="n">
        <f aca="false">W1186*2/10+X1185*8/10</f>
        <v>-31.348363189238</v>
      </c>
      <c r="Y1186" s="7" t="n">
        <f aca="false">W1186-X1186</f>
        <v>36.8980008809779</v>
      </c>
      <c r="Z1186" s="8" t="s">
        <v>42</v>
      </c>
      <c r="AA1186" s="7" t="str">
        <f aca="false">IFERROR(INDEX(02_轉折點45!B:B,MATCH(A1186,02_轉折點45!A:A,0)),"")</f>
        <v/>
      </c>
      <c r="AB1186" s="7" t="n">
        <f aca="false">COUNTIFS(05_訊號明細!A:A,A1186,05_訊號明細!C:C,"TOP")</f>
        <v>1</v>
      </c>
      <c r="AC1186" s="7" t="n">
        <f aca="false">COUNTIFS(05_訊號明細!A:A,A1186,05_訊號明細!C:C,"BOTTOM")</f>
        <v>0</v>
      </c>
    </row>
    <row r="1187" customFormat="false" ht="15" hidden="false" customHeight="false" outlineLevel="0" collapsed="false">
      <c r="A1187" s="7" t="s">
        <v>1228</v>
      </c>
      <c r="B1187" s="7" t="n">
        <v>19539.75</v>
      </c>
      <c r="C1187" s="7" t="n">
        <v>19596.34</v>
      </c>
      <c r="D1187" s="7" t="n">
        <v>19337.12</v>
      </c>
      <c r="E1187" s="7" t="n">
        <v>19432.4</v>
      </c>
      <c r="F1187" s="7" t="n">
        <v>4960</v>
      </c>
      <c r="G1187" s="7" t="n">
        <f aca="false">AVERAGE(E1183:E1187)</f>
        <v>19406.084</v>
      </c>
      <c r="H1187" s="7" t="n">
        <f aca="false">AVERAGE(E1178:E1187)</f>
        <v>19079.338</v>
      </c>
      <c r="I1187" s="7" t="n">
        <f aca="false">AVERAGE(E1168:E1187)</f>
        <v>19292.916</v>
      </c>
      <c r="J1187" s="7" t="n">
        <f aca="false">AVERAGE(E1138:E1187)</f>
        <v>19289.1772</v>
      </c>
      <c r="K1187" s="7" t="n">
        <f aca="false">AVERAGE(E1088:E1187)</f>
        <v>19083.6032</v>
      </c>
      <c r="L1187" s="7" t="n">
        <f aca="false">AVERAGE(E988:E1187)</f>
        <v>18243.20295</v>
      </c>
      <c r="M1187" s="7" t="n">
        <f aca="false">I1187</f>
        <v>19292.916</v>
      </c>
      <c r="N1187" s="7" t="n">
        <f aca="false">I1187+2*STDEV(E1168:E1187)</f>
        <v>20056.0189717479</v>
      </c>
      <c r="O1187" s="7" t="n">
        <f aca="false">I1187-2*STDEV(E1168:E1187)</f>
        <v>18529.8130282521</v>
      </c>
      <c r="P1187" s="7" t="n">
        <f aca="false">MAX(E1187-E1186,0)</f>
        <v>9.34000000000015</v>
      </c>
      <c r="Q1187" s="7" t="n">
        <f aca="false">MAX(E1186-E1187,0)</f>
        <v>0</v>
      </c>
      <c r="R1187" s="7" t="n">
        <f aca="false">(R1186*13+P1187)/14</f>
        <v>108.801398724741</v>
      </c>
      <c r="S1187" s="7" t="n">
        <f aca="false">(S1186*13+Q1187)/14</f>
        <v>92.157838023711</v>
      </c>
      <c r="T1187" s="7" t="n">
        <f aca="false">IF(S1187=0,100,100-100/(1+R1187/S1187))</f>
        <v>54.1410290391039</v>
      </c>
      <c r="U1187" s="7" t="n">
        <f aca="false">E1187*2/13+U1186*11/13</f>
        <v>19239.1363116737</v>
      </c>
      <c r="V1187" s="7" t="n">
        <f aca="false">E1187*2/27+V1186*25/27</f>
        <v>19215.7776125546</v>
      </c>
      <c r="W1187" s="7" t="n">
        <f aca="false">U1187-V1187</f>
        <v>23.3586991190714</v>
      </c>
      <c r="X1187" s="7" t="n">
        <f aca="false">W1187*2/10+X1186*8/10</f>
        <v>-20.4069507275761</v>
      </c>
      <c r="Y1187" s="7" t="n">
        <f aca="false">W1187-X1187</f>
        <v>43.7656498466475</v>
      </c>
      <c r="Z1187" s="8" t="s">
        <v>42</v>
      </c>
      <c r="AA1187" s="7" t="str">
        <f aca="false">IFERROR(INDEX(02_轉折點45!B:B,MATCH(A1187,02_轉折點45!A:A,0)),"")</f>
        <v/>
      </c>
      <c r="AB1187" s="7" t="n">
        <f aca="false">COUNTIFS(05_訊號明細!A:A,A1187,05_訊號明細!C:C,"TOP")</f>
        <v>0</v>
      </c>
      <c r="AC1187" s="7" t="n">
        <f aca="false">COUNTIFS(05_訊號明細!A:A,A1187,05_訊號明細!C:C,"BOTTOM")</f>
        <v>0</v>
      </c>
    </row>
    <row r="1188" customFormat="false" ht="15" hidden="false" customHeight="false" outlineLevel="0" collapsed="false">
      <c r="A1188" s="7" t="s">
        <v>1229</v>
      </c>
      <c r="B1188" s="7" t="n">
        <v>19478.51</v>
      </c>
      <c r="C1188" s="7" t="n">
        <v>19643.51</v>
      </c>
      <c r="D1188" s="7" t="n">
        <v>19330.81</v>
      </c>
      <c r="E1188" s="7" t="n">
        <v>19344.49</v>
      </c>
      <c r="F1188" s="7" t="n">
        <v>5612</v>
      </c>
      <c r="G1188" s="7" t="n">
        <f aca="false">AVERAGE(E1184:E1188)</f>
        <v>19427.522</v>
      </c>
      <c r="H1188" s="7" t="n">
        <f aca="false">AVERAGE(E1179:E1188)</f>
        <v>19121.647</v>
      </c>
      <c r="I1188" s="7" t="n">
        <f aca="false">AVERAGE(E1169:E1188)</f>
        <v>19274.1495</v>
      </c>
      <c r="J1188" s="7" t="n">
        <f aca="false">AVERAGE(E1139:E1188)</f>
        <v>19267.0066</v>
      </c>
      <c r="K1188" s="7" t="n">
        <f aca="false">AVERAGE(E1089:E1188)</f>
        <v>19102.7431</v>
      </c>
      <c r="L1188" s="7" t="n">
        <f aca="false">AVERAGE(E989:E1188)</f>
        <v>18260.18605</v>
      </c>
      <c r="M1188" s="7" t="n">
        <f aca="false">I1188</f>
        <v>19274.1495</v>
      </c>
      <c r="N1188" s="7" t="n">
        <f aca="false">I1188+2*STDEV(E1169:E1188)</f>
        <v>20011.0588942584</v>
      </c>
      <c r="O1188" s="7" t="n">
        <f aca="false">I1188-2*STDEV(E1169:E1188)</f>
        <v>18537.2401057416</v>
      </c>
      <c r="P1188" s="7" t="n">
        <f aca="false">MAX(E1188-E1187,0)</f>
        <v>0</v>
      </c>
      <c r="Q1188" s="7" t="n">
        <f aca="false">MAX(E1187-E1188,0)</f>
        <v>87.9099999999999</v>
      </c>
      <c r="R1188" s="7" t="n">
        <f aca="false">(R1187*13+P1188)/14</f>
        <v>101.029870244402</v>
      </c>
      <c r="S1188" s="7" t="n">
        <f aca="false">(S1187*13+Q1188)/14</f>
        <v>91.8544210220173</v>
      </c>
      <c r="T1188" s="7" t="n">
        <f aca="false">IF(S1188=0,100,100-100/(1+R1188/S1188))</f>
        <v>52.3784853505026</v>
      </c>
      <c r="U1188" s="7" t="n">
        <f aca="false">E1188*2/13+U1187*11/13</f>
        <v>19255.3445714162</v>
      </c>
      <c r="V1188" s="7" t="n">
        <f aca="false">E1188*2/27+V1187*25/27</f>
        <v>19225.3118634765</v>
      </c>
      <c r="W1188" s="7" t="n">
        <f aca="false">U1188-V1188</f>
        <v>30.032707939703</v>
      </c>
      <c r="X1188" s="7" t="n">
        <f aca="false">W1188*2/10+X1187*8/10</f>
        <v>-10.3190189941203</v>
      </c>
      <c r="Y1188" s="7" t="n">
        <f aca="false">W1188-X1188</f>
        <v>40.3517269338233</v>
      </c>
      <c r="Z1188" s="8" t="s">
        <v>42</v>
      </c>
      <c r="AA1188" s="7" t="str">
        <f aca="false">IFERROR(INDEX(02_轉折點45!B:B,MATCH(A1188,02_轉折點45!A:A,0)),"")</f>
        <v/>
      </c>
      <c r="AB1188" s="7" t="n">
        <f aca="false">COUNTIFS(05_訊號明細!A:A,A1188,05_訊號明細!C:C,"TOP")</f>
        <v>0</v>
      </c>
      <c r="AC1188" s="7" t="n">
        <f aca="false">COUNTIFS(05_訊號明細!A:A,A1188,05_訊號明細!C:C,"BOTTOM")</f>
        <v>0</v>
      </c>
    </row>
    <row r="1189" customFormat="false" ht="15" hidden="false" customHeight="false" outlineLevel="0" collapsed="false">
      <c r="A1189" s="7" t="s">
        <v>1230</v>
      </c>
      <c r="B1189" s="7" t="n">
        <v>19798.71</v>
      </c>
      <c r="C1189" s="7" t="n">
        <v>19951.79</v>
      </c>
      <c r="D1189" s="7" t="n">
        <v>19723.94</v>
      </c>
      <c r="E1189" s="7" t="n">
        <v>19839.83</v>
      </c>
      <c r="F1189" s="7" t="n">
        <v>5575</v>
      </c>
      <c r="G1189" s="7" t="n">
        <f aca="false">AVERAGE(E1185:E1189)</f>
        <v>19510.874</v>
      </c>
      <c r="H1189" s="7" t="n">
        <f aca="false">AVERAGE(E1180:E1189)</f>
        <v>19212.597</v>
      </c>
      <c r="I1189" s="7" t="n">
        <f aca="false">AVERAGE(E1170:E1189)</f>
        <v>19274.899</v>
      </c>
      <c r="J1189" s="7" t="n">
        <f aca="false">AVERAGE(E1140:E1189)</f>
        <v>19250.2956</v>
      </c>
      <c r="K1189" s="7" t="n">
        <f aca="false">AVERAGE(E1090:E1189)</f>
        <v>19123.9584</v>
      </c>
      <c r="L1189" s="7" t="n">
        <f aca="false">AVERAGE(E990:E1189)</f>
        <v>18279.3973</v>
      </c>
      <c r="M1189" s="7" t="n">
        <f aca="false">I1189</f>
        <v>19274.899</v>
      </c>
      <c r="N1189" s="7" t="n">
        <f aca="false">I1189+2*STDEV(E1170:E1189)</f>
        <v>20014.1933405252</v>
      </c>
      <c r="O1189" s="7" t="n">
        <f aca="false">I1189-2*STDEV(E1170:E1189)</f>
        <v>18535.6046594748</v>
      </c>
      <c r="P1189" s="7" t="n">
        <f aca="false">MAX(E1189-E1188,0)</f>
        <v>495.34</v>
      </c>
      <c r="Q1189" s="7" t="n">
        <f aca="false">MAX(E1188-E1189,0)</f>
        <v>0</v>
      </c>
      <c r="R1189" s="7" t="n">
        <f aca="false">(R1188*13+P1189)/14</f>
        <v>129.194879512659</v>
      </c>
      <c r="S1189" s="7" t="n">
        <f aca="false">(S1188*13+Q1189)/14</f>
        <v>85.2933909490161</v>
      </c>
      <c r="T1189" s="7" t="n">
        <f aca="false">IF(S1189=0,100,100-100/(1+R1189/S1189))</f>
        <v>60.2340068454903</v>
      </c>
      <c r="U1189" s="7" t="n">
        <f aca="false">E1189*2/13+U1188*11/13</f>
        <v>19345.2654065829</v>
      </c>
      <c r="V1189" s="7" t="n">
        <f aca="false">E1189*2/27+V1188*25/27</f>
        <v>19270.8317254412</v>
      </c>
      <c r="W1189" s="7" t="n">
        <f aca="false">U1189-V1189</f>
        <v>74.4336811417379</v>
      </c>
      <c r="X1189" s="7" t="n">
        <f aca="false">W1189*2/10+X1188*8/10</f>
        <v>6.63152103305134</v>
      </c>
      <c r="Y1189" s="7" t="n">
        <f aca="false">W1189-X1189</f>
        <v>67.8021601086866</v>
      </c>
      <c r="Z1189" s="8" t="s">
        <v>42</v>
      </c>
      <c r="AA1189" s="7" t="str">
        <f aca="false">IFERROR(INDEX(02_轉折點45!B:B,MATCH(A1189,02_轉折點45!A:A,0)),"")</f>
        <v/>
      </c>
      <c r="AB1189" s="7" t="n">
        <f aca="false">COUNTIFS(05_訊號明細!A:A,A1189,05_訊號明細!C:C,"TOP")</f>
        <v>1</v>
      </c>
      <c r="AC1189" s="7" t="n">
        <f aca="false">COUNTIFS(05_訊號明細!A:A,A1189,05_訊號明細!C:C,"BOTTOM")</f>
        <v>0</v>
      </c>
    </row>
    <row r="1190" customFormat="false" ht="15" hidden="false" customHeight="false" outlineLevel="0" collapsed="false">
      <c r="A1190" s="7" t="s">
        <v>1231</v>
      </c>
      <c r="B1190" s="7" t="n">
        <v>19816.29</v>
      </c>
      <c r="C1190" s="7" t="n">
        <v>19845.7</v>
      </c>
      <c r="D1190" s="7" t="n">
        <v>19632.73</v>
      </c>
      <c r="E1190" s="7" t="n">
        <v>19791.49</v>
      </c>
      <c r="F1190" s="7" t="n">
        <v>9914</v>
      </c>
      <c r="G1190" s="7" t="n">
        <f aca="false">AVERAGE(E1186:E1190)</f>
        <v>19566.254</v>
      </c>
      <c r="H1190" s="7" t="n">
        <f aca="false">AVERAGE(E1181:E1190)</f>
        <v>19349.615</v>
      </c>
      <c r="I1190" s="7" t="n">
        <f aca="false">AVERAGE(E1171:E1190)</f>
        <v>19289.8815</v>
      </c>
      <c r="J1190" s="7" t="n">
        <f aca="false">AVERAGE(E1141:E1190)</f>
        <v>19241.8982</v>
      </c>
      <c r="K1190" s="7" t="n">
        <f aca="false">AVERAGE(E1091:E1190)</f>
        <v>19144.0461</v>
      </c>
      <c r="L1190" s="7" t="n">
        <f aca="false">AVERAGE(E991:E1190)</f>
        <v>18299.1564</v>
      </c>
      <c r="M1190" s="7" t="n">
        <f aca="false">I1190</f>
        <v>19289.8815</v>
      </c>
      <c r="N1190" s="7" t="n">
        <f aca="false">I1190+2*STDEV(E1171:E1190)</f>
        <v>20059.2222891593</v>
      </c>
      <c r="O1190" s="7" t="n">
        <f aca="false">I1190-2*STDEV(E1171:E1190)</f>
        <v>18520.5407108407</v>
      </c>
      <c r="P1190" s="7" t="n">
        <f aca="false">MAX(E1190-E1189,0)</f>
        <v>0</v>
      </c>
      <c r="Q1190" s="7" t="n">
        <f aca="false">MAX(E1189-E1190,0)</f>
        <v>48.3400000000001</v>
      </c>
      <c r="R1190" s="7" t="n">
        <f aca="false">(R1189*13+P1190)/14</f>
        <v>119.966673833184</v>
      </c>
      <c r="S1190" s="7" t="n">
        <f aca="false">(S1189*13+Q1190)/14</f>
        <v>82.6538630240864</v>
      </c>
      <c r="T1190" s="7" t="n">
        <f aca="false">IF(S1190=0,100,100-100/(1+R1190/S1190))</f>
        <v>59.2075589641195</v>
      </c>
      <c r="U1190" s="7" t="n">
        <f aca="false">E1190*2/13+U1189*11/13</f>
        <v>19413.9153440317</v>
      </c>
      <c r="V1190" s="7" t="n">
        <f aca="false">E1190*2/27+V1189*25/27</f>
        <v>19309.3990050381</v>
      </c>
      <c r="W1190" s="7" t="n">
        <f aca="false">U1190-V1190</f>
        <v>104.51633899357</v>
      </c>
      <c r="X1190" s="7" t="n">
        <f aca="false">W1190*2/10+X1189*8/10</f>
        <v>26.208484625155</v>
      </c>
      <c r="Y1190" s="7" t="n">
        <f aca="false">W1190-X1190</f>
        <v>78.3078543684147</v>
      </c>
      <c r="Z1190" s="8" t="s">
        <v>42</v>
      </c>
      <c r="AA1190" s="7" t="str">
        <f aca="false">IFERROR(INDEX(02_轉折點45!B:B,MATCH(A1190,02_轉折點45!A:A,0)),"")</f>
        <v/>
      </c>
      <c r="AB1190" s="7" t="n">
        <f aca="false">COUNTIFS(05_訊號明細!A:A,A1190,05_訊號明細!C:C,"TOP")</f>
        <v>1</v>
      </c>
      <c r="AC1190" s="7" t="n">
        <f aca="false">COUNTIFS(05_訊號明細!A:A,A1190,05_訊號明細!C:C,"BOTTOM")</f>
        <v>0</v>
      </c>
    </row>
    <row r="1191" customFormat="false" ht="15" hidden="false" customHeight="false" outlineLevel="0" collapsed="false">
      <c r="A1191" s="7" t="s">
        <v>1232</v>
      </c>
      <c r="B1191" s="7" t="n">
        <v>19848.71</v>
      </c>
      <c r="C1191" s="7" t="n">
        <v>19892.78</v>
      </c>
      <c r="D1191" s="7" t="n">
        <v>19797.82</v>
      </c>
      <c r="E1191" s="7" t="n">
        <v>19852.2</v>
      </c>
      <c r="F1191" s="7" t="n">
        <v>5237</v>
      </c>
      <c r="G1191" s="7" t="n">
        <f aca="false">AVERAGE(E1187:E1191)</f>
        <v>19652.082</v>
      </c>
      <c r="H1191" s="7" t="n">
        <f aca="false">AVERAGE(E1182:E1191)</f>
        <v>19468.757</v>
      </c>
      <c r="I1191" s="7" t="n">
        <f aca="false">AVERAGE(E1172:E1191)</f>
        <v>19296.448</v>
      </c>
      <c r="J1191" s="7" t="n">
        <f aca="false">AVERAGE(E1142:E1191)</f>
        <v>19232.3124</v>
      </c>
      <c r="K1191" s="7" t="n">
        <f aca="false">AVERAGE(E1092:E1191)</f>
        <v>19168.1612</v>
      </c>
      <c r="L1191" s="7" t="n">
        <f aca="false">AVERAGE(E992:E1191)</f>
        <v>18319.02885</v>
      </c>
      <c r="M1191" s="7" t="n">
        <f aca="false">I1191</f>
        <v>19296.448</v>
      </c>
      <c r="N1191" s="7" t="n">
        <f aca="false">I1191+2*STDEV(E1172:E1191)</f>
        <v>20083.3196964524</v>
      </c>
      <c r="O1191" s="7" t="n">
        <f aca="false">I1191-2*STDEV(E1172:E1191)</f>
        <v>18509.5763035476</v>
      </c>
      <c r="P1191" s="7" t="n">
        <f aca="false">MAX(E1191-E1190,0)</f>
        <v>60.7099999999991</v>
      </c>
      <c r="Q1191" s="7" t="n">
        <f aca="false">MAX(E1190-E1191,0)</f>
        <v>0</v>
      </c>
      <c r="R1191" s="7" t="n">
        <f aca="false">(R1190*13+P1191)/14</f>
        <v>115.73405427367</v>
      </c>
      <c r="S1191" s="7" t="n">
        <f aca="false">(S1190*13+Q1191)/14</f>
        <v>76.7500156652231</v>
      </c>
      <c r="T1191" s="7" t="n">
        <f aca="false">IF(S1191=0,100,100-100/(1+R1191/S1191))</f>
        <v>60.1265623230077</v>
      </c>
      <c r="U1191" s="7" t="n">
        <f aca="false">E1191*2/13+U1190*11/13</f>
        <v>19481.3437526422</v>
      </c>
      <c r="V1191" s="7" t="n">
        <f aca="false">E1191*2/27+V1190*25/27</f>
        <v>19349.6064861464</v>
      </c>
      <c r="W1191" s="7" t="n">
        <f aca="false">U1191-V1191</f>
        <v>131.737266495791</v>
      </c>
      <c r="X1191" s="7" t="n">
        <f aca="false">W1191*2/10+X1190*8/10</f>
        <v>47.3142409992822</v>
      </c>
      <c r="Y1191" s="7" t="n">
        <f aca="false">W1191-X1191</f>
        <v>84.4230254965089</v>
      </c>
      <c r="Z1191" s="8" t="s">
        <v>42</v>
      </c>
      <c r="AA1191" s="7" t="str">
        <f aca="false">IFERROR(INDEX(02_轉折點45!B:B,MATCH(A1191,02_轉折點45!A:A,0)),"")</f>
        <v/>
      </c>
      <c r="AB1191" s="7" t="n">
        <f aca="false">COUNTIFS(05_訊號明細!A:A,A1191,05_訊號明細!C:C,"TOP")</f>
        <v>0</v>
      </c>
      <c r="AC1191" s="7" t="n">
        <f aca="false">COUNTIFS(05_訊號明細!A:A,A1191,05_訊號明細!C:C,"BOTTOM")</f>
        <v>0</v>
      </c>
    </row>
    <row r="1192" customFormat="false" ht="15" hidden="false" customHeight="false" outlineLevel="0" collapsed="false">
      <c r="A1192" s="7" t="s">
        <v>1233</v>
      </c>
      <c r="B1192" s="7" t="n">
        <v>19917.56</v>
      </c>
      <c r="C1192" s="7" t="n">
        <v>19984.47</v>
      </c>
      <c r="D1192" s="7" t="n">
        <v>19739.67</v>
      </c>
      <c r="E1192" s="7" t="n">
        <v>19944.84</v>
      </c>
      <c r="F1192" s="7" t="n">
        <v>5348</v>
      </c>
      <c r="G1192" s="7" t="n">
        <f aca="false">AVERAGE(E1188:E1192)</f>
        <v>19754.57</v>
      </c>
      <c r="H1192" s="7" t="n">
        <f aca="false">AVERAGE(E1183:E1192)</f>
        <v>19580.327</v>
      </c>
      <c r="I1192" s="7" t="n">
        <f aca="false">AVERAGE(E1173:E1192)</f>
        <v>19317.868</v>
      </c>
      <c r="J1192" s="7" t="n">
        <f aca="false">AVERAGE(E1143:E1192)</f>
        <v>19223.4716</v>
      </c>
      <c r="K1192" s="7" t="n">
        <f aca="false">AVERAGE(E1093:E1192)</f>
        <v>19194.4241</v>
      </c>
      <c r="L1192" s="7" t="n">
        <f aca="false">AVERAGE(E993:E1192)</f>
        <v>18339.8128</v>
      </c>
      <c r="M1192" s="7" t="n">
        <f aca="false">I1192</f>
        <v>19317.868</v>
      </c>
      <c r="N1192" s="7" t="n">
        <f aca="false">I1192+2*STDEV(E1173:E1192)</f>
        <v>20151.8669832532</v>
      </c>
      <c r="O1192" s="7" t="n">
        <f aca="false">I1192-2*STDEV(E1173:E1192)</f>
        <v>18483.8690167468</v>
      </c>
      <c r="P1192" s="7" t="n">
        <f aca="false">MAX(E1192-E1191,0)</f>
        <v>92.6399999999994</v>
      </c>
      <c r="Q1192" s="7" t="n">
        <f aca="false">MAX(E1191-E1192,0)</f>
        <v>0</v>
      </c>
      <c r="R1192" s="7" t="n">
        <f aca="false">(R1191*13+P1192)/14</f>
        <v>114.084478968408</v>
      </c>
      <c r="S1192" s="7" t="n">
        <f aca="false">(S1191*13+Q1192)/14</f>
        <v>71.2678716891357</v>
      </c>
      <c r="T1192" s="7" t="n">
        <f aca="false">IF(S1192=0,100,100-100/(1+R1192/S1192))</f>
        <v>61.5500578027144</v>
      </c>
      <c r="U1192" s="7" t="n">
        <f aca="false">E1192*2/13+U1191*11/13</f>
        <v>19552.6508676203</v>
      </c>
      <c r="V1192" s="7" t="n">
        <f aca="false">E1192*2/27+V1191*25/27</f>
        <v>19393.697857543</v>
      </c>
      <c r="W1192" s="7" t="n">
        <f aca="false">U1192-V1192</f>
        <v>158.953010077352</v>
      </c>
      <c r="X1192" s="7" t="n">
        <f aca="false">W1192*2/10+X1191*8/10</f>
        <v>69.6419948148962</v>
      </c>
      <c r="Y1192" s="7" t="n">
        <f aca="false">W1192-X1192</f>
        <v>89.3110152624556</v>
      </c>
      <c r="Z1192" s="8" t="s">
        <v>42</v>
      </c>
      <c r="AA1192" s="7" t="str">
        <f aca="false">IFERROR(INDEX(02_轉折點45!B:B,MATCH(A1192,02_轉折點45!A:A,0)),"")</f>
        <v/>
      </c>
      <c r="AB1192" s="7" t="n">
        <f aca="false">COUNTIFS(05_訊號明細!A:A,A1192,05_訊號明細!C:C,"TOP")</f>
        <v>0</v>
      </c>
      <c r="AC1192" s="7" t="n">
        <f aca="false">COUNTIFS(05_訊號明細!A:A,A1192,05_訊號明細!C:C,"BOTTOM")</f>
        <v>0</v>
      </c>
    </row>
    <row r="1193" customFormat="false" ht="15" hidden="false" customHeight="false" outlineLevel="0" collapsed="false">
      <c r="A1193" s="7" t="s">
        <v>1234</v>
      </c>
      <c r="B1193" s="7" t="n">
        <v>19922.28</v>
      </c>
      <c r="C1193" s="7" t="n">
        <v>20043.43</v>
      </c>
      <c r="D1193" s="7" t="n">
        <v>19921.22</v>
      </c>
      <c r="E1193" s="7" t="n">
        <v>19972.61</v>
      </c>
      <c r="F1193" s="7" t="n">
        <v>4858</v>
      </c>
      <c r="G1193" s="7" t="n">
        <f aca="false">AVERAGE(E1189:E1193)</f>
        <v>19880.194</v>
      </c>
      <c r="H1193" s="7" t="n">
        <f aca="false">AVERAGE(E1184:E1193)</f>
        <v>19653.858</v>
      </c>
      <c r="I1193" s="7" t="n">
        <f aca="false">AVERAGE(E1174:E1193)</f>
        <v>19337.4225</v>
      </c>
      <c r="J1193" s="7" t="n">
        <f aca="false">AVERAGE(E1144:E1193)</f>
        <v>19214.9514</v>
      </c>
      <c r="K1193" s="7" t="n">
        <f aca="false">AVERAGE(E1094:E1193)</f>
        <v>19218.7348</v>
      </c>
      <c r="L1193" s="7" t="n">
        <f aca="false">AVERAGE(E994:E1193)</f>
        <v>18359.5634</v>
      </c>
      <c r="M1193" s="7" t="n">
        <f aca="false">I1193</f>
        <v>19337.4225</v>
      </c>
      <c r="N1193" s="7" t="n">
        <f aca="false">I1193+2*STDEV(E1174:E1193)</f>
        <v>20214.668199769</v>
      </c>
      <c r="O1193" s="7" t="n">
        <f aca="false">I1193-2*STDEV(E1174:E1193)</f>
        <v>18460.176800231</v>
      </c>
      <c r="P1193" s="7" t="n">
        <f aca="false">MAX(E1193-E1192,0)</f>
        <v>27.7700000000004</v>
      </c>
      <c r="Q1193" s="7" t="n">
        <f aca="false">MAX(E1192-E1193,0)</f>
        <v>0</v>
      </c>
      <c r="R1193" s="7" t="n">
        <f aca="false">(R1192*13+P1193)/14</f>
        <v>107.919159042093</v>
      </c>
      <c r="S1193" s="7" t="n">
        <f aca="false">(S1192*13+Q1193)/14</f>
        <v>66.177309425626</v>
      </c>
      <c r="T1193" s="7" t="n">
        <f aca="false">IF(S1193=0,100,100-100/(1+R1193/S1193))</f>
        <v>61.9881379512897</v>
      </c>
      <c r="U1193" s="7" t="n">
        <f aca="false">E1193*2/13+U1192*11/13</f>
        <v>19617.2599649095</v>
      </c>
      <c r="V1193" s="7" t="n">
        <f aca="false">E1193*2/27+V1192*25/27</f>
        <v>19436.5802384657</v>
      </c>
      <c r="W1193" s="7" t="n">
        <f aca="false">U1193-V1193</f>
        <v>180.679726443788</v>
      </c>
      <c r="X1193" s="7" t="n">
        <f aca="false">W1193*2/10+X1192*8/10</f>
        <v>91.8495411406746</v>
      </c>
      <c r="Y1193" s="7" t="n">
        <f aca="false">W1193-X1193</f>
        <v>88.8301853031137</v>
      </c>
      <c r="Z1193" s="8" t="s">
        <v>42</v>
      </c>
      <c r="AA1193" s="7" t="str">
        <f aca="false">IFERROR(INDEX(02_轉折點45!B:B,MATCH(A1193,02_轉折點45!A:A,0)),"")</f>
        <v/>
      </c>
      <c r="AB1193" s="7" t="n">
        <f aca="false">COUNTIFS(05_訊號明細!A:A,A1193,05_訊號明細!C:C,"TOP")</f>
        <v>0</v>
      </c>
      <c r="AC1193" s="7" t="n">
        <f aca="false">COUNTIFS(05_訊號明細!A:A,A1193,05_訊號明細!C:C,"BOTTOM")</f>
        <v>0</v>
      </c>
    </row>
    <row r="1194" customFormat="false" ht="15" hidden="false" customHeight="false" outlineLevel="0" collapsed="false">
      <c r="A1194" s="7" t="s">
        <v>1235</v>
      </c>
      <c r="B1194" s="7" t="n">
        <v>20273.3</v>
      </c>
      <c r="C1194" s="7" t="n">
        <v>20273.3</v>
      </c>
      <c r="D1194" s="7" t="n">
        <v>19966.99</v>
      </c>
      <c r="E1194" s="7" t="n">
        <v>20115.54</v>
      </c>
      <c r="F1194" s="7" t="n">
        <v>5669</v>
      </c>
      <c r="G1194" s="7" t="n">
        <f aca="false">AVERAGE(E1190:E1194)</f>
        <v>19935.336</v>
      </c>
      <c r="H1194" s="7" t="n">
        <f aca="false">AVERAGE(E1185:E1194)</f>
        <v>19723.105</v>
      </c>
      <c r="I1194" s="7" t="n">
        <f aca="false">AVERAGE(E1175:E1194)</f>
        <v>19375.6605</v>
      </c>
      <c r="J1194" s="7" t="n">
        <f aca="false">AVERAGE(E1145:E1194)</f>
        <v>19221.2794</v>
      </c>
      <c r="K1194" s="7" t="n">
        <f aca="false">AVERAGE(E1095:E1194)</f>
        <v>19240.9822</v>
      </c>
      <c r="L1194" s="7" t="n">
        <f aca="false">AVERAGE(E995:E1194)</f>
        <v>18379.71765</v>
      </c>
      <c r="M1194" s="7" t="n">
        <f aca="false">I1194</f>
        <v>19375.6605</v>
      </c>
      <c r="N1194" s="7" t="n">
        <f aca="false">I1194+2*STDEV(E1175:E1194)</f>
        <v>20319.4998722055</v>
      </c>
      <c r="O1194" s="7" t="n">
        <f aca="false">I1194-2*STDEV(E1175:E1194)</f>
        <v>18431.8211277945</v>
      </c>
      <c r="P1194" s="7" t="n">
        <f aca="false">MAX(E1194-E1193,0)</f>
        <v>142.93</v>
      </c>
      <c r="Q1194" s="7" t="n">
        <f aca="false">MAX(E1193-E1194,0)</f>
        <v>0</v>
      </c>
      <c r="R1194" s="7" t="n">
        <f aca="false">(R1193*13+P1194)/14</f>
        <v>110.41993339623</v>
      </c>
      <c r="S1194" s="7" t="n">
        <f aca="false">(S1193*13+Q1194)/14</f>
        <v>61.450358752367</v>
      </c>
      <c r="T1194" s="7" t="n">
        <f aca="false">IF(S1194=0,100,100-100/(1+R1194/S1194))</f>
        <v>64.2460846582853</v>
      </c>
      <c r="U1194" s="7" t="n">
        <f aca="false">E1194*2/13+U1193*11/13</f>
        <v>19693.9184318465</v>
      </c>
      <c r="V1194" s="7" t="n">
        <f aca="false">E1194*2/27+V1193*25/27</f>
        <v>19486.8735541349</v>
      </c>
      <c r="W1194" s="7" t="n">
        <f aca="false">U1194-V1194</f>
        <v>207.044877711578</v>
      </c>
      <c r="X1194" s="7" t="n">
        <f aca="false">W1194*2/10+X1193*8/10</f>
        <v>114.888608454855</v>
      </c>
      <c r="Y1194" s="7" t="n">
        <f aca="false">W1194-X1194</f>
        <v>92.1562692567228</v>
      </c>
      <c r="Z1194" s="8" t="s">
        <v>42</v>
      </c>
      <c r="AA1194" s="7" t="str">
        <f aca="false">IFERROR(INDEX(02_轉折點45!B:B,MATCH(A1194,02_轉折點45!A:A,0)),"")</f>
        <v/>
      </c>
      <c r="AB1194" s="7" t="n">
        <f aca="false">COUNTIFS(05_訊號明細!A:A,A1194,05_訊號明細!C:C,"TOP")</f>
        <v>0</v>
      </c>
      <c r="AC1194" s="7" t="n">
        <f aca="false">COUNTIFS(05_訊號明細!A:A,A1194,05_訊號明細!C:C,"BOTTOM")</f>
        <v>0</v>
      </c>
    </row>
    <row r="1195" customFormat="false" ht="15" hidden="false" customHeight="false" outlineLevel="0" collapsed="false">
      <c r="A1195" s="7" t="s">
        <v>1236</v>
      </c>
      <c r="B1195" s="7" t="n">
        <v>20147.28</v>
      </c>
      <c r="C1195" s="7" t="n">
        <v>20152.53</v>
      </c>
      <c r="D1195" s="7" t="n">
        <v>19964.13</v>
      </c>
      <c r="E1195" s="7" t="n">
        <v>20008.62</v>
      </c>
      <c r="F1195" s="7" t="n">
        <v>5368</v>
      </c>
      <c r="G1195" s="7" t="n">
        <f aca="false">AVERAGE(E1191:E1195)</f>
        <v>19978.762</v>
      </c>
      <c r="H1195" s="7" t="n">
        <f aca="false">AVERAGE(E1186:E1195)</f>
        <v>19772.508</v>
      </c>
      <c r="I1195" s="7" t="n">
        <f aca="false">AVERAGE(E1176:E1195)</f>
        <v>19409.819</v>
      </c>
      <c r="J1195" s="7" t="n">
        <f aca="false">AVERAGE(E1146:E1195)</f>
        <v>19227.35</v>
      </c>
      <c r="K1195" s="7" t="n">
        <f aca="false">AVERAGE(E1096:E1195)</f>
        <v>19260.1327</v>
      </c>
      <c r="L1195" s="7" t="n">
        <f aca="false">AVERAGE(E996:E1195)</f>
        <v>18398.6521</v>
      </c>
      <c r="M1195" s="7" t="n">
        <f aca="false">I1195</f>
        <v>19409.819</v>
      </c>
      <c r="N1195" s="7" t="n">
        <f aca="false">I1195+2*STDEV(E1176:E1195)</f>
        <v>20394.5696961428</v>
      </c>
      <c r="O1195" s="7" t="n">
        <f aca="false">I1195-2*STDEV(E1176:E1195)</f>
        <v>18425.0683038572</v>
      </c>
      <c r="P1195" s="7" t="n">
        <f aca="false">MAX(E1195-E1194,0)</f>
        <v>0</v>
      </c>
      <c r="Q1195" s="7" t="n">
        <f aca="false">MAX(E1194-E1195,0)</f>
        <v>106.920000000002</v>
      </c>
      <c r="R1195" s="7" t="n">
        <f aca="false">(R1194*13+P1195)/14</f>
        <v>102.532795296499</v>
      </c>
      <c r="S1195" s="7" t="n">
        <f aca="false">(S1194*13+Q1195)/14</f>
        <v>64.6981902700552</v>
      </c>
      <c r="T1195" s="7" t="n">
        <f aca="false">IF(S1195=0,100,100-100/(1+R1195/S1195))</f>
        <v>61.3120797854134</v>
      </c>
      <c r="U1195" s="7" t="n">
        <f aca="false">E1195*2/13+U1194*11/13</f>
        <v>19742.3340577163</v>
      </c>
      <c r="V1195" s="7" t="n">
        <f aca="false">E1195*2/27+V1194*25/27</f>
        <v>19525.5214390138</v>
      </c>
      <c r="W1195" s="7" t="n">
        <f aca="false">U1195-V1195</f>
        <v>216.812618702454</v>
      </c>
      <c r="X1195" s="7" t="n">
        <f aca="false">W1195*2/10+X1194*8/10</f>
        <v>135.273410504375</v>
      </c>
      <c r="Y1195" s="7" t="n">
        <f aca="false">W1195-X1195</f>
        <v>81.5392081980787</v>
      </c>
      <c r="Z1195" s="8" t="s">
        <v>42</v>
      </c>
      <c r="AA1195" s="7" t="str">
        <f aca="false">IFERROR(INDEX(02_轉折點45!B:B,MATCH(A1195,02_轉折點45!A:A,0)),"")</f>
        <v/>
      </c>
      <c r="AB1195" s="7" t="n">
        <f aca="false">COUNTIFS(05_訊號明細!A:A,A1195,05_訊號明細!C:C,"TOP")</f>
        <v>0</v>
      </c>
      <c r="AC1195" s="7" t="n">
        <f aca="false">COUNTIFS(05_訊號明細!A:A,A1195,05_訊號明細!C:C,"BOTTOM")</f>
        <v>0</v>
      </c>
    </row>
    <row r="1196" customFormat="false" ht="15" hidden="false" customHeight="false" outlineLevel="0" collapsed="false">
      <c r="A1196" s="7" t="s">
        <v>1237</v>
      </c>
      <c r="B1196" s="7" t="n">
        <v>19959.26</v>
      </c>
      <c r="C1196" s="7" t="n">
        <v>20072.43</v>
      </c>
      <c r="D1196" s="7" t="n">
        <v>19852.85</v>
      </c>
      <c r="E1196" s="7" t="n">
        <v>20060.69</v>
      </c>
      <c r="F1196" s="7" t="n">
        <v>5846</v>
      </c>
      <c r="G1196" s="7" t="n">
        <f aca="false">AVERAGE(E1192:E1196)</f>
        <v>20020.46</v>
      </c>
      <c r="H1196" s="7" t="n">
        <f aca="false">AVERAGE(E1187:E1196)</f>
        <v>19836.271</v>
      </c>
      <c r="I1196" s="7" t="n">
        <f aca="false">AVERAGE(E1177:E1196)</f>
        <v>19434.1215</v>
      </c>
      <c r="J1196" s="7" t="n">
        <f aca="false">AVERAGE(E1147:E1196)</f>
        <v>19238.1114</v>
      </c>
      <c r="K1196" s="7" t="n">
        <f aca="false">AVERAGE(E1097:E1196)</f>
        <v>19279.8251</v>
      </c>
      <c r="L1196" s="7" t="n">
        <f aca="false">AVERAGE(E997:E1196)</f>
        <v>18417.1843</v>
      </c>
      <c r="M1196" s="7" t="n">
        <f aca="false">I1196</f>
        <v>19434.1215</v>
      </c>
      <c r="N1196" s="7" t="n">
        <f aca="false">I1196+2*STDEV(E1177:E1196)</f>
        <v>20459.1648675914</v>
      </c>
      <c r="O1196" s="7" t="n">
        <f aca="false">I1196-2*STDEV(E1177:E1196)</f>
        <v>18409.0781324086</v>
      </c>
      <c r="P1196" s="7" t="n">
        <f aca="false">MAX(E1196-E1195,0)</f>
        <v>52.0699999999997</v>
      </c>
      <c r="Q1196" s="7" t="n">
        <f aca="false">MAX(E1195-E1196,0)</f>
        <v>0</v>
      </c>
      <c r="R1196" s="7" t="n">
        <f aca="false">(R1195*13+P1196)/14</f>
        <v>98.9283099181775</v>
      </c>
      <c r="S1196" s="7" t="n">
        <f aca="false">(S1195*13+Q1196)/14</f>
        <v>60.0768909650513</v>
      </c>
      <c r="T1196" s="7" t="n">
        <f aca="false">IF(S1196=0,100,100-100/(1+R1196/S1196))</f>
        <v>62.2170277252938</v>
      </c>
      <c r="U1196" s="7" t="n">
        <f aca="false">E1196*2/13+U1195*11/13</f>
        <v>19791.3118949907</v>
      </c>
      <c r="V1196" s="7" t="n">
        <f aca="false">E1196*2/27+V1195*25/27</f>
        <v>19565.1635546424</v>
      </c>
      <c r="W1196" s="7" t="n">
        <f aca="false">U1196-V1196</f>
        <v>226.148340348263</v>
      </c>
      <c r="X1196" s="7" t="n">
        <f aca="false">W1196*2/10+X1195*8/10</f>
        <v>153.448396473153</v>
      </c>
      <c r="Y1196" s="7" t="n">
        <f aca="false">W1196-X1196</f>
        <v>72.6999438751108</v>
      </c>
      <c r="Z1196" s="8" t="s">
        <v>42</v>
      </c>
      <c r="AA1196" s="7" t="str">
        <f aca="false">IFERROR(INDEX(02_轉折點45!B:B,MATCH(A1196,02_轉折點45!A:A,0)),"")</f>
        <v/>
      </c>
      <c r="AB1196" s="7" t="n">
        <f aca="false">COUNTIFS(05_訊號明細!A:A,A1196,05_訊號明細!C:C,"TOP")</f>
        <v>1</v>
      </c>
      <c r="AC1196" s="7" t="n">
        <f aca="false">COUNTIFS(05_訊號明細!A:A,A1196,05_訊號明細!C:C,"BOTTOM")</f>
        <v>1</v>
      </c>
    </row>
    <row r="1197" customFormat="false" ht="15" hidden="false" customHeight="false" outlineLevel="0" collapsed="false">
      <c r="A1197" s="7" t="s">
        <v>1238</v>
      </c>
      <c r="B1197" s="7" t="n">
        <v>20046.06</v>
      </c>
      <c r="C1197" s="7" t="n">
        <v>20056.2</v>
      </c>
      <c r="D1197" s="7" t="n">
        <v>19622.29</v>
      </c>
      <c r="E1197" s="7" t="n">
        <v>19773.3</v>
      </c>
      <c r="F1197" s="7" t="n">
        <v>5880</v>
      </c>
      <c r="G1197" s="7" t="n">
        <f aca="false">AVERAGE(E1193:E1197)</f>
        <v>19986.152</v>
      </c>
      <c r="H1197" s="7" t="n">
        <f aca="false">AVERAGE(E1188:E1197)</f>
        <v>19870.361</v>
      </c>
      <c r="I1197" s="7" t="n">
        <f aca="false">AVERAGE(E1178:E1197)</f>
        <v>19474.8495</v>
      </c>
      <c r="J1197" s="7" t="n">
        <f aca="false">AVERAGE(E1148:E1197)</f>
        <v>19237.12</v>
      </c>
      <c r="K1197" s="7" t="n">
        <f aca="false">AVERAGE(E1098:E1197)</f>
        <v>19296.708</v>
      </c>
      <c r="L1197" s="7" t="n">
        <f aca="false">AVERAGE(E998:E1197)</f>
        <v>18433.23895</v>
      </c>
      <c r="M1197" s="7" t="n">
        <f aca="false">I1197</f>
        <v>19474.8495</v>
      </c>
      <c r="N1197" s="7" t="n">
        <f aca="false">I1197+2*STDEV(E1178:E1197)</f>
        <v>20484.9844712312</v>
      </c>
      <c r="O1197" s="7" t="n">
        <f aca="false">I1197-2*STDEV(E1178:E1197)</f>
        <v>18464.7145287688</v>
      </c>
      <c r="P1197" s="7" t="n">
        <f aca="false">MAX(E1197-E1196,0)</f>
        <v>0</v>
      </c>
      <c r="Q1197" s="7" t="n">
        <f aca="false">MAX(E1196-E1197,0)</f>
        <v>287.389999999999</v>
      </c>
      <c r="R1197" s="7" t="n">
        <f aca="false">(R1196*13+P1197)/14</f>
        <v>91.8620020668791</v>
      </c>
      <c r="S1197" s="7" t="n">
        <f aca="false">(S1196*13+Q1197)/14</f>
        <v>76.3135416104047</v>
      </c>
      <c r="T1197" s="7" t="n">
        <f aca="false">IF(S1197=0,100,100-100/(1+R1197/S1197))</f>
        <v>54.6226877334527</v>
      </c>
      <c r="U1197" s="7" t="n">
        <f aca="false">E1197*2/13+U1196*11/13</f>
        <v>19788.5408342229</v>
      </c>
      <c r="V1197" s="7" t="n">
        <f aca="false">E1197*2/27+V1196*25/27</f>
        <v>19580.5810691134</v>
      </c>
      <c r="W1197" s="7" t="n">
        <f aca="false">U1197-V1197</f>
        <v>207.959765109536</v>
      </c>
      <c r="X1197" s="7" t="n">
        <f aca="false">W1197*2/10+X1196*8/10</f>
        <v>164.350670200429</v>
      </c>
      <c r="Y1197" s="7" t="n">
        <f aca="false">W1197-X1197</f>
        <v>43.6090949091063</v>
      </c>
      <c r="Z1197" s="8" t="s">
        <v>42</v>
      </c>
      <c r="AA1197" s="7" t="str">
        <f aca="false">IFERROR(INDEX(02_轉折點45!B:B,MATCH(A1197,02_轉折點45!A:A,0)),"")</f>
        <v/>
      </c>
      <c r="AB1197" s="7" t="n">
        <f aca="false">COUNTIFS(05_訊號明細!A:A,A1197,05_訊號明細!C:C,"TOP")</f>
        <v>0</v>
      </c>
      <c r="AC1197" s="7" t="n">
        <f aca="false">COUNTIFS(05_訊號明細!A:A,A1197,05_訊號明細!C:C,"BOTTOM")</f>
        <v>0</v>
      </c>
    </row>
    <row r="1198" customFormat="false" ht="15" hidden="false" customHeight="false" outlineLevel="0" collapsed="false">
      <c r="A1198" s="7" t="s">
        <v>1239</v>
      </c>
      <c r="B1198" s="7" t="n">
        <v>19725.95</v>
      </c>
      <c r="C1198" s="7" t="n">
        <v>19876.7</v>
      </c>
      <c r="D1198" s="7" t="n">
        <v>19630.91</v>
      </c>
      <c r="E1198" s="7" t="n">
        <v>19802.59</v>
      </c>
      <c r="F1198" s="7" t="n">
        <v>5489</v>
      </c>
      <c r="G1198" s="7" t="n">
        <f aca="false">AVERAGE(E1194:E1198)</f>
        <v>19952.148</v>
      </c>
      <c r="H1198" s="7" t="n">
        <f aca="false">AVERAGE(E1189:E1198)</f>
        <v>19916.171</v>
      </c>
      <c r="I1198" s="7" t="n">
        <f aca="false">AVERAGE(E1179:E1198)</f>
        <v>19518.909</v>
      </c>
      <c r="J1198" s="7" t="n">
        <f aca="false">AVERAGE(E1149:E1198)</f>
        <v>19238.085</v>
      </c>
      <c r="K1198" s="7" t="n">
        <f aca="false">AVERAGE(E1099:E1198)</f>
        <v>19313.5993</v>
      </c>
      <c r="L1198" s="7" t="n">
        <f aca="false">AVERAGE(E999:E1198)</f>
        <v>18449.56275</v>
      </c>
      <c r="M1198" s="7" t="n">
        <f aca="false">I1198</f>
        <v>19518.909</v>
      </c>
      <c r="N1198" s="7" t="n">
        <f aca="false">I1198+2*STDEV(E1179:E1198)</f>
        <v>20503.9607305123</v>
      </c>
      <c r="O1198" s="7" t="n">
        <f aca="false">I1198-2*STDEV(E1179:E1198)</f>
        <v>18533.8572694877</v>
      </c>
      <c r="P1198" s="7" t="n">
        <f aca="false">MAX(E1198-E1197,0)</f>
        <v>29.2900000000009</v>
      </c>
      <c r="Q1198" s="7" t="n">
        <f aca="false">MAX(E1197-E1198,0)</f>
        <v>0</v>
      </c>
      <c r="R1198" s="7" t="n">
        <f aca="false">(R1197*13+P1198)/14</f>
        <v>87.3925733478164</v>
      </c>
      <c r="S1198" s="7" t="n">
        <f aca="false">(S1197*13+Q1198)/14</f>
        <v>70.8625743525187</v>
      </c>
      <c r="T1198" s="7" t="n">
        <f aca="false">IF(S1198=0,100,100-100/(1+R1198/S1198))</f>
        <v>55.2225786129239</v>
      </c>
      <c r="U1198" s="7" t="n">
        <f aca="false">E1198*2/13+U1197*11/13</f>
        <v>19790.7022443425</v>
      </c>
      <c r="V1198" s="7" t="n">
        <f aca="false">E1198*2/27+V1197*25/27</f>
        <v>19597.026175105</v>
      </c>
      <c r="W1198" s="7" t="n">
        <f aca="false">U1198-V1198</f>
        <v>193.676069237488</v>
      </c>
      <c r="X1198" s="7" t="n">
        <f aca="false">W1198*2/10+X1197*8/10</f>
        <v>170.215750007841</v>
      </c>
      <c r="Y1198" s="7" t="n">
        <f aca="false">W1198-X1198</f>
        <v>23.4603192296473</v>
      </c>
      <c r="Z1198" s="8" t="s">
        <v>42</v>
      </c>
      <c r="AA1198" s="7" t="str">
        <f aca="false">IFERROR(INDEX(02_轉折點45!B:B,MATCH(A1198,02_轉折點45!A:A,0)),"")</f>
        <v/>
      </c>
      <c r="AB1198" s="7" t="n">
        <f aca="false">COUNTIFS(05_訊號明細!A:A,A1198,05_訊號明細!C:C,"TOP")</f>
        <v>0</v>
      </c>
      <c r="AC1198" s="7" t="n">
        <f aca="false">COUNTIFS(05_訊號明細!A:A,A1198,05_訊號明細!C:C,"BOTTOM")</f>
        <v>0</v>
      </c>
    </row>
    <row r="1199" customFormat="false" ht="15" hidden="false" customHeight="false" outlineLevel="0" collapsed="false">
      <c r="A1199" s="7" t="s">
        <v>1240</v>
      </c>
      <c r="B1199" s="7" t="n">
        <v>19712.33</v>
      </c>
      <c r="C1199" s="7" t="n">
        <v>19902.7</v>
      </c>
      <c r="D1199" s="7" t="n">
        <v>19688.22</v>
      </c>
      <c r="E1199" s="7" t="n">
        <v>19793.34</v>
      </c>
      <c r="F1199" s="7" t="n">
        <v>5209</v>
      </c>
      <c r="G1199" s="7" t="n">
        <f aca="false">AVERAGE(E1195:E1199)</f>
        <v>19887.708</v>
      </c>
      <c r="H1199" s="7" t="n">
        <f aca="false">AVERAGE(E1190:E1199)</f>
        <v>19911.522</v>
      </c>
      <c r="I1199" s="7" t="n">
        <f aca="false">AVERAGE(E1180:E1199)</f>
        <v>19562.0595</v>
      </c>
      <c r="J1199" s="7" t="n">
        <f aca="false">AVERAGE(E1150:E1199)</f>
        <v>19253.304</v>
      </c>
      <c r="K1199" s="7" t="n">
        <f aca="false">AVERAGE(E1100:E1199)</f>
        <v>19329.9209</v>
      </c>
      <c r="L1199" s="7" t="n">
        <f aca="false">AVERAGE(E1000:E1199)</f>
        <v>18465.4122</v>
      </c>
      <c r="M1199" s="7" t="n">
        <f aca="false">I1199</f>
        <v>19562.0595</v>
      </c>
      <c r="N1199" s="7" t="n">
        <f aca="false">I1199+2*STDEV(E1180:E1199)</f>
        <v>20513.590195082</v>
      </c>
      <c r="O1199" s="7" t="n">
        <f aca="false">I1199-2*STDEV(E1180:E1199)</f>
        <v>18610.528804918</v>
      </c>
      <c r="P1199" s="7" t="n">
        <f aca="false">MAX(E1199-E1198,0)</f>
        <v>0</v>
      </c>
      <c r="Q1199" s="7" t="n">
        <f aca="false">MAX(E1198-E1199,0)</f>
        <v>9.25</v>
      </c>
      <c r="R1199" s="7" t="n">
        <f aca="false">(R1198*13+P1199)/14</f>
        <v>81.1502466801152</v>
      </c>
      <c r="S1199" s="7" t="n">
        <f aca="false">(S1198*13+Q1199)/14</f>
        <v>66.4616761844816</v>
      </c>
      <c r="T1199" s="7" t="n">
        <f aca="false">IF(S1199=0,100,100-100/(1+R1199/S1199))</f>
        <v>54.9754011094034</v>
      </c>
      <c r="U1199" s="7" t="n">
        <f aca="false">E1199*2/13+U1198*11/13</f>
        <v>19791.1080529052</v>
      </c>
      <c r="V1199" s="7" t="n">
        <f aca="false">E1199*2/27+V1198*25/27</f>
        <v>19611.567939912</v>
      </c>
      <c r="W1199" s="7" t="n">
        <f aca="false">U1199-V1199</f>
        <v>179.540112993149</v>
      </c>
      <c r="X1199" s="7" t="n">
        <f aca="false">W1199*2/10+X1198*8/10</f>
        <v>172.080622604903</v>
      </c>
      <c r="Y1199" s="7" t="n">
        <f aca="false">W1199-X1199</f>
        <v>7.45949038824625</v>
      </c>
      <c r="Z1199" s="8" t="s">
        <v>42</v>
      </c>
      <c r="AA1199" s="7" t="str">
        <f aca="false">IFERROR(INDEX(02_轉折點45!B:B,MATCH(A1199,02_轉折點45!A:A,0)),"")</f>
        <v/>
      </c>
      <c r="AB1199" s="7" t="n">
        <f aca="false">COUNTIFS(05_訊號明細!A:A,A1199,05_訊號明細!C:C,"TOP")</f>
        <v>1</v>
      </c>
      <c r="AC1199" s="7" t="n">
        <f aca="false">COUNTIFS(05_訊號明細!A:A,A1199,05_訊號明細!C:C,"BOTTOM")</f>
        <v>0</v>
      </c>
    </row>
    <row r="1200" customFormat="false" ht="15" hidden="false" customHeight="false" outlineLevel="0" collapsed="false">
      <c r="A1200" s="7" t="s">
        <v>1241</v>
      </c>
      <c r="B1200" s="7" t="n">
        <v>20025.16</v>
      </c>
      <c r="C1200" s="7" t="n">
        <v>20045.69</v>
      </c>
      <c r="D1200" s="7" t="n">
        <v>19829.49</v>
      </c>
      <c r="E1200" s="7" t="n">
        <v>20035.02</v>
      </c>
      <c r="F1200" s="7" t="n">
        <v>5136</v>
      </c>
      <c r="G1200" s="7" t="n">
        <f aca="false">AVERAGE(E1196:E1200)</f>
        <v>19892.988</v>
      </c>
      <c r="H1200" s="7" t="n">
        <f aca="false">AVERAGE(E1191:E1200)</f>
        <v>19935.875</v>
      </c>
      <c r="I1200" s="7" t="n">
        <f aca="false">AVERAGE(E1181:E1200)</f>
        <v>19642.745</v>
      </c>
      <c r="J1200" s="7" t="n">
        <f aca="false">AVERAGE(E1151:E1200)</f>
        <v>19277.3928</v>
      </c>
      <c r="K1200" s="7" t="n">
        <f aca="false">AVERAGE(E1101:E1200)</f>
        <v>19348.285</v>
      </c>
      <c r="L1200" s="7" t="n">
        <f aca="false">AVERAGE(E1001:E1200)</f>
        <v>18481.9383</v>
      </c>
      <c r="M1200" s="7" t="n">
        <f aca="false">I1200</f>
        <v>19642.745</v>
      </c>
      <c r="N1200" s="7" t="n">
        <f aca="false">I1200+2*STDEV(E1181:E1200)</f>
        <v>20449.6728800488</v>
      </c>
      <c r="O1200" s="7" t="n">
        <f aca="false">I1200-2*STDEV(E1181:E1200)</f>
        <v>18835.8171199512</v>
      </c>
      <c r="P1200" s="7" t="n">
        <f aca="false">MAX(E1200-E1199,0)</f>
        <v>241.68</v>
      </c>
      <c r="Q1200" s="7" t="n">
        <f aca="false">MAX(E1199-E1200,0)</f>
        <v>0</v>
      </c>
      <c r="R1200" s="7" t="n">
        <f aca="false">(R1199*13+P1200)/14</f>
        <v>92.6166576315356</v>
      </c>
      <c r="S1200" s="7" t="n">
        <f aca="false">(S1199*13+Q1200)/14</f>
        <v>61.7144135998758</v>
      </c>
      <c r="T1200" s="7" t="n">
        <f aca="false">IF(S1200=0,100,100-100/(1+R1200/S1200))</f>
        <v>60.0116728877374</v>
      </c>
      <c r="U1200" s="7" t="n">
        <f aca="false">E1200*2/13+U1199*11/13</f>
        <v>19828.6329678428</v>
      </c>
      <c r="V1200" s="7" t="n">
        <f aca="false">E1200*2/27+V1199*25/27</f>
        <v>19642.9347591778</v>
      </c>
      <c r="W1200" s="7" t="n">
        <f aca="false">U1200-V1200</f>
        <v>185.698208665042</v>
      </c>
      <c r="X1200" s="7" t="n">
        <f aca="false">W1200*2/10+X1199*8/10</f>
        <v>174.804139816931</v>
      </c>
      <c r="Y1200" s="7" t="n">
        <f aca="false">W1200-X1200</f>
        <v>10.8940688481118</v>
      </c>
      <c r="Z1200" s="8" t="s">
        <v>42</v>
      </c>
      <c r="AA1200" s="7" t="str">
        <f aca="false">IFERROR(INDEX(02_轉折點45!B:B,MATCH(A1200,02_轉折點45!A:A,0)),"")</f>
        <v/>
      </c>
      <c r="AB1200" s="7" t="n">
        <f aca="false">COUNTIFS(05_訊號明細!A:A,A1200,05_訊號明細!C:C,"TOP")</f>
        <v>0</v>
      </c>
      <c r="AC1200" s="7" t="n">
        <f aca="false">COUNTIFS(05_訊號明細!A:A,A1200,05_訊號明細!C:C,"BOTTOM")</f>
        <v>0</v>
      </c>
    </row>
    <row r="1201" customFormat="false" ht="15" hidden="false" customHeight="false" outlineLevel="0" collapsed="false">
      <c r="A1201" s="7" t="s">
        <v>1242</v>
      </c>
      <c r="B1201" s="7" t="n">
        <v>19954.66</v>
      </c>
      <c r="C1201" s="7" t="n">
        <v>19990.12</v>
      </c>
      <c r="D1201" s="7" t="n">
        <v>19763.04</v>
      </c>
      <c r="E1201" s="7" t="n">
        <v>19800.74</v>
      </c>
      <c r="F1201" s="7" t="n">
        <v>5240</v>
      </c>
      <c r="G1201" s="7" t="n">
        <f aca="false">AVERAGE(E1197:E1201)</f>
        <v>19840.998</v>
      </c>
      <c r="H1201" s="7" t="n">
        <f aca="false">AVERAGE(E1192:E1201)</f>
        <v>19930.729</v>
      </c>
      <c r="I1201" s="7" t="n">
        <f aca="false">AVERAGE(E1182:E1201)</f>
        <v>19699.743</v>
      </c>
      <c r="J1201" s="7" t="n">
        <f aca="false">AVERAGE(E1152:E1201)</f>
        <v>19292.9344</v>
      </c>
      <c r="K1201" s="7" t="n">
        <f aca="false">AVERAGE(E1102:E1201)</f>
        <v>19363.0647</v>
      </c>
      <c r="L1201" s="7" t="n">
        <f aca="false">AVERAGE(E1002:E1201)</f>
        <v>18496.88275</v>
      </c>
      <c r="M1201" s="7" t="n">
        <f aca="false">I1201</f>
        <v>19699.743</v>
      </c>
      <c r="N1201" s="7" t="n">
        <f aca="false">I1201+2*STDEV(E1182:E1201)</f>
        <v>20362.8475937693</v>
      </c>
      <c r="O1201" s="7" t="n">
        <f aca="false">I1201-2*STDEV(E1182:E1201)</f>
        <v>19036.6384062307</v>
      </c>
      <c r="P1201" s="7" t="n">
        <f aca="false">MAX(E1201-E1200,0)</f>
        <v>0</v>
      </c>
      <c r="Q1201" s="7" t="n">
        <f aca="false">MAX(E1200-E1201,0)</f>
        <v>234.279999999999</v>
      </c>
      <c r="R1201" s="7" t="n">
        <f aca="false">(R1200*13+P1201)/14</f>
        <v>86.0011820864259</v>
      </c>
      <c r="S1201" s="7" t="n">
        <f aca="false">(S1200*13+Q1201)/14</f>
        <v>74.0405269141703</v>
      </c>
      <c r="T1201" s="7" t="n">
        <f aca="false">IF(S1201=0,100,100-100/(1+R1201/S1201))</f>
        <v>53.7367306457003</v>
      </c>
      <c r="U1201" s="7" t="n">
        <f aca="false">E1201*2/13+U1200*11/13</f>
        <v>19824.3417420209</v>
      </c>
      <c r="V1201" s="7" t="n">
        <f aca="false">E1201*2/27+V1200*25/27</f>
        <v>19654.6240362757</v>
      </c>
      <c r="W1201" s="7" t="n">
        <f aca="false">U1201-V1201</f>
        <v>169.717705745126</v>
      </c>
      <c r="X1201" s="7" t="n">
        <f aca="false">W1201*2/10+X1200*8/10</f>
        <v>173.78685300257</v>
      </c>
      <c r="Y1201" s="7" t="n">
        <f aca="false">W1201-X1201</f>
        <v>-4.06914725744338</v>
      </c>
      <c r="Z1201" s="8" t="s">
        <v>42</v>
      </c>
      <c r="AA1201" s="7" t="str">
        <f aca="false">IFERROR(INDEX(02_轉折點45!B:B,MATCH(A1201,02_轉折點45!A:A,0)),"")</f>
        <v/>
      </c>
      <c r="AB1201" s="7" t="n">
        <f aca="false">COUNTIFS(05_訊號明細!A:A,A1201,05_訊號明細!C:C,"TOP")</f>
        <v>0</v>
      </c>
      <c r="AC1201" s="7" t="n">
        <f aca="false">COUNTIFS(05_訊號明細!A:A,A1201,05_訊號明細!C:C,"BOTTOM")</f>
        <v>0</v>
      </c>
    </row>
    <row r="1202" customFormat="false" ht="15" hidden="false" customHeight="false" outlineLevel="0" collapsed="false">
      <c r="A1202" s="7" t="s">
        <v>1243</v>
      </c>
      <c r="B1202" s="7" t="n">
        <v>19902.21</v>
      </c>
      <c r="C1202" s="7" t="n">
        <v>20132.67</v>
      </c>
      <c r="D1202" s="7" t="n">
        <v>19881.08</v>
      </c>
      <c r="E1202" s="7" t="n">
        <v>20107.78</v>
      </c>
      <c r="F1202" s="7" t="n">
        <v>5567</v>
      </c>
      <c r="G1202" s="7" t="n">
        <f aca="false">AVERAGE(E1198:E1202)</f>
        <v>19907.894</v>
      </c>
      <c r="H1202" s="7" t="n">
        <f aca="false">AVERAGE(E1193:E1202)</f>
        <v>19947.023</v>
      </c>
      <c r="I1202" s="7" t="n">
        <f aca="false">AVERAGE(E1183:E1202)</f>
        <v>19763.675</v>
      </c>
      <c r="J1202" s="7" t="n">
        <f aca="false">AVERAGE(E1153:E1202)</f>
        <v>19313.9002</v>
      </c>
      <c r="K1202" s="7" t="n">
        <f aca="false">AVERAGE(E1103:E1202)</f>
        <v>19378.176</v>
      </c>
      <c r="L1202" s="7" t="n">
        <f aca="false">AVERAGE(E1003:E1202)</f>
        <v>18514.65085</v>
      </c>
      <c r="M1202" s="7" t="n">
        <f aca="false">I1202</f>
        <v>19763.675</v>
      </c>
      <c r="N1202" s="7" t="n">
        <f aca="false">I1202+2*STDEV(E1183:E1202)</f>
        <v>20309.5514431435</v>
      </c>
      <c r="O1202" s="7" t="n">
        <f aca="false">I1202-2*STDEV(E1183:E1202)</f>
        <v>19217.7985568565</v>
      </c>
      <c r="P1202" s="7" t="n">
        <f aca="false">MAX(E1202-E1201,0)</f>
        <v>307.039999999997</v>
      </c>
      <c r="Q1202" s="7" t="n">
        <f aca="false">MAX(E1201-E1202,0)</f>
        <v>0</v>
      </c>
      <c r="R1202" s="7" t="n">
        <f aca="false">(R1201*13+P1202)/14</f>
        <v>101.789669080252</v>
      </c>
      <c r="S1202" s="7" t="n">
        <f aca="false">(S1201*13+Q1202)/14</f>
        <v>68.7519178488724</v>
      </c>
      <c r="T1202" s="7" t="n">
        <f aca="false">IF(S1202=0,100,100-100/(1+R1202/S1202))</f>
        <v>59.686127538238</v>
      </c>
      <c r="U1202" s="7" t="n">
        <f aca="false">E1202*2/13+U1201*11/13</f>
        <v>19867.9476278638</v>
      </c>
      <c r="V1202" s="7" t="n">
        <f aca="false">E1202*2/27+V1201*25/27</f>
        <v>19688.1911446997</v>
      </c>
      <c r="W1202" s="7" t="n">
        <f aca="false">U1202-V1202</f>
        <v>179.756483164052</v>
      </c>
      <c r="X1202" s="7" t="n">
        <f aca="false">W1202*2/10+X1201*8/10</f>
        <v>174.980779034866</v>
      </c>
      <c r="Y1202" s="7" t="n">
        <f aca="false">W1202-X1202</f>
        <v>4.7757041291859</v>
      </c>
      <c r="Z1202" s="8" t="s">
        <v>42</v>
      </c>
      <c r="AA1202" s="7" t="str">
        <f aca="false">IFERROR(INDEX(02_轉折點45!B:B,MATCH(A1202,02_轉折點45!A:A,0)),"")</f>
        <v/>
      </c>
      <c r="AB1202" s="7" t="n">
        <f aca="false">COUNTIFS(05_訊號明細!A:A,A1202,05_訊號明細!C:C,"TOP")</f>
        <v>0</v>
      </c>
      <c r="AC1202" s="7" t="n">
        <f aca="false">COUNTIFS(05_訊號明細!A:A,A1202,05_訊號明細!C:C,"BOTTOM")</f>
        <v>0</v>
      </c>
    </row>
    <row r="1203" customFormat="false" ht="15" hidden="false" customHeight="false" outlineLevel="0" collapsed="false">
      <c r="A1203" s="7" t="s">
        <v>1244</v>
      </c>
      <c r="B1203" s="7" t="n">
        <v>20097.56</v>
      </c>
      <c r="C1203" s="7" t="n">
        <v>20284.42</v>
      </c>
      <c r="D1203" s="7" t="n">
        <v>20047.86</v>
      </c>
      <c r="E1203" s="7" t="n">
        <v>20268.86</v>
      </c>
      <c r="F1203" s="7" t="n">
        <v>5229</v>
      </c>
      <c r="G1203" s="7" t="n">
        <f aca="false">AVERAGE(E1199:E1203)</f>
        <v>20001.148</v>
      </c>
      <c r="H1203" s="7" t="n">
        <f aca="false">AVERAGE(E1194:E1203)</f>
        <v>19976.648</v>
      </c>
      <c r="I1203" s="7" t="n">
        <f aca="false">AVERAGE(E1184:E1203)</f>
        <v>19815.253</v>
      </c>
      <c r="J1203" s="7" t="n">
        <f aca="false">AVERAGE(E1154:E1203)</f>
        <v>19343.352</v>
      </c>
      <c r="K1203" s="7" t="n">
        <f aca="false">AVERAGE(E1104:E1203)</f>
        <v>19395.285</v>
      </c>
      <c r="L1203" s="7" t="n">
        <f aca="false">AVERAGE(E1004:E1203)</f>
        <v>18532.2081</v>
      </c>
      <c r="M1203" s="7" t="n">
        <f aca="false">I1203</f>
        <v>19815.253</v>
      </c>
      <c r="N1203" s="7" t="n">
        <f aca="false">I1203+2*STDEV(E1184:E1203)</f>
        <v>20346.4573169252</v>
      </c>
      <c r="O1203" s="7" t="n">
        <f aca="false">I1203-2*STDEV(E1184:E1203)</f>
        <v>19284.0486830748</v>
      </c>
      <c r="P1203" s="7" t="n">
        <f aca="false">MAX(E1203-E1202,0)</f>
        <v>161.080000000002</v>
      </c>
      <c r="Q1203" s="7" t="n">
        <f aca="false">MAX(E1202-E1203,0)</f>
        <v>0</v>
      </c>
      <c r="R1203" s="7" t="n">
        <f aca="false">(R1202*13+P1203)/14</f>
        <v>106.024692717377</v>
      </c>
      <c r="S1203" s="7" t="n">
        <f aca="false">(S1202*13+Q1203)/14</f>
        <v>63.841066573953</v>
      </c>
      <c r="T1203" s="7" t="n">
        <f aca="false">IF(S1203=0,100,100-100/(1+R1203/S1203))</f>
        <v>62.4167537705692</v>
      </c>
      <c r="U1203" s="7" t="n">
        <f aca="false">E1203*2/13+U1202*11/13</f>
        <v>19929.6264543463</v>
      </c>
      <c r="V1203" s="7" t="n">
        <f aca="false">E1203*2/27+V1202*25/27</f>
        <v>19731.2036524998</v>
      </c>
      <c r="W1203" s="7" t="n">
        <f aca="false">U1203-V1203</f>
        <v>198.422801846526</v>
      </c>
      <c r="X1203" s="7" t="n">
        <f aca="false">W1203*2/10+X1202*8/10</f>
        <v>179.669183597198</v>
      </c>
      <c r="Y1203" s="7" t="n">
        <f aca="false">W1203-X1203</f>
        <v>18.7536182493275</v>
      </c>
      <c r="Z1203" s="8" t="s">
        <v>42</v>
      </c>
      <c r="AA1203" s="7" t="str">
        <f aca="false">IFERROR(INDEX(02_轉折點45!B:B,MATCH(A1203,02_轉折點45!A:A,0)),"")</f>
        <v/>
      </c>
      <c r="AB1203" s="7" t="n">
        <f aca="false">COUNTIFS(05_訊號明細!A:A,A1203,05_訊號明細!C:C,"TOP")</f>
        <v>0</v>
      </c>
      <c r="AC1203" s="7" t="n">
        <f aca="false">COUNTIFS(05_訊號明細!A:A,A1203,05_訊號明細!C:C,"BOTTOM")</f>
        <v>0</v>
      </c>
    </row>
    <row r="1204" customFormat="false" ht="15" hidden="false" customHeight="false" outlineLevel="0" collapsed="false">
      <c r="A1204" s="7" t="s">
        <v>1245</v>
      </c>
      <c r="B1204" s="7" t="n">
        <v>20165.25</v>
      </c>
      <c r="C1204" s="7" t="n">
        <v>20314.24</v>
      </c>
      <c r="D1204" s="7" t="n">
        <v>20117.2</v>
      </c>
      <c r="E1204" s="7" t="n">
        <v>20241.76</v>
      </c>
      <c r="F1204" s="7" t="n">
        <v>5855</v>
      </c>
      <c r="G1204" s="7" t="n">
        <f aca="false">AVERAGE(E1200:E1204)</f>
        <v>20090.832</v>
      </c>
      <c r="H1204" s="7" t="n">
        <f aca="false">AVERAGE(E1195:E1204)</f>
        <v>19989.27</v>
      </c>
      <c r="I1204" s="7" t="n">
        <f aca="false">AVERAGE(E1185:E1204)</f>
        <v>19856.1875</v>
      </c>
      <c r="J1204" s="7" t="n">
        <f aca="false">AVERAGE(E1155:E1204)</f>
        <v>19360.9386</v>
      </c>
      <c r="K1204" s="7" t="n">
        <f aca="false">AVERAGE(E1105:E1204)</f>
        <v>19412.2403</v>
      </c>
      <c r="L1204" s="7" t="n">
        <f aca="false">AVERAGE(E1005:E1204)</f>
        <v>18549.5299</v>
      </c>
      <c r="M1204" s="7" t="n">
        <f aca="false">I1204</f>
        <v>19856.1875</v>
      </c>
      <c r="N1204" s="7" t="n">
        <f aca="false">I1204+2*STDEV(E1185:E1204)</f>
        <v>20386.3183030795</v>
      </c>
      <c r="O1204" s="7" t="n">
        <f aca="false">I1204-2*STDEV(E1185:E1204)</f>
        <v>19326.0566969205</v>
      </c>
      <c r="P1204" s="7" t="n">
        <f aca="false">MAX(E1204-E1203,0)</f>
        <v>0</v>
      </c>
      <c r="Q1204" s="7" t="n">
        <f aca="false">MAX(E1203-E1204,0)</f>
        <v>27.1000000000022</v>
      </c>
      <c r="R1204" s="7" t="n">
        <f aca="false">(R1203*13+P1204)/14</f>
        <v>98.4515003804218</v>
      </c>
      <c r="S1204" s="7" t="n">
        <f aca="false">(S1203*13+Q1204)/14</f>
        <v>61.2167046758136</v>
      </c>
      <c r="T1204" s="7" t="n">
        <f aca="false">IF(S1204=0,100,100-100/(1+R1204/S1204))</f>
        <v>61.6600533247975</v>
      </c>
      <c r="U1204" s="7" t="n">
        <f aca="false">E1204*2/13+U1203*11/13</f>
        <v>19977.6469998315</v>
      </c>
      <c r="V1204" s="7" t="n">
        <f aca="false">E1204*2/27+V1203*25/27</f>
        <v>19769.0226412035</v>
      </c>
      <c r="W1204" s="7" t="n">
        <f aca="false">U1204-V1204</f>
        <v>208.624358627992</v>
      </c>
      <c r="X1204" s="7" t="n">
        <f aca="false">W1204*2/10+X1203*8/10</f>
        <v>185.460218603357</v>
      </c>
      <c r="Y1204" s="7" t="n">
        <f aca="false">W1204-X1204</f>
        <v>23.1641400246356</v>
      </c>
      <c r="Z1204" s="8" t="s">
        <v>42</v>
      </c>
      <c r="AA1204" s="7" t="str">
        <f aca="false">IFERROR(INDEX(02_轉折點45!B:B,MATCH(A1204,02_轉折點45!A:A,0)),"")</f>
        <v/>
      </c>
      <c r="AB1204" s="7" t="n">
        <f aca="false">COUNTIFS(05_訊號明細!A:A,A1204,05_訊號明細!C:C,"TOP")</f>
        <v>0</v>
      </c>
      <c r="AC1204" s="7" t="n">
        <f aca="false">COUNTIFS(05_訊號明細!A:A,A1204,05_訊號明細!C:C,"BOTTOM")</f>
        <v>0</v>
      </c>
    </row>
    <row r="1205" customFormat="false" ht="15" hidden="false" customHeight="false" outlineLevel="0" collapsed="false">
      <c r="A1205" s="7" t="s">
        <v>1246</v>
      </c>
      <c r="B1205" s="7" t="n">
        <v>20154.84</v>
      </c>
      <c r="C1205" s="7" t="n">
        <v>20313.2</v>
      </c>
      <c r="D1205" s="7" t="n">
        <v>20142.18</v>
      </c>
      <c r="E1205" s="7" t="n">
        <v>20271.97</v>
      </c>
      <c r="F1205" s="7" t="n">
        <v>5140</v>
      </c>
      <c r="G1205" s="7" t="n">
        <f aca="false">AVERAGE(E1201:E1205)</f>
        <v>20138.222</v>
      </c>
      <c r="H1205" s="7" t="n">
        <f aca="false">AVERAGE(E1196:E1205)</f>
        <v>20015.605</v>
      </c>
      <c r="I1205" s="7" t="n">
        <f aca="false">AVERAGE(E1186:E1205)</f>
        <v>19894.0565</v>
      </c>
      <c r="J1205" s="7" t="n">
        <f aca="false">AVERAGE(E1156:E1205)</f>
        <v>19388.5702</v>
      </c>
      <c r="K1205" s="7" t="n">
        <f aca="false">AVERAGE(E1106:E1205)</f>
        <v>19428.2181</v>
      </c>
      <c r="L1205" s="7" t="n">
        <f aca="false">AVERAGE(E1006:E1205)</f>
        <v>18566.49745</v>
      </c>
      <c r="M1205" s="7" t="n">
        <f aca="false">I1205</f>
        <v>19894.0565</v>
      </c>
      <c r="N1205" s="7" t="n">
        <f aca="false">I1205+2*STDEV(E1186:E1205)</f>
        <v>20429.6208726319</v>
      </c>
      <c r="O1205" s="7" t="n">
        <f aca="false">I1205-2*STDEV(E1186:E1205)</f>
        <v>19358.4921273681</v>
      </c>
      <c r="P1205" s="7" t="n">
        <f aca="false">MAX(E1205-E1204,0)</f>
        <v>30.2100000000028</v>
      </c>
      <c r="Q1205" s="7" t="n">
        <f aca="false">MAX(E1204-E1205,0)</f>
        <v>0</v>
      </c>
      <c r="R1205" s="7" t="n">
        <f aca="false">(R1204*13+P1205)/14</f>
        <v>93.5771074961062</v>
      </c>
      <c r="S1205" s="7" t="n">
        <f aca="false">(S1204*13+Q1205)/14</f>
        <v>56.8440829132555</v>
      </c>
      <c r="T1205" s="7" t="n">
        <f aca="false">IF(S1205=0,100,100-100/(1+R1205/S1205))</f>
        <v>62.2100564697315</v>
      </c>
      <c r="U1205" s="7" t="n">
        <f aca="false">E1205*2/13+U1204*11/13</f>
        <v>20022.9274613959</v>
      </c>
      <c r="V1205" s="7" t="n">
        <f aca="false">E1205*2/27+V1204*25/27</f>
        <v>19806.2780011143</v>
      </c>
      <c r="W1205" s="7" t="n">
        <f aca="false">U1205-V1205</f>
        <v>216.649460281529</v>
      </c>
      <c r="X1205" s="7" t="n">
        <f aca="false">W1205*2/10+X1204*8/10</f>
        <v>191.698066938991</v>
      </c>
      <c r="Y1205" s="7" t="n">
        <f aca="false">W1205-X1205</f>
        <v>24.9513933425378</v>
      </c>
      <c r="Z1205" s="8" t="s">
        <v>42</v>
      </c>
      <c r="AA1205" s="7" t="str">
        <f aca="false">IFERROR(INDEX(02_轉折點45!B:B,MATCH(A1205,02_轉折點45!A:A,0)),"")</f>
        <v/>
      </c>
      <c r="AB1205" s="7" t="n">
        <f aca="false">COUNTIFS(05_訊號明細!A:A,A1205,05_訊號明細!C:C,"TOP")</f>
        <v>0</v>
      </c>
      <c r="AC1205" s="7" t="n">
        <f aca="false">COUNTIFS(05_訊號明細!A:A,A1205,05_訊號明細!C:C,"BOTTOM")</f>
        <v>0</v>
      </c>
    </row>
    <row r="1206" customFormat="false" ht="15" hidden="false" customHeight="false" outlineLevel="0" collapsed="false">
      <c r="A1206" s="7" t="s">
        <v>1247</v>
      </c>
      <c r="B1206" s="7" t="n">
        <v>20366.06</v>
      </c>
      <c r="C1206" s="7" t="n">
        <v>20493.9</v>
      </c>
      <c r="D1206" s="7" t="n">
        <v>20355.06</v>
      </c>
      <c r="E1206" s="7" t="n">
        <v>20439.05</v>
      </c>
      <c r="F1206" s="7" t="n">
        <v>4895</v>
      </c>
      <c r="G1206" s="7" t="n">
        <f aca="false">AVERAGE(E1202:E1206)</f>
        <v>20265.884</v>
      </c>
      <c r="H1206" s="7" t="n">
        <f aca="false">AVERAGE(E1197:E1206)</f>
        <v>20053.441</v>
      </c>
      <c r="I1206" s="7" t="n">
        <f aca="false">AVERAGE(E1187:E1206)</f>
        <v>19944.856</v>
      </c>
      <c r="J1206" s="7" t="n">
        <f aca="false">AVERAGE(E1157:E1206)</f>
        <v>19428.5342</v>
      </c>
      <c r="K1206" s="7" t="n">
        <f aca="false">AVERAGE(E1107:E1206)</f>
        <v>19445.4706</v>
      </c>
      <c r="L1206" s="7" t="n">
        <f aca="false">AVERAGE(E1007:E1206)</f>
        <v>18584.1587</v>
      </c>
      <c r="M1206" s="7" t="n">
        <f aca="false">I1206</f>
        <v>19944.856</v>
      </c>
      <c r="N1206" s="7" t="n">
        <f aca="false">I1206+2*STDEV(E1187:E1206)</f>
        <v>20485.032796571</v>
      </c>
      <c r="O1206" s="7" t="n">
        <f aca="false">I1206-2*STDEV(E1187:E1206)</f>
        <v>19404.679203429</v>
      </c>
      <c r="P1206" s="7" t="n">
        <f aca="false">MAX(E1206-E1205,0)</f>
        <v>167.079999999998</v>
      </c>
      <c r="Q1206" s="7" t="n">
        <f aca="false">MAX(E1205-E1206,0)</f>
        <v>0</v>
      </c>
      <c r="R1206" s="7" t="n">
        <f aca="false">(R1205*13+P1206)/14</f>
        <v>98.8273141035271</v>
      </c>
      <c r="S1206" s="7" t="n">
        <f aca="false">(S1205*13+Q1206)/14</f>
        <v>52.7837912765944</v>
      </c>
      <c r="T1206" s="7" t="n">
        <f aca="false">IF(S1206=0,100,100-100/(1+R1206/S1206))</f>
        <v>65.1847461013795</v>
      </c>
      <c r="U1206" s="7" t="n">
        <f aca="false">E1206*2/13+U1205*11/13</f>
        <v>20086.9463134888</v>
      </c>
      <c r="V1206" s="7" t="n">
        <f aca="false">E1206*2/27+V1205*25/27</f>
        <v>19853.1500010318</v>
      </c>
      <c r="W1206" s="7" t="n">
        <f aca="false">U1206-V1206</f>
        <v>233.796312457016</v>
      </c>
      <c r="X1206" s="7" t="n">
        <f aca="false">W1206*2/10+X1205*8/10</f>
        <v>200.117716042596</v>
      </c>
      <c r="Y1206" s="7" t="n">
        <f aca="false">W1206-X1206</f>
        <v>33.6785964144197</v>
      </c>
      <c r="Z1206" s="8" t="s">
        <v>42</v>
      </c>
      <c r="AA1206" s="7" t="str">
        <f aca="false">IFERROR(INDEX(02_轉折點45!B:B,MATCH(A1206,02_轉折點45!A:A,0)),"")</f>
        <v/>
      </c>
      <c r="AB1206" s="7" t="n">
        <f aca="false">COUNTIFS(05_訊號明細!A:A,A1206,05_訊號明細!C:C,"TOP")</f>
        <v>0</v>
      </c>
      <c r="AC1206" s="7" t="n">
        <f aca="false">COUNTIFS(05_訊號明細!A:A,A1206,05_訊號明細!C:C,"BOTTOM")</f>
        <v>0</v>
      </c>
    </row>
    <row r="1207" customFormat="false" ht="15" hidden="false" customHeight="false" outlineLevel="0" collapsed="false">
      <c r="A1207" s="7" t="s">
        <v>1248</v>
      </c>
      <c r="B1207" s="7" t="n">
        <v>20442.77</v>
      </c>
      <c r="C1207" s="7" t="n">
        <v>20484.31</v>
      </c>
      <c r="D1207" s="7" t="n">
        <v>20083.56</v>
      </c>
      <c r="E1207" s="7" t="n">
        <v>20159.83</v>
      </c>
      <c r="F1207" s="7" t="n">
        <v>6523</v>
      </c>
      <c r="G1207" s="7" t="n">
        <f aca="false">AVERAGE(E1203:E1207)</f>
        <v>20276.294</v>
      </c>
      <c r="H1207" s="7" t="n">
        <f aca="false">AVERAGE(E1198:E1207)</f>
        <v>20092.094</v>
      </c>
      <c r="I1207" s="7" t="n">
        <f aca="false">AVERAGE(E1188:E1207)</f>
        <v>19981.2275</v>
      </c>
      <c r="J1207" s="7" t="n">
        <f aca="false">AVERAGE(E1158:E1207)</f>
        <v>19473.8276</v>
      </c>
      <c r="K1207" s="7" t="n">
        <f aca="false">AVERAGE(E1108:E1207)</f>
        <v>19460.0169</v>
      </c>
      <c r="L1207" s="7" t="n">
        <f aca="false">AVERAGE(E1008:E1207)</f>
        <v>18600.4655</v>
      </c>
      <c r="M1207" s="7" t="n">
        <f aca="false">I1207</f>
        <v>19981.2275</v>
      </c>
      <c r="N1207" s="7" t="n">
        <f aca="false">I1207+2*STDEV(E1188:E1207)</f>
        <v>20471.8022570855</v>
      </c>
      <c r="O1207" s="7" t="n">
        <f aca="false">I1207-2*STDEV(E1188:E1207)</f>
        <v>19490.6527429145</v>
      </c>
      <c r="P1207" s="7" t="n">
        <f aca="false">MAX(E1207-E1206,0)</f>
        <v>0</v>
      </c>
      <c r="Q1207" s="7" t="n">
        <f aca="false">MAX(E1206-E1207,0)</f>
        <v>279.219999999998</v>
      </c>
      <c r="R1207" s="7" t="n">
        <f aca="false">(R1206*13+P1207)/14</f>
        <v>91.7682202389894</v>
      </c>
      <c r="S1207" s="7" t="n">
        <f aca="false">(S1206*13+Q1207)/14</f>
        <v>68.9578061854089</v>
      </c>
      <c r="T1207" s="7" t="n">
        <f aca="false">IF(S1207=0,100,100-100/(1+R1207/S1207))</f>
        <v>57.0960548708364</v>
      </c>
      <c r="U1207" s="7" t="n">
        <f aca="false">E1207*2/13+U1206*11/13</f>
        <v>20098.1591883367</v>
      </c>
      <c r="V1207" s="7" t="n">
        <f aca="false">E1207*2/27+V1206*25/27</f>
        <v>19875.8670379924</v>
      </c>
      <c r="W1207" s="7" t="n">
        <f aca="false">U1207-V1207</f>
        <v>222.292150344281</v>
      </c>
      <c r="X1207" s="7" t="n">
        <f aca="false">W1207*2/10+X1206*8/10</f>
        <v>204.552602902933</v>
      </c>
      <c r="Y1207" s="7" t="n">
        <f aca="false">W1207-X1207</f>
        <v>17.739547441348</v>
      </c>
      <c r="Z1207" s="8" t="s">
        <v>42</v>
      </c>
      <c r="AA1207" s="7" t="str">
        <f aca="false">IFERROR(INDEX(02_轉折點45!B:B,MATCH(A1207,02_轉折點45!A:A,0)),"")</f>
        <v/>
      </c>
      <c r="AB1207" s="7" t="n">
        <f aca="false">COUNTIFS(05_訊號明細!A:A,A1207,05_訊號明細!C:C,"TOP")</f>
        <v>0</v>
      </c>
      <c r="AC1207" s="7" t="n">
        <f aca="false">COUNTIFS(05_訊號明細!A:A,A1207,05_訊號明細!C:C,"BOTTOM")</f>
        <v>0</v>
      </c>
    </row>
    <row r="1208" customFormat="false" ht="15" hidden="false" customHeight="false" outlineLevel="0" collapsed="false">
      <c r="A1208" s="7" t="s">
        <v>1249</v>
      </c>
      <c r="B1208" s="7" t="n">
        <v>20172.87</v>
      </c>
      <c r="C1208" s="7" t="n">
        <v>20200.59</v>
      </c>
      <c r="D1208" s="7" t="n">
        <v>20036.73</v>
      </c>
      <c r="E1208" s="7" t="n">
        <v>20174.05</v>
      </c>
      <c r="F1208" s="7" t="n">
        <v>5258</v>
      </c>
      <c r="G1208" s="7" t="n">
        <f aca="false">AVERAGE(E1204:E1208)</f>
        <v>20257.332</v>
      </c>
      <c r="H1208" s="7" t="n">
        <f aca="false">AVERAGE(E1199:E1208)</f>
        <v>20129.24</v>
      </c>
      <c r="I1208" s="7" t="n">
        <f aca="false">AVERAGE(E1189:E1208)</f>
        <v>20022.7055</v>
      </c>
      <c r="J1208" s="7" t="n">
        <f aca="false">AVERAGE(E1159:E1208)</f>
        <v>19515.7502</v>
      </c>
      <c r="K1208" s="7" t="n">
        <f aca="false">AVERAGE(E1109:E1208)</f>
        <v>19475.5235</v>
      </c>
      <c r="L1208" s="7" t="n">
        <f aca="false">AVERAGE(E1009:E1208)</f>
        <v>18617.2061</v>
      </c>
      <c r="M1208" s="7" t="n">
        <f aca="false">I1208</f>
        <v>20022.7055</v>
      </c>
      <c r="N1208" s="7" t="n">
        <f aca="false">I1208+2*STDEV(E1189:E1208)</f>
        <v>20417.5377618651</v>
      </c>
      <c r="O1208" s="7" t="n">
        <f aca="false">I1208-2*STDEV(E1189:E1208)</f>
        <v>19627.8732381349</v>
      </c>
      <c r="P1208" s="7" t="n">
        <f aca="false">MAX(E1208-E1207,0)</f>
        <v>14.2199999999975</v>
      </c>
      <c r="Q1208" s="7" t="n">
        <f aca="false">MAX(E1207-E1208,0)</f>
        <v>0</v>
      </c>
      <c r="R1208" s="7" t="n">
        <f aca="false">(R1207*13+P1208)/14</f>
        <v>86.22906165049</v>
      </c>
      <c r="S1208" s="7" t="n">
        <f aca="false">(S1207*13+Q1208)/14</f>
        <v>64.0322486007368</v>
      </c>
      <c r="T1208" s="7" t="n">
        <f aca="false">IF(S1208=0,100,100-100/(1+R1208/S1208))</f>
        <v>57.386070643415</v>
      </c>
      <c r="U1208" s="7" t="n">
        <f aca="false">E1208*2/13+U1207*11/13</f>
        <v>20109.8346978233</v>
      </c>
      <c r="V1208" s="7" t="n">
        <f aca="false">E1208*2/27+V1207*25/27</f>
        <v>19897.9546648078</v>
      </c>
      <c r="W1208" s="7" t="n">
        <f aca="false">U1208-V1208</f>
        <v>211.880033015565</v>
      </c>
      <c r="X1208" s="7" t="n">
        <f aca="false">W1208*2/10+X1207*8/10</f>
        <v>206.01808892546</v>
      </c>
      <c r="Y1208" s="7" t="n">
        <f aca="false">W1208-X1208</f>
        <v>5.861944090105</v>
      </c>
      <c r="Z1208" s="8" t="s">
        <v>42</v>
      </c>
      <c r="AA1208" s="7" t="str">
        <f aca="false">IFERROR(INDEX(02_轉折點45!B:B,MATCH(A1208,02_轉折點45!A:A,0)),"")</f>
        <v/>
      </c>
      <c r="AB1208" s="7" t="n">
        <f aca="false">COUNTIFS(05_訊號明細!A:A,A1208,05_訊號明細!C:C,"TOP")</f>
        <v>1</v>
      </c>
      <c r="AC1208" s="7" t="n">
        <f aca="false">COUNTIFS(05_訊號明細!A:A,A1208,05_訊號明細!C:C,"BOTTOM")</f>
        <v>0</v>
      </c>
    </row>
    <row r="1209" customFormat="false" ht="15" hidden="false" customHeight="false" outlineLevel="0" collapsed="false">
      <c r="A1209" s="7" t="s">
        <v>1250</v>
      </c>
      <c r="B1209" s="7" t="n">
        <v>20375.29</v>
      </c>
      <c r="C1209" s="7" t="n">
        <v>20377.65</v>
      </c>
      <c r="D1209" s="7" t="n">
        <v>20186.43</v>
      </c>
      <c r="E1209" s="7" t="n">
        <v>20190.42</v>
      </c>
      <c r="F1209" s="7" t="n">
        <v>5807</v>
      </c>
      <c r="G1209" s="7" t="n">
        <f aca="false">AVERAGE(E1205:E1209)</f>
        <v>20247.064</v>
      </c>
      <c r="H1209" s="7" t="n">
        <f aca="false">AVERAGE(E1200:E1209)</f>
        <v>20168.948</v>
      </c>
      <c r="I1209" s="7" t="n">
        <f aca="false">AVERAGE(E1190:E1209)</f>
        <v>20040.235</v>
      </c>
      <c r="J1209" s="7" t="n">
        <f aca="false">AVERAGE(E1160:E1209)</f>
        <v>19562.2112</v>
      </c>
      <c r="K1209" s="7" t="n">
        <f aca="false">AVERAGE(E1110:E1209)</f>
        <v>19489.3442</v>
      </c>
      <c r="L1209" s="7" t="n">
        <f aca="false">AVERAGE(E1010:E1209)</f>
        <v>18635.4385</v>
      </c>
      <c r="M1209" s="7" t="n">
        <f aca="false">I1209</f>
        <v>20040.235</v>
      </c>
      <c r="N1209" s="7" t="n">
        <f aca="false">I1209+2*STDEV(E1190:E1209)</f>
        <v>20431.9998284635</v>
      </c>
      <c r="O1209" s="7" t="n">
        <f aca="false">I1209-2*STDEV(E1190:E1209)</f>
        <v>19648.4701715365</v>
      </c>
      <c r="P1209" s="7" t="n">
        <f aca="false">MAX(E1209-E1208,0)</f>
        <v>16.369999999999</v>
      </c>
      <c r="Q1209" s="7" t="n">
        <f aca="false">MAX(E1208-E1209,0)</f>
        <v>0</v>
      </c>
      <c r="R1209" s="7" t="n">
        <f aca="false">(R1208*13+P1209)/14</f>
        <v>81.2391286754549</v>
      </c>
      <c r="S1209" s="7" t="n">
        <f aca="false">(S1208*13+Q1209)/14</f>
        <v>59.4585165578271</v>
      </c>
      <c r="T1209" s="7" t="n">
        <f aca="false">IF(S1209=0,100,100-100/(1+R1209/S1209))</f>
        <v>57.7402191349808</v>
      </c>
      <c r="U1209" s="7" t="n">
        <f aca="false">E1209*2/13+U1208*11/13</f>
        <v>20122.2324366198</v>
      </c>
      <c r="V1209" s="7" t="n">
        <f aca="false">E1209*2/27+V1208*25/27</f>
        <v>19919.6187637109</v>
      </c>
      <c r="W1209" s="7" t="n">
        <f aca="false">U1209-V1209</f>
        <v>202.613672908847</v>
      </c>
      <c r="X1209" s="7" t="n">
        <f aca="false">W1209*2/10+X1208*8/10</f>
        <v>205.337205722137</v>
      </c>
      <c r="Y1209" s="7" t="n">
        <f aca="false">W1209-X1209</f>
        <v>-2.72353281329032</v>
      </c>
      <c r="Z1209" s="8" t="s">
        <v>42</v>
      </c>
      <c r="AA1209" s="7" t="str">
        <f aca="false">IFERROR(INDEX(02_轉折點45!B:B,MATCH(A1209,02_轉折點45!A:A,0)),"")</f>
        <v/>
      </c>
      <c r="AB1209" s="7" t="n">
        <f aca="false">COUNTIFS(05_訊號明細!A:A,A1209,05_訊號明細!C:C,"TOP")</f>
        <v>0</v>
      </c>
      <c r="AC1209" s="7" t="n">
        <f aca="false">COUNTIFS(05_訊號明細!A:A,A1209,05_訊號明細!C:C,"BOTTOM")</f>
        <v>0</v>
      </c>
    </row>
    <row r="1210" customFormat="false" ht="15" hidden="false" customHeight="false" outlineLevel="0" collapsed="false">
      <c r="A1210" s="7" t="s">
        <v>1251</v>
      </c>
      <c r="B1210" s="7" t="n">
        <v>20288.48</v>
      </c>
      <c r="C1210" s="7" t="n">
        <v>20360.29</v>
      </c>
      <c r="D1210" s="7" t="n">
        <v>20273.55</v>
      </c>
      <c r="E1210" s="7" t="n">
        <v>20324.04</v>
      </c>
      <c r="F1210" s="7" t="n">
        <v>5090</v>
      </c>
      <c r="G1210" s="7" t="n">
        <f aca="false">AVERAGE(E1206:E1210)</f>
        <v>20257.478</v>
      </c>
      <c r="H1210" s="7" t="n">
        <f aca="false">AVERAGE(E1201:E1210)</f>
        <v>20197.85</v>
      </c>
      <c r="I1210" s="7" t="n">
        <f aca="false">AVERAGE(E1191:E1210)</f>
        <v>20066.8625</v>
      </c>
      <c r="J1210" s="7" t="n">
        <f aca="false">AVERAGE(E1161:E1210)</f>
        <v>19600.4156</v>
      </c>
      <c r="K1210" s="7" t="n">
        <f aca="false">AVERAGE(E1111:E1210)</f>
        <v>19503.8902</v>
      </c>
      <c r="L1210" s="7" t="n">
        <f aca="false">AVERAGE(E1011:E1210)</f>
        <v>18655.21625</v>
      </c>
      <c r="M1210" s="7" t="n">
        <f aca="false">I1210</f>
        <v>20066.8625</v>
      </c>
      <c r="N1210" s="7" t="n">
        <f aca="false">I1210+2*STDEV(E1191:E1210)</f>
        <v>20459.8320881564</v>
      </c>
      <c r="O1210" s="7" t="n">
        <f aca="false">I1210-2*STDEV(E1191:E1210)</f>
        <v>19673.8929118436</v>
      </c>
      <c r="P1210" s="7" t="n">
        <f aca="false">MAX(E1210-E1209,0)</f>
        <v>133.620000000003</v>
      </c>
      <c r="Q1210" s="7" t="n">
        <f aca="false">MAX(E1209-E1210,0)</f>
        <v>0</v>
      </c>
      <c r="R1210" s="7" t="n">
        <f aca="false">(R1209*13+P1210)/14</f>
        <v>84.9806194843512</v>
      </c>
      <c r="S1210" s="7" t="n">
        <f aca="false">(S1209*13+Q1210)/14</f>
        <v>55.2114796608394</v>
      </c>
      <c r="T1210" s="7" t="n">
        <f aca="false">IF(S1210=0,100,100-100/(1+R1210/S1210))</f>
        <v>60.6172673085811</v>
      </c>
      <c r="U1210" s="7" t="n">
        <f aca="false">E1210*2/13+U1209*11/13</f>
        <v>20153.2797540629</v>
      </c>
      <c r="V1210" s="7" t="n">
        <f aca="false">E1210*2/27+V1209*25/27</f>
        <v>19949.5758923249</v>
      </c>
      <c r="W1210" s="7" t="n">
        <f aca="false">U1210-V1210</f>
        <v>203.703861737951</v>
      </c>
      <c r="X1210" s="7" t="n">
        <f aca="false">W1210*2/10+X1209*8/10</f>
        <v>205.0105369253</v>
      </c>
      <c r="Y1210" s="7" t="n">
        <f aca="false">W1210-X1210</f>
        <v>-1.30667518734859</v>
      </c>
      <c r="Z1210" s="8" t="s">
        <v>42</v>
      </c>
      <c r="AA1210" s="7" t="str">
        <f aca="false">IFERROR(INDEX(02_轉折點45!B:B,MATCH(A1210,02_轉折點45!A:A,0)),"")</f>
        <v/>
      </c>
      <c r="AB1210" s="7" t="n">
        <f aca="false">COUNTIFS(05_訊號明細!A:A,A1210,05_訊號明細!C:C,"TOP")</f>
        <v>0</v>
      </c>
      <c r="AC1210" s="7" t="n">
        <f aca="false">COUNTIFS(05_訊號明細!A:A,A1210,05_訊號明細!C:C,"BOTTOM")</f>
        <v>0</v>
      </c>
    </row>
    <row r="1211" customFormat="false" ht="15" hidden="false" customHeight="false" outlineLevel="0" collapsed="false">
      <c r="A1211" s="7" t="s">
        <v>1252</v>
      </c>
      <c r="B1211" s="7" t="n">
        <v>20280.49</v>
      </c>
      <c r="C1211" s="7" t="n">
        <v>20386.68</v>
      </c>
      <c r="D1211" s="7" t="n">
        <v>20193.03</v>
      </c>
      <c r="E1211" s="7" t="n">
        <v>20361.47</v>
      </c>
      <c r="F1211" s="7" t="n">
        <v>6092</v>
      </c>
      <c r="G1211" s="7" t="n">
        <f aca="false">AVERAGE(E1207:E1211)</f>
        <v>20241.962</v>
      </c>
      <c r="H1211" s="7" t="n">
        <f aca="false">AVERAGE(E1202:E1211)</f>
        <v>20253.923</v>
      </c>
      <c r="I1211" s="7" t="n">
        <f aca="false">AVERAGE(E1192:E1211)</f>
        <v>20092.326</v>
      </c>
      <c r="J1211" s="7" t="n">
        <f aca="false">AVERAGE(E1162:E1211)</f>
        <v>19637.383</v>
      </c>
      <c r="K1211" s="7" t="n">
        <f aca="false">AVERAGE(E1112:E1211)</f>
        <v>19520.1374</v>
      </c>
      <c r="L1211" s="7" t="n">
        <f aca="false">AVERAGE(E1012:E1211)</f>
        <v>18675.61355</v>
      </c>
      <c r="M1211" s="7" t="n">
        <f aca="false">I1211</f>
        <v>20092.326</v>
      </c>
      <c r="N1211" s="7" t="n">
        <f aca="false">I1211+2*STDEV(E1192:E1211)</f>
        <v>20492.6587577167</v>
      </c>
      <c r="O1211" s="7" t="n">
        <f aca="false">I1211-2*STDEV(E1192:E1211)</f>
        <v>19691.9932422833</v>
      </c>
      <c r="P1211" s="7" t="n">
        <f aca="false">MAX(E1211-E1210,0)</f>
        <v>37.4300000000003</v>
      </c>
      <c r="Q1211" s="7" t="n">
        <f aca="false">MAX(E1210-E1211,0)</f>
        <v>0</v>
      </c>
      <c r="R1211" s="7" t="n">
        <f aca="false">(R1210*13+P1211)/14</f>
        <v>81.5841466640404</v>
      </c>
      <c r="S1211" s="7" t="n">
        <f aca="false">(S1210*13+Q1211)/14</f>
        <v>51.267802542208</v>
      </c>
      <c r="T1211" s="7" t="n">
        <f aca="false">IF(S1211=0,100,100-100/(1+R1211/S1211))</f>
        <v>61.4098228527935</v>
      </c>
      <c r="U1211" s="7" t="n">
        <f aca="false">E1211*2/13+U1210*11/13</f>
        <v>20185.3090226686</v>
      </c>
      <c r="V1211" s="7" t="n">
        <f aca="false">E1211*2/27+V1210*25/27</f>
        <v>19980.0865669675</v>
      </c>
      <c r="W1211" s="7" t="n">
        <f aca="false">U1211-V1211</f>
        <v>205.222455701063</v>
      </c>
      <c r="X1211" s="7" t="n">
        <f aca="false">W1211*2/10+X1210*8/10</f>
        <v>205.052920680452</v>
      </c>
      <c r="Y1211" s="7" t="n">
        <f aca="false">W1211-X1211</f>
        <v>0.169535020610681</v>
      </c>
      <c r="Z1211" s="8" t="s">
        <v>42</v>
      </c>
      <c r="AA1211" s="7" t="str">
        <f aca="false">IFERROR(INDEX(02_轉折點45!B:B,MATCH(A1211,02_轉折點45!A:A,0)),"")</f>
        <v/>
      </c>
      <c r="AB1211" s="7" t="n">
        <f aca="false">COUNTIFS(05_訊號明細!A:A,A1211,05_訊號明細!C:C,"TOP")</f>
        <v>1</v>
      </c>
      <c r="AC1211" s="7" t="n">
        <f aca="false">COUNTIFS(05_訊號明細!A:A,A1211,05_訊號明細!C:C,"BOTTOM")</f>
        <v>0</v>
      </c>
    </row>
    <row r="1212" customFormat="false" ht="15" hidden="false" customHeight="false" outlineLevel="0" collapsed="false">
      <c r="A1212" s="7" t="s">
        <v>1253</v>
      </c>
      <c r="B1212" s="7" t="n">
        <v>20256.97</v>
      </c>
      <c r="C1212" s="7" t="n">
        <v>20437.93</v>
      </c>
      <c r="D1212" s="7" t="n">
        <v>20218.85</v>
      </c>
      <c r="E1212" s="7" t="n">
        <v>20390.46</v>
      </c>
      <c r="F1212" s="7" t="n">
        <v>6407</v>
      </c>
      <c r="G1212" s="7" t="n">
        <f aca="false">AVERAGE(E1208:E1212)</f>
        <v>20288.088</v>
      </c>
      <c r="H1212" s="7" t="n">
        <f aca="false">AVERAGE(E1203:E1212)</f>
        <v>20282.191</v>
      </c>
      <c r="I1212" s="7" t="n">
        <f aca="false">AVERAGE(E1193:E1212)</f>
        <v>20114.607</v>
      </c>
      <c r="J1212" s="7" t="n">
        <f aca="false">AVERAGE(E1163:E1212)</f>
        <v>19674.3516</v>
      </c>
      <c r="K1212" s="7" t="n">
        <f aca="false">AVERAGE(E1113:E1212)</f>
        <v>19538.6554</v>
      </c>
      <c r="L1212" s="7" t="n">
        <f aca="false">AVERAGE(E1013:E1212)</f>
        <v>18696.03595</v>
      </c>
      <c r="M1212" s="7" t="n">
        <f aca="false">I1212</f>
        <v>20114.607</v>
      </c>
      <c r="N1212" s="7" t="n">
        <f aca="false">I1212+2*STDEV(E1193:E1212)</f>
        <v>20529.7082325027</v>
      </c>
      <c r="O1212" s="7" t="n">
        <f aca="false">I1212-2*STDEV(E1193:E1212)</f>
        <v>19699.5057674973</v>
      </c>
      <c r="P1212" s="7" t="n">
        <f aca="false">MAX(E1212-E1211,0)</f>
        <v>28.989999999998</v>
      </c>
      <c r="Q1212" s="7" t="n">
        <f aca="false">MAX(E1211-E1212,0)</f>
        <v>0</v>
      </c>
      <c r="R1212" s="7" t="n">
        <f aca="false">(R1211*13+P1212)/14</f>
        <v>77.8274219023231</v>
      </c>
      <c r="S1212" s="7" t="n">
        <f aca="false">(S1211*13+Q1212)/14</f>
        <v>47.605816646336</v>
      </c>
      <c r="T1212" s="7" t="n">
        <f aca="false">IF(S1212=0,100,100-100/(1+R1212/S1212))</f>
        <v>62.0468886898201</v>
      </c>
      <c r="U1212" s="7" t="n">
        <f aca="false">E1212*2/13+U1211*11/13</f>
        <v>20216.8707114888</v>
      </c>
      <c r="V1212" s="7" t="n">
        <f aca="false">E1212*2/27+V1211*25/27</f>
        <v>20010.484599044</v>
      </c>
      <c r="W1212" s="7" t="n">
        <f aca="false">U1212-V1212</f>
        <v>206.386112444801</v>
      </c>
      <c r="X1212" s="7" t="n">
        <f aca="false">W1212*2/10+X1211*8/10</f>
        <v>205.319559033322</v>
      </c>
      <c r="Y1212" s="7" t="n">
        <f aca="false">W1212-X1212</f>
        <v>1.06655341147905</v>
      </c>
      <c r="Z1212" s="8" t="s">
        <v>42</v>
      </c>
      <c r="AA1212" s="7" t="str">
        <f aca="false">IFERROR(INDEX(02_轉折點45!B:B,MATCH(A1212,02_轉折點45!A:A,0)),"")</f>
        <v/>
      </c>
      <c r="AB1212" s="7" t="n">
        <f aca="false">COUNTIFS(05_訊號明細!A:A,A1212,05_訊號明細!C:C,"TOP")</f>
        <v>0</v>
      </c>
      <c r="AC1212" s="7" t="n">
        <f aca="false">COUNTIFS(05_訊號明細!A:A,A1212,05_訊號明細!C:C,"BOTTOM")</f>
        <v>0</v>
      </c>
    </row>
    <row r="1213" customFormat="false" ht="15" hidden="false" customHeight="false" outlineLevel="0" collapsed="false">
      <c r="A1213" s="7" t="s">
        <v>1254</v>
      </c>
      <c r="B1213" s="7" t="n">
        <v>20303.55</v>
      </c>
      <c r="C1213" s="7" t="n">
        <v>20312.78</v>
      </c>
      <c r="D1213" s="7" t="n">
        <v>19934.92</v>
      </c>
      <c r="E1213" s="7" t="n">
        <v>20066.96</v>
      </c>
      <c r="F1213" s="7" t="n">
        <v>6246</v>
      </c>
      <c r="G1213" s="7" t="n">
        <f aca="false">AVERAGE(E1209:E1213)</f>
        <v>20266.67</v>
      </c>
      <c r="H1213" s="7" t="n">
        <f aca="false">AVERAGE(E1204:E1213)</f>
        <v>20262.001</v>
      </c>
      <c r="I1213" s="7" t="n">
        <f aca="false">AVERAGE(E1194:E1213)</f>
        <v>20119.3245</v>
      </c>
      <c r="J1213" s="7" t="n">
        <f aca="false">AVERAGE(E1164:E1213)</f>
        <v>19695.5622</v>
      </c>
      <c r="K1213" s="7" t="n">
        <f aca="false">AVERAGE(E1114:E1213)</f>
        <v>19553.9585</v>
      </c>
      <c r="L1213" s="7" t="n">
        <f aca="false">AVERAGE(E1014:E1213)</f>
        <v>18713.1214</v>
      </c>
      <c r="M1213" s="7" t="n">
        <f aca="false">I1213</f>
        <v>20119.3245</v>
      </c>
      <c r="N1213" s="7" t="n">
        <f aca="false">I1213+2*STDEV(E1194:E1213)</f>
        <v>20529.7491582043</v>
      </c>
      <c r="O1213" s="7" t="n">
        <f aca="false">I1213-2*STDEV(E1194:E1213)</f>
        <v>19708.8998417957</v>
      </c>
      <c r="P1213" s="7" t="n">
        <f aca="false">MAX(E1213-E1212,0)</f>
        <v>0</v>
      </c>
      <c r="Q1213" s="7" t="n">
        <f aca="false">MAX(E1212-E1213,0)</f>
        <v>323.5</v>
      </c>
      <c r="R1213" s="7" t="n">
        <f aca="false">(R1212*13+P1213)/14</f>
        <v>72.2683203378714</v>
      </c>
      <c r="S1213" s="7" t="n">
        <f aca="false">(S1212*13+Q1213)/14</f>
        <v>67.3125440287406</v>
      </c>
      <c r="T1213" s="7" t="n">
        <f aca="false">IF(S1213=0,100,100-100/(1+R1213/S1213))</f>
        <v>51.7752348545838</v>
      </c>
      <c r="U1213" s="7" t="n">
        <f aca="false">E1213*2/13+U1212*11/13</f>
        <v>20193.8075251059</v>
      </c>
      <c r="V1213" s="7" t="n">
        <f aca="false">E1213*2/27+V1212*25/27</f>
        <v>20014.6679620778</v>
      </c>
      <c r="W1213" s="7" t="n">
        <f aca="false">U1213-V1213</f>
        <v>179.139563028137</v>
      </c>
      <c r="X1213" s="7" t="n">
        <f aca="false">W1213*2/10+X1212*8/10</f>
        <v>200.083559832285</v>
      </c>
      <c r="Y1213" s="7" t="n">
        <f aca="false">W1213-X1213</f>
        <v>-20.9439968041484</v>
      </c>
      <c r="Z1213" s="8" t="s">
        <v>42</v>
      </c>
      <c r="AA1213" s="7" t="str">
        <f aca="false">IFERROR(INDEX(02_轉折點45!B:B,MATCH(A1213,02_轉折點45!A:A,0)),"")</f>
        <v/>
      </c>
      <c r="AB1213" s="7" t="n">
        <f aca="false">COUNTIFS(05_訊號明細!A:A,A1213,05_訊號明細!C:C,"TOP")</f>
        <v>0</v>
      </c>
      <c r="AC1213" s="7" t="n">
        <f aca="false">COUNTIFS(05_訊號明細!A:A,A1213,05_訊號明細!C:C,"BOTTOM")</f>
        <v>0</v>
      </c>
    </row>
    <row r="1214" customFormat="false" ht="15" hidden="false" customHeight="false" outlineLevel="0" collapsed="false">
      <c r="A1214" s="7" t="s">
        <v>1255</v>
      </c>
      <c r="B1214" s="7" t="n">
        <v>20197.62</v>
      </c>
      <c r="C1214" s="7" t="n">
        <v>20256.38</v>
      </c>
      <c r="D1214" s="7" t="n">
        <v>20116.88</v>
      </c>
      <c r="E1214" s="7" t="n">
        <v>20232.87</v>
      </c>
      <c r="F1214" s="7" t="n">
        <v>5761</v>
      </c>
      <c r="G1214" s="7" t="n">
        <f aca="false">AVERAGE(E1210:E1214)</f>
        <v>20275.16</v>
      </c>
      <c r="H1214" s="7" t="n">
        <f aca="false">AVERAGE(E1205:E1214)</f>
        <v>20261.112</v>
      </c>
      <c r="I1214" s="7" t="n">
        <f aca="false">AVERAGE(E1195:E1214)</f>
        <v>20125.191</v>
      </c>
      <c r="J1214" s="7" t="n">
        <f aca="false">AVERAGE(E1165:E1214)</f>
        <v>19719.766</v>
      </c>
      <c r="K1214" s="7" t="n">
        <f aca="false">AVERAGE(E1115:E1214)</f>
        <v>19570.2775</v>
      </c>
      <c r="L1214" s="7" t="n">
        <f aca="false">AVERAGE(E1015:E1214)</f>
        <v>18730.89225</v>
      </c>
      <c r="M1214" s="7" t="n">
        <f aca="false">I1214</f>
        <v>20125.191</v>
      </c>
      <c r="N1214" s="7" t="n">
        <f aca="false">I1214+2*STDEV(E1195:E1214)</f>
        <v>20538.730240671</v>
      </c>
      <c r="O1214" s="7" t="n">
        <f aca="false">I1214-2*STDEV(E1195:E1214)</f>
        <v>19711.651759329</v>
      </c>
      <c r="P1214" s="7" t="n">
        <f aca="false">MAX(E1214-E1213,0)</f>
        <v>165.91</v>
      </c>
      <c r="Q1214" s="7" t="n">
        <f aca="false">MAX(E1213-E1214,0)</f>
        <v>0</v>
      </c>
      <c r="R1214" s="7" t="n">
        <f aca="false">(R1213*13+P1214)/14</f>
        <v>78.9570117423092</v>
      </c>
      <c r="S1214" s="7" t="n">
        <f aca="false">(S1213*13+Q1214)/14</f>
        <v>62.5045051695448</v>
      </c>
      <c r="T1214" s="7" t="n">
        <f aca="false">IF(S1214=0,100,100-100/(1+R1214/S1214))</f>
        <v>55.8151880921141</v>
      </c>
      <c r="U1214" s="7" t="n">
        <f aca="false">E1214*2/13+U1213*11/13</f>
        <v>20199.8171366281</v>
      </c>
      <c r="V1214" s="7" t="n">
        <f aca="false">E1214*2/27+V1213*25/27</f>
        <v>20030.8310759979</v>
      </c>
      <c r="W1214" s="7" t="n">
        <f aca="false">U1214-V1214</f>
        <v>168.986060630141</v>
      </c>
      <c r="X1214" s="7" t="n">
        <f aca="false">W1214*2/10+X1213*8/10</f>
        <v>193.864059991856</v>
      </c>
      <c r="Y1214" s="7" t="n">
        <f aca="false">W1214-X1214</f>
        <v>-24.8779993617154</v>
      </c>
      <c r="Z1214" s="8" t="s">
        <v>42</v>
      </c>
      <c r="AA1214" s="7" t="str">
        <f aca="false">IFERROR(INDEX(02_轉折點45!B:B,MATCH(A1214,02_轉折點45!A:A,0)),"")</f>
        <v/>
      </c>
      <c r="AB1214" s="7" t="n">
        <f aca="false">COUNTIFS(05_訊號明細!A:A,A1214,05_訊號明細!C:C,"TOP")</f>
        <v>0</v>
      </c>
      <c r="AC1214" s="7" t="n">
        <f aca="false">COUNTIFS(05_訊號明細!A:A,A1214,05_訊號明細!C:C,"BOTTOM")</f>
        <v>0</v>
      </c>
    </row>
    <row r="1215" customFormat="false" ht="15" hidden="false" customHeight="false" outlineLevel="0" collapsed="false">
      <c r="A1215" s="7" t="s">
        <v>1256</v>
      </c>
      <c r="B1215" s="7" t="n">
        <v>20354.91</v>
      </c>
      <c r="C1215" s="7" t="n">
        <v>20552.82</v>
      </c>
      <c r="D1215" s="7" t="n">
        <v>20322.25</v>
      </c>
      <c r="E1215" s="7" t="n">
        <v>20352.02</v>
      </c>
      <c r="F1215" s="7" t="n">
        <v>6100</v>
      </c>
      <c r="G1215" s="7" t="n">
        <f aca="false">AVERAGE(E1211:E1215)</f>
        <v>20280.756</v>
      </c>
      <c r="H1215" s="7" t="n">
        <f aca="false">AVERAGE(E1206:E1215)</f>
        <v>20269.117</v>
      </c>
      <c r="I1215" s="7" t="n">
        <f aca="false">AVERAGE(E1196:E1215)</f>
        <v>20142.361</v>
      </c>
      <c r="J1215" s="7" t="n">
        <f aca="false">AVERAGE(E1166:E1215)</f>
        <v>19737.0034</v>
      </c>
      <c r="K1215" s="7" t="n">
        <f aca="false">AVERAGE(E1116:E1215)</f>
        <v>19587.2493</v>
      </c>
      <c r="L1215" s="7" t="n">
        <f aca="false">AVERAGE(E1016:E1215)</f>
        <v>18748.6871</v>
      </c>
      <c r="M1215" s="7" t="n">
        <f aca="false">I1215</f>
        <v>20142.361</v>
      </c>
      <c r="N1215" s="7" t="n">
        <f aca="false">I1215+2*STDEV(E1196:E1215)</f>
        <v>20563.9585285007</v>
      </c>
      <c r="O1215" s="7" t="n">
        <f aca="false">I1215-2*STDEV(E1196:E1215)</f>
        <v>19720.7634714993</v>
      </c>
      <c r="P1215" s="7" t="n">
        <f aca="false">MAX(E1215-E1214,0)</f>
        <v>119.150000000001</v>
      </c>
      <c r="Q1215" s="7" t="n">
        <f aca="false">MAX(E1214-E1215,0)</f>
        <v>0</v>
      </c>
      <c r="R1215" s="7" t="n">
        <f aca="false">(R1214*13+P1215)/14</f>
        <v>81.8279394750015</v>
      </c>
      <c r="S1215" s="7" t="n">
        <f aca="false">(S1214*13+Q1215)/14</f>
        <v>58.0398976574345</v>
      </c>
      <c r="T1215" s="7" t="n">
        <f aca="false">IF(S1215=0,100,100-100/(1+R1215/S1215))</f>
        <v>58.5037569412913</v>
      </c>
      <c r="U1215" s="7" t="n">
        <f aca="false">E1215*2/13+U1214*11/13</f>
        <v>20223.2329617622</v>
      </c>
      <c r="V1215" s="7" t="n">
        <f aca="false">E1215*2/27+V1214*25/27</f>
        <v>20054.6228481462</v>
      </c>
      <c r="W1215" s="7" t="n">
        <f aca="false">U1215-V1215</f>
        <v>168.610113615981</v>
      </c>
      <c r="X1215" s="7" t="n">
        <f aca="false">W1215*2/10+X1214*8/10</f>
        <v>188.813270716681</v>
      </c>
      <c r="Y1215" s="7" t="n">
        <f aca="false">W1215-X1215</f>
        <v>-20.2031571006999</v>
      </c>
      <c r="Z1215" s="8" t="s">
        <v>42</v>
      </c>
      <c r="AA1215" s="7" t="str">
        <f aca="false">IFERROR(INDEX(02_轉折點45!B:B,MATCH(A1215,02_轉折點45!A:A,0)),"")</f>
        <v/>
      </c>
      <c r="AB1215" s="7" t="n">
        <f aca="false">COUNTIFS(05_訊號明細!A:A,A1215,05_訊號明細!C:C,"TOP")</f>
        <v>0</v>
      </c>
      <c r="AC1215" s="7" t="n">
        <f aca="false">COUNTIFS(05_訊號明細!A:A,A1215,05_訊號明細!C:C,"BOTTOM")</f>
        <v>0</v>
      </c>
    </row>
    <row r="1216" customFormat="false" ht="15" hidden="false" customHeight="false" outlineLevel="0" collapsed="false">
      <c r="A1216" s="7" t="s">
        <v>1257</v>
      </c>
      <c r="B1216" s="7" t="n">
        <v>20455.01</v>
      </c>
      <c r="C1216" s="7" t="n">
        <v>20470.43</v>
      </c>
      <c r="D1216" s="7" t="n">
        <v>20344.82</v>
      </c>
      <c r="E1216" s="7" t="n">
        <v>20351.07</v>
      </c>
      <c r="F1216" s="7" t="n">
        <v>5642</v>
      </c>
      <c r="G1216" s="7" t="n">
        <f aca="false">AVERAGE(E1212:E1216)</f>
        <v>20278.676</v>
      </c>
      <c r="H1216" s="7" t="n">
        <f aca="false">AVERAGE(E1207:E1216)</f>
        <v>20260.319</v>
      </c>
      <c r="I1216" s="7" t="n">
        <f aca="false">AVERAGE(E1197:E1216)</f>
        <v>20156.88</v>
      </c>
      <c r="J1216" s="7" t="n">
        <f aca="false">AVERAGE(E1167:E1216)</f>
        <v>19753.8544</v>
      </c>
      <c r="K1216" s="7" t="n">
        <f aca="false">AVERAGE(E1117:E1216)</f>
        <v>19600.4095</v>
      </c>
      <c r="L1216" s="7" t="n">
        <f aca="false">AVERAGE(E1017:E1216)</f>
        <v>18766.33795</v>
      </c>
      <c r="M1216" s="7" t="n">
        <f aca="false">I1216</f>
        <v>20156.88</v>
      </c>
      <c r="N1216" s="7" t="n">
        <f aca="false">I1216+2*STDEV(E1197:E1216)</f>
        <v>20586.5578544567</v>
      </c>
      <c r="O1216" s="7" t="n">
        <f aca="false">I1216-2*STDEV(E1197:E1216)</f>
        <v>19727.2021455433</v>
      </c>
      <c r="P1216" s="7" t="n">
        <f aca="false">MAX(E1216-E1215,0)</f>
        <v>0</v>
      </c>
      <c r="Q1216" s="7" t="n">
        <f aca="false">MAX(E1215-E1216,0)</f>
        <v>0.950000000000728</v>
      </c>
      <c r="R1216" s="7" t="n">
        <f aca="false">(R1215*13+P1216)/14</f>
        <v>75.9830866553585</v>
      </c>
      <c r="S1216" s="7" t="n">
        <f aca="false">(S1215*13+Q1216)/14</f>
        <v>53.9620478247606</v>
      </c>
      <c r="T1216" s="7" t="n">
        <f aca="false">IF(S1216=0,100,100-100/(1+R1216/S1216))</f>
        <v>58.4732063723275</v>
      </c>
      <c r="U1216" s="7" t="n">
        <f aca="false">E1216*2/13+U1215*11/13</f>
        <v>20242.9001984142</v>
      </c>
      <c r="V1216" s="7" t="n">
        <f aca="false">E1216*2/27+V1215*25/27</f>
        <v>20076.5818964317</v>
      </c>
      <c r="W1216" s="7" t="n">
        <f aca="false">U1216-V1216</f>
        <v>166.318301982483</v>
      </c>
      <c r="X1216" s="7" t="n">
        <f aca="false">W1216*2/10+X1215*8/10</f>
        <v>184.314276969842</v>
      </c>
      <c r="Y1216" s="7" t="n">
        <f aca="false">W1216-X1216</f>
        <v>-17.9959749873588</v>
      </c>
      <c r="Z1216" s="8" t="s">
        <v>42</v>
      </c>
      <c r="AA1216" s="7" t="str">
        <f aca="false">IFERROR(INDEX(02_轉折點45!B:B,MATCH(A1216,02_轉折點45!A:A,0)),"")</f>
        <v/>
      </c>
      <c r="AB1216" s="7" t="n">
        <f aca="false">COUNTIFS(05_訊號明細!A:A,A1216,05_訊號明細!C:C,"TOP")</f>
        <v>0</v>
      </c>
      <c r="AC1216" s="7" t="n">
        <f aca="false">COUNTIFS(05_訊號明細!A:A,A1216,05_訊號明細!C:C,"BOTTOM")</f>
        <v>0</v>
      </c>
    </row>
    <row r="1217" customFormat="false" ht="15" hidden="false" customHeight="false" outlineLevel="0" collapsed="false">
      <c r="A1217" s="7" t="s">
        <v>1258</v>
      </c>
      <c r="B1217" s="7" t="n">
        <v>20369.08</v>
      </c>
      <c r="C1217" s="7" t="n">
        <v>20600.1</v>
      </c>
      <c r="D1217" s="7" t="n">
        <v>20294.58</v>
      </c>
      <c r="E1217" s="7" t="n">
        <v>20550.65</v>
      </c>
      <c r="F1217" s="7" t="n">
        <v>6881</v>
      </c>
      <c r="G1217" s="7" t="n">
        <f aca="false">AVERAGE(E1213:E1217)</f>
        <v>20310.714</v>
      </c>
      <c r="H1217" s="7" t="n">
        <f aca="false">AVERAGE(E1208:E1217)</f>
        <v>20299.401</v>
      </c>
      <c r="I1217" s="7" t="n">
        <f aca="false">AVERAGE(E1198:E1217)</f>
        <v>20195.7475</v>
      </c>
      <c r="J1217" s="7" t="n">
        <f aca="false">AVERAGE(E1168:E1217)</f>
        <v>19769.5376</v>
      </c>
      <c r="K1217" s="7" t="n">
        <f aca="false">AVERAGE(E1118:E1217)</f>
        <v>19615.7041</v>
      </c>
      <c r="L1217" s="7" t="n">
        <f aca="false">AVERAGE(E1018:E1217)</f>
        <v>18784.9266</v>
      </c>
      <c r="M1217" s="7" t="n">
        <f aca="false">I1217</f>
        <v>20195.7475</v>
      </c>
      <c r="N1217" s="7" t="n">
        <f aca="false">I1217+2*STDEV(E1198:E1217)</f>
        <v>20619.9289591285</v>
      </c>
      <c r="O1217" s="7" t="n">
        <f aca="false">I1217-2*STDEV(E1198:E1217)</f>
        <v>19771.5660408715</v>
      </c>
      <c r="P1217" s="7" t="n">
        <f aca="false">MAX(E1217-E1216,0)</f>
        <v>199.580000000002</v>
      </c>
      <c r="Q1217" s="7" t="n">
        <f aca="false">MAX(E1216-E1217,0)</f>
        <v>0</v>
      </c>
      <c r="R1217" s="7" t="n">
        <f aca="false">(R1216*13+P1217)/14</f>
        <v>84.8114376085473</v>
      </c>
      <c r="S1217" s="7" t="n">
        <f aca="false">(S1216*13+Q1217)/14</f>
        <v>50.1076158372778</v>
      </c>
      <c r="T1217" s="7" t="n">
        <f aca="false">IF(S1217=0,100,100-100/(1+R1217/S1217))</f>
        <v>62.8609788183863</v>
      </c>
      <c r="U1217" s="7" t="n">
        <f aca="false">E1217*2/13+U1216*11/13</f>
        <v>20290.2463217351</v>
      </c>
      <c r="V1217" s="7" t="n">
        <f aca="false">E1217*2/27+V1216*25/27</f>
        <v>20111.6980522516</v>
      </c>
      <c r="W1217" s="7" t="n">
        <f aca="false">U1217-V1217</f>
        <v>178.548269483508</v>
      </c>
      <c r="X1217" s="7" t="n">
        <f aca="false">W1217*2/10+X1216*8/10</f>
        <v>183.161075472575</v>
      </c>
      <c r="Y1217" s="7" t="n">
        <f aca="false">W1217-X1217</f>
        <v>-4.61280598906674</v>
      </c>
      <c r="Z1217" s="8" t="s">
        <v>42</v>
      </c>
      <c r="AA1217" s="7" t="str">
        <f aca="false">IFERROR(INDEX(02_轉折點45!B:B,MATCH(A1217,02_轉折點45!A:A,0)),"")</f>
        <v/>
      </c>
      <c r="AB1217" s="7" t="n">
        <f aca="false">COUNTIFS(05_訊號明細!A:A,A1217,05_訊號明細!C:C,"TOP")</f>
        <v>2</v>
      </c>
      <c r="AC1217" s="7" t="n">
        <f aca="false">COUNTIFS(05_訊號明細!A:A,A1217,05_訊號明細!C:C,"BOTTOM")</f>
        <v>0</v>
      </c>
    </row>
    <row r="1218" customFormat="false" ht="15" hidden="false" customHeight="false" outlineLevel="0" collapsed="false">
      <c r="A1218" s="7" t="s">
        <v>1259</v>
      </c>
      <c r="B1218" s="7" t="n">
        <v>20510.92</v>
      </c>
      <c r="C1218" s="7" t="n">
        <v>20559.52</v>
      </c>
      <c r="D1218" s="7" t="n">
        <v>20378.75</v>
      </c>
      <c r="E1218" s="7" t="n">
        <v>20387.7</v>
      </c>
      <c r="F1218" s="7" t="n">
        <v>6515</v>
      </c>
      <c r="G1218" s="7" t="n">
        <f aca="false">AVERAGE(E1214:E1218)</f>
        <v>20374.862</v>
      </c>
      <c r="H1218" s="7" t="n">
        <f aca="false">AVERAGE(E1209:E1218)</f>
        <v>20320.766</v>
      </c>
      <c r="I1218" s="7" t="n">
        <f aca="false">AVERAGE(E1199:E1218)</f>
        <v>20225.003</v>
      </c>
      <c r="J1218" s="7" t="n">
        <f aca="false">AVERAGE(E1169:E1218)</f>
        <v>19782.8952</v>
      </c>
      <c r="K1218" s="7" t="n">
        <f aca="false">AVERAGE(E1119:E1218)</f>
        <v>19629.5716</v>
      </c>
      <c r="L1218" s="7" t="n">
        <f aca="false">AVERAGE(E1019:E1218)</f>
        <v>18802.71155</v>
      </c>
      <c r="M1218" s="7" t="n">
        <f aca="false">I1218</f>
        <v>20225.003</v>
      </c>
      <c r="N1218" s="7" t="n">
        <f aca="false">I1218+2*STDEV(E1199:E1218)</f>
        <v>20614.2863714512</v>
      </c>
      <c r="O1218" s="7" t="n">
        <f aca="false">I1218-2*STDEV(E1199:E1218)</f>
        <v>19835.7196285488</v>
      </c>
      <c r="P1218" s="7" t="n">
        <f aca="false">MAX(E1218-E1217,0)</f>
        <v>0</v>
      </c>
      <c r="Q1218" s="7" t="n">
        <f aca="false">MAX(E1217-E1218,0)</f>
        <v>162.950000000001</v>
      </c>
      <c r="R1218" s="7" t="n">
        <f aca="false">(R1217*13+P1218)/14</f>
        <v>78.7534777793654</v>
      </c>
      <c r="S1218" s="7" t="n">
        <f aca="false">(S1217*13+Q1218)/14</f>
        <v>58.1677861346151</v>
      </c>
      <c r="T1218" s="7" t="n">
        <f aca="false">IF(S1218=0,100,100-100/(1+R1218/S1218))</f>
        <v>57.5173464866944</v>
      </c>
      <c r="U1218" s="7" t="n">
        <f aca="false">E1218*2/13+U1217*11/13</f>
        <v>20305.2391953143</v>
      </c>
      <c r="V1218" s="7" t="n">
        <f aca="false">E1218*2/27+V1217*25/27</f>
        <v>20132.1426409737</v>
      </c>
      <c r="W1218" s="7" t="n">
        <f aca="false">U1218-V1218</f>
        <v>173.096554340616</v>
      </c>
      <c r="X1218" s="7" t="n">
        <f aca="false">W1218*2/10+X1217*8/10</f>
        <v>181.148171246183</v>
      </c>
      <c r="Y1218" s="7" t="n">
        <f aca="false">W1218-X1218</f>
        <v>-8.05161690556682</v>
      </c>
      <c r="Z1218" s="8" t="s">
        <v>42</v>
      </c>
      <c r="AA1218" s="7" t="str">
        <f aca="false">IFERROR(INDEX(02_轉折點45!B:B,MATCH(A1218,02_轉折點45!A:A,0)),"")</f>
        <v/>
      </c>
      <c r="AB1218" s="7" t="n">
        <f aca="false">COUNTIFS(05_訊號明細!A:A,A1218,05_訊號明細!C:C,"TOP")</f>
        <v>1</v>
      </c>
      <c r="AC1218" s="7" t="n">
        <f aca="false">COUNTIFS(05_訊號明細!A:A,A1218,05_訊號明細!C:C,"BOTTOM")</f>
        <v>0</v>
      </c>
    </row>
    <row r="1219" customFormat="false" ht="15" hidden="false" customHeight="false" outlineLevel="0" collapsed="false">
      <c r="A1219" s="7" t="s">
        <v>1260</v>
      </c>
      <c r="B1219" s="7" t="n">
        <v>20227.19</v>
      </c>
      <c r="C1219" s="7" t="n">
        <v>20227.19</v>
      </c>
      <c r="D1219" s="7" t="n">
        <v>19880.26</v>
      </c>
      <c r="E1219" s="7" t="n">
        <v>19890.42</v>
      </c>
      <c r="F1219" s="7" t="n">
        <v>6412</v>
      </c>
      <c r="G1219" s="7" t="n">
        <f aca="false">AVERAGE(E1215:E1219)</f>
        <v>20306.372</v>
      </c>
      <c r="H1219" s="7" t="n">
        <f aca="false">AVERAGE(E1210:E1219)</f>
        <v>20290.766</v>
      </c>
      <c r="I1219" s="7" t="n">
        <f aca="false">AVERAGE(E1200:E1219)</f>
        <v>20229.857</v>
      </c>
      <c r="J1219" s="7" t="n">
        <f aca="false">AVERAGE(E1170:E1219)</f>
        <v>19784.2068</v>
      </c>
      <c r="K1219" s="7" t="n">
        <f aca="false">AVERAGE(E1120:E1219)</f>
        <v>19637.7291</v>
      </c>
      <c r="L1219" s="7" t="n">
        <f aca="false">AVERAGE(E1020:E1219)</f>
        <v>18818.48225</v>
      </c>
      <c r="M1219" s="7" t="n">
        <f aca="false">I1219</f>
        <v>20229.857</v>
      </c>
      <c r="N1219" s="7" t="n">
        <f aca="false">I1219+2*STDEV(E1200:E1219)</f>
        <v>20598.3429327801</v>
      </c>
      <c r="O1219" s="7" t="n">
        <f aca="false">I1219-2*STDEV(E1200:E1219)</f>
        <v>19861.3710672199</v>
      </c>
      <c r="P1219" s="7" t="n">
        <f aca="false">MAX(E1219-E1218,0)</f>
        <v>0</v>
      </c>
      <c r="Q1219" s="7" t="n">
        <f aca="false">MAX(E1218-E1219,0)</f>
        <v>497.280000000003</v>
      </c>
      <c r="R1219" s="7" t="n">
        <f aca="false">(R1218*13+P1219)/14</f>
        <v>73.1282293665536</v>
      </c>
      <c r="S1219" s="7" t="n">
        <f aca="false">(S1218*13+Q1219)/14</f>
        <v>89.5329442678571</v>
      </c>
      <c r="T1219" s="7" t="n">
        <f aca="false">IF(S1219=0,100,100-100/(1+R1219/S1219))</f>
        <v>44.957396859138</v>
      </c>
      <c r="U1219" s="7" t="n">
        <f aca="false">E1219*2/13+U1218*11/13</f>
        <v>20241.4208575736</v>
      </c>
      <c r="V1219" s="7" t="n">
        <f aca="false">E1219*2/27+V1218*25/27</f>
        <v>20114.2372601608</v>
      </c>
      <c r="W1219" s="7" t="n">
        <f aca="false">U1219-V1219</f>
        <v>127.183597412819</v>
      </c>
      <c r="X1219" s="7" t="n">
        <f aca="false">W1219*2/10+X1218*8/10</f>
        <v>170.35525647951</v>
      </c>
      <c r="Y1219" s="7" t="n">
        <f aca="false">W1219-X1219</f>
        <v>-43.1716590666914</v>
      </c>
      <c r="Z1219" s="8" t="s">
        <v>42</v>
      </c>
      <c r="AA1219" s="7" t="str">
        <f aca="false">IFERROR(INDEX(02_轉折點45!B:B,MATCH(A1219,02_轉折點45!A:A,0)),"")</f>
        <v/>
      </c>
      <c r="AB1219" s="7" t="n">
        <f aca="false">COUNTIFS(05_訊號明細!A:A,A1219,05_訊號明細!C:C,"TOP")</f>
        <v>1</v>
      </c>
      <c r="AC1219" s="7" t="n">
        <f aca="false">COUNTIFS(05_訊號明細!A:A,A1219,05_訊號明細!C:C,"BOTTOM")</f>
        <v>0</v>
      </c>
    </row>
    <row r="1220" customFormat="false" ht="15" hidden="false" customHeight="false" outlineLevel="0" collapsed="false">
      <c r="A1220" s="7" t="s">
        <v>1261</v>
      </c>
      <c r="B1220" s="7" t="n">
        <v>19955.83</v>
      </c>
      <c r="C1220" s="7" t="n">
        <v>20162.54</v>
      </c>
      <c r="D1220" s="7" t="n">
        <v>19950.99</v>
      </c>
      <c r="E1220" s="7" t="n">
        <v>20033.14</v>
      </c>
      <c r="F1220" s="7" t="n">
        <v>5896</v>
      </c>
      <c r="G1220" s="7" t="n">
        <f aca="false">AVERAGE(E1216:E1220)</f>
        <v>20242.596</v>
      </c>
      <c r="H1220" s="7" t="n">
        <f aca="false">AVERAGE(E1211:E1220)</f>
        <v>20261.676</v>
      </c>
      <c r="I1220" s="7" t="n">
        <f aca="false">AVERAGE(E1201:E1220)</f>
        <v>20229.763</v>
      </c>
      <c r="J1220" s="7" t="n">
        <f aca="false">AVERAGE(E1171:E1220)</f>
        <v>19795.0328</v>
      </c>
      <c r="K1220" s="7" t="n">
        <f aca="false">AVERAGE(E1121:E1220)</f>
        <v>19645.9587</v>
      </c>
      <c r="L1220" s="7" t="n">
        <f aca="false">AVERAGE(E1021:E1220)</f>
        <v>18833.7365</v>
      </c>
      <c r="M1220" s="7" t="n">
        <f aca="false">I1220</f>
        <v>20229.763</v>
      </c>
      <c r="N1220" s="7" t="n">
        <f aca="false">I1220+2*STDEV(E1201:E1220)</f>
        <v>20598.4591057622</v>
      </c>
      <c r="O1220" s="7" t="n">
        <f aca="false">I1220-2*STDEV(E1201:E1220)</f>
        <v>19861.0668942378</v>
      </c>
      <c r="P1220" s="7" t="n">
        <f aca="false">MAX(E1220-E1219,0)</f>
        <v>142.720000000001</v>
      </c>
      <c r="Q1220" s="7" t="n">
        <f aca="false">MAX(E1219-E1220,0)</f>
        <v>0</v>
      </c>
      <c r="R1220" s="7" t="n">
        <f aca="false">(R1219*13+P1220)/14</f>
        <v>78.0990701260855</v>
      </c>
      <c r="S1220" s="7" t="n">
        <f aca="false">(S1219*13+Q1220)/14</f>
        <v>83.1377339630101</v>
      </c>
      <c r="T1220" s="7" t="n">
        <f aca="false">IF(S1220=0,100,100-100/(1+R1220/S1220))</f>
        <v>48.4374957487559</v>
      </c>
      <c r="U1220" s="7" t="n">
        <f aca="false">E1220*2/13+U1219*11/13</f>
        <v>20209.3776487162</v>
      </c>
      <c r="V1220" s="7" t="n">
        <f aca="false">E1220*2/27+V1219*25/27</f>
        <v>20108.2300557045</v>
      </c>
      <c r="W1220" s="7" t="n">
        <f aca="false">U1220-V1220</f>
        <v>101.147593011698</v>
      </c>
      <c r="X1220" s="7" t="n">
        <f aca="false">W1220*2/10+X1219*8/10</f>
        <v>156.513723785948</v>
      </c>
      <c r="Y1220" s="7" t="n">
        <f aca="false">W1220-X1220</f>
        <v>-55.3661307742502</v>
      </c>
      <c r="Z1220" s="8" t="s">
        <v>42</v>
      </c>
      <c r="AA1220" s="7" t="str">
        <f aca="false">IFERROR(INDEX(02_轉折點45!B:B,MATCH(A1220,02_轉折點45!A:A,0)),"")</f>
        <v/>
      </c>
      <c r="AB1220" s="7" t="n">
        <f aca="false">COUNTIFS(05_訊號明細!A:A,A1220,05_訊號明細!C:C,"TOP")</f>
        <v>1</v>
      </c>
      <c r="AC1220" s="7" t="n">
        <f aca="false">COUNTIFS(05_訊號明細!A:A,A1220,05_訊號明細!C:C,"BOTTOM")</f>
        <v>0</v>
      </c>
    </row>
    <row r="1221" customFormat="false" ht="15" hidden="false" customHeight="false" outlineLevel="0" collapsed="false">
      <c r="A1221" s="7" t="s">
        <v>1262</v>
      </c>
      <c r="B1221" s="7" t="n">
        <v>20011.55</v>
      </c>
      <c r="C1221" s="7" t="n">
        <v>20106.99</v>
      </c>
      <c r="D1221" s="7" t="n">
        <v>19898.57</v>
      </c>
      <c r="E1221" s="7" t="n">
        <v>19963.6</v>
      </c>
      <c r="F1221" s="7" t="n">
        <v>5762</v>
      </c>
      <c r="G1221" s="7" t="n">
        <f aca="false">AVERAGE(E1217:E1221)</f>
        <v>20165.102</v>
      </c>
      <c r="H1221" s="7" t="n">
        <f aca="false">AVERAGE(E1212:E1221)</f>
        <v>20221.889</v>
      </c>
      <c r="I1221" s="7" t="n">
        <f aca="false">AVERAGE(E1202:E1221)</f>
        <v>20237.906</v>
      </c>
      <c r="J1221" s="7" t="n">
        <f aca="false">AVERAGE(E1172:E1221)</f>
        <v>19799.8874</v>
      </c>
      <c r="K1221" s="7" t="n">
        <f aca="false">AVERAGE(E1122:E1221)</f>
        <v>19650.9429</v>
      </c>
      <c r="L1221" s="7" t="n">
        <f aca="false">AVERAGE(E1022:E1221)</f>
        <v>18846.9845</v>
      </c>
      <c r="M1221" s="7" t="n">
        <f aca="false">I1221</f>
        <v>20237.906</v>
      </c>
      <c r="N1221" s="7" t="n">
        <f aca="false">I1221+2*STDEV(E1202:E1221)</f>
        <v>20572.3043525772</v>
      </c>
      <c r="O1221" s="7" t="n">
        <f aca="false">I1221-2*STDEV(E1202:E1221)</f>
        <v>19903.5076474228</v>
      </c>
      <c r="P1221" s="7" t="n">
        <f aca="false">MAX(E1221-E1220,0)</f>
        <v>0</v>
      </c>
      <c r="Q1221" s="7" t="n">
        <f aca="false">MAX(E1220-E1221,0)</f>
        <v>69.5400000000009</v>
      </c>
      <c r="R1221" s="7" t="n">
        <f aca="false">(R1220*13+P1221)/14</f>
        <v>72.5205651170794</v>
      </c>
      <c r="S1221" s="7" t="n">
        <f aca="false">(S1220*13+Q1221)/14</f>
        <v>82.1664672513666</v>
      </c>
      <c r="T1221" s="7" t="n">
        <f aca="false">IF(S1221=0,100,100-100/(1+R1221/S1221))</f>
        <v>46.8821232178946</v>
      </c>
      <c r="U1221" s="7" t="n">
        <f aca="false">E1221*2/13+U1220*11/13</f>
        <v>20171.5657027598</v>
      </c>
      <c r="V1221" s="7" t="n">
        <f aca="false">E1221*2/27+V1220*25/27</f>
        <v>20097.5167182449</v>
      </c>
      <c r="W1221" s="7" t="n">
        <f aca="false">U1221-V1221</f>
        <v>74.0489845149568</v>
      </c>
      <c r="X1221" s="7" t="n">
        <f aca="false">W1221*2/10+X1220*8/10</f>
        <v>140.02077593175</v>
      </c>
      <c r="Y1221" s="7" t="n">
        <f aca="false">W1221-X1221</f>
        <v>-65.9717914167928</v>
      </c>
      <c r="Z1221" s="8" t="s">
        <v>42</v>
      </c>
      <c r="AA1221" s="7" t="str">
        <f aca="false">IFERROR(INDEX(02_轉折點45!B:B,MATCH(A1221,02_轉折點45!A:A,0)),"")</f>
        <v/>
      </c>
      <c r="AB1221" s="7" t="n">
        <f aca="false">COUNTIFS(05_訊號明細!A:A,A1221,05_訊號明細!C:C,"TOP")</f>
        <v>0</v>
      </c>
      <c r="AC1221" s="7" t="n">
        <f aca="false">COUNTIFS(05_訊號明細!A:A,A1221,05_訊號明細!C:C,"BOTTOM")</f>
        <v>0</v>
      </c>
    </row>
    <row r="1222" customFormat="false" ht="15" hidden="false" customHeight="false" outlineLevel="0" collapsed="false">
      <c r="A1222" s="7" t="s">
        <v>1263</v>
      </c>
      <c r="B1222" s="7" t="n">
        <v>20042.93</v>
      </c>
      <c r="C1222" s="7" t="n">
        <v>20249.21</v>
      </c>
      <c r="D1222" s="7" t="n">
        <v>20042.93</v>
      </c>
      <c r="E1222" s="7" t="n">
        <v>20227.46</v>
      </c>
      <c r="F1222" s="7" t="n">
        <v>7060</v>
      </c>
      <c r="G1222" s="7" t="n">
        <f aca="false">AVERAGE(E1218:E1222)</f>
        <v>20100.464</v>
      </c>
      <c r="H1222" s="7" t="n">
        <f aca="false">AVERAGE(E1213:E1222)</f>
        <v>20205.589</v>
      </c>
      <c r="I1222" s="7" t="n">
        <f aca="false">AVERAGE(E1203:E1222)</f>
        <v>20243.89</v>
      </c>
      <c r="J1222" s="7" t="n">
        <f aca="false">AVERAGE(E1173:E1222)</f>
        <v>19814.1078</v>
      </c>
      <c r="K1222" s="7" t="n">
        <f aca="false">AVERAGE(E1123:E1222)</f>
        <v>19657.4483</v>
      </c>
      <c r="L1222" s="7" t="n">
        <f aca="false">AVERAGE(E1023:E1222)</f>
        <v>18861.4699</v>
      </c>
      <c r="M1222" s="7" t="n">
        <f aca="false">I1222</f>
        <v>20243.89</v>
      </c>
      <c r="N1222" s="7" t="n">
        <f aca="false">I1222+2*STDEV(E1203:E1222)</f>
        <v>20572.7207529478</v>
      </c>
      <c r="O1222" s="7" t="n">
        <f aca="false">I1222-2*STDEV(E1203:E1222)</f>
        <v>19915.0592470522</v>
      </c>
      <c r="P1222" s="7" t="n">
        <f aca="false">MAX(E1222-E1221,0)</f>
        <v>263.860000000001</v>
      </c>
      <c r="Q1222" s="7" t="n">
        <f aca="false">MAX(E1221-E1222,0)</f>
        <v>0</v>
      </c>
      <c r="R1222" s="7" t="n">
        <f aca="false">(R1221*13+P1222)/14</f>
        <v>86.1876676087167</v>
      </c>
      <c r="S1222" s="7" t="n">
        <f aca="false">(S1221*13+Q1222)/14</f>
        <v>76.297433876269</v>
      </c>
      <c r="T1222" s="7" t="n">
        <f aca="false">IF(S1222=0,100,100-100/(1+R1222/S1222))</f>
        <v>53.043427871866</v>
      </c>
      <c r="U1222" s="7" t="n">
        <f aca="false">E1222*2/13+U1221*11/13</f>
        <v>20180.1648254122</v>
      </c>
      <c r="V1222" s="7" t="n">
        <f aca="false">E1222*2/27+V1221*25/27</f>
        <v>20107.142146523</v>
      </c>
      <c r="W1222" s="7" t="n">
        <f aca="false">U1222-V1222</f>
        <v>73.0226788891305</v>
      </c>
      <c r="X1222" s="7" t="n">
        <f aca="false">W1222*2/10+X1221*8/10</f>
        <v>126.621156523226</v>
      </c>
      <c r="Y1222" s="7" t="n">
        <f aca="false">W1222-X1222</f>
        <v>-53.5984776340953</v>
      </c>
      <c r="Z1222" s="8" t="s">
        <v>42</v>
      </c>
      <c r="AA1222" s="7" t="str">
        <f aca="false">IFERROR(INDEX(02_轉折點45!B:B,MATCH(A1222,02_轉折點45!A:A,0)),"")</f>
        <v/>
      </c>
      <c r="AB1222" s="7" t="n">
        <f aca="false">COUNTIFS(05_訊號明細!A:A,A1222,05_訊號明細!C:C,"TOP")</f>
        <v>0</v>
      </c>
      <c r="AC1222" s="7" t="n">
        <f aca="false">COUNTIFS(05_訊號明細!A:A,A1222,05_訊號明細!C:C,"BOTTOM")</f>
        <v>0</v>
      </c>
    </row>
    <row r="1223" customFormat="false" ht="15" hidden="false" customHeight="false" outlineLevel="0" collapsed="false">
      <c r="A1223" s="7" t="s">
        <v>1264</v>
      </c>
      <c r="B1223" s="7" t="n">
        <v>20571.29</v>
      </c>
      <c r="C1223" s="7" t="n">
        <v>20807.03</v>
      </c>
      <c r="D1223" s="7" t="n">
        <v>20526.64</v>
      </c>
      <c r="E1223" s="7" t="n">
        <v>20781.33</v>
      </c>
      <c r="F1223" s="7" t="n">
        <v>8138</v>
      </c>
      <c r="G1223" s="7" t="n">
        <f aca="false">AVERAGE(E1219:E1223)</f>
        <v>20179.19</v>
      </c>
      <c r="H1223" s="7" t="n">
        <f aca="false">AVERAGE(E1214:E1223)</f>
        <v>20277.026</v>
      </c>
      <c r="I1223" s="7" t="n">
        <f aca="false">AVERAGE(E1204:E1223)</f>
        <v>20269.5135</v>
      </c>
      <c r="J1223" s="7" t="n">
        <f aca="false">AVERAGE(E1174:E1223)</f>
        <v>19838.104</v>
      </c>
      <c r="K1223" s="7" t="n">
        <f aca="false">AVERAGE(E1124:E1223)</f>
        <v>19668.6636</v>
      </c>
      <c r="L1223" s="7" t="n">
        <f aca="false">AVERAGE(E1024:E1223)</f>
        <v>18878.3555</v>
      </c>
      <c r="M1223" s="7" t="n">
        <f aca="false">I1223</f>
        <v>20269.5135</v>
      </c>
      <c r="N1223" s="7" t="n">
        <f aca="false">I1223+2*STDEV(E1204:E1223)</f>
        <v>20676.9968886327</v>
      </c>
      <c r="O1223" s="7" t="n">
        <f aca="false">I1223-2*STDEV(E1204:E1223)</f>
        <v>19862.0301113673</v>
      </c>
      <c r="P1223" s="7" t="n">
        <f aca="false">MAX(E1223-E1222,0)</f>
        <v>553.870000000003</v>
      </c>
      <c r="Q1223" s="7" t="n">
        <f aca="false">MAX(E1222-E1223,0)</f>
        <v>0</v>
      </c>
      <c r="R1223" s="7" t="n">
        <f aca="false">(R1222*13+P1223)/14</f>
        <v>119.593548493809</v>
      </c>
      <c r="S1223" s="7" t="n">
        <f aca="false">(S1222*13+Q1223)/14</f>
        <v>70.8476171708212</v>
      </c>
      <c r="T1223" s="7" t="n">
        <f aca="false">IF(S1223=0,100,100-100/(1+R1223/S1223))</f>
        <v>62.7981603013368</v>
      </c>
      <c r="U1223" s="7" t="n">
        <f aca="false">E1223*2/13+U1222*11/13</f>
        <v>20272.6517753487</v>
      </c>
      <c r="V1223" s="7" t="n">
        <f aca="false">E1223*2/27+V1222*25/27</f>
        <v>20157.0819875213</v>
      </c>
      <c r="W1223" s="7" t="n">
        <f aca="false">U1223-V1223</f>
        <v>115.56978782743</v>
      </c>
      <c r="X1223" s="7" t="n">
        <f aca="false">W1223*2/10+X1222*8/10</f>
        <v>124.410882784067</v>
      </c>
      <c r="Y1223" s="7" t="n">
        <f aca="false">W1223-X1223</f>
        <v>-8.84109495663699</v>
      </c>
      <c r="Z1223" s="8" t="s">
        <v>42</v>
      </c>
      <c r="AA1223" s="7" t="str">
        <f aca="false">IFERROR(INDEX(02_轉折點45!B:B,MATCH(A1223,02_轉折點45!A:A,0)),"")</f>
        <v/>
      </c>
      <c r="AB1223" s="7" t="n">
        <f aca="false">COUNTIFS(05_訊號明細!A:A,A1223,05_訊號明細!C:C,"TOP")</f>
        <v>2</v>
      </c>
      <c r="AC1223" s="7" t="n">
        <f aca="false">COUNTIFS(05_訊號明細!A:A,A1223,05_訊號明細!C:C,"BOTTOM")</f>
        <v>0</v>
      </c>
    </row>
    <row r="1224" customFormat="false" ht="15" hidden="false" customHeight="false" outlineLevel="0" collapsed="false">
      <c r="A1224" s="7" t="s">
        <v>1265</v>
      </c>
      <c r="B1224" s="7" t="n">
        <v>20896.41</v>
      </c>
      <c r="C1224" s="7" t="n">
        <v>21132.8</v>
      </c>
      <c r="D1224" s="7" t="n">
        <v>20896.41</v>
      </c>
      <c r="E1224" s="7" t="n">
        <v>21101.57</v>
      </c>
      <c r="F1224" s="7" t="n">
        <v>9233</v>
      </c>
      <c r="G1224" s="7" t="n">
        <f aca="false">AVERAGE(E1220:E1224)</f>
        <v>20421.42</v>
      </c>
      <c r="H1224" s="7" t="n">
        <f aca="false">AVERAGE(E1215:E1224)</f>
        <v>20363.896</v>
      </c>
      <c r="I1224" s="7" t="n">
        <f aca="false">AVERAGE(E1205:E1224)</f>
        <v>20312.504</v>
      </c>
      <c r="J1224" s="7" t="n">
        <f aca="false">AVERAGE(E1175:E1224)</f>
        <v>19873.1198</v>
      </c>
      <c r="K1224" s="7" t="n">
        <f aca="false">AVERAGE(E1125:E1224)</f>
        <v>19680.6518</v>
      </c>
      <c r="L1224" s="7" t="n">
        <f aca="false">AVERAGE(E1025:E1224)</f>
        <v>18896.36685</v>
      </c>
      <c r="M1224" s="7" t="n">
        <f aca="false">I1224</f>
        <v>20312.504</v>
      </c>
      <c r="N1224" s="7" t="n">
        <f aca="false">I1224+2*STDEV(E1205:E1224)</f>
        <v>20863.7298077145</v>
      </c>
      <c r="O1224" s="7" t="n">
        <f aca="false">I1224-2*STDEV(E1205:E1224)</f>
        <v>19761.2781922855</v>
      </c>
      <c r="P1224" s="7" t="n">
        <f aca="false">MAX(E1224-E1223,0)</f>
        <v>320.239999999998</v>
      </c>
      <c r="Q1224" s="7" t="n">
        <f aca="false">MAX(E1223-E1224,0)</f>
        <v>0</v>
      </c>
      <c r="R1224" s="7" t="n">
        <f aca="false">(R1223*13+P1224)/14</f>
        <v>133.925437887108</v>
      </c>
      <c r="S1224" s="7" t="n">
        <f aca="false">(S1223*13+Q1224)/14</f>
        <v>65.7870730871911</v>
      </c>
      <c r="T1224" s="7" t="n">
        <f aca="false">IF(S1224=0,100,100-100/(1+R1224/S1224))</f>
        <v>67.0591127384817</v>
      </c>
      <c r="U1224" s="7" t="n">
        <f aca="false">E1224*2/13+U1223*11/13</f>
        <v>20400.1776560643</v>
      </c>
      <c r="V1224" s="7" t="n">
        <f aca="false">E1224*2/27+V1223*25/27</f>
        <v>20227.0440625197</v>
      </c>
      <c r="W1224" s="7" t="n">
        <f aca="false">U1224-V1224</f>
        <v>173.133593544586</v>
      </c>
      <c r="X1224" s="7" t="n">
        <f aca="false">W1224*2/10+X1223*8/10</f>
        <v>134.15542493617</v>
      </c>
      <c r="Y1224" s="7" t="n">
        <f aca="false">W1224-X1224</f>
        <v>38.9781686084155</v>
      </c>
      <c r="Z1224" s="8" t="s">
        <v>42</v>
      </c>
      <c r="AA1224" s="7" t="str">
        <f aca="false">IFERROR(INDEX(02_轉折點45!B:B,MATCH(A1224,02_轉折點45!A:A,0)),"")</f>
        <v/>
      </c>
      <c r="AB1224" s="7" t="n">
        <f aca="false">COUNTIFS(05_訊號明細!A:A,A1224,05_訊號明細!C:C,"TOP")</f>
        <v>0</v>
      </c>
      <c r="AC1224" s="7" t="n">
        <f aca="false">COUNTIFS(05_訊號明細!A:A,A1224,05_訊號明細!C:C,"BOTTOM")</f>
        <v>0</v>
      </c>
    </row>
    <row r="1225" customFormat="false" ht="15" hidden="false" customHeight="false" outlineLevel="0" collapsed="false">
      <c r="A1225" s="7" t="s">
        <v>1266</v>
      </c>
      <c r="B1225" s="7" t="n">
        <v>21083.58</v>
      </c>
      <c r="C1225" s="7" t="n">
        <v>21155</v>
      </c>
      <c r="D1225" s="7" t="n">
        <v>21050.32</v>
      </c>
      <c r="E1225" s="7" t="n">
        <v>21117.18</v>
      </c>
      <c r="F1225" s="7" t="n">
        <v>7316</v>
      </c>
      <c r="G1225" s="7" t="n">
        <f aca="false">AVERAGE(E1221:E1225)</f>
        <v>20638.228</v>
      </c>
      <c r="H1225" s="7" t="n">
        <f aca="false">AVERAGE(E1216:E1225)</f>
        <v>20440.412</v>
      </c>
      <c r="I1225" s="7" t="n">
        <f aca="false">AVERAGE(E1206:E1225)</f>
        <v>20354.7645</v>
      </c>
      <c r="J1225" s="7" t="n">
        <f aca="false">AVERAGE(E1176:E1225)</f>
        <v>19908.9544</v>
      </c>
      <c r="K1225" s="7" t="n">
        <f aca="false">AVERAGE(E1126:E1225)</f>
        <v>19692.735</v>
      </c>
      <c r="L1225" s="7" t="n">
        <f aca="false">AVERAGE(E1026:E1225)</f>
        <v>18914.3678</v>
      </c>
      <c r="M1225" s="7" t="n">
        <f aca="false">I1225</f>
        <v>20354.7645</v>
      </c>
      <c r="N1225" s="7" t="n">
        <f aca="false">I1225+2*STDEV(E1206:E1225)</f>
        <v>21012.260298713</v>
      </c>
      <c r="O1225" s="7" t="n">
        <f aca="false">I1225-2*STDEV(E1206:E1225)</f>
        <v>19697.268701287</v>
      </c>
      <c r="P1225" s="7" t="n">
        <f aca="false">MAX(E1225-E1224,0)</f>
        <v>15.6100000000006</v>
      </c>
      <c r="Q1225" s="7" t="n">
        <f aca="false">MAX(E1224-E1225,0)</f>
        <v>0</v>
      </c>
      <c r="R1225" s="7" t="n">
        <f aca="false">(R1224*13+P1225)/14</f>
        <v>125.474335180886</v>
      </c>
      <c r="S1225" s="7" t="n">
        <f aca="false">(S1224*13+Q1225)/14</f>
        <v>61.087996438106</v>
      </c>
      <c r="T1225" s="7" t="n">
        <f aca="false">IF(S1225=0,100,100-100/(1+R1225/S1225))</f>
        <v>67.2559857566192</v>
      </c>
      <c r="U1225" s="7" t="n">
        <f aca="false">E1225*2/13+U1224*11/13</f>
        <v>20510.4857089775</v>
      </c>
      <c r="V1225" s="7" t="n">
        <f aca="false">E1225*2/27+V1224*25/27</f>
        <v>20292.9800578886</v>
      </c>
      <c r="W1225" s="7" t="n">
        <f aca="false">U1225-V1225</f>
        <v>217.505651088857</v>
      </c>
      <c r="X1225" s="7" t="n">
        <f aca="false">W1225*2/10+X1224*8/10</f>
        <v>150.825470166708</v>
      </c>
      <c r="Y1225" s="7" t="n">
        <f aca="false">W1225-X1225</f>
        <v>66.6801809221494</v>
      </c>
      <c r="Z1225" s="8" t="s">
        <v>42</v>
      </c>
      <c r="AA1225" s="7" t="str">
        <f aca="false">IFERROR(INDEX(02_轉折點45!B:B,MATCH(A1225,02_轉折點45!A:A,0)),"")</f>
        <v/>
      </c>
      <c r="AB1225" s="7" t="n">
        <f aca="false">COUNTIFS(05_訊號明細!A:A,A1225,05_訊號明細!C:C,"TOP")</f>
        <v>0</v>
      </c>
      <c r="AC1225" s="7" t="n">
        <f aca="false">COUNTIFS(05_訊號明細!A:A,A1225,05_訊號明細!C:C,"BOTTOM")</f>
        <v>0</v>
      </c>
    </row>
    <row r="1226" customFormat="false" ht="15" hidden="false" customHeight="false" outlineLevel="0" collapsed="false">
      <c r="A1226" s="7" t="s">
        <v>1267</v>
      </c>
      <c r="B1226" s="7" t="n">
        <v>21171.24</v>
      </c>
      <c r="C1226" s="7" t="n">
        <v>21182.03</v>
      </c>
      <c r="D1226" s="7" t="n">
        <v>20993.48</v>
      </c>
      <c r="E1226" s="7" t="n">
        <v>21106.59</v>
      </c>
      <c r="F1226" s="7" t="n">
        <v>8088</v>
      </c>
      <c r="G1226" s="7" t="n">
        <f aca="false">AVERAGE(E1222:E1226)</f>
        <v>20866.826</v>
      </c>
      <c r="H1226" s="7" t="n">
        <f aca="false">AVERAGE(E1217:E1226)</f>
        <v>20515.964</v>
      </c>
      <c r="I1226" s="7" t="n">
        <f aca="false">AVERAGE(E1207:E1226)</f>
        <v>20388.1415</v>
      </c>
      <c r="J1226" s="7" t="n">
        <f aca="false">AVERAGE(E1177:E1226)</f>
        <v>19939.5934</v>
      </c>
      <c r="K1226" s="7" t="n">
        <f aca="false">AVERAGE(E1127:E1226)</f>
        <v>19706.2779</v>
      </c>
      <c r="L1226" s="7" t="n">
        <f aca="false">AVERAGE(E1027:E1226)</f>
        <v>18932.7957</v>
      </c>
      <c r="M1226" s="7" t="n">
        <f aca="false">I1226</f>
        <v>20388.1415</v>
      </c>
      <c r="N1226" s="7" t="n">
        <f aca="false">I1226+2*STDEV(E1207:E1226)</f>
        <v>21126.4590040384</v>
      </c>
      <c r="O1226" s="7" t="n">
        <f aca="false">I1226-2*STDEV(E1207:E1226)</f>
        <v>19649.8239959616</v>
      </c>
      <c r="P1226" s="7" t="n">
        <f aca="false">MAX(E1226-E1225,0)</f>
        <v>0</v>
      </c>
      <c r="Q1226" s="7" t="n">
        <f aca="false">MAX(E1225-E1226,0)</f>
        <v>10.5900000000001</v>
      </c>
      <c r="R1226" s="7" t="n">
        <f aca="false">(R1225*13+P1226)/14</f>
        <v>116.511882667965</v>
      </c>
      <c r="S1226" s="7" t="n">
        <f aca="false">(S1225*13+Q1226)/14</f>
        <v>57.480996692527</v>
      </c>
      <c r="T1226" s="7" t="n">
        <f aca="false">IF(S1226=0,100,100-100/(1+R1226/S1226))</f>
        <v>66.9635924735556</v>
      </c>
      <c r="U1226" s="7" t="n">
        <f aca="false">E1226*2/13+U1225*11/13</f>
        <v>20602.1940614425</v>
      </c>
      <c r="V1226" s="7" t="n">
        <f aca="false">E1226*2/27+V1225*25/27</f>
        <v>20353.247461008</v>
      </c>
      <c r="W1226" s="7" t="n">
        <f aca="false">U1226-V1226</f>
        <v>248.946600434501</v>
      </c>
      <c r="X1226" s="7" t="n">
        <f aca="false">W1226*2/10+X1225*8/10</f>
        <v>170.449696220266</v>
      </c>
      <c r="Y1226" s="7" t="n">
        <f aca="false">W1226-X1226</f>
        <v>78.4969042142349</v>
      </c>
      <c r="Z1226" s="8" t="s">
        <v>42</v>
      </c>
      <c r="AA1226" s="7" t="str">
        <f aca="false">IFERROR(INDEX(02_轉折點45!B:B,MATCH(A1226,02_轉折點45!A:A,0)),"")</f>
        <v/>
      </c>
      <c r="AB1226" s="7" t="n">
        <f aca="false">COUNTIFS(05_訊號明細!A:A,A1226,05_訊號明細!C:C,"TOP")</f>
        <v>0</v>
      </c>
      <c r="AC1226" s="7" t="n">
        <f aca="false">COUNTIFS(05_訊號明細!A:A,A1226,05_訊號明細!C:C,"BOTTOM")</f>
        <v>0</v>
      </c>
    </row>
    <row r="1227" customFormat="false" ht="15" hidden="false" customHeight="false" outlineLevel="0" collapsed="false">
      <c r="A1227" s="7" t="s">
        <v>1268</v>
      </c>
      <c r="B1227" s="7" t="n">
        <v>21105.49</v>
      </c>
      <c r="C1227" s="7" t="n">
        <v>21144.67</v>
      </c>
      <c r="D1227" s="7" t="n">
        <v>20946.74</v>
      </c>
      <c r="E1227" s="7" t="n">
        <v>21070.79</v>
      </c>
      <c r="F1227" s="7" t="n">
        <v>7816</v>
      </c>
      <c r="G1227" s="7" t="n">
        <f aca="false">AVERAGE(E1223:E1227)</f>
        <v>21035.492</v>
      </c>
      <c r="H1227" s="7" t="n">
        <f aca="false">AVERAGE(E1218:E1227)</f>
        <v>20567.978</v>
      </c>
      <c r="I1227" s="7" t="n">
        <f aca="false">AVERAGE(E1208:E1227)</f>
        <v>20433.6895</v>
      </c>
      <c r="J1227" s="7" t="n">
        <f aca="false">AVERAGE(E1178:E1227)</f>
        <v>19981.8344</v>
      </c>
      <c r="K1227" s="7" t="n">
        <f aca="false">AVERAGE(E1128:E1227)</f>
        <v>19719.9815</v>
      </c>
      <c r="L1227" s="7" t="n">
        <f aca="false">AVERAGE(E1028:E1227)</f>
        <v>18950.1683</v>
      </c>
      <c r="M1227" s="7" t="n">
        <f aca="false">I1227</f>
        <v>20433.6895</v>
      </c>
      <c r="N1227" s="7" t="n">
        <f aca="false">I1227+2*STDEV(E1208:E1227)</f>
        <v>21223.3164508405</v>
      </c>
      <c r="O1227" s="7" t="n">
        <f aca="false">I1227-2*STDEV(E1208:E1227)</f>
        <v>19644.0625491595</v>
      </c>
      <c r="P1227" s="7" t="n">
        <f aca="false">MAX(E1227-E1226,0)</f>
        <v>0</v>
      </c>
      <c r="Q1227" s="7" t="n">
        <f aca="false">MAX(E1226-E1227,0)</f>
        <v>35.7999999999993</v>
      </c>
      <c r="R1227" s="7" t="n">
        <f aca="false">(R1226*13+P1227)/14</f>
        <v>108.189605334539</v>
      </c>
      <c r="S1227" s="7" t="n">
        <f aca="false">(S1226*13+Q1227)/14</f>
        <v>55.9323540716322</v>
      </c>
      <c r="T1227" s="7" t="n">
        <f aca="false">IF(S1227=0,100,100-100/(1+R1227/S1227))</f>
        <v>65.9202496277723</v>
      </c>
      <c r="U1227" s="7" t="n">
        <f aca="false">E1227*2/13+U1226*11/13</f>
        <v>20674.2857442975</v>
      </c>
      <c r="V1227" s="7" t="n">
        <f aca="false">E1227*2/27+V1226*25/27</f>
        <v>20406.3987601926</v>
      </c>
      <c r="W1227" s="7" t="n">
        <f aca="false">U1227-V1227</f>
        <v>267.886984104905</v>
      </c>
      <c r="X1227" s="7" t="n">
        <f aca="false">W1227*2/10+X1226*8/10</f>
        <v>189.937153797194</v>
      </c>
      <c r="Y1227" s="7" t="n">
        <f aca="false">W1227-X1227</f>
        <v>77.9498303077112</v>
      </c>
      <c r="Z1227" s="8" t="s">
        <v>42</v>
      </c>
      <c r="AA1227" s="7" t="str">
        <f aca="false">IFERROR(INDEX(02_轉折點45!B:B,MATCH(A1227,02_轉折點45!A:A,0)),"")</f>
        <v/>
      </c>
      <c r="AB1227" s="7" t="n">
        <f aca="false">COUNTIFS(05_訊號明細!A:A,A1227,05_訊號明細!C:C,"TOP")</f>
        <v>0</v>
      </c>
      <c r="AC1227" s="7" t="n">
        <f aca="false">COUNTIFS(05_訊號明細!A:A,A1227,05_訊號明細!C:C,"BOTTOM")</f>
        <v>0</v>
      </c>
    </row>
    <row r="1228" customFormat="false" ht="15" hidden="false" customHeight="false" outlineLevel="0" collapsed="false">
      <c r="A1228" s="7" t="s">
        <v>1269</v>
      </c>
      <c r="B1228" s="7" t="n">
        <v>21049.66</v>
      </c>
      <c r="C1228" s="7" t="n">
        <v>21154.94</v>
      </c>
      <c r="D1228" s="7" t="n">
        <v>20955.24</v>
      </c>
      <c r="E1228" s="7" t="n">
        <v>21036.16</v>
      </c>
      <c r="F1228" s="7" t="n">
        <v>9624</v>
      </c>
      <c r="G1228" s="7" t="n">
        <f aca="false">AVERAGE(E1224:E1228)</f>
        <v>21086.458</v>
      </c>
      <c r="H1228" s="7" t="n">
        <f aca="false">AVERAGE(E1219:E1228)</f>
        <v>20632.824</v>
      </c>
      <c r="I1228" s="7" t="n">
        <f aca="false">AVERAGE(E1209:E1228)</f>
        <v>20476.795</v>
      </c>
      <c r="J1228" s="7" t="n">
        <f aca="false">AVERAGE(E1179:E1228)</f>
        <v>20024.1296</v>
      </c>
      <c r="K1228" s="7" t="n">
        <f aca="false">AVERAGE(E1129:E1228)</f>
        <v>19735.5969</v>
      </c>
      <c r="L1228" s="7" t="n">
        <f aca="false">AVERAGE(E1029:E1228)</f>
        <v>18967.96555</v>
      </c>
      <c r="M1228" s="7" t="n">
        <f aca="false">I1228</f>
        <v>20476.795</v>
      </c>
      <c r="N1228" s="7" t="n">
        <f aca="false">I1228+2*STDEV(E1209:E1228)</f>
        <v>21300.1478728571</v>
      </c>
      <c r="O1228" s="7" t="n">
        <f aca="false">I1228-2*STDEV(E1209:E1228)</f>
        <v>19653.4421271429</v>
      </c>
      <c r="P1228" s="7" t="n">
        <f aca="false">MAX(E1228-E1227,0)</f>
        <v>0</v>
      </c>
      <c r="Q1228" s="7" t="n">
        <f aca="false">MAX(E1227-E1228,0)</f>
        <v>34.630000000001</v>
      </c>
      <c r="R1228" s="7" t="n">
        <f aca="false">(R1227*13+P1228)/14</f>
        <v>100.461776382072</v>
      </c>
      <c r="S1228" s="7" t="n">
        <f aca="false">(S1227*13+Q1228)/14</f>
        <v>54.41075735223</v>
      </c>
      <c r="T1228" s="7" t="n">
        <f aca="false">IF(S1228=0,100,100-100/(1+R1228/S1228))</f>
        <v>64.8673938236353</v>
      </c>
      <c r="U1228" s="7" t="n">
        <f aca="false">E1228*2/13+U1227*11/13</f>
        <v>20729.9587067133</v>
      </c>
      <c r="V1228" s="7" t="n">
        <f aca="false">E1228*2/27+V1227*25/27</f>
        <v>20453.0477409191</v>
      </c>
      <c r="W1228" s="7" t="n">
        <f aca="false">U1228-V1228</f>
        <v>276.910965794199</v>
      </c>
      <c r="X1228" s="7" t="n">
        <f aca="false">W1228*2/10+X1227*8/10</f>
        <v>207.331916196595</v>
      </c>
      <c r="Y1228" s="7" t="n">
        <f aca="false">W1228-X1228</f>
        <v>69.5790495976038</v>
      </c>
      <c r="Z1228" s="8" t="s">
        <v>42</v>
      </c>
      <c r="AA1228" s="7" t="str">
        <f aca="false">IFERROR(INDEX(02_轉折點45!B:B,MATCH(A1228,02_轉折點45!A:A,0)),"")</f>
        <v/>
      </c>
      <c r="AB1228" s="7" t="n">
        <f aca="false">COUNTIFS(05_訊號明細!A:A,A1228,05_訊號明細!C:C,"TOP")</f>
        <v>0</v>
      </c>
      <c r="AC1228" s="7" t="n">
        <f aca="false">COUNTIFS(05_訊號明細!A:A,A1228,05_訊號明細!C:C,"BOTTOM")</f>
        <v>0</v>
      </c>
    </row>
    <row r="1229" customFormat="false" ht="15" hidden="false" customHeight="false" outlineLevel="0" collapsed="false">
      <c r="A1229" s="7" t="s">
        <v>1270</v>
      </c>
      <c r="B1229" s="7" t="n">
        <v>21052.07</v>
      </c>
      <c r="C1229" s="7" t="n">
        <v>21067.66</v>
      </c>
      <c r="D1229" s="7" t="n">
        <v>20864.02</v>
      </c>
      <c r="E1229" s="7" t="n">
        <v>20896.67</v>
      </c>
      <c r="F1229" s="7" t="n">
        <v>8680</v>
      </c>
      <c r="G1229" s="7" t="n">
        <f aca="false">AVERAGE(E1225:E1229)</f>
        <v>21045.478</v>
      </c>
      <c r="H1229" s="7" t="n">
        <f aca="false">AVERAGE(E1220:E1229)</f>
        <v>20733.449</v>
      </c>
      <c r="I1229" s="7" t="n">
        <f aca="false">AVERAGE(E1210:E1229)</f>
        <v>20512.1075</v>
      </c>
      <c r="J1229" s="7" t="n">
        <f aca="false">AVERAGE(E1180:E1229)</f>
        <v>20063.4564</v>
      </c>
      <c r="K1229" s="7" t="n">
        <f aca="false">AVERAGE(E1130:E1229)</f>
        <v>19747.5523</v>
      </c>
      <c r="L1229" s="7" t="n">
        <f aca="false">AVERAGE(E1030:E1229)</f>
        <v>18986.7627</v>
      </c>
      <c r="M1229" s="7" t="n">
        <f aca="false">I1229</f>
        <v>20512.1075</v>
      </c>
      <c r="N1229" s="7" t="n">
        <f aca="false">I1229+2*STDEV(E1210:E1229)</f>
        <v>21344.2786868138</v>
      </c>
      <c r="O1229" s="7" t="n">
        <f aca="false">I1229-2*STDEV(E1210:E1229)</f>
        <v>19679.9363131862</v>
      </c>
      <c r="P1229" s="7" t="n">
        <f aca="false">MAX(E1229-E1228,0)</f>
        <v>0</v>
      </c>
      <c r="Q1229" s="7" t="n">
        <f aca="false">MAX(E1228-E1229,0)</f>
        <v>139.490000000002</v>
      </c>
      <c r="R1229" s="7" t="n">
        <f aca="false">(R1228*13+P1229)/14</f>
        <v>93.2859352119242</v>
      </c>
      <c r="S1229" s="7" t="n">
        <f aca="false">(S1228*13+Q1229)/14</f>
        <v>60.4878461127851</v>
      </c>
      <c r="T1229" s="7" t="n">
        <f aca="false">IF(S1229=0,100,100-100/(1+R1229/S1229))</f>
        <v>60.6643957170704</v>
      </c>
      <c r="U1229" s="7" t="n">
        <f aca="false">E1229*2/13+U1228*11/13</f>
        <v>20755.6065979882</v>
      </c>
      <c r="V1229" s="7" t="n">
        <f aca="false">E1229*2/27+V1228*25/27</f>
        <v>20485.9086489991</v>
      </c>
      <c r="W1229" s="7" t="n">
        <f aca="false">U1229-V1229</f>
        <v>269.697948989015</v>
      </c>
      <c r="X1229" s="7" t="n">
        <f aca="false">W1229*2/10+X1228*8/10</f>
        <v>219.805122755079</v>
      </c>
      <c r="Y1229" s="7" t="n">
        <f aca="false">W1229-X1229</f>
        <v>49.8928262339355</v>
      </c>
      <c r="Z1229" s="8" t="s">
        <v>42</v>
      </c>
      <c r="AA1229" s="7" t="str">
        <f aca="false">IFERROR(INDEX(02_轉折點45!B:B,MATCH(A1229,02_轉折點45!A:A,0)),"")</f>
        <v/>
      </c>
      <c r="AB1229" s="7" t="n">
        <f aca="false">COUNTIFS(05_訊號明細!A:A,A1229,05_訊號明細!C:C,"TOP")</f>
        <v>0</v>
      </c>
      <c r="AC1229" s="7" t="n">
        <f aca="false">COUNTIFS(05_訊號明細!A:A,A1229,05_訊號明細!C:C,"BOTTOM")</f>
        <v>0</v>
      </c>
    </row>
    <row r="1230" customFormat="false" ht="15" hidden="false" customHeight="false" outlineLevel="0" collapsed="false">
      <c r="A1230" s="7" t="s">
        <v>1271</v>
      </c>
      <c r="B1230" s="7" t="n">
        <v>20679.98</v>
      </c>
      <c r="C1230" s="7" t="n">
        <v>20684.56</v>
      </c>
      <c r="D1230" s="7" t="n">
        <v>20315.08</v>
      </c>
      <c r="E1230" s="7" t="n">
        <v>20394.13</v>
      </c>
      <c r="F1230" s="7" t="n">
        <v>8002</v>
      </c>
      <c r="G1230" s="7" t="n">
        <f aca="false">AVERAGE(E1226:E1230)</f>
        <v>20900.868</v>
      </c>
      <c r="H1230" s="7" t="n">
        <f aca="false">AVERAGE(E1221:E1230)</f>
        <v>20769.548</v>
      </c>
      <c r="I1230" s="7" t="n">
        <f aca="false">AVERAGE(E1211:E1230)</f>
        <v>20515.612</v>
      </c>
      <c r="J1230" s="7" t="n">
        <f aca="false">AVERAGE(E1181:E1230)</f>
        <v>20102.9128</v>
      </c>
      <c r="K1230" s="7" t="n">
        <f aca="false">AVERAGE(E1131:E1230)</f>
        <v>19753.9831</v>
      </c>
      <c r="L1230" s="7" t="n">
        <f aca="false">AVERAGE(E1031:E1230)</f>
        <v>19002.0098</v>
      </c>
      <c r="M1230" s="7" t="n">
        <f aca="false">I1230</f>
        <v>20515.612</v>
      </c>
      <c r="N1230" s="7" t="n">
        <f aca="false">I1230+2*STDEV(E1211:E1230)</f>
        <v>21345.0342307784</v>
      </c>
      <c r="O1230" s="7" t="n">
        <f aca="false">I1230-2*STDEV(E1211:E1230)</f>
        <v>19686.1897692216</v>
      </c>
      <c r="P1230" s="7" t="n">
        <f aca="false">MAX(E1230-E1229,0)</f>
        <v>0</v>
      </c>
      <c r="Q1230" s="7" t="n">
        <f aca="false">MAX(E1229-E1230,0)</f>
        <v>502.539999999997</v>
      </c>
      <c r="R1230" s="7" t="n">
        <f aca="false">(R1229*13+P1230)/14</f>
        <v>86.6226541253582</v>
      </c>
      <c r="S1230" s="7" t="n">
        <f aca="false">(S1229*13+Q1230)/14</f>
        <v>92.0629999618717</v>
      </c>
      <c r="T1230" s="7" t="n">
        <f aca="false">IF(S1230=0,100,100-100/(1+R1230/S1230))</f>
        <v>48.4776769393424</v>
      </c>
      <c r="U1230" s="7" t="n">
        <f aca="false">E1230*2/13+U1229*11/13</f>
        <v>20699.9948136823</v>
      </c>
      <c r="V1230" s="7" t="n">
        <f aca="false">E1230*2/27+V1229*25/27</f>
        <v>20479.1102305548</v>
      </c>
      <c r="W1230" s="7" t="n">
        <f aca="false">U1230-V1230</f>
        <v>220.884583127525</v>
      </c>
      <c r="X1230" s="7" t="n">
        <f aca="false">W1230*2/10+X1229*8/10</f>
        <v>220.021014829568</v>
      </c>
      <c r="Y1230" s="7" t="n">
        <f aca="false">W1230-X1230</f>
        <v>0.86356829795659</v>
      </c>
      <c r="Z1230" s="8" t="s">
        <v>42</v>
      </c>
      <c r="AA1230" s="7" t="str">
        <f aca="false">IFERROR(INDEX(02_轉折點45!B:B,MATCH(A1230,02_轉折點45!A:A,0)),"")</f>
        <v/>
      </c>
      <c r="AB1230" s="7" t="n">
        <f aca="false">COUNTIFS(05_訊號明細!A:A,A1230,05_訊號明細!C:C,"TOP")</f>
        <v>1</v>
      </c>
      <c r="AC1230" s="7" t="n">
        <f aca="false">COUNTIFS(05_訊號明細!A:A,A1230,05_訊號明細!C:C,"BOTTOM")</f>
        <v>0</v>
      </c>
    </row>
    <row r="1231" customFormat="false" ht="15" hidden="false" customHeight="false" outlineLevel="0" collapsed="false">
      <c r="A1231" s="7" t="s">
        <v>1272</v>
      </c>
      <c r="B1231" s="7" t="n">
        <v>20450.21</v>
      </c>
      <c r="C1231" s="7" t="n">
        <v>20622.28</v>
      </c>
      <c r="D1231" s="7" t="n">
        <v>20401.26</v>
      </c>
      <c r="E1231" s="7" t="n">
        <v>20539.19</v>
      </c>
      <c r="F1231" s="7" t="n">
        <v>8455</v>
      </c>
      <c r="G1231" s="7" t="n">
        <f aca="false">AVERAGE(E1227:E1231)</f>
        <v>20787.388</v>
      </c>
      <c r="H1231" s="7" t="n">
        <f aca="false">AVERAGE(E1222:E1231)</f>
        <v>20827.107</v>
      </c>
      <c r="I1231" s="7" t="n">
        <f aca="false">AVERAGE(E1212:E1231)</f>
        <v>20524.498</v>
      </c>
      <c r="J1231" s="7" t="n">
        <f aca="false">AVERAGE(E1182:E1231)</f>
        <v>20140.481</v>
      </c>
      <c r="K1231" s="7" t="n">
        <f aca="false">AVERAGE(E1132:E1231)</f>
        <v>19761.4847</v>
      </c>
      <c r="L1231" s="7" t="n">
        <f aca="false">AVERAGE(E1032:E1231)</f>
        <v>19016.4921</v>
      </c>
      <c r="M1231" s="7" t="n">
        <f aca="false">I1231</f>
        <v>20524.498</v>
      </c>
      <c r="N1231" s="7" t="n">
        <f aca="false">I1231+2*STDEV(E1212:E1231)</f>
        <v>21350.7689917798</v>
      </c>
      <c r="O1231" s="7" t="n">
        <f aca="false">I1231-2*STDEV(E1212:E1231)</f>
        <v>19698.2270082202</v>
      </c>
      <c r="P1231" s="7" t="n">
        <f aca="false">MAX(E1231-E1230,0)</f>
        <v>145.059999999998</v>
      </c>
      <c r="Q1231" s="7" t="n">
        <f aca="false">MAX(E1230-E1231,0)</f>
        <v>0</v>
      </c>
      <c r="R1231" s="7" t="n">
        <f aca="false">(R1230*13+P1231)/14</f>
        <v>90.796750259261</v>
      </c>
      <c r="S1231" s="7" t="n">
        <f aca="false">(S1230*13+Q1231)/14</f>
        <v>85.4870713931665</v>
      </c>
      <c r="T1231" s="7" t="n">
        <f aca="false">IF(S1231=0,100,100-100/(1+R1231/S1231))</f>
        <v>51.5060028811275</v>
      </c>
      <c r="U1231" s="7" t="n">
        <f aca="false">E1231*2/13+U1230*11/13</f>
        <v>20675.2556115773</v>
      </c>
      <c r="V1231" s="7" t="n">
        <f aca="false">E1231*2/27+V1230*25/27</f>
        <v>20483.560583847</v>
      </c>
      <c r="W1231" s="7" t="n">
        <f aca="false">U1231-V1231</f>
        <v>191.695027730319</v>
      </c>
      <c r="X1231" s="7" t="n">
        <f aca="false">W1231*2/10+X1230*8/10</f>
        <v>214.355817409718</v>
      </c>
      <c r="Y1231" s="7" t="n">
        <f aca="false">W1231-X1231</f>
        <v>-22.6607896793998</v>
      </c>
      <c r="Z1231" s="8" t="s">
        <v>42</v>
      </c>
      <c r="AA1231" s="7" t="str">
        <f aca="false">IFERROR(INDEX(02_轉折點45!B:B,MATCH(A1231,02_轉折點45!A:A,0)),"")</f>
        <v/>
      </c>
      <c r="AB1231" s="7" t="n">
        <f aca="false">COUNTIFS(05_訊號明細!A:A,A1231,05_訊號明細!C:C,"TOP")</f>
        <v>1</v>
      </c>
      <c r="AC1231" s="7" t="n">
        <f aca="false">COUNTIFS(05_訊號明細!A:A,A1231,05_訊號明細!C:C,"BOTTOM")</f>
        <v>0</v>
      </c>
    </row>
    <row r="1232" customFormat="false" ht="15" hidden="false" customHeight="false" outlineLevel="0" collapsed="false">
      <c r="A1232" s="7" t="s">
        <v>1273</v>
      </c>
      <c r="B1232" s="7" t="n">
        <v>20435.68</v>
      </c>
      <c r="C1232" s="7" t="n">
        <v>20696.47</v>
      </c>
      <c r="D1232" s="7" t="n">
        <v>20423.3</v>
      </c>
      <c r="E1232" s="7" t="n">
        <v>20684.59</v>
      </c>
      <c r="F1232" s="7" t="n">
        <v>7247</v>
      </c>
      <c r="G1232" s="7" t="n">
        <f aca="false">AVERAGE(E1228:E1232)</f>
        <v>20710.148</v>
      </c>
      <c r="H1232" s="7" t="n">
        <f aca="false">AVERAGE(E1223:E1232)</f>
        <v>20872.82</v>
      </c>
      <c r="I1232" s="7" t="n">
        <f aca="false">AVERAGE(E1213:E1232)</f>
        <v>20539.2045</v>
      </c>
      <c r="J1232" s="7" t="n">
        <f aca="false">AVERAGE(E1183:E1232)</f>
        <v>20177.59</v>
      </c>
      <c r="K1232" s="7" t="n">
        <f aca="false">AVERAGE(E1133:E1232)</f>
        <v>19771.5019</v>
      </c>
      <c r="L1232" s="7" t="n">
        <f aca="false">AVERAGE(E1033:E1232)</f>
        <v>19031.84985</v>
      </c>
      <c r="M1232" s="7" t="n">
        <f aca="false">I1232</f>
        <v>20539.2045</v>
      </c>
      <c r="N1232" s="7" t="n">
        <f aca="false">I1232+2*STDEV(E1213:E1232)</f>
        <v>21365.9005825759</v>
      </c>
      <c r="O1232" s="7" t="n">
        <f aca="false">I1232-2*STDEV(E1213:E1232)</f>
        <v>19712.5084174241</v>
      </c>
      <c r="P1232" s="7" t="n">
        <f aca="false">MAX(E1232-E1231,0)</f>
        <v>145.400000000001</v>
      </c>
      <c r="Q1232" s="7" t="n">
        <f aca="false">MAX(E1231-E1232,0)</f>
        <v>0</v>
      </c>
      <c r="R1232" s="7" t="n">
        <f aca="false">(R1231*13+P1232)/14</f>
        <v>94.6969823835996</v>
      </c>
      <c r="S1232" s="7" t="n">
        <f aca="false">(S1231*13+Q1232)/14</f>
        <v>79.3808520079404</v>
      </c>
      <c r="T1232" s="7" t="n">
        <f aca="false">IF(S1232=0,100,100-100/(1+R1232/S1232))</f>
        <v>54.3992190129186</v>
      </c>
      <c r="U1232" s="7" t="n">
        <f aca="false">E1232*2/13+U1231*11/13</f>
        <v>20676.6916713347</v>
      </c>
      <c r="V1232" s="7" t="n">
        <f aca="false">E1232*2/27+V1231*25/27</f>
        <v>20498.4516517102</v>
      </c>
      <c r="W1232" s="7" t="n">
        <f aca="false">U1232-V1232</f>
        <v>178.240019624471</v>
      </c>
      <c r="X1232" s="7" t="n">
        <f aca="false">W1232*2/10+X1231*8/10</f>
        <v>207.132657852669</v>
      </c>
      <c r="Y1232" s="7" t="n">
        <f aca="false">W1232-X1232</f>
        <v>-28.8926382281981</v>
      </c>
      <c r="Z1232" s="8" t="s">
        <v>42</v>
      </c>
      <c r="AA1232" s="7" t="str">
        <f aca="false">IFERROR(INDEX(02_轉折點45!B:B,MATCH(A1232,02_轉折點45!A:A,0)),"")</f>
        <v/>
      </c>
      <c r="AB1232" s="7" t="n">
        <f aca="false">COUNTIFS(05_訊號明細!A:A,A1232,05_訊號明細!C:C,"TOP")</f>
        <v>0</v>
      </c>
      <c r="AC1232" s="7" t="n">
        <f aca="false">COUNTIFS(05_訊號明細!A:A,A1232,05_訊號明細!C:C,"BOTTOM")</f>
        <v>0</v>
      </c>
    </row>
    <row r="1233" customFormat="false" ht="15" hidden="false" customHeight="false" outlineLevel="0" collapsed="false">
      <c r="A1233" s="7" t="s">
        <v>1274</v>
      </c>
      <c r="B1233" s="7" t="n">
        <v>20660.84</v>
      </c>
      <c r="C1233" s="7" t="n">
        <v>20676.57</v>
      </c>
      <c r="D1233" s="7" t="n">
        <v>20402.54</v>
      </c>
      <c r="E1233" s="7" t="n">
        <v>20667.1</v>
      </c>
      <c r="F1233" s="7" t="n">
        <v>7122</v>
      </c>
      <c r="G1233" s="7" t="n">
        <f aca="false">AVERAGE(E1229:E1233)</f>
        <v>20636.336</v>
      </c>
      <c r="H1233" s="7" t="n">
        <f aca="false">AVERAGE(E1224:E1233)</f>
        <v>20861.397</v>
      </c>
      <c r="I1233" s="7" t="n">
        <f aca="false">AVERAGE(E1214:E1233)</f>
        <v>20569.2115</v>
      </c>
      <c r="J1233" s="7" t="n">
        <f aca="false">AVERAGE(E1184:E1233)</f>
        <v>20206.186</v>
      </c>
      <c r="K1233" s="7" t="n">
        <f aca="false">AVERAGE(E1134:E1233)</f>
        <v>19780.0507</v>
      </c>
      <c r="L1233" s="7" t="n">
        <f aca="false">AVERAGE(E1034:E1233)</f>
        <v>19047.3217</v>
      </c>
      <c r="M1233" s="7" t="n">
        <f aca="false">I1233</f>
        <v>20569.2115</v>
      </c>
      <c r="N1233" s="7" t="n">
        <f aca="false">I1233+2*STDEV(E1214:E1233)</f>
        <v>21366.7880202233</v>
      </c>
      <c r="O1233" s="7" t="n">
        <f aca="false">I1233-2*STDEV(E1214:E1233)</f>
        <v>19771.6349797767</v>
      </c>
      <c r="P1233" s="7" t="n">
        <f aca="false">MAX(E1233-E1232,0)</f>
        <v>0</v>
      </c>
      <c r="Q1233" s="7" t="n">
        <f aca="false">MAX(E1232-E1233,0)</f>
        <v>17.4900000000016</v>
      </c>
      <c r="R1233" s="7" t="n">
        <f aca="false">(R1232*13+P1233)/14</f>
        <v>87.9329122133425</v>
      </c>
      <c r="S1233" s="7" t="n">
        <f aca="false">(S1232*13+Q1233)/14</f>
        <v>74.9600768645162</v>
      </c>
      <c r="T1233" s="7" t="n">
        <f aca="false">IF(S1233=0,100,100-100/(1+R1233/S1233))</f>
        <v>53.9820115716047</v>
      </c>
      <c r="U1233" s="7" t="n">
        <f aca="false">E1233*2/13+U1232*11/13</f>
        <v>20675.2160295909</v>
      </c>
      <c r="V1233" s="7" t="n">
        <f aca="false">E1233*2/27+V1232*25/27</f>
        <v>20510.9441219539</v>
      </c>
      <c r="W1233" s="7" t="n">
        <f aca="false">U1233-V1233</f>
        <v>164.271907636987</v>
      </c>
      <c r="X1233" s="7" t="n">
        <f aca="false">W1233*2/10+X1232*8/10</f>
        <v>198.560507809532</v>
      </c>
      <c r="Y1233" s="7" t="n">
        <f aca="false">W1233-X1233</f>
        <v>-34.2886001725456</v>
      </c>
      <c r="Z1233" s="8" t="s">
        <v>42</v>
      </c>
      <c r="AA1233" s="7" t="str">
        <f aca="false">IFERROR(INDEX(02_轉折點45!B:B,MATCH(A1233,02_轉折點45!A:A,0)),"")</f>
        <v/>
      </c>
      <c r="AB1233" s="7" t="n">
        <f aca="false">COUNTIFS(05_訊號明細!A:A,A1233,05_訊號明細!C:C,"TOP")</f>
        <v>0</v>
      </c>
      <c r="AC1233" s="7" t="n">
        <f aca="false">COUNTIFS(05_訊號明細!A:A,A1233,05_訊號明細!C:C,"BOTTOM")</f>
        <v>0</v>
      </c>
    </row>
    <row r="1234" customFormat="false" ht="15" hidden="false" customHeight="false" outlineLevel="0" collapsed="false">
      <c r="A1234" s="7" t="s">
        <v>1275</v>
      </c>
      <c r="B1234" s="7" t="n">
        <v>20775.27</v>
      </c>
      <c r="C1234" s="7" t="n">
        <v>20814.93</v>
      </c>
      <c r="D1234" s="7" t="n">
        <v>20436.8</v>
      </c>
      <c r="E1234" s="7" t="n">
        <v>20740.78</v>
      </c>
      <c r="F1234" s="7" t="n">
        <v>7493</v>
      </c>
      <c r="G1234" s="7" t="n">
        <f aca="false">AVERAGE(E1230:E1234)</f>
        <v>20605.158</v>
      </c>
      <c r="H1234" s="7" t="n">
        <f aca="false">AVERAGE(E1225:E1234)</f>
        <v>20825.318</v>
      </c>
      <c r="I1234" s="7" t="n">
        <f aca="false">AVERAGE(E1215:E1234)</f>
        <v>20594.607</v>
      </c>
      <c r="J1234" s="7" t="n">
        <f aca="false">AVERAGE(E1185:E1234)</f>
        <v>20232.5402</v>
      </c>
      <c r="K1234" s="7" t="n">
        <f aca="false">AVERAGE(E1135:E1234)</f>
        <v>19787.3396</v>
      </c>
      <c r="L1234" s="7" t="n">
        <f aca="false">AVERAGE(E1035:E1234)</f>
        <v>19062.25025</v>
      </c>
      <c r="M1234" s="7" t="n">
        <f aca="false">I1234</f>
        <v>20594.607</v>
      </c>
      <c r="N1234" s="7" t="n">
        <f aca="false">I1234+2*STDEV(E1215:E1234)</f>
        <v>21379.3323584361</v>
      </c>
      <c r="O1234" s="7" t="n">
        <f aca="false">I1234-2*STDEV(E1215:E1234)</f>
        <v>19809.8816415639</v>
      </c>
      <c r="P1234" s="7" t="n">
        <f aca="false">MAX(E1234-E1233,0)</f>
        <v>73.6800000000003</v>
      </c>
      <c r="Q1234" s="7" t="n">
        <f aca="false">MAX(E1233-E1234,0)</f>
        <v>0</v>
      </c>
      <c r="R1234" s="7" t="n">
        <f aca="false">(R1233*13+P1234)/14</f>
        <v>86.9148470552467</v>
      </c>
      <c r="S1234" s="7" t="n">
        <f aca="false">(S1233*13+Q1234)/14</f>
        <v>69.6057856599079</v>
      </c>
      <c r="T1234" s="7" t="n">
        <f aca="false">IF(S1234=0,100,100-100/(1+R1234/S1234))</f>
        <v>55.5293225867668</v>
      </c>
      <c r="U1234" s="7" t="n">
        <f aca="false">E1234*2/13+U1233*11/13</f>
        <v>20685.3027942692</v>
      </c>
      <c r="V1234" s="7" t="n">
        <f aca="false">E1234*2/27+V1233*25/27</f>
        <v>20527.9690018091</v>
      </c>
      <c r="W1234" s="7" t="n">
        <f aca="false">U1234-V1234</f>
        <v>157.333792460046</v>
      </c>
      <c r="X1234" s="7" t="n">
        <f aca="false">W1234*2/10+X1233*8/10</f>
        <v>190.315164739635</v>
      </c>
      <c r="Y1234" s="7" t="n">
        <f aca="false">W1234-X1234</f>
        <v>-32.9813722795895</v>
      </c>
      <c r="Z1234" s="8" t="s">
        <v>42</v>
      </c>
      <c r="AA1234" s="7" t="str">
        <f aca="false">IFERROR(INDEX(02_轉折點45!B:B,MATCH(A1234,02_轉折點45!A:A,0)),"")</f>
        <v/>
      </c>
      <c r="AB1234" s="7" t="n">
        <f aca="false">COUNTIFS(05_訊號明細!A:A,A1234,05_訊號明細!C:C,"TOP")</f>
        <v>0</v>
      </c>
      <c r="AC1234" s="7" t="n">
        <f aca="false">COUNTIFS(05_訊號明細!A:A,A1234,05_訊號明細!C:C,"BOTTOM")</f>
        <v>0</v>
      </c>
    </row>
    <row r="1235" customFormat="false" ht="15" hidden="false" customHeight="false" outlineLevel="0" collapsed="false">
      <c r="A1235" s="7" t="s">
        <v>1276</v>
      </c>
      <c r="B1235" s="7" t="n">
        <v>20737.49</v>
      </c>
      <c r="C1235" s="7" t="n">
        <v>20797.24</v>
      </c>
      <c r="D1235" s="7" t="n">
        <v>20655.72</v>
      </c>
      <c r="E1235" s="7" t="n">
        <v>20776.23</v>
      </c>
      <c r="F1235" s="7" t="n">
        <v>6576</v>
      </c>
      <c r="G1235" s="7" t="n">
        <f aca="false">AVERAGE(E1231:E1235)</f>
        <v>20681.578</v>
      </c>
      <c r="H1235" s="7" t="n">
        <f aca="false">AVERAGE(E1226:E1235)</f>
        <v>20791.223</v>
      </c>
      <c r="I1235" s="7" t="n">
        <f aca="false">AVERAGE(E1216:E1235)</f>
        <v>20615.8175</v>
      </c>
      <c r="J1235" s="7" t="n">
        <f aca="false">AVERAGE(E1186:E1235)</f>
        <v>20257.773</v>
      </c>
      <c r="K1235" s="7" t="n">
        <f aca="false">AVERAGE(E1136:E1235)</f>
        <v>19793.2356</v>
      </c>
      <c r="L1235" s="7" t="n">
        <f aca="false">AVERAGE(E1036:E1235)</f>
        <v>19077.21555</v>
      </c>
      <c r="M1235" s="7" t="n">
        <f aca="false">I1235</f>
        <v>20615.8175</v>
      </c>
      <c r="N1235" s="7" t="n">
        <f aca="false">I1235+2*STDEV(E1216:E1235)</f>
        <v>21395.8528196018</v>
      </c>
      <c r="O1235" s="7" t="n">
        <f aca="false">I1235-2*STDEV(E1216:E1235)</f>
        <v>19835.7821803982</v>
      </c>
      <c r="P1235" s="7" t="n">
        <f aca="false">MAX(E1235-E1234,0)</f>
        <v>35.4500000000007</v>
      </c>
      <c r="Q1235" s="7" t="n">
        <f aca="false">MAX(E1234-E1235,0)</f>
        <v>0</v>
      </c>
      <c r="R1235" s="7" t="n">
        <f aca="false">(R1234*13+P1235)/14</f>
        <v>83.2387865513005</v>
      </c>
      <c r="S1235" s="7" t="n">
        <f aca="false">(S1234*13+Q1235)/14</f>
        <v>64.6339438270573</v>
      </c>
      <c r="T1235" s="7" t="n">
        <f aca="false">IF(S1235=0,100,100-100/(1+R1235/S1235))</f>
        <v>56.2908295115129</v>
      </c>
      <c r="U1235" s="7" t="n">
        <f aca="false">E1235*2/13+U1234*11/13</f>
        <v>20699.2915951509</v>
      </c>
      <c r="V1235" s="7" t="n">
        <f aca="false">E1235*2/27+V1234*25/27</f>
        <v>20546.3587053788</v>
      </c>
      <c r="W1235" s="7" t="n">
        <f aca="false">U1235-V1235</f>
        <v>152.932889772015</v>
      </c>
      <c r="X1235" s="7" t="n">
        <f aca="false">W1235*2/10+X1234*8/10</f>
        <v>182.838709746111</v>
      </c>
      <c r="Y1235" s="7" t="n">
        <f aca="false">W1235-X1235</f>
        <v>-29.9058199740958</v>
      </c>
      <c r="Z1235" s="8" t="s">
        <v>42</v>
      </c>
      <c r="AA1235" s="7" t="str">
        <f aca="false">IFERROR(INDEX(02_轉折點45!B:B,MATCH(A1235,02_轉折點45!A:A,0)),"")</f>
        <v/>
      </c>
      <c r="AB1235" s="7" t="n">
        <f aca="false">COUNTIFS(05_訊號明細!A:A,A1235,05_訊號明細!C:C,"TOP")</f>
        <v>0</v>
      </c>
      <c r="AC1235" s="7" t="n">
        <f aca="false">COUNTIFS(05_訊號明細!A:A,A1235,05_訊號明細!C:C,"BOTTOM")</f>
        <v>0</v>
      </c>
    </row>
    <row r="1236" customFormat="false" ht="15" hidden="false" customHeight="false" outlineLevel="0" collapsed="false">
      <c r="A1236" s="7" t="s">
        <v>1277</v>
      </c>
      <c r="B1236" s="7" t="n">
        <v>20918.76</v>
      </c>
      <c r="C1236" s="7" t="n">
        <v>20998.49</v>
      </c>
      <c r="D1236" s="7" t="n">
        <v>20712.38</v>
      </c>
      <c r="E1236" s="7" t="n">
        <v>20804.89</v>
      </c>
      <c r="F1236" s="7" t="n">
        <v>7933</v>
      </c>
      <c r="G1236" s="7" t="n">
        <f aca="false">AVERAGE(E1232:E1236)</f>
        <v>20734.718</v>
      </c>
      <c r="H1236" s="7" t="n">
        <f aca="false">AVERAGE(E1227:E1236)</f>
        <v>20761.053</v>
      </c>
      <c r="I1236" s="7" t="n">
        <f aca="false">AVERAGE(E1217:E1236)</f>
        <v>20638.5085</v>
      </c>
      <c r="J1236" s="7" t="n">
        <f aca="false">AVERAGE(E1187:E1236)</f>
        <v>20285.4096</v>
      </c>
      <c r="K1236" s="7" t="n">
        <f aca="false">AVERAGE(E1137:E1236)</f>
        <v>19797.3648</v>
      </c>
      <c r="L1236" s="7" t="n">
        <f aca="false">AVERAGE(E1037:E1236)</f>
        <v>19091.42795</v>
      </c>
      <c r="M1236" s="7" t="n">
        <f aca="false">I1236</f>
        <v>20638.5085</v>
      </c>
      <c r="N1236" s="7" t="n">
        <f aca="false">I1236+2*STDEV(E1217:E1236)</f>
        <v>21412.4962961849</v>
      </c>
      <c r="O1236" s="7" t="n">
        <f aca="false">I1236-2*STDEV(E1217:E1236)</f>
        <v>19864.5207038151</v>
      </c>
      <c r="P1236" s="7" t="n">
        <f aca="false">MAX(E1236-E1235,0)</f>
        <v>28.6599999999999</v>
      </c>
      <c r="Q1236" s="7" t="n">
        <f aca="false">MAX(E1235-E1236,0)</f>
        <v>0</v>
      </c>
      <c r="R1236" s="7" t="n">
        <f aca="false">(R1235*13+P1236)/14</f>
        <v>79.3403017976362</v>
      </c>
      <c r="S1236" s="7" t="n">
        <f aca="false">(S1235*13+Q1236)/14</f>
        <v>60.0172335536961</v>
      </c>
      <c r="T1236" s="7" t="n">
        <f aca="false">IF(S1236=0,100,100-100/(1+R1236/S1236))</f>
        <v>56.9329111609304</v>
      </c>
      <c r="U1236" s="7" t="n">
        <f aca="false">E1236*2/13+U1235*11/13</f>
        <v>20715.5375035892</v>
      </c>
      <c r="V1236" s="7" t="n">
        <f aca="false">E1236*2/27+V1235*25/27</f>
        <v>20565.5091716471</v>
      </c>
      <c r="W1236" s="7" t="n">
        <f aca="false">U1236-V1236</f>
        <v>150.028331942111</v>
      </c>
      <c r="X1236" s="7" t="n">
        <f aca="false">W1236*2/10+X1235*8/10</f>
        <v>176.276634185311</v>
      </c>
      <c r="Y1236" s="7" t="n">
        <f aca="false">W1236-X1236</f>
        <v>-26.2483022432004</v>
      </c>
      <c r="Z1236" s="8" t="s">
        <v>42</v>
      </c>
      <c r="AA1236" s="7" t="str">
        <f aca="false">IFERROR(INDEX(02_轉折點45!B:B,MATCH(A1236,02_轉折點45!A:A,0)),"")</f>
        <v/>
      </c>
      <c r="AB1236" s="7" t="n">
        <f aca="false">COUNTIFS(05_訊號明細!A:A,A1236,05_訊號明細!C:C,"TOP")</f>
        <v>0</v>
      </c>
      <c r="AC1236" s="7" t="n">
        <f aca="false">COUNTIFS(05_訊號明細!A:A,A1236,05_訊號明細!C:C,"BOTTOM")</f>
        <v>0</v>
      </c>
    </row>
    <row r="1237" customFormat="false" ht="15" hidden="false" customHeight="false" outlineLevel="0" collapsed="false">
      <c r="A1237" s="7" t="s">
        <v>1278</v>
      </c>
      <c r="B1237" s="7" t="n">
        <v>20871.55</v>
      </c>
      <c r="C1237" s="7" t="n">
        <v>20944.9</v>
      </c>
      <c r="D1237" s="7" t="n">
        <v>20832.4</v>
      </c>
      <c r="E1237" s="7" t="n">
        <v>20922.9</v>
      </c>
      <c r="F1237" s="7" t="n">
        <v>6412</v>
      </c>
      <c r="G1237" s="7" t="n">
        <f aca="false">AVERAGE(E1233:E1237)</f>
        <v>20782.38</v>
      </c>
      <c r="H1237" s="7" t="n">
        <f aca="false">AVERAGE(E1228:E1237)</f>
        <v>20746.264</v>
      </c>
      <c r="I1237" s="7" t="n">
        <f aca="false">AVERAGE(E1218:E1237)</f>
        <v>20657.121</v>
      </c>
      <c r="J1237" s="7" t="n">
        <f aca="false">AVERAGE(E1188:E1237)</f>
        <v>20315.2196</v>
      </c>
      <c r="K1237" s="7" t="n">
        <f aca="false">AVERAGE(E1138:E1237)</f>
        <v>19802.1984</v>
      </c>
      <c r="L1237" s="7" t="n">
        <f aca="false">AVERAGE(E1038:E1237)</f>
        <v>19106.62915</v>
      </c>
      <c r="M1237" s="7" t="n">
        <f aca="false">I1237</f>
        <v>20657.121</v>
      </c>
      <c r="N1237" s="7" t="n">
        <f aca="false">I1237+2*STDEV(E1218:E1237)</f>
        <v>21440.0644572822</v>
      </c>
      <c r="O1237" s="7" t="n">
        <f aca="false">I1237-2*STDEV(E1218:E1237)</f>
        <v>19874.1775427178</v>
      </c>
      <c r="P1237" s="7" t="n">
        <f aca="false">MAX(E1237-E1236,0)</f>
        <v>118.010000000002</v>
      </c>
      <c r="Q1237" s="7" t="n">
        <f aca="false">MAX(E1236-E1237,0)</f>
        <v>0</v>
      </c>
      <c r="R1237" s="7" t="n">
        <f aca="false">(R1236*13+P1237)/14</f>
        <v>82.1024230978052</v>
      </c>
      <c r="S1237" s="7" t="n">
        <f aca="false">(S1236*13+Q1237)/14</f>
        <v>55.7302882998606</v>
      </c>
      <c r="T1237" s="7" t="n">
        <f aca="false">IF(S1237=0,100,100-100/(1+R1237/S1237))</f>
        <v>59.5667184264617</v>
      </c>
      <c r="U1237" s="7" t="n">
        <f aca="false">E1237*2/13+U1236*11/13</f>
        <v>20747.4394261139</v>
      </c>
      <c r="V1237" s="7" t="n">
        <f aca="false">E1237*2/27+V1236*25/27</f>
        <v>20591.9825663399</v>
      </c>
      <c r="W1237" s="7" t="n">
        <f aca="false">U1237-V1237</f>
        <v>155.456859774044</v>
      </c>
      <c r="X1237" s="7" t="n">
        <f aca="false">W1237*2/10+X1236*8/10</f>
        <v>172.112679303057</v>
      </c>
      <c r="Y1237" s="7" t="n">
        <f aca="false">W1237-X1237</f>
        <v>-16.6558195290139</v>
      </c>
      <c r="Z1237" s="8" t="s">
        <v>42</v>
      </c>
      <c r="AA1237" s="7" t="str">
        <f aca="false">IFERROR(INDEX(02_轉折點45!B:B,MATCH(A1237,02_轉折點45!A:A,0)),"")</f>
        <v/>
      </c>
      <c r="AB1237" s="7" t="n">
        <f aca="false">COUNTIFS(05_訊號明細!A:A,A1237,05_訊號明細!C:C,"TOP")</f>
        <v>0</v>
      </c>
      <c r="AC1237" s="7" t="n">
        <f aca="false">COUNTIFS(05_訊號明細!A:A,A1237,05_訊號明細!C:C,"BOTTOM")</f>
        <v>0</v>
      </c>
    </row>
    <row r="1238" customFormat="false" ht="15" hidden="false" customHeight="false" outlineLevel="0" collapsed="false">
      <c r="A1238" s="7" t="s">
        <v>1279</v>
      </c>
      <c r="B1238" s="7" t="n">
        <v>20852.43</v>
      </c>
      <c r="C1238" s="7" t="n">
        <v>20853.08</v>
      </c>
      <c r="D1238" s="7" t="n">
        <v>20615.42</v>
      </c>
      <c r="E1238" s="7" t="n">
        <v>20744.49</v>
      </c>
      <c r="F1238" s="7" t="n">
        <v>5619</v>
      </c>
      <c r="G1238" s="7" t="n">
        <f aca="false">AVERAGE(E1234:E1238)</f>
        <v>20797.858</v>
      </c>
      <c r="H1238" s="7" t="n">
        <f aca="false">AVERAGE(E1229:E1238)</f>
        <v>20717.097</v>
      </c>
      <c r="I1238" s="7" t="n">
        <f aca="false">AVERAGE(E1219:E1238)</f>
        <v>20674.9605</v>
      </c>
      <c r="J1238" s="7" t="n">
        <f aca="false">AVERAGE(E1189:E1238)</f>
        <v>20343.2196</v>
      </c>
      <c r="K1238" s="7" t="n">
        <f aca="false">AVERAGE(E1139:E1238)</f>
        <v>19805.1131</v>
      </c>
      <c r="L1238" s="7" t="n">
        <f aca="false">AVERAGE(E1039:E1238)</f>
        <v>19122.3495</v>
      </c>
      <c r="M1238" s="7" t="n">
        <f aca="false">I1238</f>
        <v>20674.9605</v>
      </c>
      <c r="N1238" s="7" t="n">
        <f aca="false">I1238+2*STDEV(E1219:E1238)</f>
        <v>21448.2559611878</v>
      </c>
      <c r="O1238" s="7" t="n">
        <f aca="false">I1238-2*STDEV(E1219:E1238)</f>
        <v>19901.6650388122</v>
      </c>
      <c r="P1238" s="7" t="n">
        <f aca="false">MAX(E1238-E1237,0)</f>
        <v>0</v>
      </c>
      <c r="Q1238" s="7" t="n">
        <f aca="false">MAX(E1237-E1238,0)</f>
        <v>178.41</v>
      </c>
      <c r="R1238" s="7" t="n">
        <f aca="false">(R1237*13+P1238)/14</f>
        <v>76.2379643051048</v>
      </c>
      <c r="S1238" s="7" t="n">
        <f aca="false">(S1237*13+Q1238)/14</f>
        <v>64.4931248498706</v>
      </c>
      <c r="T1238" s="7" t="n">
        <f aca="false">IF(S1238=0,100,100-100/(1+R1238/S1238))</f>
        <v>54.1727949118267</v>
      </c>
      <c r="U1238" s="7" t="n">
        <f aca="false">E1238*2/13+U1237*11/13</f>
        <v>20746.9856682502</v>
      </c>
      <c r="V1238" s="7" t="n">
        <f aca="false">E1238*2/27+V1237*25/27</f>
        <v>20603.2794132777</v>
      </c>
      <c r="W1238" s="7" t="n">
        <f aca="false">U1238-V1238</f>
        <v>143.706254972574</v>
      </c>
      <c r="X1238" s="7" t="n">
        <f aca="false">W1238*2/10+X1237*8/10</f>
        <v>166.431394436961</v>
      </c>
      <c r="Y1238" s="7" t="n">
        <f aca="false">W1238-X1238</f>
        <v>-22.7251394643866</v>
      </c>
      <c r="Z1238" s="8" t="s">
        <v>42</v>
      </c>
      <c r="AA1238" s="7" t="str">
        <f aca="false">IFERROR(INDEX(02_轉折點45!B:B,MATCH(A1238,02_轉折點45!A:A,0)),"")</f>
        <v/>
      </c>
      <c r="AB1238" s="7" t="n">
        <f aca="false">COUNTIFS(05_訊號明細!A:A,A1238,05_訊號明細!C:C,"TOP")</f>
        <v>0</v>
      </c>
      <c r="AC1238" s="7" t="n">
        <f aca="false">COUNTIFS(05_訊號明細!A:A,A1238,05_訊號明細!C:C,"BOTTOM")</f>
        <v>0</v>
      </c>
    </row>
    <row r="1239" customFormat="false" ht="15" hidden="false" customHeight="false" outlineLevel="0" collapsed="false">
      <c r="A1239" s="7" t="s">
        <v>1280</v>
      </c>
      <c r="B1239" s="7" t="n">
        <v>20771.02</v>
      </c>
      <c r="C1239" s="7" t="n">
        <v>20956.31</v>
      </c>
      <c r="D1239" s="7" t="n">
        <v>20751.96</v>
      </c>
      <c r="E1239" s="7" t="n">
        <v>20930.37</v>
      </c>
      <c r="F1239" s="7" t="n">
        <v>4043</v>
      </c>
      <c r="G1239" s="7" t="n">
        <f aca="false">AVERAGE(E1235:E1239)</f>
        <v>20835.776</v>
      </c>
      <c r="H1239" s="7" t="n">
        <f aca="false">AVERAGE(E1230:E1239)</f>
        <v>20720.467</v>
      </c>
      <c r="I1239" s="7" t="n">
        <f aca="false">AVERAGE(E1220:E1239)</f>
        <v>20726.958</v>
      </c>
      <c r="J1239" s="7" t="n">
        <f aca="false">AVERAGE(E1190:E1239)</f>
        <v>20365.0304</v>
      </c>
      <c r="K1239" s="7" t="n">
        <f aca="false">AVERAGE(E1140:E1239)</f>
        <v>19807.663</v>
      </c>
      <c r="L1239" s="7" t="n">
        <f aca="false">AVERAGE(E1040:E1239)</f>
        <v>19137.9632</v>
      </c>
      <c r="M1239" s="7" t="n">
        <f aca="false">I1239</f>
        <v>20726.958</v>
      </c>
      <c r="N1239" s="7" t="n">
        <f aca="false">I1239+2*STDEV(E1220:E1239)</f>
        <v>21413.0741939834</v>
      </c>
      <c r="O1239" s="7" t="n">
        <f aca="false">I1239-2*STDEV(E1220:E1239)</f>
        <v>20040.8418060166</v>
      </c>
      <c r="P1239" s="7" t="n">
        <f aca="false">MAX(E1239-E1238,0)</f>
        <v>185.879999999997</v>
      </c>
      <c r="Q1239" s="7" t="n">
        <f aca="false">MAX(E1238-E1239,0)</f>
        <v>0</v>
      </c>
      <c r="R1239" s="7" t="n">
        <f aca="false">(R1238*13+P1239)/14</f>
        <v>84.0695382833114</v>
      </c>
      <c r="S1239" s="7" t="n">
        <f aca="false">(S1238*13+Q1239)/14</f>
        <v>59.8864730748798</v>
      </c>
      <c r="T1239" s="7" t="n">
        <f aca="false">IF(S1239=0,100,100-100/(1+R1239/S1239))</f>
        <v>58.3994634820283</v>
      </c>
      <c r="U1239" s="7" t="n">
        <f aca="false">E1239*2/13+U1238*11/13</f>
        <v>20775.1986423656</v>
      </c>
      <c r="V1239" s="7" t="n">
        <f aca="false">E1239*2/27+V1238*25/27</f>
        <v>20627.5083456275</v>
      </c>
      <c r="W1239" s="7" t="n">
        <f aca="false">U1239-V1239</f>
        <v>147.690296738117</v>
      </c>
      <c r="X1239" s="7" t="n">
        <f aca="false">W1239*2/10+X1238*8/10</f>
        <v>162.683174897192</v>
      </c>
      <c r="Y1239" s="7" t="n">
        <f aca="false">W1239-X1239</f>
        <v>-14.9928781590747</v>
      </c>
      <c r="Z1239" s="8" t="s">
        <v>42</v>
      </c>
      <c r="AA1239" s="7" t="str">
        <f aca="false">IFERROR(INDEX(02_轉折點45!B:B,MATCH(A1239,02_轉折點45!A:A,0)),"")</f>
        <v/>
      </c>
      <c r="AB1239" s="7" t="n">
        <f aca="false">COUNTIFS(05_訊號明細!A:A,A1239,05_訊號明細!C:C,"TOP")</f>
        <v>0</v>
      </c>
      <c r="AC1239" s="7" t="n">
        <f aca="false">COUNTIFS(05_訊號明細!A:A,A1239,05_訊號明細!C:C,"BOTTOM")</f>
        <v>0</v>
      </c>
    </row>
    <row r="1240" customFormat="false" ht="15" hidden="false" customHeight="false" outlineLevel="0" collapsed="false">
      <c r="A1240" s="7" t="s">
        <v>1281</v>
      </c>
      <c r="B1240" s="7" t="n">
        <v>20971.76</v>
      </c>
      <c r="C1240" s="7" t="n">
        <v>21201.03</v>
      </c>
      <c r="D1240" s="7" t="n">
        <v>20971.76</v>
      </c>
      <c r="E1240" s="7" t="n">
        <v>21164.6</v>
      </c>
      <c r="F1240" s="7" t="n">
        <v>6371</v>
      </c>
      <c r="G1240" s="7" t="n">
        <f aca="false">AVERAGE(E1236:E1240)</f>
        <v>20913.45</v>
      </c>
      <c r="H1240" s="7" t="n">
        <f aca="false">AVERAGE(E1231:E1240)</f>
        <v>20797.514</v>
      </c>
      <c r="I1240" s="7" t="n">
        <f aca="false">AVERAGE(E1221:E1240)</f>
        <v>20783.531</v>
      </c>
      <c r="J1240" s="7" t="n">
        <f aca="false">AVERAGE(E1191:E1240)</f>
        <v>20392.4926</v>
      </c>
      <c r="K1240" s="7" t="n">
        <f aca="false">AVERAGE(E1141:E1240)</f>
        <v>19817.1954</v>
      </c>
      <c r="L1240" s="7" t="n">
        <f aca="false">AVERAGE(E1041:E1240)</f>
        <v>19154.5576</v>
      </c>
      <c r="M1240" s="7" t="n">
        <f aca="false">I1240</f>
        <v>20783.531</v>
      </c>
      <c r="N1240" s="7" t="n">
        <f aca="false">I1240+2*STDEV(E1221:E1240)</f>
        <v>21413.0212393424</v>
      </c>
      <c r="O1240" s="7" t="n">
        <f aca="false">I1240-2*STDEV(E1221:E1240)</f>
        <v>20154.0407606576</v>
      </c>
      <c r="P1240" s="7" t="n">
        <f aca="false">MAX(E1240-E1239,0)</f>
        <v>234.23</v>
      </c>
      <c r="Q1240" s="7" t="n">
        <f aca="false">MAX(E1239-E1240,0)</f>
        <v>0</v>
      </c>
      <c r="R1240" s="7" t="n">
        <f aca="false">(R1239*13+P1240)/14</f>
        <v>94.7952855487892</v>
      </c>
      <c r="S1240" s="7" t="n">
        <f aca="false">(S1239*13+Q1240)/14</f>
        <v>55.6088678552456</v>
      </c>
      <c r="T1240" s="7" t="n">
        <f aca="false">IF(S1240=0,100,100-100/(1+R1240/S1240))</f>
        <v>63.0270397481232</v>
      </c>
      <c r="U1240" s="7" t="n">
        <f aca="false">E1240*2/13+U1239*11/13</f>
        <v>20835.1065435401</v>
      </c>
      <c r="V1240" s="7" t="n">
        <f aca="false">E1240*2/27+V1239*25/27</f>
        <v>20667.292912618</v>
      </c>
      <c r="W1240" s="7" t="n">
        <f aca="false">U1240-V1240</f>
        <v>167.813630922083</v>
      </c>
      <c r="X1240" s="7" t="n">
        <f aca="false">W1240*2/10+X1239*8/10</f>
        <v>163.70926610217</v>
      </c>
      <c r="Y1240" s="7" t="n">
        <f aca="false">W1240-X1240</f>
        <v>4.10436481991243</v>
      </c>
      <c r="Z1240" s="8" t="s">
        <v>42</v>
      </c>
      <c r="AA1240" s="7" t="str">
        <f aca="false">IFERROR(INDEX(02_轉折點45!B:B,MATCH(A1240,02_轉折點45!A:A,0)),"")</f>
        <v/>
      </c>
      <c r="AB1240" s="7" t="n">
        <f aca="false">COUNTIFS(05_訊號明細!A:A,A1240,05_訊號明細!C:C,"TOP")</f>
        <v>1</v>
      </c>
      <c r="AC1240" s="7" t="n">
        <f aca="false">COUNTIFS(05_訊號明細!A:A,A1240,05_訊號明細!C:C,"BOTTOM")</f>
        <v>0</v>
      </c>
    </row>
    <row r="1241" customFormat="false" ht="15" hidden="false" customHeight="false" outlineLevel="0" collapsed="false">
      <c r="A1241" s="7" t="s">
        <v>1282</v>
      </c>
      <c r="B1241" s="7" t="n">
        <v>21106.51</v>
      </c>
      <c r="C1241" s="7" t="n">
        <v>21235.79</v>
      </c>
      <c r="D1241" s="7" t="n">
        <v>21081.81</v>
      </c>
      <c r="E1241" s="7" t="n">
        <v>21229.32</v>
      </c>
      <c r="F1241" s="7" t="n">
        <v>6005</v>
      </c>
      <c r="G1241" s="7" t="n">
        <f aca="false">AVERAGE(E1237:E1241)</f>
        <v>20998.336</v>
      </c>
      <c r="H1241" s="7" t="n">
        <f aca="false">AVERAGE(E1232:E1241)</f>
        <v>20866.527</v>
      </c>
      <c r="I1241" s="7" t="n">
        <f aca="false">AVERAGE(E1222:E1241)</f>
        <v>20846.817</v>
      </c>
      <c r="J1241" s="7" t="n">
        <f aca="false">AVERAGE(E1192:E1241)</f>
        <v>20420.035</v>
      </c>
      <c r="K1241" s="7" t="n">
        <f aca="false">AVERAGE(E1142:E1241)</f>
        <v>19826.1737</v>
      </c>
      <c r="L1241" s="7" t="n">
        <f aca="false">AVERAGE(E1042:E1241)</f>
        <v>19172.2743</v>
      </c>
      <c r="M1241" s="7" t="n">
        <f aca="false">I1241</f>
        <v>20846.817</v>
      </c>
      <c r="N1241" s="7" t="n">
        <f aca="false">I1241+2*STDEV(E1222:E1241)</f>
        <v>21375.6815132675</v>
      </c>
      <c r="O1241" s="7" t="n">
        <f aca="false">I1241-2*STDEV(E1222:E1241)</f>
        <v>20317.9524867325</v>
      </c>
      <c r="P1241" s="7" t="n">
        <f aca="false">MAX(E1241-E1240,0)</f>
        <v>64.7200000000012</v>
      </c>
      <c r="Q1241" s="7" t="n">
        <f aca="false">MAX(E1240-E1241,0)</f>
        <v>0</v>
      </c>
      <c r="R1241" s="7" t="n">
        <f aca="false">(R1240*13+P1241)/14</f>
        <v>92.6470508667329</v>
      </c>
      <c r="S1241" s="7" t="n">
        <f aca="false">(S1240*13+Q1241)/14</f>
        <v>51.6368058655852</v>
      </c>
      <c r="T1241" s="7" t="n">
        <f aca="false">IF(S1241=0,100,100-100/(1+R1241/S1241))</f>
        <v>64.2116540027176</v>
      </c>
      <c r="U1241" s="7" t="n">
        <f aca="false">E1241*2/13+U1240*11/13</f>
        <v>20895.7547676109</v>
      </c>
      <c r="V1241" s="7" t="n">
        <f aca="false">E1241*2/27+V1240*25/27</f>
        <v>20708.9245487204</v>
      </c>
      <c r="W1241" s="7" t="n">
        <f aca="false">U1241-V1241</f>
        <v>186.830218890464</v>
      </c>
      <c r="X1241" s="7" t="n">
        <f aca="false">W1241*2/10+X1240*8/10</f>
        <v>168.333456659829</v>
      </c>
      <c r="Y1241" s="7" t="n">
        <f aca="false">W1241-X1241</f>
        <v>18.4967622306347</v>
      </c>
      <c r="Z1241" s="8" t="s">
        <v>42</v>
      </c>
      <c r="AA1241" s="7" t="str">
        <f aca="false">IFERROR(INDEX(02_轉折點45!B:B,MATCH(A1241,02_轉折點45!A:A,0)),"")</f>
        <v/>
      </c>
      <c r="AB1241" s="7" t="n">
        <f aca="false">COUNTIFS(05_訊號明細!A:A,A1241,05_訊號明細!C:C,"TOP")</f>
        <v>1</v>
      </c>
      <c r="AC1241" s="7" t="n">
        <f aca="false">COUNTIFS(05_訊號明細!A:A,A1241,05_訊號明細!C:C,"BOTTOM")</f>
        <v>0</v>
      </c>
    </row>
    <row r="1242" customFormat="false" ht="15" hidden="false" customHeight="false" outlineLevel="0" collapsed="false">
      <c r="A1242" s="7" t="s">
        <v>1283</v>
      </c>
      <c r="B1242" s="7" t="n">
        <v>21361.81</v>
      </c>
      <c r="C1242" s="7" t="n">
        <v>21498.44</v>
      </c>
      <c r="D1242" s="7" t="n">
        <v>21340.84</v>
      </c>
      <c r="E1242" s="7" t="n">
        <v>21492.36</v>
      </c>
      <c r="F1242" s="7" t="n">
        <v>7870</v>
      </c>
      <c r="G1242" s="7" t="n">
        <f aca="false">AVERAGE(E1238:E1242)</f>
        <v>21112.228</v>
      </c>
      <c r="H1242" s="7" t="n">
        <f aca="false">AVERAGE(E1233:E1242)</f>
        <v>20947.304</v>
      </c>
      <c r="I1242" s="7" t="n">
        <f aca="false">AVERAGE(E1223:E1242)</f>
        <v>20910.062</v>
      </c>
      <c r="J1242" s="7" t="n">
        <f aca="false">AVERAGE(E1193:E1242)</f>
        <v>20450.9854</v>
      </c>
      <c r="K1242" s="7" t="n">
        <f aca="false">AVERAGE(E1143:E1242)</f>
        <v>19837.2285</v>
      </c>
      <c r="L1242" s="7" t="n">
        <f aca="false">AVERAGE(E1043:E1242)</f>
        <v>19192.0056</v>
      </c>
      <c r="M1242" s="7" t="n">
        <f aca="false">I1242</f>
        <v>20910.062</v>
      </c>
      <c r="N1242" s="7" t="n">
        <f aca="false">I1242+2*STDEV(E1223:E1242)</f>
        <v>21429.5127259992</v>
      </c>
      <c r="O1242" s="7" t="n">
        <f aca="false">I1242-2*STDEV(E1223:E1242)</f>
        <v>20390.6112740008</v>
      </c>
      <c r="P1242" s="7" t="n">
        <f aca="false">MAX(E1242-E1241,0)</f>
        <v>263.040000000001</v>
      </c>
      <c r="Q1242" s="7" t="n">
        <f aca="false">MAX(E1241-E1242,0)</f>
        <v>0</v>
      </c>
      <c r="R1242" s="7" t="n">
        <f aca="false">(R1241*13+P1242)/14</f>
        <v>104.817975804823</v>
      </c>
      <c r="S1242" s="7" t="n">
        <f aca="false">(S1241*13+Q1242)/14</f>
        <v>47.9484625894719</v>
      </c>
      <c r="T1242" s="7" t="n">
        <f aca="false">IF(S1242=0,100,100-100/(1+R1242/S1242))</f>
        <v>68.6132221884264</v>
      </c>
      <c r="U1242" s="7" t="n">
        <f aca="false">E1242*2/13+U1241*11/13</f>
        <v>20987.5401879784</v>
      </c>
      <c r="V1242" s="7" t="n">
        <f aca="false">E1242*2/27+V1241*25/27</f>
        <v>20766.9568043707</v>
      </c>
      <c r="W1242" s="7" t="n">
        <f aca="false">U1242-V1242</f>
        <v>220.583383607685</v>
      </c>
      <c r="X1242" s="7" t="n">
        <f aca="false">W1242*2/10+X1241*8/10</f>
        <v>178.7834420494</v>
      </c>
      <c r="Y1242" s="7" t="n">
        <f aca="false">W1242-X1242</f>
        <v>41.7999415582852</v>
      </c>
      <c r="Z1242" s="8" t="s">
        <v>42</v>
      </c>
      <c r="AA1242" s="7" t="str">
        <f aca="false">IFERROR(INDEX(02_轉折點45!B:B,MATCH(A1242,02_轉折點45!A:A,0)),"")</f>
        <v/>
      </c>
      <c r="AB1242" s="7" t="n">
        <f aca="false">COUNTIFS(05_訊號明細!A:A,A1242,05_訊號明細!C:C,"TOP")</f>
        <v>0</v>
      </c>
      <c r="AC1242" s="7" t="n">
        <f aca="false">COUNTIFS(05_訊號明細!A:A,A1242,05_訊號明細!C:C,"BOTTOM")</f>
        <v>0</v>
      </c>
    </row>
    <row r="1243" customFormat="false" ht="15" hidden="false" customHeight="false" outlineLevel="0" collapsed="false">
      <c r="A1243" s="7" t="s">
        <v>1284</v>
      </c>
      <c r="B1243" s="7" t="n">
        <v>21488.52</v>
      </c>
      <c r="C1243" s="7" t="n">
        <v>21517.49</v>
      </c>
      <c r="D1243" s="7" t="n">
        <v>21411.53</v>
      </c>
      <c r="E1243" s="7" t="n">
        <v>21425.22</v>
      </c>
      <c r="F1243" s="7" t="n">
        <v>7230</v>
      </c>
      <c r="G1243" s="7" t="n">
        <f aca="false">AVERAGE(E1239:E1243)</f>
        <v>21248.374</v>
      </c>
      <c r="H1243" s="7" t="n">
        <f aca="false">AVERAGE(E1234:E1243)</f>
        <v>21023.116</v>
      </c>
      <c r="I1243" s="7" t="n">
        <f aca="false">AVERAGE(E1224:E1243)</f>
        <v>20942.2565</v>
      </c>
      <c r="J1243" s="7" t="n">
        <f aca="false">AVERAGE(E1194:E1243)</f>
        <v>20480.0376</v>
      </c>
      <c r="K1243" s="7" t="n">
        <f aca="false">AVERAGE(E1144:E1243)</f>
        <v>19847.4945</v>
      </c>
      <c r="L1243" s="7" t="n">
        <f aca="false">AVERAGE(E1044:E1243)</f>
        <v>19211.73715</v>
      </c>
      <c r="M1243" s="7" t="n">
        <f aca="false">I1243</f>
        <v>20942.2565</v>
      </c>
      <c r="N1243" s="7" t="n">
        <f aca="false">I1243+2*STDEV(E1224:E1243)</f>
        <v>21506.0358782855</v>
      </c>
      <c r="O1243" s="7" t="n">
        <f aca="false">I1243-2*STDEV(E1224:E1243)</f>
        <v>20378.4771217145</v>
      </c>
      <c r="P1243" s="7" t="n">
        <f aca="false">MAX(E1243-E1242,0)</f>
        <v>0</v>
      </c>
      <c r="Q1243" s="7" t="n">
        <f aca="false">MAX(E1242-E1243,0)</f>
        <v>67.1399999999994</v>
      </c>
      <c r="R1243" s="7" t="n">
        <f aca="false">(R1242*13+P1243)/14</f>
        <v>97.3309775330503</v>
      </c>
      <c r="S1243" s="7" t="n">
        <f aca="false">(S1242*13+Q1243)/14</f>
        <v>49.3192866902239</v>
      </c>
      <c r="T1243" s="7" t="n">
        <f aca="false">IF(S1243=0,100,100-100/(1+R1243/S1243))</f>
        <v>66.369452553365</v>
      </c>
      <c r="U1243" s="7" t="n">
        <f aca="false">E1243*2/13+U1242*11/13</f>
        <v>21054.8755436741</v>
      </c>
      <c r="V1243" s="7" t="n">
        <f aca="false">E1243*2/27+V1242*25/27</f>
        <v>20815.717041084</v>
      </c>
      <c r="W1243" s="7" t="n">
        <f aca="false">U1243-V1243</f>
        <v>239.158502590035</v>
      </c>
      <c r="X1243" s="7" t="n">
        <f aca="false">W1243*2/10+X1242*8/10</f>
        <v>190.858454157527</v>
      </c>
      <c r="Y1243" s="7" t="n">
        <f aca="false">W1243-X1243</f>
        <v>48.3000484325078</v>
      </c>
      <c r="Z1243" s="8" t="s">
        <v>42</v>
      </c>
      <c r="AA1243" s="7" t="str">
        <f aca="false">IFERROR(INDEX(02_轉折點45!B:B,MATCH(A1243,02_轉折點45!A:A,0)),"")</f>
        <v/>
      </c>
      <c r="AB1243" s="7" t="n">
        <f aca="false">COUNTIFS(05_訊號明細!A:A,A1243,05_訊號明細!C:C,"TOP")</f>
        <v>0</v>
      </c>
      <c r="AC1243" s="7" t="n">
        <f aca="false">COUNTIFS(05_訊號明細!A:A,A1243,05_訊號明細!C:C,"BOTTOM")</f>
        <v>0</v>
      </c>
    </row>
    <row r="1244" customFormat="false" ht="15" hidden="false" customHeight="false" outlineLevel="0" collapsed="false">
      <c r="A1244" s="7" t="s">
        <v>1285</v>
      </c>
      <c r="B1244" s="7" t="n">
        <v>21458.58</v>
      </c>
      <c r="C1244" s="7" t="n">
        <v>21626.31</v>
      </c>
      <c r="D1244" s="7" t="n">
        <v>21449.62</v>
      </c>
      <c r="E1244" s="7" t="n">
        <v>21622.25</v>
      </c>
      <c r="F1244" s="7" t="n">
        <v>6788</v>
      </c>
      <c r="G1244" s="7" t="n">
        <f aca="false">AVERAGE(E1240:E1244)</f>
        <v>21386.75</v>
      </c>
      <c r="H1244" s="7" t="n">
        <f aca="false">AVERAGE(E1235:E1244)</f>
        <v>21111.263</v>
      </c>
      <c r="I1244" s="7" t="n">
        <f aca="false">AVERAGE(E1225:E1244)</f>
        <v>20968.2905</v>
      </c>
      <c r="J1244" s="7" t="n">
        <f aca="false">AVERAGE(E1195:E1244)</f>
        <v>20510.1718</v>
      </c>
      <c r="K1244" s="7" t="n">
        <f aca="false">AVERAGE(E1145:E1244)</f>
        <v>19865.7256</v>
      </c>
      <c r="L1244" s="7" t="n">
        <f aca="false">AVERAGE(E1045:E1244)</f>
        <v>19229.8249</v>
      </c>
      <c r="M1244" s="7" t="n">
        <f aca="false">I1244</f>
        <v>20968.2905</v>
      </c>
      <c r="N1244" s="7" t="n">
        <f aca="false">I1244+2*STDEV(E1225:E1244)</f>
        <v>21606.2525720775</v>
      </c>
      <c r="O1244" s="7" t="n">
        <f aca="false">I1244-2*STDEV(E1225:E1244)</f>
        <v>20330.3284279225</v>
      </c>
      <c r="P1244" s="7" t="n">
        <f aca="false">MAX(E1244-E1243,0)</f>
        <v>197.029999999999</v>
      </c>
      <c r="Q1244" s="7" t="n">
        <f aca="false">MAX(E1243-E1244,0)</f>
        <v>0</v>
      </c>
      <c r="R1244" s="7" t="n">
        <f aca="false">(R1243*13+P1244)/14</f>
        <v>104.45233628069</v>
      </c>
      <c r="S1244" s="7" t="n">
        <f aca="false">(S1243*13+Q1244)/14</f>
        <v>45.796480498065</v>
      </c>
      <c r="T1244" s="7" t="n">
        <f aca="false">IF(S1244=0,100,100-100/(1+R1244/S1244))</f>
        <v>69.5195732785692</v>
      </c>
      <c r="U1244" s="7" t="n">
        <f aca="false">E1244*2/13+U1243*11/13</f>
        <v>21142.1639215704</v>
      </c>
      <c r="V1244" s="7" t="n">
        <f aca="false">E1244*2/27+V1243*25/27</f>
        <v>20875.4602232259</v>
      </c>
      <c r="W1244" s="7" t="n">
        <f aca="false">U1244-V1244</f>
        <v>266.703698344409</v>
      </c>
      <c r="X1244" s="7" t="n">
        <f aca="false">W1244*2/10+X1243*8/10</f>
        <v>206.027502994903</v>
      </c>
      <c r="Y1244" s="7" t="n">
        <f aca="false">W1244-X1244</f>
        <v>60.6761953495052</v>
      </c>
      <c r="Z1244" s="8" t="s">
        <v>42</v>
      </c>
      <c r="AA1244" s="7" t="str">
        <f aca="false">IFERROR(INDEX(02_轉折點45!B:B,MATCH(A1244,02_轉折點45!A:A,0)),"")</f>
        <v/>
      </c>
      <c r="AB1244" s="7" t="n">
        <f aca="false">COUNTIFS(05_訊號明細!A:A,A1244,05_訊號明細!C:C,"TOP")</f>
        <v>0</v>
      </c>
      <c r="AC1244" s="7" t="n">
        <f aca="false">COUNTIFS(05_訊號明細!A:A,A1244,05_訊號明細!C:C,"BOTTOM")</f>
        <v>0</v>
      </c>
    </row>
    <row r="1245" customFormat="false" ht="15" hidden="false" customHeight="false" outlineLevel="0" collapsed="false">
      <c r="A1245" s="7" t="s">
        <v>1286</v>
      </c>
      <c r="B1245" s="7" t="n">
        <v>21573.76</v>
      </c>
      <c r="C1245" s="7" t="n">
        <v>21609.99</v>
      </c>
      <c r="D1245" s="7" t="n">
        <v>21400.77</v>
      </c>
      <c r="E1245" s="7" t="n">
        <v>21440.82</v>
      </c>
      <c r="F1245" s="7" t="n">
        <v>7885</v>
      </c>
      <c r="G1245" s="7" t="n">
        <f aca="false">AVERAGE(E1241:E1245)</f>
        <v>21441.994</v>
      </c>
      <c r="H1245" s="7" t="n">
        <f aca="false">AVERAGE(E1236:E1245)</f>
        <v>21177.722</v>
      </c>
      <c r="I1245" s="7" t="n">
        <f aca="false">AVERAGE(E1226:E1245)</f>
        <v>20984.4725</v>
      </c>
      <c r="J1245" s="7" t="n">
        <f aca="false">AVERAGE(E1196:E1245)</f>
        <v>20538.8158</v>
      </c>
      <c r="K1245" s="7" t="n">
        <f aca="false">AVERAGE(E1146:E1245)</f>
        <v>19883.0829</v>
      </c>
      <c r="L1245" s="7" t="n">
        <f aca="false">AVERAGE(E1046:E1245)</f>
        <v>19247.34095</v>
      </c>
      <c r="M1245" s="7" t="n">
        <f aca="false">I1245</f>
        <v>20984.4725</v>
      </c>
      <c r="N1245" s="7" t="n">
        <f aca="false">I1245+2*STDEV(E1226:E1245)</f>
        <v>21653.9747547621</v>
      </c>
      <c r="O1245" s="7" t="n">
        <f aca="false">I1245-2*STDEV(E1226:E1245)</f>
        <v>20314.9702452379</v>
      </c>
      <c r="P1245" s="7" t="n">
        <f aca="false">MAX(E1245-E1244,0)</f>
        <v>0</v>
      </c>
      <c r="Q1245" s="7" t="n">
        <f aca="false">MAX(E1244-E1245,0)</f>
        <v>181.43</v>
      </c>
      <c r="R1245" s="7" t="n">
        <f aca="false">(R1244*13+P1245)/14</f>
        <v>96.9914551177831</v>
      </c>
      <c r="S1245" s="7" t="n">
        <f aca="false">(S1244*13+Q1245)/14</f>
        <v>55.4845890339176</v>
      </c>
      <c r="T1245" s="7" t="n">
        <f aca="false">IF(S1245=0,100,100-100/(1+R1245/S1245))</f>
        <v>63.6109466620769</v>
      </c>
      <c r="U1245" s="7" t="n">
        <f aca="false">E1245*2/13+U1244*11/13</f>
        <v>21188.1110105595</v>
      </c>
      <c r="V1245" s="7" t="n">
        <f aca="false">E1245*2/27+V1244*25/27</f>
        <v>20917.3387252092</v>
      </c>
      <c r="W1245" s="7" t="n">
        <f aca="false">U1245-V1245</f>
        <v>270.772285350318</v>
      </c>
      <c r="X1245" s="7" t="n">
        <f aca="false">W1245*2/10+X1244*8/10</f>
        <v>218.976459465986</v>
      </c>
      <c r="Y1245" s="7" t="n">
        <f aca="false">W1245-X1245</f>
        <v>51.7958258843319</v>
      </c>
      <c r="Z1245" s="8" t="s">
        <v>42</v>
      </c>
      <c r="AA1245" s="7" t="str">
        <f aca="false">IFERROR(INDEX(02_轉折點45!B:B,MATCH(A1245,02_轉折點45!A:A,0)),"")</f>
        <v/>
      </c>
      <c r="AB1245" s="7" t="n">
        <f aca="false">COUNTIFS(05_訊號明細!A:A,A1245,05_訊號明細!C:C,"TOP")</f>
        <v>0</v>
      </c>
      <c r="AC1245" s="7" t="n">
        <f aca="false">COUNTIFS(05_訊號明細!A:A,A1245,05_訊號明細!C:C,"BOTTOM")</f>
        <v>0</v>
      </c>
    </row>
    <row r="1246" customFormat="false" ht="15" hidden="false" customHeight="false" outlineLevel="0" collapsed="false">
      <c r="A1246" s="7" t="s">
        <v>1287</v>
      </c>
      <c r="B1246" s="7" t="n">
        <v>21492.51</v>
      </c>
      <c r="C1246" s="7" t="n">
        <v>21567.02</v>
      </c>
      <c r="D1246" s="7" t="n">
        <v>21313.27</v>
      </c>
      <c r="E1246" s="7" t="n">
        <v>21368.18</v>
      </c>
      <c r="F1246" s="7" t="n">
        <v>6844</v>
      </c>
      <c r="G1246" s="7" t="n">
        <f aca="false">AVERAGE(E1242:E1246)</f>
        <v>21469.766</v>
      </c>
      <c r="H1246" s="7" t="n">
        <f aca="false">AVERAGE(E1237:E1246)</f>
        <v>21234.051</v>
      </c>
      <c r="I1246" s="7" t="n">
        <f aca="false">AVERAGE(E1227:E1246)</f>
        <v>20997.552</v>
      </c>
      <c r="J1246" s="7" t="n">
        <f aca="false">AVERAGE(E1197:E1246)</f>
        <v>20564.9656</v>
      </c>
      <c r="K1246" s="7" t="n">
        <f aca="false">AVERAGE(E1147:E1246)</f>
        <v>19901.5385</v>
      </c>
      <c r="L1246" s="7" t="n">
        <f aca="false">AVERAGE(E1047:E1246)</f>
        <v>19264.5152</v>
      </c>
      <c r="M1246" s="7" t="n">
        <f aca="false">I1246</f>
        <v>20997.552</v>
      </c>
      <c r="N1246" s="7" t="n">
        <f aca="false">I1246+2*STDEV(E1227:E1246)</f>
        <v>21687.022479307</v>
      </c>
      <c r="O1246" s="7" t="n">
        <f aca="false">I1246-2*STDEV(E1227:E1246)</f>
        <v>20308.081520693</v>
      </c>
      <c r="P1246" s="7" t="n">
        <f aca="false">MAX(E1246-E1245,0)</f>
        <v>0</v>
      </c>
      <c r="Q1246" s="7" t="n">
        <f aca="false">MAX(E1245-E1246,0)</f>
        <v>72.6399999999994</v>
      </c>
      <c r="R1246" s="7" t="n">
        <f aca="false">(R1245*13+P1246)/14</f>
        <v>90.0634940379415</v>
      </c>
      <c r="S1246" s="7" t="n">
        <f aca="false">(S1245*13+Q1246)/14</f>
        <v>56.7099755314948</v>
      </c>
      <c r="T1246" s="7" t="n">
        <f aca="false">IF(S1246=0,100,100-100/(1+R1246/S1246))</f>
        <v>61.362243668522</v>
      </c>
      <c r="U1246" s="7" t="n">
        <f aca="false">E1246*2/13+U1245*11/13</f>
        <v>21215.8139320119</v>
      </c>
      <c r="V1246" s="7" t="n">
        <f aca="false">E1246*2/27+V1245*25/27</f>
        <v>20950.7343751937</v>
      </c>
      <c r="W1246" s="7" t="n">
        <f aca="false">U1246-V1246</f>
        <v>265.079556818193</v>
      </c>
      <c r="X1246" s="7" t="n">
        <f aca="false">W1246*2/10+X1245*8/10</f>
        <v>228.197078936428</v>
      </c>
      <c r="Y1246" s="7" t="n">
        <f aca="false">W1246-X1246</f>
        <v>36.8824778817652</v>
      </c>
      <c r="Z1246" s="8" t="s">
        <v>42</v>
      </c>
      <c r="AA1246" s="7" t="str">
        <f aca="false">IFERROR(INDEX(02_轉折點45!B:B,MATCH(A1246,02_轉折點45!A:A,0)),"")</f>
        <v/>
      </c>
      <c r="AB1246" s="7" t="n">
        <f aca="false">COUNTIFS(05_訊號明細!A:A,A1246,05_訊號明細!C:C,"TOP")</f>
        <v>0</v>
      </c>
      <c r="AC1246" s="7" t="n">
        <f aca="false">COUNTIFS(05_訊號明細!A:A,A1246,05_訊號明細!C:C,"BOTTOM")</f>
        <v>0</v>
      </c>
    </row>
    <row r="1247" customFormat="false" ht="15" hidden="false" customHeight="false" outlineLevel="0" collapsed="false">
      <c r="A1247" s="7" t="s">
        <v>1288</v>
      </c>
      <c r="B1247" s="7" t="n">
        <v>21540.38</v>
      </c>
      <c r="C1247" s="7" t="n">
        <v>21784.71</v>
      </c>
      <c r="D1247" s="7" t="n">
        <v>21533.89</v>
      </c>
      <c r="E1247" s="7" t="n">
        <v>21763.98</v>
      </c>
      <c r="F1247" s="7" t="n">
        <v>6640</v>
      </c>
      <c r="G1247" s="7" t="n">
        <f aca="false">AVERAGE(E1243:E1247)</f>
        <v>21524.09</v>
      </c>
      <c r="H1247" s="7" t="n">
        <f aca="false">AVERAGE(E1238:E1247)</f>
        <v>21318.159</v>
      </c>
      <c r="I1247" s="7" t="n">
        <f aca="false">AVERAGE(E1228:E1247)</f>
        <v>21032.2115</v>
      </c>
      <c r="J1247" s="7" t="n">
        <f aca="false">AVERAGE(E1198:E1247)</f>
        <v>20604.7792</v>
      </c>
      <c r="K1247" s="7" t="n">
        <f aca="false">AVERAGE(E1148:E1247)</f>
        <v>19920.9496</v>
      </c>
      <c r="L1247" s="7" t="n">
        <f aca="false">AVERAGE(E1048:E1247)</f>
        <v>19283.47985</v>
      </c>
      <c r="M1247" s="7" t="n">
        <f aca="false">I1247</f>
        <v>21032.2115</v>
      </c>
      <c r="N1247" s="7" t="n">
        <f aca="false">I1247+2*STDEV(E1228:E1247)</f>
        <v>21802.1777028748</v>
      </c>
      <c r="O1247" s="7" t="n">
        <f aca="false">I1247-2*STDEV(E1228:E1247)</f>
        <v>20262.2452971252</v>
      </c>
      <c r="P1247" s="7" t="n">
        <f aca="false">MAX(E1247-E1246,0)</f>
        <v>395.799999999999</v>
      </c>
      <c r="Q1247" s="7" t="n">
        <f aca="false">MAX(E1246-E1247,0)</f>
        <v>0</v>
      </c>
      <c r="R1247" s="7" t="n">
        <f aca="false">(R1246*13+P1247)/14</f>
        <v>111.901815892374</v>
      </c>
      <c r="S1247" s="7" t="n">
        <f aca="false">(S1246*13+Q1247)/14</f>
        <v>52.6592629935309</v>
      </c>
      <c r="T1247" s="7" t="n">
        <f aca="false">IF(S1247=0,100,100-100/(1+R1247/S1247))</f>
        <v>68.0001715168378</v>
      </c>
      <c r="U1247" s="7" t="n">
        <f aca="false">E1247*2/13+U1246*11/13</f>
        <v>21300.1471732408</v>
      </c>
      <c r="V1247" s="7" t="n">
        <f aca="false">E1247*2/27+V1246*25/27</f>
        <v>21010.974791846</v>
      </c>
      <c r="W1247" s="7" t="n">
        <f aca="false">U1247-V1247</f>
        <v>289.172381394812</v>
      </c>
      <c r="X1247" s="7" t="n">
        <f aca="false">W1247*2/10+X1246*8/10</f>
        <v>240.392139428105</v>
      </c>
      <c r="Y1247" s="7" t="n">
        <f aca="false">W1247-X1247</f>
        <v>48.7802419667074</v>
      </c>
      <c r="Z1247" s="8" t="s">
        <v>42</v>
      </c>
      <c r="AA1247" s="7" t="str">
        <f aca="false">IFERROR(INDEX(02_轉折點45!B:B,MATCH(A1247,02_轉折點45!A:A,0)),"")</f>
        <v/>
      </c>
      <c r="AB1247" s="7" t="n">
        <f aca="false">COUNTIFS(05_訊號明細!A:A,A1247,05_訊號明細!C:C,"TOP")</f>
        <v>0</v>
      </c>
      <c r="AC1247" s="7" t="n">
        <f aca="false">COUNTIFS(05_訊號明細!A:A,A1247,05_訊號明細!C:C,"BOTTOM")</f>
        <v>0</v>
      </c>
    </row>
    <row r="1248" customFormat="false" ht="15" hidden="false" customHeight="false" outlineLevel="0" collapsed="false">
      <c r="A1248" s="7" t="s">
        <v>1289</v>
      </c>
      <c r="B1248" s="7" t="n">
        <v>21652.85</v>
      </c>
      <c r="C1248" s="7" t="n">
        <v>21715.83</v>
      </c>
      <c r="D1248" s="7" t="n">
        <v>21596.67</v>
      </c>
      <c r="E1248" s="7" t="n">
        <v>21615.27</v>
      </c>
      <c r="F1248" s="7" t="n">
        <v>7048</v>
      </c>
      <c r="G1248" s="7" t="n">
        <f aca="false">AVERAGE(E1244:E1248)</f>
        <v>21562.1</v>
      </c>
      <c r="H1248" s="7" t="n">
        <f aca="false">AVERAGE(E1239:E1248)</f>
        <v>21405.237</v>
      </c>
      <c r="I1248" s="7" t="n">
        <f aca="false">AVERAGE(E1229:E1248)</f>
        <v>21061.167</v>
      </c>
      <c r="J1248" s="7" t="n">
        <f aca="false">AVERAGE(E1199:E1248)</f>
        <v>20641.0328</v>
      </c>
      <c r="K1248" s="7" t="n">
        <f aca="false">AVERAGE(E1149:E1248)</f>
        <v>19939.5589</v>
      </c>
      <c r="L1248" s="7" t="n">
        <f aca="false">AVERAGE(E1049:E1248)</f>
        <v>19302.1837</v>
      </c>
      <c r="M1248" s="7" t="n">
        <f aca="false">I1248</f>
        <v>21061.167</v>
      </c>
      <c r="N1248" s="7" t="n">
        <f aca="false">I1248+2*STDEV(E1229:E1248)</f>
        <v>21874.1149796421</v>
      </c>
      <c r="O1248" s="7" t="n">
        <f aca="false">I1248-2*STDEV(E1229:E1248)</f>
        <v>20248.2190203579</v>
      </c>
      <c r="P1248" s="7" t="n">
        <f aca="false">MAX(E1248-E1247,0)</f>
        <v>0</v>
      </c>
      <c r="Q1248" s="7" t="n">
        <f aca="false">MAX(E1247-E1248,0)</f>
        <v>148.709999999999</v>
      </c>
      <c r="R1248" s="7" t="n">
        <f aca="false">(R1247*13+P1248)/14</f>
        <v>103.908829042919</v>
      </c>
      <c r="S1248" s="7" t="n">
        <f aca="false">(S1247*13+Q1248)/14</f>
        <v>59.5200299225644</v>
      </c>
      <c r="T1248" s="7" t="n">
        <f aca="false">IF(S1248=0,100,100-100/(1+R1248/S1248))</f>
        <v>63.5804653478397</v>
      </c>
      <c r="U1248" s="7" t="n">
        <f aca="false">E1248*2/13+U1247*11/13</f>
        <v>21348.6276081269</v>
      </c>
      <c r="V1248" s="7" t="n">
        <f aca="false">E1248*2/27+V1247*25/27</f>
        <v>21055.7373998574</v>
      </c>
      <c r="W1248" s="7" t="n">
        <f aca="false">U1248-V1248</f>
        <v>292.890208269433</v>
      </c>
      <c r="X1248" s="7" t="n">
        <f aca="false">W1248*2/10+X1247*8/10</f>
        <v>250.89175319637</v>
      </c>
      <c r="Y1248" s="7" t="n">
        <f aca="false">W1248-X1248</f>
        <v>41.9984550730628</v>
      </c>
      <c r="Z1248" s="8" t="s">
        <v>42</v>
      </c>
      <c r="AA1248" s="7" t="str">
        <f aca="false">IFERROR(INDEX(02_轉折點45!B:B,MATCH(A1248,02_轉折點45!A:A,0)),"")</f>
        <v/>
      </c>
      <c r="AB1248" s="7" t="n">
        <f aca="false">COUNTIFS(05_訊號明細!A:A,A1248,05_訊號明細!C:C,"TOP")</f>
        <v>0</v>
      </c>
      <c r="AC1248" s="7" t="n">
        <f aca="false">COUNTIFS(05_訊號明細!A:A,A1248,05_訊號明細!C:C,"BOTTOM")</f>
        <v>0</v>
      </c>
    </row>
    <row r="1249" customFormat="false" ht="15" hidden="false" customHeight="false" outlineLevel="0" collapsed="false">
      <c r="A1249" s="7" t="s">
        <v>1290</v>
      </c>
      <c r="B1249" s="7" t="n">
        <v>21789.65</v>
      </c>
      <c r="C1249" s="7" t="n">
        <v>21886.74</v>
      </c>
      <c r="D1249" s="7" t="n">
        <v>21646.09</v>
      </c>
      <c r="E1249" s="7" t="n">
        <v>21780.25</v>
      </c>
      <c r="F1249" s="7" t="n">
        <v>6028</v>
      </c>
      <c r="G1249" s="7" t="n">
        <f aca="false">AVERAGE(E1245:E1249)</f>
        <v>21593.7</v>
      </c>
      <c r="H1249" s="7" t="n">
        <f aca="false">AVERAGE(E1240:E1249)</f>
        <v>21490.225</v>
      </c>
      <c r="I1249" s="7" t="n">
        <f aca="false">AVERAGE(E1230:E1249)</f>
        <v>21105.346</v>
      </c>
      <c r="J1249" s="7" t="n">
        <f aca="false">AVERAGE(E1200:E1249)</f>
        <v>20680.771</v>
      </c>
      <c r="K1249" s="7" t="n">
        <f aca="false">AVERAGE(E1150:E1249)</f>
        <v>19967.0375</v>
      </c>
      <c r="L1249" s="7" t="n">
        <f aca="false">AVERAGE(E1050:E1249)</f>
        <v>19320.8657</v>
      </c>
      <c r="M1249" s="7" t="n">
        <f aca="false">I1249</f>
        <v>21105.346</v>
      </c>
      <c r="N1249" s="7" t="n">
        <f aca="false">I1249+2*STDEV(E1230:E1249)</f>
        <v>21974.7301014952</v>
      </c>
      <c r="O1249" s="7" t="n">
        <f aca="false">I1249-2*STDEV(E1230:E1249)</f>
        <v>20235.9618985048</v>
      </c>
      <c r="P1249" s="7" t="n">
        <f aca="false">MAX(E1249-E1248,0)</f>
        <v>164.98</v>
      </c>
      <c r="Q1249" s="7" t="n">
        <f aca="false">MAX(E1248-E1249,0)</f>
        <v>0</v>
      </c>
      <c r="R1249" s="7" t="n">
        <f aca="false">(R1248*13+P1249)/14</f>
        <v>108.271055539853</v>
      </c>
      <c r="S1249" s="7" t="n">
        <f aca="false">(S1248*13+Q1249)/14</f>
        <v>55.2685992138098</v>
      </c>
      <c r="T1249" s="7" t="n">
        <f aca="false">IF(S1249=0,100,100-100/(1+R1249/S1249))</f>
        <v>66.2047719881396</v>
      </c>
      <c r="U1249" s="7" t="n">
        <f aca="false">E1249*2/13+U1248*11/13</f>
        <v>21415.0310530304</v>
      </c>
      <c r="V1249" s="7" t="n">
        <f aca="false">E1249*2/27+V1248*25/27</f>
        <v>21109.404999868</v>
      </c>
      <c r="W1249" s="7" t="n">
        <f aca="false">U1249-V1249</f>
        <v>305.626053162432</v>
      </c>
      <c r="X1249" s="7" t="n">
        <f aca="false">W1249*2/10+X1248*8/10</f>
        <v>261.838613189583</v>
      </c>
      <c r="Y1249" s="7" t="n">
        <f aca="false">W1249-X1249</f>
        <v>43.7874399728495</v>
      </c>
      <c r="Z1249" s="8" t="s">
        <v>42</v>
      </c>
      <c r="AA1249" s="7" t="str">
        <f aca="false">IFERROR(INDEX(02_轉折點45!B:B,MATCH(A1249,02_轉折點45!A:A,0)),"")</f>
        <v/>
      </c>
      <c r="AB1249" s="7" t="n">
        <f aca="false">COUNTIFS(05_訊號明細!A:A,A1249,05_訊號明細!C:C,"TOP")</f>
        <v>0</v>
      </c>
      <c r="AC1249" s="7" t="n">
        <f aca="false">COUNTIFS(05_訊號明細!A:A,A1249,05_訊號明細!C:C,"BOTTOM")</f>
        <v>0</v>
      </c>
    </row>
    <row r="1250" customFormat="false" ht="15" hidden="false" customHeight="false" outlineLevel="0" collapsed="false">
      <c r="A1250" s="7" t="s">
        <v>1291</v>
      </c>
      <c r="B1250" s="7" t="n">
        <v>21891.36</v>
      </c>
      <c r="C1250" s="7" t="n">
        <v>22133.22</v>
      </c>
      <c r="D1250" s="7" t="n">
        <v>21879.74</v>
      </c>
      <c r="E1250" s="7" t="n">
        <v>22096.66</v>
      </c>
      <c r="F1250" s="7" t="n">
        <v>8855</v>
      </c>
      <c r="G1250" s="7" t="n">
        <f aca="false">AVERAGE(E1246:E1250)</f>
        <v>21724.868</v>
      </c>
      <c r="H1250" s="7" t="n">
        <f aca="false">AVERAGE(E1241:E1250)</f>
        <v>21583.431</v>
      </c>
      <c r="I1250" s="7" t="n">
        <f aca="false">AVERAGE(E1231:E1250)</f>
        <v>21190.4725</v>
      </c>
      <c r="J1250" s="7" t="n">
        <f aca="false">AVERAGE(E1201:E1250)</f>
        <v>20722.0038</v>
      </c>
      <c r="K1250" s="7" t="n">
        <f aca="false">AVERAGE(E1151:E1250)</f>
        <v>19999.6983</v>
      </c>
      <c r="L1250" s="7" t="n">
        <f aca="false">AVERAGE(E1051:E1250)</f>
        <v>19339.83445</v>
      </c>
      <c r="M1250" s="7" t="n">
        <f aca="false">I1250</f>
        <v>21190.4725</v>
      </c>
      <c r="N1250" s="7" t="n">
        <f aca="false">I1250+2*STDEV(E1231:E1250)</f>
        <v>22099.1593754388</v>
      </c>
      <c r="O1250" s="7" t="n">
        <f aca="false">I1250-2*STDEV(E1231:E1250)</f>
        <v>20281.7856245612</v>
      </c>
      <c r="P1250" s="7" t="n">
        <f aca="false">MAX(E1250-E1249,0)</f>
        <v>316.41</v>
      </c>
      <c r="Q1250" s="7" t="n">
        <f aca="false">MAX(E1249-E1250,0)</f>
        <v>0</v>
      </c>
      <c r="R1250" s="7" t="n">
        <f aca="false">(R1249*13+P1250)/14</f>
        <v>123.138123001292</v>
      </c>
      <c r="S1250" s="7" t="n">
        <f aca="false">(S1249*13+Q1250)/14</f>
        <v>51.3208421271091</v>
      </c>
      <c r="T1250" s="7" t="n">
        <f aca="false">IF(S1250=0,100,100-100/(1+R1250/S1250))</f>
        <v>70.5828576425768</v>
      </c>
      <c r="U1250" s="7" t="n">
        <f aca="false">E1250*2/13+U1249*11/13</f>
        <v>21519.8970448719</v>
      </c>
      <c r="V1250" s="7" t="n">
        <f aca="false">E1250*2/27+V1249*25/27</f>
        <v>21182.5349998778</v>
      </c>
      <c r="W1250" s="7" t="n">
        <f aca="false">U1250-V1250</f>
        <v>337.362044994123</v>
      </c>
      <c r="X1250" s="7" t="n">
        <f aca="false">W1250*2/10+X1249*8/10</f>
        <v>276.943299550491</v>
      </c>
      <c r="Y1250" s="7" t="n">
        <f aca="false">W1250-X1250</f>
        <v>60.4187454436321</v>
      </c>
      <c r="Z1250" s="8" t="s">
        <v>42</v>
      </c>
      <c r="AA1250" s="7" t="str">
        <f aca="false">IFERROR(INDEX(02_轉折點45!B:B,MATCH(A1250,02_轉折點45!A:A,0)),"")</f>
        <v/>
      </c>
      <c r="AB1250" s="7" t="n">
        <f aca="false">COUNTIFS(05_訊號明細!A:A,A1250,05_訊號明細!C:C,"TOP")</f>
        <v>1</v>
      </c>
      <c r="AC1250" s="7" t="n">
        <f aca="false">COUNTIFS(05_訊號明細!A:A,A1250,05_訊號明細!C:C,"BOTTOM")</f>
        <v>0</v>
      </c>
    </row>
    <row r="1251" customFormat="false" ht="15" hidden="false" customHeight="false" outlineLevel="0" collapsed="false">
      <c r="A1251" s="7" t="s">
        <v>1292</v>
      </c>
      <c r="B1251" s="7" t="n">
        <v>22003.64</v>
      </c>
      <c r="C1251" s="7" t="n">
        <v>22062</v>
      </c>
      <c r="D1251" s="7" t="n">
        <v>21921.21</v>
      </c>
      <c r="E1251" s="7" t="n">
        <v>22001.08</v>
      </c>
      <c r="F1251" s="7" t="n">
        <v>9534</v>
      </c>
      <c r="G1251" s="7" t="n">
        <f aca="false">AVERAGE(E1247:E1251)</f>
        <v>21851.448</v>
      </c>
      <c r="H1251" s="7" t="n">
        <f aca="false">AVERAGE(E1242:E1251)</f>
        <v>21660.607</v>
      </c>
      <c r="I1251" s="7" t="n">
        <f aca="false">AVERAGE(E1232:E1251)</f>
        <v>21263.567</v>
      </c>
      <c r="J1251" s="7" t="n">
        <f aca="false">AVERAGE(E1202:E1251)</f>
        <v>20766.0106</v>
      </c>
      <c r="K1251" s="7" t="n">
        <f aca="false">AVERAGE(E1152:E1251)</f>
        <v>20029.4725</v>
      </c>
      <c r="L1251" s="7" t="n">
        <f aca="false">AVERAGE(E1052:E1251)</f>
        <v>19358.70745</v>
      </c>
      <c r="M1251" s="7" t="n">
        <f aca="false">I1251</f>
        <v>21263.567</v>
      </c>
      <c r="N1251" s="7" t="n">
        <f aca="false">I1251+2*STDEV(E1232:E1251)</f>
        <v>22186.7412418896</v>
      </c>
      <c r="O1251" s="7" t="n">
        <f aca="false">I1251-2*STDEV(E1232:E1251)</f>
        <v>20340.3927581104</v>
      </c>
      <c r="P1251" s="7" t="n">
        <f aca="false">MAX(E1251-E1250,0)</f>
        <v>0</v>
      </c>
      <c r="Q1251" s="7" t="n">
        <f aca="false">MAX(E1250-E1251,0)</f>
        <v>95.5799999999981</v>
      </c>
      <c r="R1251" s="7" t="n">
        <f aca="false">(R1250*13+P1251)/14</f>
        <v>114.342542786914</v>
      </c>
      <c r="S1251" s="7" t="n">
        <f aca="false">(S1250*13+Q1251)/14</f>
        <v>54.4822105466011</v>
      </c>
      <c r="T1251" s="7" t="n">
        <f aca="false">IF(S1251=0,100,100-100/(1+R1251/S1251))</f>
        <v>67.7285413004746</v>
      </c>
      <c r="U1251" s="7" t="n">
        <f aca="false">E1251*2/13+U1250*11/13</f>
        <v>21593.9251918147</v>
      </c>
      <c r="V1251" s="7" t="n">
        <f aca="false">E1251*2/27+V1250*25/27</f>
        <v>21243.1679628498</v>
      </c>
      <c r="W1251" s="7" t="n">
        <f aca="false">U1251-V1251</f>
        <v>350.757228964892</v>
      </c>
      <c r="X1251" s="7" t="n">
        <f aca="false">W1251*2/10+X1250*8/10</f>
        <v>291.706085433371</v>
      </c>
      <c r="Y1251" s="7" t="n">
        <f aca="false">W1251-X1251</f>
        <v>59.0511435315215</v>
      </c>
      <c r="Z1251" s="8" t="s">
        <v>42</v>
      </c>
      <c r="AA1251" s="7" t="str">
        <f aca="false">IFERROR(INDEX(02_轉折點45!B:B,MATCH(A1251,02_轉折點45!A:A,0)),"")</f>
        <v/>
      </c>
      <c r="AB1251" s="7" t="n">
        <f aca="false">COUNTIFS(05_訊號明細!A:A,A1251,05_訊號明細!C:C,"TOP")</f>
        <v>0</v>
      </c>
      <c r="AC1251" s="7" t="n">
        <f aca="false">COUNTIFS(05_訊號明細!A:A,A1251,05_訊號明細!C:C,"BOTTOM")</f>
        <v>0</v>
      </c>
    </row>
    <row r="1252" customFormat="false" ht="15" hidden="false" customHeight="false" outlineLevel="0" collapsed="false">
      <c r="A1252" s="7" t="s">
        <v>1293</v>
      </c>
      <c r="B1252" s="7" t="n">
        <v>21979.53</v>
      </c>
      <c r="C1252" s="7" t="n">
        <v>22038.08</v>
      </c>
      <c r="D1252" s="7" t="n">
        <v>21146.83</v>
      </c>
      <c r="E1252" s="7" t="n">
        <v>21209.32</v>
      </c>
      <c r="F1252" s="7" t="n">
        <v>9996</v>
      </c>
      <c r="G1252" s="7" t="n">
        <f aca="false">AVERAGE(E1248:E1252)</f>
        <v>21740.516</v>
      </c>
      <c r="H1252" s="7" t="n">
        <f aca="false">AVERAGE(E1243:E1252)</f>
        <v>21632.303</v>
      </c>
      <c r="I1252" s="7" t="n">
        <f aca="false">AVERAGE(E1233:E1252)</f>
        <v>21289.8035</v>
      </c>
      <c r="J1252" s="7" t="n">
        <f aca="false">AVERAGE(E1203:E1252)</f>
        <v>20788.0414</v>
      </c>
      <c r="K1252" s="7" t="n">
        <f aca="false">AVERAGE(E1153:E1252)</f>
        <v>20050.9708</v>
      </c>
      <c r="L1252" s="7" t="n">
        <f aca="false">AVERAGE(E1053:E1252)</f>
        <v>19375.2647</v>
      </c>
      <c r="M1252" s="7" t="n">
        <f aca="false">I1252</f>
        <v>21289.8035</v>
      </c>
      <c r="N1252" s="7" t="n">
        <f aca="false">I1252+2*STDEV(E1233:E1252)</f>
        <v>22172.6400797462</v>
      </c>
      <c r="O1252" s="7" t="n">
        <f aca="false">I1252-2*STDEV(E1233:E1252)</f>
        <v>20406.9669202538</v>
      </c>
      <c r="P1252" s="7" t="n">
        <f aca="false">MAX(E1252-E1251,0)</f>
        <v>0</v>
      </c>
      <c r="Q1252" s="7" t="n">
        <f aca="false">MAX(E1251-E1252,0)</f>
        <v>791.760000000002</v>
      </c>
      <c r="R1252" s="7" t="n">
        <f aca="false">(R1251*13+P1252)/14</f>
        <v>106.175218302135</v>
      </c>
      <c r="S1252" s="7" t="n">
        <f aca="false">(S1251*13+Q1252)/14</f>
        <v>107.144909793273</v>
      </c>
      <c r="T1252" s="7" t="n">
        <f aca="false">IF(S1252=0,100,100-100/(1+R1252/S1252))</f>
        <v>49.772714487893</v>
      </c>
      <c r="U1252" s="7" t="n">
        <f aca="false">E1252*2/13+U1251*11/13</f>
        <v>21534.7551623047</v>
      </c>
      <c r="V1252" s="7" t="n">
        <f aca="false">E1252*2/27+V1251*25/27</f>
        <v>21240.6607063424</v>
      </c>
      <c r="W1252" s="7" t="n">
        <f aca="false">U1252-V1252</f>
        <v>294.094455962331</v>
      </c>
      <c r="X1252" s="7" t="n">
        <f aca="false">W1252*2/10+X1251*8/10</f>
        <v>292.183759539163</v>
      </c>
      <c r="Y1252" s="7" t="n">
        <f aca="false">W1252-X1252</f>
        <v>1.91069642316825</v>
      </c>
      <c r="Z1252" s="7" t="s">
        <v>78</v>
      </c>
      <c r="AA1252" s="7" t="str">
        <f aca="false">IFERROR(INDEX(02_轉折點45!B:B,MATCH(A1252,02_轉折點45!A:A,0)),"")</f>
        <v/>
      </c>
      <c r="AB1252" s="7" t="n">
        <f aca="false">COUNTIFS(05_訊號明細!A:A,A1252,05_訊號明細!C:C,"TOP")</f>
        <v>2</v>
      </c>
      <c r="AC1252" s="7" t="n">
        <f aca="false">COUNTIFS(05_訊號明細!A:A,A1252,05_訊號明細!C:C,"BOTTOM")</f>
        <v>0</v>
      </c>
    </row>
    <row r="1253" customFormat="false" ht="15" hidden="false" customHeight="false" outlineLevel="0" collapsed="false">
      <c r="A1253" s="7" t="s">
        <v>1294</v>
      </c>
      <c r="B1253" s="7" t="n">
        <v>21358.79</v>
      </c>
      <c r="C1253" s="7" t="n">
        <v>21413.74</v>
      </c>
      <c r="D1253" s="7" t="n">
        <v>21093.46</v>
      </c>
      <c r="E1253" s="7" t="n">
        <v>21110.51</v>
      </c>
      <c r="F1253" s="7" t="n">
        <v>8030</v>
      </c>
      <c r="G1253" s="7" t="n">
        <f aca="false">AVERAGE(E1249:E1253)</f>
        <v>21639.564</v>
      </c>
      <c r="H1253" s="7" t="n">
        <f aca="false">AVERAGE(E1244:E1253)</f>
        <v>21600.832</v>
      </c>
      <c r="I1253" s="7" t="n">
        <f aca="false">AVERAGE(E1234:E1253)</f>
        <v>21311.974</v>
      </c>
      <c r="J1253" s="7" t="n">
        <f aca="false">AVERAGE(E1204:E1253)</f>
        <v>20804.8744</v>
      </c>
      <c r="K1253" s="7" t="n">
        <f aca="false">AVERAGE(E1154:E1253)</f>
        <v>20074.1132</v>
      </c>
      <c r="L1253" s="7" t="n">
        <f aca="false">AVERAGE(E1054:E1253)</f>
        <v>19390.7294</v>
      </c>
      <c r="M1253" s="7" t="n">
        <f aca="false">I1253</f>
        <v>21311.974</v>
      </c>
      <c r="N1253" s="7" t="n">
        <f aca="false">I1253+2*STDEV(E1234:E1253)</f>
        <v>22150.1057463175</v>
      </c>
      <c r="O1253" s="7" t="n">
        <f aca="false">I1253-2*STDEV(E1234:E1253)</f>
        <v>20473.8422536825</v>
      </c>
      <c r="P1253" s="7" t="n">
        <f aca="false">MAX(E1253-E1252,0)</f>
        <v>0</v>
      </c>
      <c r="Q1253" s="7" t="n">
        <f aca="false">MAX(E1252-E1253,0)</f>
        <v>98.8100000000013</v>
      </c>
      <c r="R1253" s="7" t="n">
        <f aca="false">(R1252*13+P1253)/14</f>
        <v>98.5912741376965</v>
      </c>
      <c r="S1253" s="7" t="n">
        <f aca="false">(S1252*13+Q1253)/14</f>
        <v>106.549559093753</v>
      </c>
      <c r="T1253" s="7" t="n">
        <f aca="false">IF(S1253=0,100,100-100/(1+R1253/S1253))</f>
        <v>48.0602874545513</v>
      </c>
      <c r="U1253" s="7" t="n">
        <f aca="false">E1253*2/13+U1252*11/13</f>
        <v>21469.4866757963</v>
      </c>
      <c r="V1253" s="7" t="n">
        <f aca="false">E1253*2/27+V1252*25/27</f>
        <v>21231.01991328</v>
      </c>
      <c r="W1253" s="7" t="n">
        <f aca="false">U1253-V1253</f>
        <v>238.466762516313</v>
      </c>
      <c r="X1253" s="7" t="n">
        <f aca="false">W1253*2/10+X1252*8/10</f>
        <v>281.440360134593</v>
      </c>
      <c r="Y1253" s="7" t="n">
        <f aca="false">W1253-X1253</f>
        <v>-42.9735976182801</v>
      </c>
      <c r="Z1253" s="8" t="s">
        <v>42</v>
      </c>
      <c r="AA1253" s="7" t="str">
        <f aca="false">IFERROR(INDEX(02_轉折點45!B:B,MATCH(A1253,02_轉折點45!A:A,0)),"")</f>
        <v/>
      </c>
      <c r="AB1253" s="7" t="n">
        <f aca="false">COUNTIFS(05_訊號明細!A:A,A1253,05_訊號明細!C:C,"TOP")</f>
        <v>0</v>
      </c>
      <c r="AC1253" s="7" t="n">
        <f aca="false">COUNTIFS(05_訊號明細!A:A,A1253,05_訊號明細!C:C,"BOTTOM")</f>
        <v>0</v>
      </c>
    </row>
    <row r="1254" customFormat="false" ht="15" hidden="false" customHeight="false" outlineLevel="0" collapsed="false">
      <c r="A1254" s="7" t="s">
        <v>1295</v>
      </c>
      <c r="B1254" s="7" t="n">
        <v>20939.64</v>
      </c>
      <c r="C1254" s="7" t="n">
        <v>21540.32</v>
      </c>
      <c r="D1254" s="7" t="n">
        <v>20913.72</v>
      </c>
      <c r="E1254" s="7" t="n">
        <v>21289.15</v>
      </c>
      <c r="F1254" s="7" t="n">
        <v>10962</v>
      </c>
      <c r="G1254" s="7" t="n">
        <f aca="false">AVERAGE(E1250:E1254)</f>
        <v>21541.344</v>
      </c>
      <c r="H1254" s="7" t="n">
        <f aca="false">AVERAGE(E1245:E1254)</f>
        <v>21567.522</v>
      </c>
      <c r="I1254" s="7" t="n">
        <f aca="false">AVERAGE(E1235:E1254)</f>
        <v>21339.3925</v>
      </c>
      <c r="J1254" s="7" t="n">
        <f aca="false">AVERAGE(E1205:E1254)</f>
        <v>20825.8222</v>
      </c>
      <c r="K1254" s="7" t="n">
        <f aca="false">AVERAGE(E1155:E1254)</f>
        <v>20093.3804</v>
      </c>
      <c r="L1254" s="7" t="n">
        <f aca="false">AVERAGE(E1055:E1254)</f>
        <v>19405.6852</v>
      </c>
      <c r="M1254" s="7" t="n">
        <f aca="false">I1254</f>
        <v>21339.3925</v>
      </c>
      <c r="N1254" s="7" t="n">
        <f aca="false">I1254+2*STDEV(E1235:E1254)</f>
        <v>22133.5727501719</v>
      </c>
      <c r="O1254" s="7" t="n">
        <f aca="false">I1254-2*STDEV(E1235:E1254)</f>
        <v>20545.2122498281</v>
      </c>
      <c r="P1254" s="7" t="n">
        <f aca="false">MAX(E1254-E1253,0)</f>
        <v>178.640000000003</v>
      </c>
      <c r="Q1254" s="7" t="n">
        <f aca="false">MAX(E1253-E1254,0)</f>
        <v>0</v>
      </c>
      <c r="R1254" s="7" t="n">
        <f aca="false">(R1253*13+P1254)/14</f>
        <v>104.309040270718</v>
      </c>
      <c r="S1254" s="7" t="n">
        <f aca="false">(S1253*13+Q1254)/14</f>
        <v>98.9388763013423</v>
      </c>
      <c r="T1254" s="7" t="n">
        <f aca="false">IF(S1254=0,100,100-100/(1+R1254/S1254))</f>
        <v>51.321087089095</v>
      </c>
      <c r="U1254" s="7" t="n">
        <f aca="false">E1254*2/13+U1253*11/13</f>
        <v>21441.7425718277</v>
      </c>
      <c r="V1254" s="7" t="n">
        <f aca="false">E1254*2/27+V1253*25/27</f>
        <v>21235.3258456296</v>
      </c>
      <c r="W1254" s="7" t="n">
        <f aca="false">U1254-V1254</f>
        <v>206.416726198018</v>
      </c>
      <c r="X1254" s="7" t="n">
        <f aca="false">W1254*2/10+X1253*8/10</f>
        <v>266.435633347278</v>
      </c>
      <c r="Y1254" s="7" t="n">
        <f aca="false">W1254-X1254</f>
        <v>-60.0189071492597</v>
      </c>
      <c r="Z1254" s="8" t="s">
        <v>42</v>
      </c>
      <c r="AA1254" s="7" t="str">
        <f aca="false">IFERROR(INDEX(02_轉折點45!B:B,MATCH(A1254,02_轉折點45!A:A,0)),"")</f>
        <v/>
      </c>
      <c r="AB1254" s="7" t="n">
        <f aca="false">COUNTIFS(05_訊號明細!A:A,A1254,05_訊號明細!C:C,"TOP")</f>
        <v>1</v>
      </c>
      <c r="AC1254" s="7" t="n">
        <f aca="false">COUNTIFS(05_訊號明細!A:A,A1254,05_訊號明細!C:C,"BOTTOM")</f>
        <v>0</v>
      </c>
    </row>
    <row r="1255" customFormat="false" ht="15" hidden="false" customHeight="false" outlineLevel="0" collapsed="false">
      <c r="A1255" s="7" t="s">
        <v>1296</v>
      </c>
      <c r="B1255" s="7" t="n">
        <v>21364.26</v>
      </c>
      <c r="C1255" s="7" t="n">
        <v>21510.09</v>
      </c>
      <c r="D1255" s="7" t="n">
        <v>21224.27</v>
      </c>
      <c r="E1255" s="7" t="n">
        <v>21503.17</v>
      </c>
      <c r="F1255" s="7" t="n">
        <v>6821</v>
      </c>
      <c r="G1255" s="7" t="n">
        <f aca="false">AVERAGE(E1251:E1255)</f>
        <v>21422.646</v>
      </c>
      <c r="H1255" s="7" t="n">
        <f aca="false">AVERAGE(E1246:E1255)</f>
        <v>21573.757</v>
      </c>
      <c r="I1255" s="7" t="n">
        <f aca="false">AVERAGE(E1236:E1255)</f>
        <v>21375.7395</v>
      </c>
      <c r="J1255" s="7" t="n">
        <f aca="false">AVERAGE(E1206:E1255)</f>
        <v>20850.4462</v>
      </c>
      <c r="K1255" s="7" t="n">
        <f aca="false">AVERAGE(E1156:E1255)</f>
        <v>20119.5082</v>
      </c>
      <c r="L1255" s="7" t="n">
        <f aca="false">AVERAGE(E1056:E1255)</f>
        <v>19423.1088</v>
      </c>
      <c r="M1255" s="7" t="n">
        <f aca="false">I1255</f>
        <v>21375.7395</v>
      </c>
      <c r="N1255" s="7" t="n">
        <f aca="false">I1255+2*STDEV(E1236:E1255)</f>
        <v>22126.7640298811</v>
      </c>
      <c r="O1255" s="7" t="n">
        <f aca="false">I1255-2*STDEV(E1236:E1255)</f>
        <v>20624.7149701189</v>
      </c>
      <c r="P1255" s="7" t="n">
        <f aca="false">MAX(E1255-E1254,0)</f>
        <v>214.019999999997</v>
      </c>
      <c r="Q1255" s="7" t="n">
        <f aca="false">MAX(E1254-E1255,0)</f>
        <v>0</v>
      </c>
      <c r="R1255" s="7" t="n">
        <f aca="false">(R1254*13+P1255)/14</f>
        <v>112.145537394238</v>
      </c>
      <c r="S1255" s="7" t="n">
        <f aca="false">(S1254*13+Q1255)/14</f>
        <v>91.8718137083893</v>
      </c>
      <c r="T1255" s="7" t="n">
        <f aca="false">IF(S1255=0,100,100-100/(1+R1255/S1255))</f>
        <v>54.9686273192643</v>
      </c>
      <c r="U1255" s="7" t="n">
        <f aca="false">E1255*2/13+U1254*11/13</f>
        <v>21451.1929453926</v>
      </c>
      <c r="V1255" s="7" t="n">
        <f aca="false">E1255*2/27+V1254*25/27</f>
        <v>21255.1661533608</v>
      </c>
      <c r="W1255" s="7" t="n">
        <f aca="false">U1255-V1255</f>
        <v>196.026792031855</v>
      </c>
      <c r="X1255" s="7" t="n">
        <f aca="false">W1255*2/10+X1254*8/10</f>
        <v>252.353865084193</v>
      </c>
      <c r="Y1255" s="7" t="n">
        <f aca="false">W1255-X1255</f>
        <v>-56.3270730523387</v>
      </c>
      <c r="Z1255" s="8" t="s">
        <v>42</v>
      </c>
      <c r="AA1255" s="7" t="str">
        <f aca="false">IFERROR(INDEX(02_轉折點45!B:B,MATCH(A1255,02_轉折點45!A:A,0)),"")</f>
        <v/>
      </c>
      <c r="AB1255" s="7" t="n">
        <f aca="false">COUNTIFS(05_訊號明細!A:A,A1255,05_訊號明細!C:C,"TOP")</f>
        <v>1</v>
      </c>
      <c r="AC1255" s="7" t="n">
        <f aca="false">COUNTIFS(05_訊號明細!A:A,A1255,05_訊號明細!C:C,"BOTTOM")</f>
        <v>0</v>
      </c>
    </row>
    <row r="1256" customFormat="false" ht="15" hidden="false" customHeight="false" outlineLevel="0" collapsed="false">
      <c r="A1256" s="7" t="s">
        <v>1297</v>
      </c>
      <c r="B1256" s="7" t="n">
        <v>21564.37</v>
      </c>
      <c r="C1256" s="7" t="n">
        <v>21797.65</v>
      </c>
      <c r="D1256" s="7" t="n">
        <v>21558.97</v>
      </c>
      <c r="E1256" s="7" t="n">
        <v>21797.65</v>
      </c>
      <c r="F1256" s="7" t="n">
        <v>4739</v>
      </c>
      <c r="G1256" s="7" t="n">
        <f aca="false">AVERAGE(E1252:E1256)</f>
        <v>21381.96</v>
      </c>
      <c r="H1256" s="7" t="n">
        <f aca="false">AVERAGE(E1247:E1256)</f>
        <v>21616.704</v>
      </c>
      <c r="I1256" s="7" t="n">
        <f aca="false">AVERAGE(E1237:E1256)</f>
        <v>21425.3775</v>
      </c>
      <c r="J1256" s="7" t="n">
        <f aca="false">AVERAGE(E1207:E1256)</f>
        <v>20877.6182</v>
      </c>
      <c r="K1256" s="7" t="n">
        <f aca="false">AVERAGE(E1157:E1256)</f>
        <v>20153.0762</v>
      </c>
      <c r="L1256" s="7" t="n">
        <f aca="false">AVERAGE(E1057:E1256)</f>
        <v>19442.3386</v>
      </c>
      <c r="M1256" s="7" t="n">
        <f aca="false">I1256</f>
        <v>21425.3775</v>
      </c>
      <c r="N1256" s="7" t="n">
        <f aca="false">I1256+2*STDEV(E1237:E1256)</f>
        <v>22148.2432091233</v>
      </c>
      <c r="O1256" s="7" t="n">
        <f aca="false">I1256-2*STDEV(E1237:E1256)</f>
        <v>20702.5117908767</v>
      </c>
      <c r="P1256" s="7" t="n">
        <f aca="false">MAX(E1256-E1255,0)</f>
        <v>294.480000000003</v>
      </c>
      <c r="Q1256" s="7" t="n">
        <f aca="false">MAX(E1255-E1256,0)</f>
        <v>0</v>
      </c>
      <c r="R1256" s="7" t="n">
        <f aca="false">(R1255*13+P1256)/14</f>
        <v>125.169427580364</v>
      </c>
      <c r="S1256" s="7" t="n">
        <f aca="false">(S1255*13+Q1256)/14</f>
        <v>85.3095413006472</v>
      </c>
      <c r="T1256" s="7" t="n">
        <f aca="false">IF(S1256=0,100,100-100/(1+R1256/S1256))</f>
        <v>59.468852515676</v>
      </c>
      <c r="U1256" s="7" t="n">
        <f aca="false">E1256*2/13+U1255*11/13</f>
        <v>21504.4940307168</v>
      </c>
      <c r="V1256" s="7" t="n">
        <f aca="false">E1256*2/27+V1255*25/27</f>
        <v>21295.3501420007</v>
      </c>
      <c r="W1256" s="7" t="n">
        <f aca="false">U1256-V1256</f>
        <v>209.143888716124</v>
      </c>
      <c r="X1256" s="7" t="n">
        <f aca="false">W1256*2/10+X1255*8/10</f>
        <v>243.71186981058</v>
      </c>
      <c r="Y1256" s="7" t="n">
        <f aca="false">W1256-X1256</f>
        <v>-34.5679810944556</v>
      </c>
      <c r="Z1256" s="8" t="s">
        <v>42</v>
      </c>
      <c r="AA1256" s="7" t="str">
        <f aca="false">IFERROR(INDEX(02_轉折點45!B:B,MATCH(A1256,02_轉折點45!A:A,0)),"")</f>
        <v/>
      </c>
      <c r="AB1256" s="7" t="n">
        <f aca="false">COUNTIFS(05_訊號明細!A:A,A1256,05_訊號明細!C:C,"TOP")</f>
        <v>0</v>
      </c>
      <c r="AC1256" s="7" t="n">
        <f aca="false">COUNTIFS(05_訊號明細!A:A,A1256,05_訊號明細!C:C,"BOTTOM")</f>
        <v>0</v>
      </c>
    </row>
    <row r="1257" customFormat="false" ht="15" hidden="false" customHeight="false" outlineLevel="0" collapsed="false">
      <c r="A1257" s="7" t="s">
        <v>1298</v>
      </c>
      <c r="B1257" s="7" t="n">
        <v>21733.98</v>
      </c>
      <c r="C1257" s="7" t="n">
        <v>21837.7</v>
      </c>
      <c r="D1257" s="7" t="n">
        <v>21645.62</v>
      </c>
      <c r="E1257" s="7" t="n">
        <v>21768.31</v>
      </c>
      <c r="F1257" s="7" t="n">
        <v>6468</v>
      </c>
      <c r="G1257" s="7" t="n">
        <f aca="false">AVERAGE(E1253:E1257)</f>
        <v>21493.758</v>
      </c>
      <c r="H1257" s="7" t="n">
        <f aca="false">AVERAGE(E1248:E1257)</f>
        <v>21617.137</v>
      </c>
      <c r="I1257" s="7" t="n">
        <f aca="false">AVERAGE(E1238:E1257)</f>
        <v>21467.648</v>
      </c>
      <c r="J1257" s="7" t="n">
        <f aca="false">AVERAGE(E1208:E1257)</f>
        <v>20909.7878</v>
      </c>
      <c r="K1257" s="7" t="n">
        <f aca="false">AVERAGE(E1158:E1257)</f>
        <v>20191.8077</v>
      </c>
      <c r="L1257" s="7" t="n">
        <f aca="false">AVERAGE(E1058:E1257)</f>
        <v>19460.0846</v>
      </c>
      <c r="M1257" s="7" t="n">
        <f aca="false">I1257</f>
        <v>21467.648</v>
      </c>
      <c r="N1257" s="7" t="n">
        <f aca="false">I1257+2*STDEV(E1238:E1257)</f>
        <v>22165.2263097968</v>
      </c>
      <c r="O1257" s="7" t="n">
        <f aca="false">I1257-2*STDEV(E1238:E1257)</f>
        <v>20770.0696902032</v>
      </c>
      <c r="P1257" s="7" t="n">
        <f aca="false">MAX(E1257-E1256,0)</f>
        <v>0</v>
      </c>
      <c r="Q1257" s="7" t="n">
        <f aca="false">MAX(E1256-E1257,0)</f>
        <v>29.3400000000001</v>
      </c>
      <c r="R1257" s="7" t="n">
        <f aca="false">(R1256*13+P1257)/14</f>
        <v>116.228754181767</v>
      </c>
      <c r="S1257" s="7" t="n">
        <f aca="false">(S1256*13+Q1257)/14</f>
        <v>81.3117169220296</v>
      </c>
      <c r="T1257" s="7" t="n">
        <f aca="false">IF(S1257=0,100,100-100/(1+R1257/S1257))</f>
        <v>58.8379452232324</v>
      </c>
      <c r="U1257" s="7" t="n">
        <f aca="false">E1257*2/13+U1256*11/13</f>
        <v>21545.0811029143</v>
      </c>
      <c r="V1257" s="7" t="n">
        <f aca="false">E1257*2/27+V1256*25/27</f>
        <v>21330.3842055562</v>
      </c>
      <c r="W1257" s="7" t="n">
        <f aca="false">U1257-V1257</f>
        <v>214.69689735803</v>
      </c>
      <c r="X1257" s="7" t="n">
        <f aca="false">W1257*2/10+X1256*8/10</f>
        <v>237.90887532007</v>
      </c>
      <c r="Y1257" s="7" t="n">
        <f aca="false">W1257-X1257</f>
        <v>-23.2119779620398</v>
      </c>
      <c r="Z1257" s="8" t="s">
        <v>42</v>
      </c>
      <c r="AA1257" s="7" t="str">
        <f aca="false">IFERROR(INDEX(02_轉折點45!B:B,MATCH(A1257,02_轉折點45!A:A,0)),"")</f>
        <v/>
      </c>
      <c r="AB1257" s="7" t="n">
        <f aca="false">COUNTIFS(05_訊號明細!A:A,A1257,05_訊號明細!C:C,"TOP")</f>
        <v>0</v>
      </c>
      <c r="AC1257" s="7" t="n">
        <f aca="false">COUNTIFS(05_訊號明細!A:A,A1257,05_訊號明細!C:C,"BOTTOM")</f>
        <v>0</v>
      </c>
    </row>
    <row r="1258" customFormat="false" ht="15" hidden="false" customHeight="false" outlineLevel="0" collapsed="false">
      <c r="A1258" s="7" t="s">
        <v>1299</v>
      </c>
      <c r="B1258" s="7" t="n">
        <v>21633.1</v>
      </c>
      <c r="C1258" s="7" t="n">
        <v>21642.26</v>
      </c>
      <c r="D1258" s="7" t="n">
        <v>21292.19</v>
      </c>
      <c r="E1258" s="7" t="n">
        <v>21473.02</v>
      </c>
      <c r="F1258" s="7" t="n">
        <v>7765</v>
      </c>
      <c r="G1258" s="7" t="n">
        <f aca="false">AVERAGE(E1254:E1258)</f>
        <v>21566.26</v>
      </c>
      <c r="H1258" s="7" t="n">
        <f aca="false">AVERAGE(E1249:E1258)</f>
        <v>21602.912</v>
      </c>
      <c r="I1258" s="7" t="n">
        <f aca="false">AVERAGE(E1239:E1258)</f>
        <v>21504.0745</v>
      </c>
      <c r="J1258" s="7" t="n">
        <f aca="false">AVERAGE(E1209:E1258)</f>
        <v>20935.7672</v>
      </c>
      <c r="K1258" s="7" t="n">
        <f aca="false">AVERAGE(E1159:E1258)</f>
        <v>20225.7587</v>
      </c>
      <c r="L1258" s="7" t="n">
        <f aca="false">AVERAGE(E1059:E1258)</f>
        <v>19477.10735</v>
      </c>
      <c r="M1258" s="7" t="n">
        <f aca="false">I1258</f>
        <v>21504.0745</v>
      </c>
      <c r="N1258" s="7" t="n">
        <f aca="false">I1258+2*STDEV(E1239:E1258)</f>
        <v>22113.1215873327</v>
      </c>
      <c r="O1258" s="7" t="n">
        <f aca="false">I1258-2*STDEV(E1239:E1258)</f>
        <v>20895.0274126673</v>
      </c>
      <c r="P1258" s="7" t="n">
        <f aca="false">MAX(E1258-E1257,0)</f>
        <v>0</v>
      </c>
      <c r="Q1258" s="7" t="n">
        <f aca="false">MAX(E1257-E1258,0)</f>
        <v>295.290000000001</v>
      </c>
      <c r="R1258" s="7" t="n">
        <f aca="false">(R1257*13+P1258)/14</f>
        <v>107.926700311641</v>
      </c>
      <c r="S1258" s="7" t="n">
        <f aca="false">(S1257*13+Q1258)/14</f>
        <v>96.5958799990275</v>
      </c>
      <c r="T1258" s="7" t="n">
        <f aca="false">IF(S1258=0,100,100-100/(1+R1258/S1258))</f>
        <v>52.7700658517514</v>
      </c>
      <c r="U1258" s="7" t="n">
        <f aca="false">E1258*2/13+U1257*11/13</f>
        <v>21533.994779389</v>
      </c>
      <c r="V1258" s="7" t="n">
        <f aca="false">E1258*2/27+V1257*25/27</f>
        <v>21340.9498199595</v>
      </c>
      <c r="W1258" s="7" t="n">
        <f aca="false">U1258-V1258</f>
        <v>193.044959429521</v>
      </c>
      <c r="X1258" s="7" t="n">
        <f aca="false">W1258*2/10+X1257*8/10</f>
        <v>228.93609214196</v>
      </c>
      <c r="Y1258" s="7" t="n">
        <f aca="false">W1258-X1258</f>
        <v>-35.8911327124392</v>
      </c>
      <c r="Z1258" s="8" t="s">
        <v>42</v>
      </c>
      <c r="AA1258" s="7" t="str">
        <f aca="false">IFERROR(INDEX(02_轉折點45!B:B,MATCH(A1258,02_轉折點45!A:A,0)),"")</f>
        <v/>
      </c>
      <c r="AB1258" s="7" t="n">
        <f aca="false">COUNTIFS(05_訊號明細!A:A,A1258,05_訊號明細!C:C,"TOP")</f>
        <v>0</v>
      </c>
      <c r="AC1258" s="7" t="n">
        <f aca="false">COUNTIFS(05_訊號明細!A:A,A1258,05_訊號明細!C:C,"BOTTOM")</f>
        <v>0</v>
      </c>
    </row>
    <row r="1259" customFormat="false" ht="15" hidden="false" customHeight="false" outlineLevel="0" collapsed="false">
      <c r="A1259" s="7" t="s">
        <v>1300</v>
      </c>
      <c r="B1259" s="7" t="n">
        <v>21189.1</v>
      </c>
      <c r="C1259" s="7" t="n">
        <v>21346.06</v>
      </c>
      <c r="D1259" s="7" t="n">
        <v>21046.63</v>
      </c>
      <c r="E1259" s="7" t="n">
        <v>21197.09</v>
      </c>
      <c r="F1259" s="7" t="n">
        <v>8384</v>
      </c>
      <c r="G1259" s="7" t="n">
        <f aca="false">AVERAGE(E1255:E1259)</f>
        <v>21547.848</v>
      </c>
      <c r="H1259" s="7" t="n">
        <f aca="false">AVERAGE(E1250:E1259)</f>
        <v>21544.596</v>
      </c>
      <c r="I1259" s="7" t="n">
        <f aca="false">AVERAGE(E1240:E1259)</f>
        <v>21517.4105</v>
      </c>
      <c r="J1259" s="7" t="n">
        <f aca="false">AVERAGE(E1210:E1259)</f>
        <v>20955.9006</v>
      </c>
      <c r="K1259" s="7" t="n">
        <f aca="false">AVERAGE(E1160:E1259)</f>
        <v>20259.0559</v>
      </c>
      <c r="L1259" s="7" t="n">
        <f aca="false">AVERAGE(E1060:E1259)</f>
        <v>19493.01875</v>
      </c>
      <c r="M1259" s="7" t="n">
        <f aca="false">I1259</f>
        <v>21517.4105</v>
      </c>
      <c r="N1259" s="7" t="n">
        <f aca="false">I1259+2*STDEV(E1240:E1259)</f>
        <v>22083.7473601989</v>
      </c>
      <c r="O1259" s="7" t="n">
        <f aca="false">I1259-2*STDEV(E1240:E1259)</f>
        <v>20951.0736398011</v>
      </c>
      <c r="P1259" s="7" t="n">
        <f aca="false">MAX(E1259-E1258,0)</f>
        <v>0</v>
      </c>
      <c r="Q1259" s="7" t="n">
        <f aca="false">MAX(E1258-E1259,0)</f>
        <v>275.93</v>
      </c>
      <c r="R1259" s="7" t="n">
        <f aca="false">(R1258*13+P1259)/14</f>
        <v>100.217650289381</v>
      </c>
      <c r="S1259" s="7" t="n">
        <f aca="false">(S1258*13+Q1259)/14</f>
        <v>109.405459999097</v>
      </c>
      <c r="T1259" s="7" t="n">
        <f aca="false">IF(S1259=0,100,100-100/(1+R1259/S1259))</f>
        <v>47.808493133922</v>
      </c>
      <c r="U1259" s="7" t="n">
        <f aca="false">E1259*2/13+U1258*11/13</f>
        <v>21482.1632748676</v>
      </c>
      <c r="V1259" s="7" t="n">
        <f aca="false">E1259*2/27+V1258*25/27</f>
        <v>21330.2935369995</v>
      </c>
      <c r="W1259" s="7" t="n">
        <f aca="false">U1259-V1259</f>
        <v>151.869737868106</v>
      </c>
      <c r="X1259" s="7" t="n">
        <f aca="false">W1259*2/10+X1258*8/10</f>
        <v>213.522821287189</v>
      </c>
      <c r="Y1259" s="7" t="n">
        <f aca="false">W1259-X1259</f>
        <v>-61.6530834190827</v>
      </c>
      <c r="Z1259" s="8" t="s">
        <v>42</v>
      </c>
      <c r="AA1259" s="7" t="str">
        <f aca="false">IFERROR(INDEX(02_轉折點45!B:B,MATCH(A1259,02_轉折點45!A:A,0)),"")</f>
        <v/>
      </c>
      <c r="AB1259" s="7" t="n">
        <f aca="false">COUNTIFS(05_訊號明細!A:A,A1259,05_訊號明細!C:C,"TOP")</f>
        <v>0</v>
      </c>
      <c r="AC1259" s="7" t="n">
        <f aca="false">COUNTIFS(05_訊號明細!A:A,A1259,05_訊號明細!C:C,"BOTTOM")</f>
        <v>0</v>
      </c>
    </row>
    <row r="1260" customFormat="false" ht="15" hidden="false" customHeight="false" outlineLevel="0" collapsed="false">
      <c r="A1260" s="7" t="s">
        <v>1301</v>
      </c>
      <c r="B1260" s="7" t="n">
        <v>21256.02</v>
      </c>
      <c r="C1260" s="7" t="n">
        <v>21276.14</v>
      </c>
      <c r="D1260" s="7" t="n">
        <v>20979.52</v>
      </c>
      <c r="E1260" s="7" t="n">
        <v>21012.17</v>
      </c>
      <c r="F1260" s="7" t="n">
        <v>8873</v>
      </c>
      <c r="G1260" s="7" t="n">
        <f aca="false">AVERAGE(E1256:E1260)</f>
        <v>21449.648</v>
      </c>
      <c r="H1260" s="7" t="n">
        <f aca="false">AVERAGE(E1251:E1260)</f>
        <v>21436.147</v>
      </c>
      <c r="I1260" s="7" t="n">
        <f aca="false">AVERAGE(E1241:E1260)</f>
        <v>21509.789</v>
      </c>
      <c r="J1260" s="7" t="n">
        <f aca="false">AVERAGE(E1211:E1260)</f>
        <v>20969.6632</v>
      </c>
      <c r="K1260" s="7" t="n">
        <f aca="false">AVERAGE(E1161:E1260)</f>
        <v>20285.0394</v>
      </c>
      <c r="L1260" s="7" t="n">
        <f aca="false">AVERAGE(E1061:E1260)</f>
        <v>19509.03835</v>
      </c>
      <c r="M1260" s="7" t="n">
        <f aca="false">I1260</f>
        <v>21509.789</v>
      </c>
      <c r="N1260" s="7" t="n">
        <f aca="false">I1260+2*STDEV(E1241:E1260)</f>
        <v>22099.7281235284</v>
      </c>
      <c r="O1260" s="7" t="n">
        <f aca="false">I1260-2*STDEV(E1241:E1260)</f>
        <v>20919.8498764716</v>
      </c>
      <c r="P1260" s="7" t="n">
        <f aca="false">MAX(E1260-E1259,0)</f>
        <v>0</v>
      </c>
      <c r="Q1260" s="7" t="n">
        <f aca="false">MAX(E1259-E1260,0)</f>
        <v>184.920000000002</v>
      </c>
      <c r="R1260" s="7" t="n">
        <f aca="false">(R1259*13+P1260)/14</f>
        <v>93.059246697282</v>
      </c>
      <c r="S1260" s="7" t="n">
        <f aca="false">(S1259*13+Q1260)/14</f>
        <v>114.799355713447</v>
      </c>
      <c r="T1260" s="7" t="n">
        <f aca="false">IF(S1260=0,100,100-100/(1+R1260/S1260))</f>
        <v>44.7704572329398</v>
      </c>
      <c r="U1260" s="7" t="n">
        <f aca="false">E1260*2/13+U1259*11/13</f>
        <v>21409.8566171957</v>
      </c>
      <c r="V1260" s="7" t="n">
        <f aca="false">E1260*2/27+V1259*25/27</f>
        <v>21306.7288305551</v>
      </c>
      <c r="W1260" s="7" t="n">
        <f aca="false">U1260-V1260</f>
        <v>103.127786640576</v>
      </c>
      <c r="X1260" s="7" t="n">
        <f aca="false">W1260*2/10+X1259*8/10</f>
        <v>191.443814357866</v>
      </c>
      <c r="Y1260" s="7" t="n">
        <f aca="false">W1260-X1260</f>
        <v>-88.3160277172902</v>
      </c>
      <c r="Z1260" s="8" t="s">
        <v>42</v>
      </c>
      <c r="AA1260" s="7" t="str">
        <f aca="false">IFERROR(INDEX(02_轉折點45!B:B,MATCH(A1260,02_轉折點45!A:A,0)),"")</f>
        <v/>
      </c>
      <c r="AB1260" s="7" t="n">
        <f aca="false">COUNTIFS(05_訊號明細!A:A,A1260,05_訊號明細!C:C,"TOP")</f>
        <v>0</v>
      </c>
      <c r="AC1260" s="7" t="n">
        <f aca="false">COUNTIFS(05_訊號明細!A:A,A1260,05_訊號明細!C:C,"BOTTOM")</f>
        <v>0</v>
      </c>
    </row>
    <row r="1261" customFormat="false" ht="15" hidden="false" customHeight="false" outlineLevel="0" collapsed="false">
      <c r="A1261" s="7" t="s">
        <v>1302</v>
      </c>
      <c r="B1261" s="7" t="n">
        <v>21120.05</v>
      </c>
      <c r="C1261" s="7" t="n">
        <v>21236.59</v>
      </c>
      <c r="D1261" s="7" t="n">
        <v>20800.5</v>
      </c>
      <c r="E1261" s="7" t="n">
        <v>20975.62</v>
      </c>
      <c r="F1261" s="7" t="n">
        <v>8738</v>
      </c>
      <c r="G1261" s="7" t="n">
        <f aca="false">AVERAGE(E1257:E1261)</f>
        <v>21285.242</v>
      </c>
      <c r="H1261" s="7" t="n">
        <f aca="false">AVERAGE(E1252:E1261)</f>
        <v>21333.601</v>
      </c>
      <c r="I1261" s="7" t="n">
        <f aca="false">AVERAGE(E1242:E1261)</f>
        <v>21497.104</v>
      </c>
      <c r="J1261" s="7" t="n">
        <f aca="false">AVERAGE(E1212:E1261)</f>
        <v>20981.9462</v>
      </c>
      <c r="K1261" s="7" t="n">
        <f aca="false">AVERAGE(E1162:E1261)</f>
        <v>20309.6646</v>
      </c>
      <c r="L1261" s="7" t="n">
        <f aca="false">AVERAGE(E1062:E1261)</f>
        <v>19523.9914</v>
      </c>
      <c r="M1261" s="7" t="n">
        <f aca="false">I1261</f>
        <v>21497.104</v>
      </c>
      <c r="N1261" s="7" t="n">
        <f aca="false">I1261+2*STDEV(E1242:E1261)</f>
        <v>22122.2926925401</v>
      </c>
      <c r="O1261" s="7" t="n">
        <f aca="false">I1261-2*STDEV(E1242:E1261)</f>
        <v>20871.9153074599</v>
      </c>
      <c r="P1261" s="7" t="n">
        <f aca="false">MAX(E1261-E1260,0)</f>
        <v>0</v>
      </c>
      <c r="Q1261" s="7" t="n">
        <f aca="false">MAX(E1260-E1261,0)</f>
        <v>36.5499999999993</v>
      </c>
      <c r="R1261" s="7" t="n">
        <f aca="false">(R1260*13+P1261)/14</f>
        <v>86.4121576474762</v>
      </c>
      <c r="S1261" s="7" t="n">
        <f aca="false">(S1260*13+Q1261)/14</f>
        <v>109.21011601963</v>
      </c>
      <c r="T1261" s="7" t="n">
        <f aca="false">IF(S1261=0,100,100-100/(1+R1261/S1261))</f>
        <v>44.1729645748446</v>
      </c>
      <c r="U1261" s="7" t="n">
        <f aca="false">E1261*2/13+U1260*11/13</f>
        <v>21343.0509837809</v>
      </c>
      <c r="V1261" s="7" t="n">
        <f aca="false">E1261*2/27+V1260*25/27</f>
        <v>21282.202250514</v>
      </c>
      <c r="W1261" s="7" t="n">
        <f aca="false">U1261-V1261</f>
        <v>60.8487332669756</v>
      </c>
      <c r="X1261" s="7" t="n">
        <f aca="false">W1261*2/10+X1260*8/10</f>
        <v>165.324798139688</v>
      </c>
      <c r="Y1261" s="7" t="n">
        <f aca="false">W1261-X1261</f>
        <v>-104.476064872713</v>
      </c>
      <c r="Z1261" s="8" t="s">
        <v>42</v>
      </c>
      <c r="AA1261" s="7" t="str">
        <f aca="false">IFERROR(INDEX(02_轉折點45!B:B,MATCH(A1261,02_轉折點45!A:A,0)),"")</f>
        <v/>
      </c>
      <c r="AB1261" s="7" t="n">
        <f aca="false">COUNTIFS(05_訊號明細!A:A,A1261,05_訊號明細!C:C,"TOP")</f>
        <v>0</v>
      </c>
      <c r="AC1261" s="7" t="n">
        <f aca="false">COUNTIFS(05_訊號明細!A:A,A1261,05_訊號明細!C:C,"BOTTOM")</f>
        <v>0</v>
      </c>
    </row>
    <row r="1262" customFormat="false" ht="15" hidden="false" customHeight="false" outlineLevel="0" collapsed="false">
      <c r="A1262" s="7" t="s">
        <v>1303</v>
      </c>
      <c r="B1262" s="7" t="n">
        <v>21096.79</v>
      </c>
      <c r="C1262" s="7" t="n">
        <v>21359.63</v>
      </c>
      <c r="D1262" s="7" t="n">
        <v>21075.89</v>
      </c>
      <c r="E1262" s="7" t="n">
        <v>21326.16</v>
      </c>
      <c r="F1262" s="7" t="n">
        <v>8214</v>
      </c>
      <c r="G1262" s="7" t="n">
        <f aca="false">AVERAGE(E1258:E1262)</f>
        <v>21196.812</v>
      </c>
      <c r="H1262" s="7" t="n">
        <f aca="false">AVERAGE(E1253:E1262)</f>
        <v>21345.285</v>
      </c>
      <c r="I1262" s="7" t="n">
        <f aca="false">AVERAGE(E1243:E1262)</f>
        <v>21488.794</v>
      </c>
      <c r="J1262" s="7" t="n">
        <f aca="false">AVERAGE(E1213:E1262)</f>
        <v>21000.6602</v>
      </c>
      <c r="K1262" s="7" t="n">
        <f aca="false">AVERAGE(E1163:E1262)</f>
        <v>20337.5059</v>
      </c>
      <c r="L1262" s="7" t="n">
        <f aca="false">AVERAGE(E1063:E1262)</f>
        <v>19540.4612</v>
      </c>
      <c r="M1262" s="7" t="n">
        <f aca="false">I1262</f>
        <v>21488.794</v>
      </c>
      <c r="N1262" s="7" t="n">
        <f aca="false">I1262+2*STDEV(E1243:E1262)</f>
        <v>22118.6490384067</v>
      </c>
      <c r="O1262" s="7" t="n">
        <f aca="false">I1262-2*STDEV(E1243:E1262)</f>
        <v>20858.9389615933</v>
      </c>
      <c r="P1262" s="7" t="n">
        <f aca="false">MAX(E1262-E1261,0)</f>
        <v>350.540000000001</v>
      </c>
      <c r="Q1262" s="7" t="n">
        <f aca="false">MAX(E1261-E1262,0)</f>
        <v>0</v>
      </c>
      <c r="R1262" s="7" t="n">
        <f aca="false">(R1261*13+P1262)/14</f>
        <v>105.278432101228</v>
      </c>
      <c r="S1262" s="7" t="n">
        <f aca="false">(S1261*13+Q1262)/14</f>
        <v>101.409393446799</v>
      </c>
      <c r="T1262" s="7" t="n">
        <f aca="false">IF(S1262=0,100,100-100/(1+R1262/S1262))</f>
        <v>50.9359619136179</v>
      </c>
      <c r="U1262" s="7" t="n">
        <f aca="false">E1262*2/13+U1261*11/13</f>
        <v>21340.4523708916</v>
      </c>
      <c r="V1262" s="7" t="n">
        <f aca="false">E1262*2/27+V1261*25/27</f>
        <v>21285.4583801055</v>
      </c>
      <c r="W1262" s="7" t="n">
        <f aca="false">U1262-V1262</f>
        <v>54.9939907860426</v>
      </c>
      <c r="X1262" s="7" t="n">
        <f aca="false">W1262*2/10+X1261*8/10</f>
        <v>143.258636668959</v>
      </c>
      <c r="Y1262" s="7" t="n">
        <f aca="false">W1262-X1262</f>
        <v>-88.2646458829166</v>
      </c>
      <c r="Z1262" s="8" t="s">
        <v>42</v>
      </c>
      <c r="AA1262" s="7" t="str">
        <f aca="false">IFERROR(INDEX(02_轉折點45!B:B,MATCH(A1262,02_轉折點45!A:A,0)),"")</f>
        <v/>
      </c>
      <c r="AB1262" s="7" t="n">
        <f aca="false">COUNTIFS(05_訊號明細!A:A,A1262,05_訊號明細!C:C,"TOP")</f>
        <v>2</v>
      </c>
      <c r="AC1262" s="7" t="n">
        <f aca="false">COUNTIFS(05_訊號明細!A:A,A1262,05_訊號明細!C:C,"BOTTOM")</f>
        <v>0</v>
      </c>
    </row>
    <row r="1263" customFormat="false" ht="15" hidden="false" customHeight="false" outlineLevel="0" collapsed="false">
      <c r="A1263" s="7" t="s">
        <v>1304</v>
      </c>
      <c r="B1263" s="7" t="n">
        <v>21551.18</v>
      </c>
      <c r="C1263" s="7" t="n">
        <v>21703.49</v>
      </c>
      <c r="D1263" s="7" t="n">
        <v>21462.52</v>
      </c>
      <c r="E1263" s="7" t="n">
        <v>21559.5</v>
      </c>
      <c r="F1263" s="7" t="n">
        <v>9587</v>
      </c>
      <c r="G1263" s="7" t="n">
        <f aca="false">AVERAGE(E1259:E1263)</f>
        <v>21214.108</v>
      </c>
      <c r="H1263" s="7" t="n">
        <f aca="false">AVERAGE(E1254:E1263)</f>
        <v>21390.184</v>
      </c>
      <c r="I1263" s="7" t="n">
        <f aca="false">AVERAGE(E1244:E1263)</f>
        <v>21495.508</v>
      </c>
      <c r="J1263" s="7" t="n">
        <f aca="false">AVERAGE(E1214:E1263)</f>
        <v>21030.511</v>
      </c>
      <c r="K1263" s="7" t="n">
        <f aca="false">AVERAGE(E1164:E1263)</f>
        <v>20363.0366</v>
      </c>
      <c r="L1263" s="7" t="n">
        <f aca="false">AVERAGE(E1064:E1263)</f>
        <v>19557.05815</v>
      </c>
      <c r="M1263" s="7" t="n">
        <f aca="false">I1263</f>
        <v>21495.508</v>
      </c>
      <c r="N1263" s="7" t="n">
        <f aca="false">I1263+2*STDEV(E1244:E1263)</f>
        <v>22125.372418781</v>
      </c>
      <c r="O1263" s="7" t="n">
        <f aca="false">I1263-2*STDEV(E1244:E1263)</f>
        <v>20865.643581219</v>
      </c>
      <c r="P1263" s="7" t="n">
        <f aca="false">MAX(E1263-E1262,0)</f>
        <v>233.34</v>
      </c>
      <c r="Q1263" s="7" t="n">
        <f aca="false">MAX(E1262-E1263,0)</f>
        <v>0</v>
      </c>
      <c r="R1263" s="7" t="n">
        <f aca="false">(R1262*13+P1263)/14</f>
        <v>114.42568695114</v>
      </c>
      <c r="S1263" s="7" t="n">
        <f aca="false">(S1262*13+Q1263)/14</f>
        <v>94.1658653434562</v>
      </c>
      <c r="T1263" s="7" t="n">
        <f aca="false">IF(S1263=0,100,100-100/(1+R1263/S1263))</f>
        <v>54.8563379927944</v>
      </c>
      <c r="U1263" s="7" t="n">
        <f aca="false">E1263*2/13+U1262*11/13</f>
        <v>21374.152006139</v>
      </c>
      <c r="V1263" s="7" t="n">
        <f aca="false">E1263*2/27+V1262*25/27</f>
        <v>21305.757759357</v>
      </c>
      <c r="W1263" s="7" t="n">
        <f aca="false">U1263-V1263</f>
        <v>68.3942467820489</v>
      </c>
      <c r="X1263" s="7" t="n">
        <f aca="false">W1263*2/10+X1262*8/10</f>
        <v>128.285758691577</v>
      </c>
      <c r="Y1263" s="7" t="n">
        <f aca="false">W1263-X1263</f>
        <v>-59.8915119095282</v>
      </c>
      <c r="Z1263" s="8" t="s">
        <v>42</v>
      </c>
      <c r="AA1263" s="7" t="str">
        <f aca="false">IFERROR(INDEX(02_轉折點45!B:B,MATCH(A1263,02_轉折點45!A:A,0)),"")</f>
        <v/>
      </c>
      <c r="AB1263" s="7" t="n">
        <f aca="false">COUNTIFS(05_訊號明細!A:A,A1263,05_訊號明細!C:C,"TOP")</f>
        <v>0</v>
      </c>
      <c r="AC1263" s="7" t="n">
        <f aca="false">COUNTIFS(05_訊號明細!A:A,A1263,05_訊號明細!C:C,"BOTTOM")</f>
        <v>0</v>
      </c>
    </row>
    <row r="1264" customFormat="false" ht="15" hidden="false" customHeight="false" outlineLevel="0" collapsed="false">
      <c r="A1264" s="7" t="s">
        <v>1305</v>
      </c>
      <c r="B1264" s="7" t="n">
        <v>21619.89</v>
      </c>
      <c r="C1264" s="7" t="n">
        <v>21621.25</v>
      </c>
      <c r="D1264" s="7" t="n">
        <v>21101.09</v>
      </c>
      <c r="E1264" s="7" t="n">
        <v>21173.04</v>
      </c>
      <c r="F1264" s="7" t="n">
        <v>13371</v>
      </c>
      <c r="G1264" s="7" t="n">
        <f aca="false">AVERAGE(E1260:E1264)</f>
        <v>21209.298</v>
      </c>
      <c r="H1264" s="7" t="n">
        <f aca="false">AVERAGE(E1255:E1264)</f>
        <v>21378.573</v>
      </c>
      <c r="I1264" s="7" t="n">
        <f aca="false">AVERAGE(E1245:E1264)</f>
        <v>21473.0475</v>
      </c>
      <c r="J1264" s="7" t="n">
        <f aca="false">AVERAGE(E1215:E1264)</f>
        <v>21049.3144</v>
      </c>
      <c r="K1264" s="7" t="n">
        <f aca="false">AVERAGE(E1165:E1264)</f>
        <v>20384.5402</v>
      </c>
      <c r="L1264" s="7" t="n">
        <f aca="false">AVERAGE(E1065:E1264)</f>
        <v>19571.32145</v>
      </c>
      <c r="M1264" s="7" t="n">
        <f aca="false">I1264</f>
        <v>21473.0475</v>
      </c>
      <c r="N1264" s="7" t="n">
        <f aca="false">I1264+2*STDEV(E1245:E1264)</f>
        <v>22115.7877240203</v>
      </c>
      <c r="O1264" s="7" t="n">
        <f aca="false">I1264-2*STDEV(E1245:E1264)</f>
        <v>20830.3072759797</v>
      </c>
      <c r="P1264" s="7" t="n">
        <f aca="false">MAX(E1264-E1263,0)</f>
        <v>0</v>
      </c>
      <c r="Q1264" s="7" t="n">
        <f aca="false">MAX(E1263-E1264,0)</f>
        <v>386.459999999999</v>
      </c>
      <c r="R1264" s="7" t="n">
        <f aca="false">(R1263*13+P1264)/14</f>
        <v>106.252423597487</v>
      </c>
      <c r="S1264" s="7" t="n">
        <f aca="false">(S1263*13+Q1264)/14</f>
        <v>115.044017818924</v>
      </c>
      <c r="T1264" s="7" t="n">
        <f aca="false">IF(S1264=0,100,100-100/(1+R1264/S1264))</f>
        <v>48.0136159973551</v>
      </c>
      <c r="U1264" s="7" t="n">
        <f aca="false">E1264*2/13+U1263*11/13</f>
        <v>21343.2116975022</v>
      </c>
      <c r="V1264" s="7" t="n">
        <f aca="false">E1264*2/27+V1263*25/27</f>
        <v>21295.9268142194</v>
      </c>
      <c r="W1264" s="7" t="n">
        <f aca="false">U1264-V1264</f>
        <v>47.2848832828313</v>
      </c>
      <c r="X1264" s="7" t="n">
        <f aca="false">W1264*2/10+X1263*8/10</f>
        <v>112.085583609828</v>
      </c>
      <c r="Y1264" s="7" t="n">
        <f aca="false">W1264-X1264</f>
        <v>-64.8007003269966</v>
      </c>
      <c r="Z1264" s="8" t="s">
        <v>42</v>
      </c>
      <c r="AA1264" s="7" t="str">
        <f aca="false">IFERROR(INDEX(02_轉折點45!B:B,MATCH(A1264,02_轉折點45!A:A,0)),"")</f>
        <v/>
      </c>
      <c r="AB1264" s="7" t="n">
        <f aca="false">COUNTIFS(05_訊號明細!A:A,A1264,05_訊號明細!C:C,"TOP")</f>
        <v>0</v>
      </c>
      <c r="AC1264" s="7" t="n">
        <f aca="false">COUNTIFS(05_訊號明細!A:A,A1264,05_訊號明細!C:C,"BOTTOM")</f>
        <v>0</v>
      </c>
    </row>
    <row r="1265" customFormat="false" ht="15" hidden="false" customHeight="false" outlineLevel="0" collapsed="false">
      <c r="A1265" s="7" t="s">
        <v>1306</v>
      </c>
      <c r="B1265" s="7" t="n">
        <v>21156.76</v>
      </c>
      <c r="C1265" s="7" t="n">
        <v>21242.61</v>
      </c>
      <c r="D1265" s="7" t="n">
        <v>20992.08</v>
      </c>
      <c r="E1265" s="7" t="n">
        <v>21180.97</v>
      </c>
      <c r="F1265" s="7" t="n">
        <v>8852</v>
      </c>
      <c r="G1265" s="7" t="n">
        <f aca="false">AVERAGE(E1261:E1265)</f>
        <v>21243.058</v>
      </c>
      <c r="H1265" s="7" t="n">
        <f aca="false">AVERAGE(E1256:E1265)</f>
        <v>21346.353</v>
      </c>
      <c r="I1265" s="7" t="n">
        <f aca="false">AVERAGE(E1246:E1265)</f>
        <v>21460.055</v>
      </c>
      <c r="J1265" s="7" t="n">
        <f aca="false">AVERAGE(E1216:E1265)</f>
        <v>21065.8934</v>
      </c>
      <c r="K1265" s="7" t="n">
        <f aca="false">AVERAGE(E1166:E1265)</f>
        <v>20401.4484</v>
      </c>
      <c r="L1265" s="7" t="n">
        <f aca="false">AVERAGE(E1066:E1265)</f>
        <v>19585.5291</v>
      </c>
      <c r="M1265" s="7" t="n">
        <f aca="false">I1265</f>
        <v>21460.055</v>
      </c>
      <c r="N1265" s="7" t="n">
        <f aca="false">I1265+2*STDEV(E1246:E1265)</f>
        <v>22115.9097307221</v>
      </c>
      <c r="O1265" s="7" t="n">
        <f aca="false">I1265-2*STDEV(E1246:E1265)</f>
        <v>20804.2002692779</v>
      </c>
      <c r="P1265" s="7" t="n">
        <f aca="false">MAX(E1265-E1264,0)</f>
        <v>7.93000000000029</v>
      </c>
      <c r="Q1265" s="7" t="n">
        <f aca="false">MAX(E1264-E1265,0)</f>
        <v>0</v>
      </c>
      <c r="R1265" s="7" t="n">
        <f aca="false">(R1264*13+P1265)/14</f>
        <v>99.229393340524</v>
      </c>
      <c r="S1265" s="7" t="n">
        <f aca="false">(S1264*13+Q1265)/14</f>
        <v>106.826587974715</v>
      </c>
      <c r="T1265" s="7" t="n">
        <f aca="false">IF(S1265=0,100,100-100/(1+R1265/S1265))</f>
        <v>48.1565216923822</v>
      </c>
      <c r="U1265" s="7" t="n">
        <f aca="false">E1265*2/13+U1264*11/13</f>
        <v>21318.2514363481</v>
      </c>
      <c r="V1265" s="7" t="n">
        <f aca="false">E1265*2/27+V1264*25/27</f>
        <v>21287.4114946476</v>
      </c>
      <c r="W1265" s="7" t="n">
        <f aca="false">U1265-V1265</f>
        <v>30.8399417004475</v>
      </c>
      <c r="X1265" s="7" t="n">
        <f aca="false">W1265*2/10+X1264*8/10</f>
        <v>95.8364552279518</v>
      </c>
      <c r="Y1265" s="7" t="n">
        <f aca="false">W1265-X1265</f>
        <v>-64.9965135275043</v>
      </c>
      <c r="Z1265" s="8" t="s">
        <v>42</v>
      </c>
      <c r="AA1265" s="7" t="str">
        <f aca="false">IFERROR(INDEX(02_轉折點45!B:B,MATCH(A1265,02_轉折點45!A:A,0)),"")</f>
        <v/>
      </c>
      <c r="AB1265" s="7" t="n">
        <f aca="false">COUNTIFS(05_訊號明細!A:A,A1265,05_訊號明細!C:C,"TOP")</f>
        <v>0</v>
      </c>
      <c r="AC1265" s="7" t="n">
        <f aca="false">COUNTIFS(05_訊號明細!A:A,A1265,05_訊號明細!C:C,"BOTTOM")</f>
        <v>0</v>
      </c>
    </row>
    <row r="1266" customFormat="false" ht="15" hidden="false" customHeight="false" outlineLevel="0" collapsed="false">
      <c r="A1266" s="7" t="s">
        <v>1307</v>
      </c>
      <c r="B1266" s="7" t="n">
        <v>21012.29</v>
      </c>
      <c r="C1266" s="7" t="n">
        <v>21015.51</v>
      </c>
      <c r="D1266" s="7" t="n">
        <v>20718.78</v>
      </c>
      <c r="E1266" s="7" t="n">
        <v>20847.58</v>
      </c>
      <c r="F1266" s="7" t="n">
        <v>8609</v>
      </c>
      <c r="G1266" s="7" t="n">
        <f aca="false">AVERAGE(E1262:E1266)</f>
        <v>21217.45</v>
      </c>
      <c r="H1266" s="7" t="n">
        <f aca="false">AVERAGE(E1257:E1266)</f>
        <v>21251.346</v>
      </c>
      <c r="I1266" s="7" t="n">
        <f aca="false">AVERAGE(E1247:E1266)</f>
        <v>21434.025</v>
      </c>
      <c r="J1266" s="7" t="n">
        <f aca="false">AVERAGE(E1217:E1266)</f>
        <v>21075.8236</v>
      </c>
      <c r="K1266" s="7" t="n">
        <f aca="false">AVERAGE(E1167:E1266)</f>
        <v>20414.839</v>
      </c>
      <c r="L1266" s="7" t="n">
        <f aca="false">AVERAGE(E1067:E1266)</f>
        <v>19598.3817</v>
      </c>
      <c r="M1266" s="7" t="n">
        <f aca="false">I1266</f>
        <v>21434.025</v>
      </c>
      <c r="N1266" s="7" t="n">
        <f aca="false">I1266+2*STDEV(E1247:E1266)</f>
        <v>22144.2991018864</v>
      </c>
      <c r="O1266" s="7" t="n">
        <f aca="false">I1266-2*STDEV(E1247:E1266)</f>
        <v>20723.7508981136</v>
      </c>
      <c r="P1266" s="7" t="n">
        <f aca="false">MAX(E1266-E1265,0)</f>
        <v>0</v>
      </c>
      <c r="Q1266" s="7" t="n">
        <f aca="false">MAX(E1265-E1266,0)</f>
        <v>333.389999999999</v>
      </c>
      <c r="R1266" s="7" t="n">
        <f aca="false">(R1265*13+P1266)/14</f>
        <v>92.1415795304866</v>
      </c>
      <c r="S1266" s="7" t="n">
        <f aca="false">(S1265*13+Q1266)/14</f>
        <v>123.009688833664</v>
      </c>
      <c r="T1266" s="7" t="n">
        <f aca="false">IF(S1266=0,100,100-100/(1+R1266/S1266))</f>
        <v>42.8264170743972</v>
      </c>
      <c r="U1266" s="7" t="n">
        <f aca="false">E1266*2/13+U1265*11/13</f>
        <v>21245.8404461407</v>
      </c>
      <c r="V1266" s="7" t="n">
        <f aca="false">E1266*2/27+V1265*25/27</f>
        <v>21254.831383933</v>
      </c>
      <c r="W1266" s="7" t="n">
        <f aca="false">U1266-V1266</f>
        <v>-8.99093779231043</v>
      </c>
      <c r="X1266" s="7" t="n">
        <f aca="false">W1266*2/10+X1265*8/10</f>
        <v>74.8709766238994</v>
      </c>
      <c r="Y1266" s="7" t="n">
        <f aca="false">W1266-X1266</f>
        <v>-83.8619144162098</v>
      </c>
      <c r="Z1266" s="8" t="s">
        <v>42</v>
      </c>
      <c r="AA1266" s="7" t="str">
        <f aca="false">IFERROR(INDEX(02_轉折點45!B:B,MATCH(A1266,02_轉折點45!A:A,0)),"")</f>
        <v/>
      </c>
      <c r="AB1266" s="7" t="n">
        <f aca="false">COUNTIFS(05_訊號明細!A:A,A1266,05_訊號明細!C:C,"TOP")</f>
        <v>1</v>
      </c>
      <c r="AC1266" s="7" t="n">
        <f aca="false">COUNTIFS(05_訊號明細!A:A,A1266,05_訊號明細!C:C,"BOTTOM")</f>
        <v>0</v>
      </c>
    </row>
    <row r="1267" customFormat="false" ht="15" hidden="false" customHeight="false" outlineLevel="0" collapsed="false">
      <c r="A1267" s="7" t="s">
        <v>1308</v>
      </c>
      <c r="B1267" s="7" t="n">
        <v>20593.65</v>
      </c>
      <c r="C1267" s="7" t="n">
        <v>20797.1</v>
      </c>
      <c r="D1267" s="7" t="n">
        <v>20538.33</v>
      </c>
      <c r="E1267" s="7" t="n">
        <v>20784.72</v>
      </c>
      <c r="F1267" s="7" t="n">
        <v>7831</v>
      </c>
      <c r="G1267" s="7" t="n">
        <f aca="false">AVERAGE(E1263:E1267)</f>
        <v>21109.162</v>
      </c>
      <c r="H1267" s="7" t="n">
        <f aca="false">AVERAGE(E1258:E1267)</f>
        <v>21152.987</v>
      </c>
      <c r="I1267" s="7" t="n">
        <f aca="false">AVERAGE(E1248:E1267)</f>
        <v>21385.062</v>
      </c>
      <c r="J1267" s="7" t="n">
        <f aca="false">AVERAGE(E1218:E1267)</f>
        <v>21080.505</v>
      </c>
      <c r="K1267" s="7" t="n">
        <f aca="false">AVERAGE(E1168:E1267)</f>
        <v>20425.0213</v>
      </c>
      <c r="L1267" s="7" t="n">
        <f aca="false">AVERAGE(E1068:E1267)</f>
        <v>19611.2526</v>
      </c>
      <c r="M1267" s="7" t="n">
        <f aca="false">I1267</f>
        <v>21385.062</v>
      </c>
      <c r="N1267" s="7" t="n">
        <f aca="false">I1267+2*STDEV(E1248:E1267)</f>
        <v>22133.5486623598</v>
      </c>
      <c r="O1267" s="7" t="n">
        <f aca="false">I1267-2*STDEV(E1248:E1267)</f>
        <v>20636.5753376402</v>
      </c>
      <c r="P1267" s="7" t="n">
        <f aca="false">MAX(E1267-E1266,0)</f>
        <v>0</v>
      </c>
      <c r="Q1267" s="7" t="n">
        <f aca="false">MAX(E1266-E1267,0)</f>
        <v>62.8600000000006</v>
      </c>
      <c r="R1267" s="7" t="n">
        <f aca="false">(R1266*13+P1267)/14</f>
        <v>85.5600381354518</v>
      </c>
      <c r="S1267" s="7" t="n">
        <f aca="false">(S1266*13+Q1267)/14</f>
        <v>118.713282488402</v>
      </c>
      <c r="T1267" s="7" t="n">
        <f aca="false">IF(S1267=0,100,100-100/(1+R1267/S1267))</f>
        <v>41.8850772455993</v>
      </c>
      <c r="U1267" s="7" t="n">
        <f aca="false">E1267*2/13+U1266*11/13</f>
        <v>21174.8988390421</v>
      </c>
      <c r="V1267" s="7" t="n">
        <f aca="false">E1267*2/27+V1266*25/27</f>
        <v>21220.0083184565</v>
      </c>
      <c r="W1267" s="7" t="n">
        <f aca="false">U1267-V1267</f>
        <v>-45.109479414361</v>
      </c>
      <c r="X1267" s="7" t="n">
        <f aca="false">W1267*2/10+X1266*8/10</f>
        <v>50.8748854162473</v>
      </c>
      <c r="Y1267" s="7" t="n">
        <f aca="false">W1267-X1267</f>
        <v>-95.9843648306083</v>
      </c>
      <c r="Z1267" s="8" t="s">
        <v>42</v>
      </c>
      <c r="AA1267" s="7" t="str">
        <f aca="false">IFERROR(INDEX(02_轉折點45!B:B,MATCH(A1267,02_轉折點45!A:A,0)),"")</f>
        <v/>
      </c>
      <c r="AB1267" s="7" t="n">
        <f aca="false">COUNTIFS(05_訊號明細!A:A,A1267,05_訊號明細!C:C,"TOP")</f>
        <v>0</v>
      </c>
      <c r="AC1267" s="7" t="n">
        <f aca="false">COUNTIFS(05_訊號明細!A:A,A1267,05_訊號明細!C:C,"BOTTOM")</f>
        <v>0</v>
      </c>
    </row>
    <row r="1268" customFormat="false" ht="15" hidden="false" customHeight="false" outlineLevel="0" collapsed="false">
      <c r="A1268" s="7" t="s">
        <v>1309</v>
      </c>
      <c r="B1268" s="7" t="n">
        <v>20896.36</v>
      </c>
      <c r="C1268" s="7" t="n">
        <v>20969.52</v>
      </c>
      <c r="D1268" s="7" t="n">
        <v>20622.72</v>
      </c>
      <c r="E1268" s="7" t="n">
        <v>20757.41</v>
      </c>
      <c r="F1268" s="7" t="n">
        <v>7168</v>
      </c>
      <c r="G1268" s="7" t="n">
        <f aca="false">AVERAGE(E1264:E1268)</f>
        <v>20948.744</v>
      </c>
      <c r="H1268" s="7" t="n">
        <f aca="false">AVERAGE(E1259:E1268)</f>
        <v>21081.426</v>
      </c>
      <c r="I1268" s="7" t="n">
        <f aca="false">AVERAGE(E1249:E1268)</f>
        <v>21342.169</v>
      </c>
      <c r="J1268" s="7" t="n">
        <f aca="false">AVERAGE(E1219:E1268)</f>
        <v>21087.8992</v>
      </c>
      <c r="K1268" s="7" t="n">
        <f aca="false">AVERAGE(E1169:E1268)</f>
        <v>20435.3972</v>
      </c>
      <c r="L1268" s="7" t="n">
        <f aca="false">AVERAGE(E1069:E1268)</f>
        <v>19623.63545</v>
      </c>
      <c r="M1268" s="7" t="n">
        <f aca="false">I1268</f>
        <v>21342.169</v>
      </c>
      <c r="N1268" s="7" t="n">
        <f aca="false">I1268+2*STDEV(E1249:E1268)</f>
        <v>22132.2733859856</v>
      </c>
      <c r="O1268" s="7" t="n">
        <f aca="false">I1268-2*STDEV(E1249:E1268)</f>
        <v>20552.0646140144</v>
      </c>
      <c r="P1268" s="7" t="n">
        <f aca="false">MAX(E1268-E1267,0)</f>
        <v>0</v>
      </c>
      <c r="Q1268" s="7" t="n">
        <f aca="false">MAX(E1267-E1268,0)</f>
        <v>27.3100000000013</v>
      </c>
      <c r="R1268" s="7" t="n">
        <f aca="false">(R1267*13+P1268)/14</f>
        <v>79.4486068400624</v>
      </c>
      <c r="S1268" s="7" t="n">
        <f aca="false">(S1267*13+Q1268)/14</f>
        <v>112.184476596373</v>
      </c>
      <c r="T1268" s="7" t="n">
        <f aca="false">IF(S1268=0,100,100-100/(1+R1268/S1268))</f>
        <v>41.4587113119303</v>
      </c>
      <c r="U1268" s="7" t="n">
        <f aca="false">E1268*2/13+U1267*11/13</f>
        <v>21110.6697868818</v>
      </c>
      <c r="V1268" s="7" t="n">
        <f aca="false">E1268*2/27+V1267*25/27</f>
        <v>21185.7417763486</v>
      </c>
      <c r="W1268" s="7" t="n">
        <f aca="false">U1268-V1268</f>
        <v>-75.0719894668</v>
      </c>
      <c r="X1268" s="7" t="n">
        <f aca="false">W1268*2/10+X1267*8/10</f>
        <v>25.6855104396379</v>
      </c>
      <c r="Y1268" s="7" t="n">
        <f aca="false">W1268-X1268</f>
        <v>-100.757499906438</v>
      </c>
      <c r="Z1268" s="8" t="s">
        <v>42</v>
      </c>
      <c r="AA1268" s="7" t="str">
        <f aca="false">IFERROR(INDEX(02_轉折點45!B:B,MATCH(A1268,02_轉折點45!A:A,0)),"")</f>
        <v/>
      </c>
      <c r="AB1268" s="7" t="n">
        <f aca="false">COUNTIFS(05_訊號明細!A:A,A1268,05_訊號明細!C:C,"TOP")</f>
        <v>1</v>
      </c>
      <c r="AC1268" s="7" t="n">
        <f aca="false">COUNTIFS(05_訊號明細!A:A,A1268,05_訊號明細!C:C,"BOTTOM")</f>
        <v>0</v>
      </c>
    </row>
    <row r="1269" customFormat="false" ht="15" hidden="false" customHeight="false" outlineLevel="0" collapsed="false">
      <c r="A1269" s="7" t="s">
        <v>1310</v>
      </c>
      <c r="B1269" s="7" t="n">
        <v>21067.81</v>
      </c>
      <c r="C1269" s="7" t="n">
        <v>21286.01</v>
      </c>
      <c r="D1269" s="7" t="n">
        <v>21024.27</v>
      </c>
      <c r="E1269" s="7" t="n">
        <v>21237.85</v>
      </c>
      <c r="F1269" s="7" t="n">
        <v>7260</v>
      </c>
      <c r="G1269" s="7" t="n">
        <f aca="false">AVERAGE(E1265:E1269)</f>
        <v>20961.706</v>
      </c>
      <c r="H1269" s="7" t="n">
        <f aca="false">AVERAGE(E1260:E1269)</f>
        <v>21085.502</v>
      </c>
      <c r="I1269" s="7" t="n">
        <f aca="false">AVERAGE(E1250:E1269)</f>
        <v>21315.049</v>
      </c>
      <c r="J1269" s="7" t="n">
        <f aca="false">AVERAGE(E1220:E1269)</f>
        <v>21114.8478</v>
      </c>
      <c r="K1269" s="7" t="n">
        <f aca="false">AVERAGE(E1170:E1269)</f>
        <v>20449.5273</v>
      </c>
      <c r="L1269" s="7" t="n">
        <f aca="false">AVERAGE(E1070:E1269)</f>
        <v>19638.55125</v>
      </c>
      <c r="M1269" s="7" t="n">
        <f aca="false">I1269</f>
        <v>21315.049</v>
      </c>
      <c r="N1269" s="7" t="n">
        <f aca="false">I1269+2*STDEV(E1250:E1269)</f>
        <v>22078.630046852</v>
      </c>
      <c r="O1269" s="7" t="n">
        <f aca="false">I1269-2*STDEV(E1250:E1269)</f>
        <v>20551.467953148</v>
      </c>
      <c r="P1269" s="7" t="n">
        <f aca="false">MAX(E1269-E1268,0)</f>
        <v>480.439999999999</v>
      </c>
      <c r="Q1269" s="7" t="n">
        <f aca="false">MAX(E1268-E1269,0)</f>
        <v>0</v>
      </c>
      <c r="R1269" s="7" t="n">
        <f aca="false">(R1268*13+P1269)/14</f>
        <v>108.090849208629</v>
      </c>
      <c r="S1269" s="7" t="n">
        <f aca="false">(S1268*13+Q1269)/14</f>
        <v>104.171299696632</v>
      </c>
      <c r="T1269" s="7" t="n">
        <f aca="false">IF(S1269=0,100,100-100/(1+R1269/S1269))</f>
        <v>50.923280371044</v>
      </c>
      <c r="U1269" s="7" t="n">
        <f aca="false">E1269*2/13+U1268*11/13</f>
        <v>21130.2359735153</v>
      </c>
      <c r="V1269" s="7" t="n">
        <f aca="false">E1269*2/27+V1268*25/27</f>
        <v>21189.6016447672</v>
      </c>
      <c r="W1269" s="7" t="n">
        <f aca="false">U1269-V1269</f>
        <v>-59.3656712518532</v>
      </c>
      <c r="X1269" s="7" t="n">
        <f aca="false">W1269*2/10+X1268*8/10</f>
        <v>8.67527410133964</v>
      </c>
      <c r="Y1269" s="7" t="n">
        <f aca="false">W1269-X1269</f>
        <v>-68.0409453531928</v>
      </c>
      <c r="Z1269" s="8" t="s">
        <v>42</v>
      </c>
      <c r="AA1269" s="7" t="str">
        <f aca="false">IFERROR(INDEX(02_轉折點45!B:B,MATCH(A1269,02_轉折點45!A:A,0)),"")</f>
        <v/>
      </c>
      <c r="AB1269" s="7" t="n">
        <f aca="false">COUNTIFS(05_訊號明細!A:A,A1269,05_訊號明細!C:C,"TOP")</f>
        <v>2</v>
      </c>
      <c r="AC1269" s="7" t="n">
        <f aca="false">COUNTIFS(05_訊號明細!A:A,A1269,05_訊號明細!C:C,"BOTTOM")</f>
        <v>0</v>
      </c>
    </row>
    <row r="1270" customFormat="false" ht="15" hidden="false" customHeight="false" outlineLevel="0" collapsed="false">
      <c r="A1270" s="7" t="s">
        <v>1311</v>
      </c>
      <c r="B1270" s="7" t="n">
        <v>21324.98</v>
      </c>
      <c r="C1270" s="7" t="n">
        <v>21330.59</v>
      </c>
      <c r="D1270" s="7" t="n">
        <v>21087.85</v>
      </c>
      <c r="E1270" s="7" t="n">
        <v>21091.25</v>
      </c>
      <c r="F1270" s="7" t="n">
        <v>7086</v>
      </c>
      <c r="G1270" s="7" t="n">
        <f aca="false">AVERAGE(E1266:E1270)</f>
        <v>20943.762</v>
      </c>
      <c r="H1270" s="7" t="n">
        <f aca="false">AVERAGE(E1261:E1270)</f>
        <v>21093.41</v>
      </c>
      <c r="I1270" s="7" t="n">
        <f aca="false">AVERAGE(E1251:E1270)</f>
        <v>21264.7785</v>
      </c>
      <c r="J1270" s="7" t="n">
        <f aca="false">AVERAGE(E1221:E1270)</f>
        <v>21136.01</v>
      </c>
      <c r="K1270" s="7" t="n">
        <f aca="false">AVERAGE(E1171:E1270)</f>
        <v>20465.5214</v>
      </c>
      <c r="L1270" s="7" t="n">
        <f aca="false">AVERAGE(E1071:E1270)</f>
        <v>19652.5415</v>
      </c>
      <c r="M1270" s="7" t="n">
        <f aca="false">I1270</f>
        <v>21264.7785</v>
      </c>
      <c r="N1270" s="7" t="n">
        <f aca="false">I1270+2*STDEV(E1251:E1270)</f>
        <v>21938.830480731</v>
      </c>
      <c r="O1270" s="7" t="n">
        <f aca="false">I1270-2*STDEV(E1251:E1270)</f>
        <v>20590.726519269</v>
      </c>
      <c r="P1270" s="7" t="n">
        <f aca="false">MAX(E1270-E1269,0)</f>
        <v>0</v>
      </c>
      <c r="Q1270" s="7" t="n">
        <f aca="false">MAX(E1269-E1270,0)</f>
        <v>146.599999999999</v>
      </c>
      <c r="R1270" s="7" t="n">
        <f aca="false">(R1269*13+P1270)/14</f>
        <v>100.370074265156</v>
      </c>
      <c r="S1270" s="7" t="n">
        <f aca="false">(S1269*13+Q1270)/14</f>
        <v>107.201921146873</v>
      </c>
      <c r="T1270" s="7" t="n">
        <f aca="false">IF(S1270=0,100,100-100/(1+R1270/S1270))</f>
        <v>48.3543428225576</v>
      </c>
      <c r="U1270" s="7" t="n">
        <f aca="false">E1270*2/13+U1269*11/13</f>
        <v>21124.2381314361</v>
      </c>
      <c r="V1270" s="7" t="n">
        <f aca="false">E1270*2/27+V1269*25/27</f>
        <v>21182.3163377474</v>
      </c>
      <c r="W1270" s="7" t="n">
        <f aca="false">U1270-V1270</f>
        <v>-58.0782063113438</v>
      </c>
      <c r="X1270" s="7" t="n">
        <f aca="false">W1270*2/10+X1269*8/10</f>
        <v>-4.67542198119705</v>
      </c>
      <c r="Y1270" s="7" t="n">
        <f aca="false">W1270-X1270</f>
        <v>-53.4027843301468</v>
      </c>
      <c r="Z1270" s="8" t="s">
        <v>42</v>
      </c>
      <c r="AA1270" s="7" t="str">
        <f aca="false">IFERROR(INDEX(02_轉折點45!B:B,MATCH(A1270,02_轉折點45!A:A,0)),"")</f>
        <v/>
      </c>
      <c r="AB1270" s="7" t="n">
        <f aca="false">COUNTIFS(05_訊號明細!A:A,A1270,05_訊號明細!C:C,"TOP")</f>
        <v>0</v>
      </c>
      <c r="AC1270" s="7" t="n">
        <f aca="false">COUNTIFS(05_訊號明細!A:A,A1270,05_訊號明細!C:C,"BOTTOM")</f>
        <v>0</v>
      </c>
    </row>
    <row r="1271" customFormat="false" ht="15" hidden="false" customHeight="false" outlineLevel="0" collapsed="false">
      <c r="A1271" s="7" t="s">
        <v>1312</v>
      </c>
      <c r="B1271" s="7" t="n">
        <v>21461.9</v>
      </c>
      <c r="C1271" s="7" t="n">
        <v>21515.76</v>
      </c>
      <c r="D1271" s="7" t="n">
        <v>21334.63</v>
      </c>
      <c r="E1271" s="7" t="n">
        <v>21441.16</v>
      </c>
      <c r="F1271" s="7" t="n">
        <v>7996</v>
      </c>
      <c r="G1271" s="7" t="n">
        <f aca="false">AVERAGE(E1267:E1271)</f>
        <v>21062.478</v>
      </c>
      <c r="H1271" s="7" t="n">
        <f aca="false">AVERAGE(E1262:E1271)</f>
        <v>21139.964</v>
      </c>
      <c r="I1271" s="7" t="n">
        <f aca="false">AVERAGE(E1252:E1271)</f>
        <v>21236.7825</v>
      </c>
      <c r="J1271" s="7" t="n">
        <f aca="false">AVERAGE(E1222:E1271)</f>
        <v>21165.5612</v>
      </c>
      <c r="K1271" s="7" t="n">
        <f aca="false">AVERAGE(E1172:E1271)</f>
        <v>20482.7243</v>
      </c>
      <c r="L1271" s="7" t="n">
        <f aca="false">AVERAGE(E1072:E1271)</f>
        <v>19669.1384</v>
      </c>
      <c r="M1271" s="7" t="n">
        <f aca="false">I1271</f>
        <v>21236.7825</v>
      </c>
      <c r="N1271" s="7" t="n">
        <f aca="false">I1271+2*STDEV(E1252:E1271)</f>
        <v>21822.8377982307</v>
      </c>
      <c r="O1271" s="7" t="n">
        <f aca="false">I1271-2*STDEV(E1252:E1271)</f>
        <v>20650.7272017694</v>
      </c>
      <c r="P1271" s="7" t="n">
        <f aca="false">MAX(E1271-E1270,0)</f>
        <v>349.91</v>
      </c>
      <c r="Q1271" s="7" t="n">
        <f aca="false">MAX(E1270-E1271,0)</f>
        <v>0</v>
      </c>
      <c r="R1271" s="7" t="n">
        <f aca="false">(R1270*13+P1271)/14</f>
        <v>118.194354674787</v>
      </c>
      <c r="S1271" s="7" t="n">
        <f aca="false">(S1270*13+Q1271)/14</f>
        <v>99.5446410649533</v>
      </c>
      <c r="T1271" s="7" t="n">
        <f aca="false">IF(S1271=0,100,100-100/(1+R1271/S1271))</f>
        <v>54.282584648302</v>
      </c>
      <c r="U1271" s="7" t="n">
        <f aca="false">E1271*2/13+U1270*11/13</f>
        <v>21172.9953419844</v>
      </c>
      <c r="V1271" s="7" t="n">
        <f aca="false">E1271*2/27+V1270*25/27</f>
        <v>21201.4899423587</v>
      </c>
      <c r="W1271" s="7" t="n">
        <f aca="false">U1271-V1271</f>
        <v>-28.4946003743498</v>
      </c>
      <c r="X1271" s="7" t="n">
        <f aca="false">W1271*2/10+X1270*8/10</f>
        <v>-9.43925765982761</v>
      </c>
      <c r="Y1271" s="7" t="n">
        <f aca="false">W1271-X1271</f>
        <v>-19.0553427145222</v>
      </c>
      <c r="Z1271" s="8" t="s">
        <v>42</v>
      </c>
      <c r="AA1271" s="7" t="str">
        <f aca="false">IFERROR(INDEX(02_轉折點45!B:B,MATCH(A1271,02_轉折點45!A:A,0)),"")</f>
        <v/>
      </c>
      <c r="AB1271" s="7" t="n">
        <f aca="false">COUNTIFS(05_訊號明細!A:A,A1271,05_訊號明細!C:C,"TOP")</f>
        <v>0</v>
      </c>
      <c r="AC1271" s="7" t="n">
        <f aca="false">COUNTIFS(05_訊號明細!A:A,A1271,05_訊號明細!C:C,"BOTTOM")</f>
        <v>0</v>
      </c>
    </row>
    <row r="1272" customFormat="false" ht="15" hidden="false" customHeight="false" outlineLevel="0" collapsed="false">
      <c r="A1272" s="7" t="s">
        <v>1313</v>
      </c>
      <c r="B1272" s="7" t="n">
        <v>21557.82</v>
      </c>
      <c r="C1272" s="7" t="n">
        <v>21620.23</v>
      </c>
      <c r="D1272" s="7" t="n">
        <v>21379.06</v>
      </c>
      <c r="E1272" s="7" t="n">
        <v>21566.51</v>
      </c>
      <c r="F1272" s="7" t="n">
        <v>8016</v>
      </c>
      <c r="G1272" s="7" t="n">
        <f aca="false">AVERAGE(E1268:E1272)</f>
        <v>21218.836</v>
      </c>
      <c r="H1272" s="7" t="n">
        <f aca="false">AVERAGE(E1263:E1272)</f>
        <v>21163.999</v>
      </c>
      <c r="I1272" s="7" t="n">
        <f aca="false">AVERAGE(E1253:E1272)</f>
        <v>21254.642</v>
      </c>
      <c r="J1272" s="7" t="n">
        <f aca="false">AVERAGE(E1223:E1272)</f>
        <v>21192.3422</v>
      </c>
      <c r="K1272" s="7" t="n">
        <f aca="false">AVERAGE(E1173:E1272)</f>
        <v>20503.225</v>
      </c>
      <c r="L1272" s="7" t="n">
        <f aca="false">AVERAGE(E1073:E1272)</f>
        <v>19686.17</v>
      </c>
      <c r="M1272" s="7" t="n">
        <f aca="false">I1272</f>
        <v>21254.642</v>
      </c>
      <c r="N1272" s="7" t="n">
        <f aca="false">I1272+2*STDEV(E1253:E1272)</f>
        <v>21858.6680817513</v>
      </c>
      <c r="O1272" s="7" t="n">
        <f aca="false">I1272-2*STDEV(E1253:E1272)</f>
        <v>20650.6159182487</v>
      </c>
      <c r="P1272" s="7" t="n">
        <f aca="false">MAX(E1272-E1271,0)</f>
        <v>125.349999999999</v>
      </c>
      <c r="Q1272" s="7" t="n">
        <f aca="false">MAX(E1271-E1272,0)</f>
        <v>0</v>
      </c>
      <c r="R1272" s="7" t="n">
        <f aca="false">(R1271*13+P1272)/14</f>
        <v>118.705472198017</v>
      </c>
      <c r="S1272" s="7" t="n">
        <f aca="false">(S1271*13+Q1272)/14</f>
        <v>92.4343095603138</v>
      </c>
      <c r="T1272" s="7" t="n">
        <f aca="false">IF(S1272=0,100,100-100/(1+R1272/S1272))</f>
        <v>56.2212725661933</v>
      </c>
      <c r="U1272" s="7" t="n">
        <f aca="false">E1272*2/13+U1271*11/13</f>
        <v>21233.5360586022</v>
      </c>
      <c r="V1272" s="7" t="n">
        <f aca="false">E1272*2/27+V1271*25/27</f>
        <v>21228.528465147</v>
      </c>
      <c r="W1272" s="7" t="n">
        <f aca="false">U1272-V1272</f>
        <v>5.00759345519691</v>
      </c>
      <c r="X1272" s="7" t="n">
        <f aca="false">W1272*2/10+X1271*8/10</f>
        <v>-6.5498874368227</v>
      </c>
      <c r="Y1272" s="7" t="n">
        <f aca="false">W1272-X1272</f>
        <v>11.5574808920196</v>
      </c>
      <c r="Z1272" s="8" t="s">
        <v>42</v>
      </c>
      <c r="AA1272" s="7" t="str">
        <f aca="false">IFERROR(INDEX(02_轉折點45!B:B,MATCH(A1272,02_轉折點45!A:A,0)),"")</f>
        <v/>
      </c>
      <c r="AB1272" s="7" t="n">
        <f aca="false">COUNTIFS(05_訊號明細!A:A,A1272,05_訊號明細!C:C,"TOP")</f>
        <v>0</v>
      </c>
      <c r="AC1272" s="7" t="n">
        <f aca="false">COUNTIFS(05_訊號明細!A:A,A1272,05_訊號明細!C:C,"BOTTOM")</f>
        <v>0</v>
      </c>
    </row>
    <row r="1273" customFormat="false" ht="15" hidden="false" customHeight="false" outlineLevel="0" collapsed="false">
      <c r="A1273" s="7" t="s">
        <v>1314</v>
      </c>
      <c r="B1273" s="7" t="n">
        <v>21756.23</v>
      </c>
      <c r="C1273" s="7" t="n">
        <v>21943.04</v>
      </c>
      <c r="D1273" s="7" t="n">
        <v>21756.23</v>
      </c>
      <c r="E1273" s="7" t="n">
        <v>21853</v>
      </c>
      <c r="F1273" s="7" t="n">
        <v>7219</v>
      </c>
      <c r="G1273" s="7" t="n">
        <f aca="false">AVERAGE(E1269:E1273)</f>
        <v>21437.954</v>
      </c>
      <c r="H1273" s="7" t="n">
        <f aca="false">AVERAGE(E1264:E1273)</f>
        <v>21193.349</v>
      </c>
      <c r="I1273" s="7" t="n">
        <f aca="false">AVERAGE(E1254:E1273)</f>
        <v>21291.7665</v>
      </c>
      <c r="J1273" s="7" t="n">
        <f aca="false">AVERAGE(E1224:E1273)</f>
        <v>21213.7756</v>
      </c>
      <c r="K1273" s="7" t="n">
        <f aca="false">AVERAGE(E1174:E1273)</f>
        <v>20525.9398</v>
      </c>
      <c r="L1273" s="7" t="n">
        <f aca="false">AVERAGE(E1074:E1273)</f>
        <v>19706.0411</v>
      </c>
      <c r="M1273" s="7" t="n">
        <f aca="false">I1273</f>
        <v>21291.7665</v>
      </c>
      <c r="N1273" s="7" t="n">
        <f aca="false">I1273+2*STDEV(E1254:E1273)</f>
        <v>21947.5455630925</v>
      </c>
      <c r="O1273" s="7" t="n">
        <f aca="false">I1273-2*STDEV(E1254:E1273)</f>
        <v>20635.9874369075</v>
      </c>
      <c r="P1273" s="7" t="n">
        <f aca="false">MAX(E1273-E1272,0)</f>
        <v>286.490000000002</v>
      </c>
      <c r="Q1273" s="7" t="n">
        <f aca="false">MAX(E1272-E1273,0)</f>
        <v>0</v>
      </c>
      <c r="R1273" s="7" t="n">
        <f aca="false">(R1272*13+P1273)/14</f>
        <v>130.69008132673</v>
      </c>
      <c r="S1273" s="7" t="n">
        <f aca="false">(S1272*13+Q1273)/14</f>
        <v>85.8318588774343</v>
      </c>
      <c r="T1273" s="7" t="n">
        <f aca="false">IF(S1273=0,100,100-100/(1+R1273/S1273))</f>
        <v>60.3588168494606</v>
      </c>
      <c r="U1273" s="7" t="n">
        <f aca="false">E1273*2/13+U1272*11/13</f>
        <v>21328.8382034326</v>
      </c>
      <c r="V1273" s="7" t="n">
        <f aca="false">E1273*2/27+V1272*25/27</f>
        <v>21274.7856158768</v>
      </c>
      <c r="W1273" s="7" t="n">
        <f aca="false">U1273-V1273</f>
        <v>54.0525875557796</v>
      </c>
      <c r="X1273" s="7" t="n">
        <f aca="false">W1273*2/10+X1272*8/10</f>
        <v>5.57060756169776</v>
      </c>
      <c r="Y1273" s="7" t="n">
        <f aca="false">W1273-X1273</f>
        <v>48.4819799940819</v>
      </c>
      <c r="Z1273" s="8" t="s">
        <v>42</v>
      </c>
      <c r="AA1273" s="7" t="str">
        <f aca="false">IFERROR(INDEX(02_轉折點45!B:B,MATCH(A1273,02_轉折點45!A:A,0)),"")</f>
        <v/>
      </c>
      <c r="AB1273" s="7" t="n">
        <f aca="false">COUNTIFS(05_訊號明細!A:A,A1273,05_訊號明細!C:C,"TOP")</f>
        <v>0</v>
      </c>
      <c r="AC1273" s="7" t="n">
        <f aca="false">COUNTIFS(05_訊號明細!A:A,A1273,05_訊號明細!C:C,"BOTTOM")</f>
        <v>0</v>
      </c>
    </row>
    <row r="1274" customFormat="false" ht="15" hidden="false" customHeight="false" outlineLevel="0" collapsed="false">
      <c r="A1274" s="7" t="s">
        <v>1315</v>
      </c>
      <c r="B1274" s="7" t="n">
        <v>21737.24</v>
      </c>
      <c r="C1274" s="7" t="n">
        <v>21900.93</v>
      </c>
      <c r="D1274" s="7" t="n">
        <v>21722.04</v>
      </c>
      <c r="E1274" s="7" t="n">
        <v>21900.93</v>
      </c>
      <c r="F1274" s="7" t="n">
        <v>6838</v>
      </c>
      <c r="G1274" s="7" t="n">
        <f aca="false">AVERAGE(E1270:E1274)</f>
        <v>21570.57</v>
      </c>
      <c r="H1274" s="7" t="n">
        <f aca="false">AVERAGE(E1265:E1274)</f>
        <v>21266.138</v>
      </c>
      <c r="I1274" s="7" t="n">
        <f aca="false">AVERAGE(E1255:E1274)</f>
        <v>21322.3555</v>
      </c>
      <c r="J1274" s="7" t="n">
        <f aca="false">AVERAGE(E1225:E1274)</f>
        <v>21229.7628</v>
      </c>
      <c r="K1274" s="7" t="n">
        <f aca="false">AVERAGE(E1175:E1274)</f>
        <v>20551.4413</v>
      </c>
      <c r="L1274" s="7" t="n">
        <f aca="false">AVERAGE(E1075:E1274)</f>
        <v>19725.00345</v>
      </c>
      <c r="M1274" s="7" t="n">
        <f aca="false">I1274</f>
        <v>21322.3555</v>
      </c>
      <c r="N1274" s="7" t="n">
        <f aca="false">I1274+2*STDEV(E1255:E1274)</f>
        <v>22032.4450330198</v>
      </c>
      <c r="O1274" s="7" t="n">
        <f aca="false">I1274-2*STDEV(E1255:E1274)</f>
        <v>20612.2659669802</v>
      </c>
      <c r="P1274" s="7" t="n">
        <f aca="false">MAX(E1274-E1273,0)</f>
        <v>47.9300000000003</v>
      </c>
      <c r="Q1274" s="7" t="n">
        <f aca="false">MAX(E1273-E1274,0)</f>
        <v>0</v>
      </c>
      <c r="R1274" s="7" t="n">
        <f aca="false">(R1273*13+P1274)/14</f>
        <v>124.778646946249</v>
      </c>
      <c r="S1274" s="7" t="n">
        <f aca="false">(S1273*13+Q1274)/14</f>
        <v>79.7010118147604</v>
      </c>
      <c r="T1274" s="7" t="n">
        <f aca="false">IF(S1274=0,100,100-100/(1+R1274/S1274))</f>
        <v>61.0225230726188</v>
      </c>
      <c r="U1274" s="7" t="n">
        <f aca="false">E1274*2/13+U1273*11/13</f>
        <v>21416.8523259814</v>
      </c>
      <c r="V1274" s="7" t="n">
        <f aca="false">E1274*2/27+V1273*25/27</f>
        <v>21321.1666813674</v>
      </c>
      <c r="W1274" s="7" t="n">
        <f aca="false">U1274-V1274</f>
        <v>95.6856446140082</v>
      </c>
      <c r="X1274" s="7" t="n">
        <f aca="false">W1274*2/10+X1273*8/10</f>
        <v>23.5936149721599</v>
      </c>
      <c r="Y1274" s="7" t="n">
        <f aca="false">W1274-X1274</f>
        <v>72.0920296418483</v>
      </c>
      <c r="Z1274" s="8" t="s">
        <v>42</v>
      </c>
      <c r="AA1274" s="7" t="str">
        <f aca="false">IFERROR(INDEX(02_轉折點45!B:B,MATCH(A1274,02_轉折點45!A:A,0)),"")</f>
        <v/>
      </c>
      <c r="AB1274" s="7" t="n">
        <f aca="false">COUNTIFS(05_訊號明細!A:A,A1274,05_訊號明細!C:C,"TOP")</f>
        <v>0</v>
      </c>
      <c r="AC1274" s="7" t="n">
        <f aca="false">COUNTIFS(05_訊號明細!A:A,A1274,05_訊號明細!C:C,"BOTTOM")</f>
        <v>0</v>
      </c>
    </row>
    <row r="1275" customFormat="false" ht="15" hidden="false" customHeight="false" outlineLevel="0" collapsed="false">
      <c r="A1275" s="7" t="s">
        <v>1316</v>
      </c>
      <c r="B1275" s="7" t="n">
        <v>21915.48</v>
      </c>
      <c r="C1275" s="7" t="n">
        <v>21945.48</v>
      </c>
      <c r="D1275" s="7" t="n">
        <v>21709.06</v>
      </c>
      <c r="E1275" s="7" t="n">
        <v>21774.01</v>
      </c>
      <c r="F1275" s="7" t="n">
        <v>7708</v>
      </c>
      <c r="G1275" s="7" t="n">
        <f aca="false">AVERAGE(E1271:E1275)</f>
        <v>21707.122</v>
      </c>
      <c r="H1275" s="7" t="n">
        <f aca="false">AVERAGE(E1266:E1275)</f>
        <v>21325.442</v>
      </c>
      <c r="I1275" s="7" t="n">
        <f aca="false">AVERAGE(E1256:E1275)</f>
        <v>21335.8975</v>
      </c>
      <c r="J1275" s="7" t="n">
        <f aca="false">AVERAGE(E1226:E1275)</f>
        <v>21242.8994</v>
      </c>
      <c r="K1275" s="7" t="n">
        <f aca="false">AVERAGE(E1176:E1275)</f>
        <v>20575.9269</v>
      </c>
      <c r="L1275" s="7" t="n">
        <f aca="false">AVERAGE(E1076:E1275)</f>
        <v>19743.37255</v>
      </c>
      <c r="M1275" s="7" t="n">
        <f aca="false">I1275</f>
        <v>21335.8975</v>
      </c>
      <c r="N1275" s="7" t="n">
        <f aca="false">I1275+2*STDEV(E1256:E1275)</f>
        <v>22070.4161933919</v>
      </c>
      <c r="O1275" s="7" t="n">
        <f aca="false">I1275-2*STDEV(E1256:E1275)</f>
        <v>20601.3788066081</v>
      </c>
      <c r="P1275" s="7" t="n">
        <f aca="false">MAX(E1275-E1274,0)</f>
        <v>0</v>
      </c>
      <c r="Q1275" s="7" t="n">
        <f aca="false">MAX(E1274-E1275,0)</f>
        <v>126.920000000002</v>
      </c>
      <c r="R1275" s="7" t="n">
        <f aca="false">(R1274*13+P1275)/14</f>
        <v>115.865886450089</v>
      </c>
      <c r="S1275" s="7" t="n">
        <f aca="false">(S1274*13+Q1275)/14</f>
        <v>83.0737966851348</v>
      </c>
      <c r="T1275" s="7" t="n">
        <f aca="false">IF(S1275=0,100,100-100/(1+R1275/S1275))</f>
        <v>58.2417165967497</v>
      </c>
      <c r="U1275" s="7" t="n">
        <f aca="false">E1275*2/13+U1274*11/13</f>
        <v>21471.7996604458</v>
      </c>
      <c r="V1275" s="7" t="n">
        <f aca="false">E1275*2/27+V1274*25/27</f>
        <v>21354.7106308958</v>
      </c>
      <c r="W1275" s="7" t="n">
        <f aca="false">U1275-V1275</f>
        <v>117.089029550065</v>
      </c>
      <c r="X1275" s="7" t="n">
        <f aca="false">W1275*2/10+X1274*8/10</f>
        <v>42.2926978877409</v>
      </c>
      <c r="Y1275" s="7" t="n">
        <f aca="false">W1275-X1275</f>
        <v>74.796331662324</v>
      </c>
      <c r="Z1275" s="8" t="s">
        <v>42</v>
      </c>
      <c r="AA1275" s="7" t="str">
        <f aca="false">IFERROR(INDEX(02_轉折點45!B:B,MATCH(A1275,02_轉折點45!A:A,0)),"")</f>
        <v/>
      </c>
      <c r="AB1275" s="7" t="n">
        <f aca="false">COUNTIFS(05_訊號明細!A:A,A1275,05_訊號明細!C:C,"TOP")</f>
        <v>0</v>
      </c>
      <c r="AC1275" s="7" t="n">
        <f aca="false">COUNTIFS(05_訊號明細!A:A,A1275,05_訊號明細!C:C,"BOTTOM")</f>
        <v>0</v>
      </c>
    </row>
    <row r="1276" customFormat="false" ht="15" hidden="false" customHeight="false" outlineLevel="0" collapsed="false">
      <c r="A1276" s="7" t="s">
        <v>1317</v>
      </c>
      <c r="B1276" s="7" t="n">
        <v>21000.17</v>
      </c>
      <c r="C1276" s="7" t="n">
        <v>21292.54</v>
      </c>
      <c r="D1276" s="7" t="n">
        <v>20974.9</v>
      </c>
      <c r="E1276" s="7" t="n">
        <v>21127.28</v>
      </c>
      <c r="F1276" s="7" t="n">
        <v>8870</v>
      </c>
      <c r="G1276" s="7" t="n">
        <f aca="false">AVERAGE(E1272:E1276)</f>
        <v>21644.346</v>
      </c>
      <c r="H1276" s="7" t="n">
        <f aca="false">AVERAGE(E1267:E1276)</f>
        <v>21353.412</v>
      </c>
      <c r="I1276" s="7" t="n">
        <f aca="false">AVERAGE(E1257:E1276)</f>
        <v>21302.379</v>
      </c>
      <c r="J1276" s="7" t="n">
        <f aca="false">AVERAGE(E1227:E1276)</f>
        <v>21243.3132</v>
      </c>
      <c r="K1276" s="7" t="n">
        <f aca="false">AVERAGE(E1177:E1276)</f>
        <v>20591.4533</v>
      </c>
      <c r="L1276" s="7" t="n">
        <f aca="false">AVERAGE(E1077:E1276)</f>
        <v>19758.15945</v>
      </c>
      <c r="M1276" s="7" t="n">
        <f aca="false">I1276</f>
        <v>21302.379</v>
      </c>
      <c r="N1276" s="7" t="n">
        <f aca="false">I1276+2*STDEV(E1257:E1276)</f>
        <v>22008.8223109718</v>
      </c>
      <c r="O1276" s="7" t="n">
        <f aca="false">I1276-2*STDEV(E1257:E1276)</f>
        <v>20595.9356890282</v>
      </c>
      <c r="P1276" s="7" t="n">
        <f aca="false">MAX(E1276-E1275,0)</f>
        <v>0</v>
      </c>
      <c r="Q1276" s="7" t="n">
        <f aca="false">MAX(E1275-E1276,0)</f>
        <v>646.73</v>
      </c>
      <c r="R1276" s="7" t="n">
        <f aca="false">(R1275*13+P1276)/14</f>
        <v>107.589751703654</v>
      </c>
      <c r="S1276" s="7" t="n">
        <f aca="false">(S1275*13+Q1276)/14</f>
        <v>123.334954064768</v>
      </c>
      <c r="T1276" s="7" t="n">
        <f aca="false">IF(S1276=0,100,100-100/(1+R1276/S1276))</f>
        <v>46.5908363272088</v>
      </c>
      <c r="U1276" s="7" t="n">
        <f aca="false">E1276*2/13+U1275*11/13</f>
        <v>21418.7966357618</v>
      </c>
      <c r="V1276" s="7" t="n">
        <f aca="false">E1276*2/27+V1275*25/27</f>
        <v>21337.8639174961</v>
      </c>
      <c r="W1276" s="7" t="n">
        <f aca="false">U1276-V1276</f>
        <v>80.9327182657762</v>
      </c>
      <c r="X1276" s="7" t="n">
        <f aca="false">W1276*2/10+X1275*8/10</f>
        <v>50.0207019633479</v>
      </c>
      <c r="Y1276" s="7" t="n">
        <f aca="false">W1276-X1276</f>
        <v>30.9120163024283</v>
      </c>
      <c r="Z1276" s="8" t="s">
        <v>42</v>
      </c>
      <c r="AA1276" s="7" t="str">
        <f aca="false">IFERROR(INDEX(02_轉折點45!B:B,MATCH(A1276,02_轉折點45!A:A,0)),"")</f>
        <v/>
      </c>
      <c r="AB1276" s="7" t="n">
        <f aca="false">COUNTIFS(05_訊號明細!A:A,A1276,05_訊號明細!C:C,"TOP")</f>
        <v>1</v>
      </c>
      <c r="AC1276" s="7" t="n">
        <f aca="false">COUNTIFS(05_訊號明細!A:A,A1276,05_訊號明細!C:C,"BOTTOM")</f>
        <v>0</v>
      </c>
    </row>
    <row r="1277" customFormat="false" ht="15" hidden="false" customHeight="false" outlineLevel="0" collapsed="false">
      <c r="A1277" s="7" t="s">
        <v>1318</v>
      </c>
      <c r="B1277" s="7" t="n">
        <v>21186.08</v>
      </c>
      <c r="C1277" s="7" t="n">
        <v>21500.73</v>
      </c>
      <c r="D1277" s="7" t="n">
        <v>21043.13</v>
      </c>
      <c r="E1277" s="7" t="n">
        <v>21463.04</v>
      </c>
      <c r="F1277" s="7" t="n">
        <v>7122</v>
      </c>
      <c r="G1277" s="7" t="n">
        <f aca="false">AVERAGE(E1273:E1277)</f>
        <v>21623.652</v>
      </c>
      <c r="H1277" s="7" t="n">
        <f aca="false">AVERAGE(E1268:E1277)</f>
        <v>21421.244</v>
      </c>
      <c r="I1277" s="7" t="n">
        <f aca="false">AVERAGE(E1258:E1277)</f>
        <v>21287.1155</v>
      </c>
      <c r="J1277" s="7" t="n">
        <f aca="false">AVERAGE(E1228:E1277)</f>
        <v>21251.1582</v>
      </c>
      <c r="K1277" s="7" t="n">
        <f aca="false">AVERAGE(E1178:E1277)</f>
        <v>20616.4963</v>
      </c>
      <c r="L1277" s="7" t="n">
        <f aca="false">AVERAGE(E1078:E1277)</f>
        <v>19775.41635</v>
      </c>
      <c r="M1277" s="7" t="n">
        <f aca="false">I1277</f>
        <v>21287.1155</v>
      </c>
      <c r="N1277" s="7" t="n">
        <f aca="false">I1277+2*STDEV(E1258:E1277)</f>
        <v>21963.7334037871</v>
      </c>
      <c r="O1277" s="7" t="n">
        <f aca="false">I1277-2*STDEV(E1258:E1277)</f>
        <v>20610.4975962129</v>
      </c>
      <c r="P1277" s="7" t="n">
        <f aca="false">MAX(E1277-E1276,0)</f>
        <v>335.760000000002</v>
      </c>
      <c r="Q1277" s="7" t="n">
        <f aca="false">MAX(E1276-E1277,0)</f>
        <v>0</v>
      </c>
      <c r="R1277" s="7" t="n">
        <f aca="false">(R1276*13+P1277)/14</f>
        <v>123.887626581964</v>
      </c>
      <c r="S1277" s="7" t="n">
        <f aca="false">(S1276*13+Q1277)/14</f>
        <v>114.525314488713</v>
      </c>
      <c r="T1277" s="7" t="n">
        <f aca="false">IF(S1277=0,100,100-100/(1+R1277/S1277))</f>
        <v>51.9634655843778</v>
      </c>
      <c r="U1277" s="7" t="n">
        <f aca="false">E1277*2/13+U1276*11/13</f>
        <v>21425.6033071831</v>
      </c>
      <c r="V1277" s="7" t="n">
        <f aca="false">E1277*2/27+V1276*25/27</f>
        <v>21347.1362199038</v>
      </c>
      <c r="W1277" s="7" t="n">
        <f aca="false">U1277-V1277</f>
        <v>78.4670872793358</v>
      </c>
      <c r="X1277" s="7" t="n">
        <f aca="false">W1277*2/10+X1276*8/10</f>
        <v>55.7099790265455</v>
      </c>
      <c r="Y1277" s="7" t="n">
        <f aca="false">W1277-X1277</f>
        <v>22.7571082527903</v>
      </c>
      <c r="Z1277" s="8" t="s">
        <v>42</v>
      </c>
      <c r="AA1277" s="7" t="str">
        <f aca="false">IFERROR(INDEX(02_轉折點45!B:B,MATCH(A1277,02_轉折點45!A:A,0)),"")</f>
        <v/>
      </c>
      <c r="AB1277" s="7" t="n">
        <f aca="false">COUNTIFS(05_訊號明細!A:A,A1277,05_訊號明細!C:C,"TOP")</f>
        <v>0</v>
      </c>
      <c r="AC1277" s="7" t="n">
        <f aca="false">COUNTIFS(05_訊號明細!A:A,A1277,05_訊號明細!C:C,"BOTTOM")</f>
        <v>0</v>
      </c>
    </row>
    <row r="1278" customFormat="false" ht="15" hidden="false" customHeight="false" outlineLevel="0" collapsed="false">
      <c r="A1278" s="7" t="s">
        <v>1319</v>
      </c>
      <c r="B1278" s="7" t="n">
        <v>21473.01</v>
      </c>
      <c r="C1278" s="7" t="n">
        <v>21477.88</v>
      </c>
      <c r="D1278" s="7" t="n">
        <v>21251.8</v>
      </c>
      <c r="E1278" s="7" t="n">
        <v>21411.46</v>
      </c>
      <c r="F1278" s="7" t="n">
        <v>6498</v>
      </c>
      <c r="G1278" s="7" t="n">
        <f aca="false">AVERAGE(E1274:E1278)</f>
        <v>21535.344</v>
      </c>
      <c r="H1278" s="7" t="n">
        <f aca="false">AVERAGE(E1269:E1278)</f>
        <v>21486.649</v>
      </c>
      <c r="I1278" s="7" t="n">
        <f aca="false">AVERAGE(E1259:E1278)</f>
        <v>21284.0375</v>
      </c>
      <c r="J1278" s="7" t="n">
        <f aca="false">AVERAGE(E1229:E1278)</f>
        <v>21258.6642</v>
      </c>
      <c r="K1278" s="7" t="n">
        <f aca="false">AVERAGE(E1179:E1278)</f>
        <v>20641.3969</v>
      </c>
      <c r="L1278" s="7" t="n">
        <f aca="false">AVERAGE(E1079:E1278)</f>
        <v>19790.93375</v>
      </c>
      <c r="M1278" s="7" t="n">
        <f aca="false">I1278</f>
        <v>21284.0375</v>
      </c>
      <c r="N1278" s="7" t="n">
        <f aca="false">I1278+2*STDEV(E1259:E1278)</f>
        <v>21957.6479733489</v>
      </c>
      <c r="O1278" s="7" t="n">
        <f aca="false">I1278-2*STDEV(E1259:E1278)</f>
        <v>20610.4270266512</v>
      </c>
      <c r="P1278" s="7" t="n">
        <f aca="false">MAX(E1278-E1277,0)</f>
        <v>0</v>
      </c>
      <c r="Q1278" s="7" t="n">
        <f aca="false">MAX(E1277-E1278,0)</f>
        <v>51.5800000000017</v>
      </c>
      <c r="R1278" s="7" t="n">
        <f aca="false">(R1277*13+P1278)/14</f>
        <v>115.038510397538</v>
      </c>
      <c r="S1278" s="7" t="n">
        <f aca="false">(S1277*13+Q1278)/14</f>
        <v>110.029220596662</v>
      </c>
      <c r="T1278" s="7" t="n">
        <f aca="false">IF(S1278=0,100,100-100/(1+R1278/S1278))</f>
        <v>51.1128405166632</v>
      </c>
      <c r="U1278" s="7" t="n">
        <f aca="false">E1278*2/13+U1277*11/13</f>
        <v>21423.4274137703</v>
      </c>
      <c r="V1278" s="7" t="n">
        <f aca="false">E1278*2/27+V1277*25/27</f>
        <v>21351.9009443553</v>
      </c>
      <c r="W1278" s="7" t="n">
        <f aca="false">U1278-V1278</f>
        <v>71.5264694149737</v>
      </c>
      <c r="X1278" s="7" t="n">
        <f aca="false">W1278*2/10+X1277*8/10</f>
        <v>58.8732771042312</v>
      </c>
      <c r="Y1278" s="7" t="n">
        <f aca="false">W1278-X1278</f>
        <v>12.6531923107425</v>
      </c>
      <c r="Z1278" s="8" t="s">
        <v>42</v>
      </c>
      <c r="AA1278" s="7" t="str">
        <f aca="false">IFERROR(INDEX(02_轉折點45!B:B,MATCH(A1278,02_轉折點45!A:A,0)),"")</f>
        <v/>
      </c>
      <c r="AB1278" s="7" t="n">
        <f aca="false">COUNTIFS(05_訊號明細!A:A,A1278,05_訊號明細!C:C,"TOP")</f>
        <v>0</v>
      </c>
      <c r="AC1278" s="7" t="n">
        <f aca="false">COUNTIFS(05_訊號明細!A:A,A1278,05_訊號明細!C:C,"BOTTOM")</f>
        <v>0</v>
      </c>
    </row>
    <row r="1279" customFormat="false" ht="15" hidden="false" customHeight="false" outlineLevel="0" collapsed="false">
      <c r="A1279" s="7" t="s">
        <v>1320</v>
      </c>
      <c r="B1279" s="7" t="n">
        <v>21519.81</v>
      </c>
      <c r="C1279" s="7" t="n">
        <v>21623.45</v>
      </c>
      <c r="D1279" s="7" t="n">
        <v>21308.69</v>
      </c>
      <c r="E1279" s="7" t="n">
        <v>21508.12</v>
      </c>
      <c r="F1279" s="7" t="n">
        <v>6680</v>
      </c>
      <c r="G1279" s="7" t="n">
        <f aca="false">AVERAGE(E1275:E1279)</f>
        <v>21456.782</v>
      </c>
      <c r="H1279" s="7" t="n">
        <f aca="false">AVERAGE(E1270:E1279)</f>
        <v>21513.676</v>
      </c>
      <c r="I1279" s="7" t="n">
        <f aca="false">AVERAGE(E1260:E1279)</f>
        <v>21299.589</v>
      </c>
      <c r="J1279" s="7" t="n">
        <f aca="false">AVERAGE(E1230:E1279)</f>
        <v>21270.8932</v>
      </c>
      <c r="K1279" s="7" t="n">
        <f aca="false">AVERAGE(E1180:E1279)</f>
        <v>20667.1748</v>
      </c>
      <c r="L1279" s="7" t="n">
        <f aca="false">AVERAGE(E1080:E1279)</f>
        <v>19808.4569</v>
      </c>
      <c r="M1279" s="7" t="n">
        <f aca="false">I1279</f>
        <v>21299.589</v>
      </c>
      <c r="N1279" s="7" t="n">
        <f aca="false">I1279+2*STDEV(E1260:E1279)</f>
        <v>21979.0831923117</v>
      </c>
      <c r="O1279" s="7" t="n">
        <f aca="false">I1279-2*STDEV(E1260:E1279)</f>
        <v>20620.0948076884</v>
      </c>
      <c r="P1279" s="7" t="n">
        <f aca="false">MAX(E1279-E1278,0)</f>
        <v>96.6599999999999</v>
      </c>
      <c r="Q1279" s="7" t="n">
        <f aca="false">MAX(E1278-E1279,0)</f>
        <v>0</v>
      </c>
      <c r="R1279" s="7" t="n">
        <f aca="false">(R1278*13+P1279)/14</f>
        <v>113.725759654857</v>
      </c>
      <c r="S1279" s="7" t="n">
        <f aca="false">(S1278*13+Q1279)/14</f>
        <v>102.169990554044</v>
      </c>
      <c r="T1279" s="7" t="n">
        <f aca="false">IF(S1279=0,100,100-100/(1+R1279/S1279))</f>
        <v>52.6762382051597</v>
      </c>
      <c r="U1279" s="7" t="n">
        <f aca="false">E1279*2/13+U1278*11/13</f>
        <v>21436.457042421</v>
      </c>
      <c r="V1279" s="7" t="n">
        <f aca="false">E1279*2/27+V1278*25/27</f>
        <v>21363.472726255</v>
      </c>
      <c r="W1279" s="7" t="n">
        <f aca="false">U1279-V1279</f>
        <v>72.9843161660901</v>
      </c>
      <c r="X1279" s="7" t="n">
        <f aca="false">W1279*2/10+X1278*8/10</f>
        <v>61.695484916603</v>
      </c>
      <c r="Y1279" s="7" t="n">
        <f aca="false">W1279-X1279</f>
        <v>11.2888312494872</v>
      </c>
      <c r="Z1279" s="8" t="s">
        <v>42</v>
      </c>
      <c r="AA1279" s="7" t="str">
        <f aca="false">IFERROR(INDEX(02_轉折點45!B:B,MATCH(A1279,02_轉折點45!A:A,0)),"")</f>
        <v/>
      </c>
      <c r="AB1279" s="7" t="n">
        <f aca="false">COUNTIFS(05_訊號明細!A:A,A1279,05_訊號明細!C:C,"TOP")</f>
        <v>1</v>
      </c>
      <c r="AC1279" s="7" t="n">
        <f aca="false">COUNTIFS(05_訊號明細!A:A,A1279,05_訊號明細!C:C,"BOTTOM")</f>
        <v>0</v>
      </c>
    </row>
    <row r="1280" customFormat="false" ht="15" hidden="false" customHeight="false" outlineLevel="0" collapsed="false">
      <c r="A1280" s="7" t="s">
        <v>1321</v>
      </c>
      <c r="B1280" s="7" t="n">
        <v>21661.56</v>
      </c>
      <c r="C1280" s="7" t="n">
        <v>21846.01</v>
      </c>
      <c r="D1280" s="7" t="n">
        <v>21425.79</v>
      </c>
      <c r="E1280" s="7" t="n">
        <v>21478.05</v>
      </c>
      <c r="F1280" s="7" t="n">
        <v>7947</v>
      </c>
      <c r="G1280" s="7" t="n">
        <f aca="false">AVERAGE(E1276:E1280)</f>
        <v>21397.59</v>
      </c>
      <c r="H1280" s="7" t="n">
        <f aca="false">AVERAGE(E1271:E1280)</f>
        <v>21552.356</v>
      </c>
      <c r="I1280" s="7" t="n">
        <f aca="false">AVERAGE(E1261:E1280)</f>
        <v>21322.883</v>
      </c>
      <c r="J1280" s="7" t="n">
        <f aca="false">AVERAGE(E1231:E1280)</f>
        <v>21292.5716</v>
      </c>
      <c r="K1280" s="7" t="n">
        <f aca="false">AVERAGE(E1181:E1280)</f>
        <v>20697.7422</v>
      </c>
      <c r="L1280" s="7" t="n">
        <f aca="false">AVERAGE(E1081:E1280)</f>
        <v>19827.313</v>
      </c>
      <c r="M1280" s="7" t="n">
        <f aca="false">I1280</f>
        <v>21322.883</v>
      </c>
      <c r="N1280" s="7" t="n">
        <f aca="false">I1280+2*STDEV(E1261:E1280)</f>
        <v>21992.7643934013</v>
      </c>
      <c r="O1280" s="7" t="n">
        <f aca="false">I1280-2*STDEV(E1261:E1280)</f>
        <v>20653.0016065987</v>
      </c>
      <c r="P1280" s="7" t="n">
        <f aca="false">MAX(E1280-E1279,0)</f>
        <v>0</v>
      </c>
      <c r="Q1280" s="7" t="n">
        <f aca="false">MAX(E1279-E1280,0)</f>
        <v>30.0699999999997</v>
      </c>
      <c r="R1280" s="7" t="n">
        <f aca="false">(R1279*13+P1280)/14</f>
        <v>105.602491108082</v>
      </c>
      <c r="S1280" s="7" t="n">
        <f aca="false">(S1279*13+Q1280)/14</f>
        <v>97.0199912287547</v>
      </c>
      <c r="T1280" s="7" t="n">
        <f aca="false">IF(S1280=0,100,100-100/(1+R1280/S1280))</f>
        <v>52.1178547859905</v>
      </c>
      <c r="U1280" s="7" t="n">
        <f aca="false">E1280*2/13+U1279*11/13</f>
        <v>21442.8559589717</v>
      </c>
      <c r="V1280" s="7" t="n">
        <f aca="false">E1280*2/27+V1279*25/27</f>
        <v>21371.9599317175</v>
      </c>
      <c r="W1280" s="7" t="n">
        <f aca="false">U1280-V1280</f>
        <v>70.8960272541044</v>
      </c>
      <c r="X1280" s="7" t="n">
        <f aca="false">W1280*2/10+X1279*8/10</f>
        <v>63.5355933841032</v>
      </c>
      <c r="Y1280" s="7" t="n">
        <f aca="false">W1280-X1280</f>
        <v>7.36043387000117</v>
      </c>
      <c r="Z1280" s="8" t="s">
        <v>42</v>
      </c>
      <c r="AA1280" s="7" t="str">
        <f aca="false">IFERROR(INDEX(02_轉折點45!B:B,MATCH(A1280,02_轉折點45!A:A,0)),"")</f>
        <v/>
      </c>
      <c r="AB1280" s="7" t="n">
        <f aca="false">COUNTIFS(05_訊號明細!A:A,A1280,05_訊號明細!C:C,"TOP")</f>
        <v>0</v>
      </c>
      <c r="AC1280" s="7" t="n">
        <f aca="false">COUNTIFS(05_訊號明細!A:A,A1280,05_訊號明細!C:C,"BOTTOM")</f>
        <v>0</v>
      </c>
    </row>
    <row r="1281" customFormat="false" ht="15" hidden="false" customHeight="false" outlineLevel="0" collapsed="false">
      <c r="A1281" s="7" t="s">
        <v>1322</v>
      </c>
      <c r="B1281" s="7" t="n">
        <v>21084.64</v>
      </c>
      <c r="C1281" s="7" t="n">
        <v>21406.58</v>
      </c>
      <c r="D1281" s="7" t="n">
        <v>21004.35</v>
      </c>
      <c r="E1281" s="7" t="n">
        <v>21297.58</v>
      </c>
      <c r="F1281" s="7" t="n">
        <v>8272</v>
      </c>
      <c r="G1281" s="7" t="n">
        <f aca="false">AVERAGE(E1277:E1281)</f>
        <v>21431.65</v>
      </c>
      <c r="H1281" s="7" t="n">
        <f aca="false">AVERAGE(E1272:E1281)</f>
        <v>21537.998</v>
      </c>
      <c r="I1281" s="7" t="n">
        <f aca="false">AVERAGE(E1262:E1281)</f>
        <v>21338.981</v>
      </c>
      <c r="J1281" s="7" t="n">
        <f aca="false">AVERAGE(E1232:E1281)</f>
        <v>21307.7394</v>
      </c>
      <c r="K1281" s="7" t="n">
        <f aca="false">AVERAGE(E1182:E1281)</f>
        <v>20724.1102</v>
      </c>
      <c r="L1281" s="7" t="n">
        <f aca="false">AVERAGE(E1082:E1281)</f>
        <v>19845.2326</v>
      </c>
      <c r="M1281" s="7" t="n">
        <f aca="false">I1281</f>
        <v>21338.981</v>
      </c>
      <c r="N1281" s="7" t="n">
        <f aca="false">I1281+2*STDEV(E1262:E1281)</f>
        <v>21988.9017845463</v>
      </c>
      <c r="O1281" s="7" t="n">
        <f aca="false">I1281-2*STDEV(E1262:E1281)</f>
        <v>20689.0602154537</v>
      </c>
      <c r="P1281" s="7" t="n">
        <f aca="false">MAX(E1281-E1280,0)</f>
        <v>0</v>
      </c>
      <c r="Q1281" s="7" t="n">
        <f aca="false">MAX(E1280-E1281,0)</f>
        <v>180.469999999998</v>
      </c>
      <c r="R1281" s="7" t="n">
        <f aca="false">(R1280*13+P1281)/14</f>
        <v>98.0594560289328</v>
      </c>
      <c r="S1281" s="7" t="n">
        <f aca="false">(S1280*13+Q1281)/14</f>
        <v>102.980706140986</v>
      </c>
      <c r="T1281" s="7" t="n">
        <f aca="false">IF(S1281=0,100,100-100/(1+R1281/S1281))</f>
        <v>48.7760529888814</v>
      </c>
      <c r="U1281" s="7" t="n">
        <f aca="false">E1281*2/13+U1280*11/13</f>
        <v>21420.5058114376</v>
      </c>
      <c r="V1281" s="7" t="n">
        <f aca="false">E1281*2/27+V1280*25/27</f>
        <v>21366.4503071459</v>
      </c>
      <c r="W1281" s="7" t="n">
        <f aca="false">U1281-V1281</f>
        <v>54.0555042916749</v>
      </c>
      <c r="X1281" s="7" t="n">
        <f aca="false">W1281*2/10+X1280*8/10</f>
        <v>61.6395755656176</v>
      </c>
      <c r="Y1281" s="7" t="n">
        <f aca="false">W1281-X1281</f>
        <v>-7.58407127394269</v>
      </c>
      <c r="Z1281" s="8" t="s">
        <v>42</v>
      </c>
      <c r="AA1281" s="7" t="str">
        <f aca="false">IFERROR(INDEX(02_轉折點45!B:B,MATCH(A1281,02_轉折點45!A:A,0)),"")</f>
        <v/>
      </c>
      <c r="AB1281" s="7" t="n">
        <f aca="false">COUNTIFS(05_訊號明細!A:A,A1281,05_訊號明細!C:C,"TOP")</f>
        <v>0</v>
      </c>
      <c r="AC1281" s="7" t="n">
        <f aca="false">COUNTIFS(05_訊號明細!A:A,A1281,05_訊號明細!C:C,"BOTTOM")</f>
        <v>0</v>
      </c>
    </row>
    <row r="1282" customFormat="false" ht="15" hidden="false" customHeight="false" outlineLevel="0" collapsed="false">
      <c r="A1282" s="7" t="s">
        <v>1323</v>
      </c>
      <c r="B1282" s="7" t="n">
        <v>21319.58</v>
      </c>
      <c r="C1282" s="7" t="n">
        <v>21582.4</v>
      </c>
      <c r="D1282" s="7" t="n">
        <v>21308.24</v>
      </c>
      <c r="E1282" s="7" t="n">
        <v>21566.92</v>
      </c>
      <c r="F1282" s="7" t="n">
        <v>6477</v>
      </c>
      <c r="G1282" s="7" t="n">
        <f aca="false">AVERAGE(E1278:E1282)</f>
        <v>21452.426</v>
      </c>
      <c r="H1282" s="7" t="n">
        <f aca="false">AVERAGE(E1273:E1282)</f>
        <v>21538.039</v>
      </c>
      <c r="I1282" s="7" t="n">
        <f aca="false">AVERAGE(E1263:E1282)</f>
        <v>21351.019</v>
      </c>
      <c r="J1282" s="7" t="n">
        <f aca="false">AVERAGE(E1233:E1282)</f>
        <v>21325.386</v>
      </c>
      <c r="K1282" s="7" t="n">
        <f aca="false">AVERAGE(E1183:E1282)</f>
        <v>20751.488</v>
      </c>
      <c r="L1282" s="7" t="n">
        <f aca="false">AVERAGE(E1083:E1282)</f>
        <v>19865.5991</v>
      </c>
      <c r="M1282" s="7" t="n">
        <f aca="false">I1282</f>
        <v>21351.019</v>
      </c>
      <c r="N1282" s="7" t="n">
        <f aca="false">I1282+2*STDEV(E1263:E1282)</f>
        <v>22008.8110668386</v>
      </c>
      <c r="O1282" s="7" t="n">
        <f aca="false">I1282-2*STDEV(E1263:E1282)</f>
        <v>20693.2269331614</v>
      </c>
      <c r="P1282" s="7" t="n">
        <f aca="false">MAX(E1282-E1281,0)</f>
        <v>269.339999999997</v>
      </c>
      <c r="Q1282" s="7" t="n">
        <f aca="false">MAX(E1281-E1282,0)</f>
        <v>0</v>
      </c>
      <c r="R1282" s="7" t="n">
        <f aca="false">(R1281*13+P1282)/14</f>
        <v>110.293780598295</v>
      </c>
      <c r="S1282" s="7" t="n">
        <f aca="false">(S1281*13+Q1282)/14</f>
        <v>95.6249414166302</v>
      </c>
      <c r="T1282" s="7" t="n">
        <f aca="false">IF(S1282=0,100,100-100/(1+R1282/S1282))</f>
        <v>53.5618031809175</v>
      </c>
      <c r="U1282" s="7" t="n">
        <f aca="false">E1282*2/13+U1281*11/13</f>
        <v>21443.0310712164</v>
      </c>
      <c r="V1282" s="7" t="n">
        <f aca="false">E1282*2/27+V1281*25/27</f>
        <v>21381.299914024</v>
      </c>
      <c r="W1282" s="7" t="n">
        <f aca="false">U1282-V1282</f>
        <v>61.7311571924329</v>
      </c>
      <c r="X1282" s="7" t="n">
        <f aca="false">W1282*2/10+X1281*8/10</f>
        <v>61.6578918909806</v>
      </c>
      <c r="Y1282" s="7" t="n">
        <f aca="false">W1282-X1282</f>
        <v>0.0732653014522455</v>
      </c>
      <c r="Z1282" s="8" t="s">
        <v>42</v>
      </c>
      <c r="AA1282" s="7" t="str">
        <f aca="false">IFERROR(INDEX(02_轉折點45!B:B,MATCH(A1282,02_轉折點45!A:A,0)),"")</f>
        <v/>
      </c>
      <c r="AB1282" s="7" t="n">
        <f aca="false">COUNTIFS(05_訊號明細!A:A,A1282,05_訊號明細!C:C,"TOP")</f>
        <v>0</v>
      </c>
      <c r="AC1282" s="7" t="n">
        <f aca="false">COUNTIFS(05_訊號明細!A:A,A1282,05_訊號明細!C:C,"BOTTOM")</f>
        <v>0</v>
      </c>
    </row>
    <row r="1283" customFormat="false" ht="15" hidden="false" customHeight="false" outlineLevel="0" collapsed="false">
      <c r="A1283" s="7" t="s">
        <v>1324</v>
      </c>
      <c r="B1283" s="7" t="n">
        <v>21453.87</v>
      </c>
      <c r="C1283" s="7" t="n">
        <v>21662.98</v>
      </c>
      <c r="D1283" s="7" t="n">
        <v>21408.64</v>
      </c>
      <c r="E1283" s="7" t="n">
        <v>21658.16</v>
      </c>
      <c r="F1283" s="7" t="n">
        <v>6712</v>
      </c>
      <c r="G1283" s="7" t="n">
        <f aca="false">AVERAGE(E1279:E1283)</f>
        <v>21501.766</v>
      </c>
      <c r="H1283" s="7" t="n">
        <f aca="false">AVERAGE(E1274:E1283)</f>
        <v>21518.555</v>
      </c>
      <c r="I1283" s="7" t="n">
        <f aca="false">AVERAGE(E1264:E1283)</f>
        <v>21355.952</v>
      </c>
      <c r="J1283" s="7" t="n">
        <f aca="false">AVERAGE(E1234:E1283)</f>
        <v>21345.2072</v>
      </c>
      <c r="K1283" s="7" t="n">
        <f aca="false">AVERAGE(E1184:E1283)</f>
        <v>20775.6966</v>
      </c>
      <c r="L1283" s="7" t="n">
        <f aca="false">AVERAGE(E1084:E1283)</f>
        <v>19886.91835</v>
      </c>
      <c r="M1283" s="7" t="n">
        <f aca="false">I1283</f>
        <v>21355.952</v>
      </c>
      <c r="N1283" s="7" t="n">
        <f aca="false">I1283+2*STDEV(E1264:E1283)</f>
        <v>22021.7580397064</v>
      </c>
      <c r="O1283" s="7" t="n">
        <f aca="false">I1283-2*STDEV(E1264:E1283)</f>
        <v>20690.1459602936</v>
      </c>
      <c r="P1283" s="7" t="n">
        <f aca="false">MAX(E1283-E1282,0)</f>
        <v>91.2400000000016</v>
      </c>
      <c r="Q1283" s="7" t="n">
        <f aca="false">MAX(E1282-E1283,0)</f>
        <v>0</v>
      </c>
      <c r="R1283" s="7" t="n">
        <f aca="false">(R1282*13+P1283)/14</f>
        <v>108.932796269845</v>
      </c>
      <c r="S1283" s="7" t="n">
        <f aca="false">(S1282*13+Q1283)/14</f>
        <v>88.7945884582995</v>
      </c>
      <c r="T1283" s="7" t="n">
        <f aca="false">IF(S1283=0,100,100-100/(1+R1283/S1283))</f>
        <v>55.0924174815829</v>
      </c>
      <c r="U1283" s="7" t="n">
        <f aca="false">E1283*2/13+U1282*11/13</f>
        <v>21476.1278294908</v>
      </c>
      <c r="V1283" s="7" t="n">
        <f aca="false">E1283*2/27+V1282*25/27</f>
        <v>21401.8080685407</v>
      </c>
      <c r="W1283" s="7" t="n">
        <f aca="false">U1283-V1283</f>
        <v>74.319760950093</v>
      </c>
      <c r="X1283" s="7" t="n">
        <f aca="false">W1283*2/10+X1282*8/10</f>
        <v>64.1902657028031</v>
      </c>
      <c r="Y1283" s="7" t="n">
        <f aca="false">W1283-X1283</f>
        <v>10.1294952472899</v>
      </c>
      <c r="Z1283" s="8" t="s">
        <v>42</v>
      </c>
      <c r="AA1283" s="7" t="str">
        <f aca="false">IFERROR(INDEX(02_轉折點45!B:B,MATCH(A1283,02_轉折點45!A:A,0)),"")</f>
        <v/>
      </c>
      <c r="AB1283" s="7" t="n">
        <f aca="false">COUNTIFS(05_訊號明細!A:A,A1283,05_訊號明細!C:C,"TOP")</f>
        <v>0</v>
      </c>
      <c r="AC1283" s="7" t="n">
        <f aca="false">COUNTIFS(05_訊號明細!A:A,A1283,05_訊號明細!C:C,"BOTTOM")</f>
        <v>0</v>
      </c>
    </row>
    <row r="1284" customFormat="false" ht="15" hidden="false" customHeight="false" outlineLevel="0" collapsed="false">
      <c r="A1284" s="7" t="s">
        <v>1325</v>
      </c>
      <c r="B1284" s="7" t="n">
        <v>21674.17</v>
      </c>
      <c r="C1284" s="7" t="n">
        <v>21776.08</v>
      </c>
      <c r="D1284" s="7" t="n">
        <v>21618.25</v>
      </c>
      <c r="E1284" s="7" t="n">
        <v>21774.07</v>
      </c>
      <c r="F1284" s="7" t="n">
        <v>6642</v>
      </c>
      <c r="G1284" s="7" t="n">
        <f aca="false">AVERAGE(E1280:E1284)</f>
        <v>21554.956</v>
      </c>
      <c r="H1284" s="7" t="n">
        <f aca="false">AVERAGE(E1275:E1284)</f>
        <v>21505.869</v>
      </c>
      <c r="I1284" s="7" t="n">
        <f aca="false">AVERAGE(E1265:E1284)</f>
        <v>21386.0035</v>
      </c>
      <c r="J1284" s="7" t="n">
        <f aca="false">AVERAGE(E1235:E1284)</f>
        <v>21365.873</v>
      </c>
      <c r="K1284" s="7" t="n">
        <f aca="false">AVERAGE(E1185:E1284)</f>
        <v>20799.2066</v>
      </c>
      <c r="L1284" s="7" t="n">
        <f aca="false">AVERAGE(E1085:E1284)</f>
        <v>19910.60045</v>
      </c>
      <c r="M1284" s="7" t="n">
        <f aca="false">I1284</f>
        <v>21386.0035</v>
      </c>
      <c r="N1284" s="7" t="n">
        <f aca="false">I1284+2*STDEV(E1265:E1284)</f>
        <v>22071.0264348531</v>
      </c>
      <c r="O1284" s="7" t="n">
        <f aca="false">I1284-2*STDEV(E1265:E1284)</f>
        <v>20700.9805651469</v>
      </c>
      <c r="P1284" s="7" t="n">
        <f aca="false">MAX(E1284-E1283,0)</f>
        <v>115.91</v>
      </c>
      <c r="Q1284" s="7" t="n">
        <f aca="false">MAX(E1283-E1284,0)</f>
        <v>0</v>
      </c>
      <c r="R1284" s="7" t="n">
        <f aca="false">(R1283*13+P1284)/14</f>
        <v>109.431167964856</v>
      </c>
      <c r="S1284" s="7" t="n">
        <f aca="false">(S1283*13+Q1284)/14</f>
        <v>82.4521178541352</v>
      </c>
      <c r="T1284" s="7" t="n">
        <f aca="false">IF(S1284=0,100,100-100/(1+R1284/S1284))</f>
        <v>57.0300677819774</v>
      </c>
      <c r="U1284" s="7" t="n">
        <f aca="false">E1284*2/13+U1283*11/13</f>
        <v>21521.9650864922</v>
      </c>
      <c r="V1284" s="7" t="n">
        <f aca="false">E1284*2/27+V1283*25/27</f>
        <v>21429.3830264266</v>
      </c>
      <c r="W1284" s="7" t="n">
        <f aca="false">U1284-V1284</f>
        <v>92.5820600656371</v>
      </c>
      <c r="X1284" s="7" t="n">
        <f aca="false">W1284*2/10+X1283*8/10</f>
        <v>69.8686245753699</v>
      </c>
      <c r="Y1284" s="7" t="n">
        <f aca="false">W1284-X1284</f>
        <v>22.7134354902671</v>
      </c>
      <c r="Z1284" s="8" t="s">
        <v>42</v>
      </c>
      <c r="AA1284" s="7" t="str">
        <f aca="false">IFERROR(INDEX(02_轉折點45!B:B,MATCH(A1284,02_轉折點45!A:A,0)),"")</f>
        <v/>
      </c>
      <c r="AB1284" s="7" t="n">
        <f aca="false">COUNTIFS(05_訊號明細!A:A,A1284,05_訊號明細!C:C,"TOP")</f>
        <v>1</v>
      </c>
      <c r="AC1284" s="7" t="n">
        <f aca="false">COUNTIFS(05_訊號明細!A:A,A1284,05_訊號明細!C:C,"BOTTOM")</f>
        <v>0</v>
      </c>
    </row>
    <row r="1285" customFormat="false" ht="15" hidden="false" customHeight="false" outlineLevel="0" collapsed="false">
      <c r="A1285" s="7" t="s">
        <v>1326</v>
      </c>
      <c r="B1285" s="7" t="n">
        <v>21776.28</v>
      </c>
      <c r="C1285" s="7" t="n">
        <v>21869.32</v>
      </c>
      <c r="D1285" s="7" t="n">
        <v>21465.46</v>
      </c>
      <c r="E1285" s="7" t="n">
        <v>21491.31</v>
      </c>
      <c r="F1285" s="7" t="n">
        <v>7749</v>
      </c>
      <c r="G1285" s="7" t="n">
        <f aca="false">AVERAGE(E1281:E1285)</f>
        <v>21557.608</v>
      </c>
      <c r="H1285" s="7" t="n">
        <f aca="false">AVERAGE(E1276:E1285)</f>
        <v>21477.599</v>
      </c>
      <c r="I1285" s="7" t="n">
        <f aca="false">AVERAGE(E1266:E1285)</f>
        <v>21401.5205</v>
      </c>
      <c r="J1285" s="7" t="n">
        <f aca="false">AVERAGE(E1236:E1285)</f>
        <v>21380.1746</v>
      </c>
      <c r="K1285" s="7" t="n">
        <f aca="false">AVERAGE(E1186:E1285)</f>
        <v>20818.9738</v>
      </c>
      <c r="L1285" s="7" t="n">
        <f aca="false">AVERAGE(E1086:E1285)</f>
        <v>19932.00255</v>
      </c>
      <c r="M1285" s="7" t="n">
        <f aca="false">I1285</f>
        <v>21401.5205</v>
      </c>
      <c r="N1285" s="7" t="n">
        <f aca="false">I1285+2*STDEV(E1266:E1285)</f>
        <v>22081.0254557304</v>
      </c>
      <c r="O1285" s="7" t="n">
        <f aca="false">I1285-2*STDEV(E1266:E1285)</f>
        <v>20722.0155442697</v>
      </c>
      <c r="P1285" s="7" t="n">
        <f aca="false">MAX(E1285-E1284,0)</f>
        <v>0</v>
      </c>
      <c r="Q1285" s="7" t="n">
        <f aca="false">MAX(E1284-E1285,0)</f>
        <v>282.759999999998</v>
      </c>
      <c r="R1285" s="7" t="n">
        <f aca="false">(R1284*13+P1285)/14</f>
        <v>101.614655967366</v>
      </c>
      <c r="S1285" s="7" t="n">
        <f aca="false">(S1284*13+Q1285)/14</f>
        <v>96.7598237216969</v>
      </c>
      <c r="T1285" s="7" t="n">
        <f aca="false">IF(S1285=0,100,100-100/(1+R1285/S1285))</f>
        <v>51.2236534289287</v>
      </c>
      <c r="U1285" s="7" t="n">
        <f aca="false">E1285*2/13+U1284*11/13</f>
        <v>21517.2489193396</v>
      </c>
      <c r="V1285" s="7" t="n">
        <f aca="false">E1285*2/27+V1284*25/27</f>
        <v>21433.9702096542</v>
      </c>
      <c r="W1285" s="7" t="n">
        <f aca="false">U1285-V1285</f>
        <v>83.2787096853281</v>
      </c>
      <c r="X1285" s="7" t="n">
        <f aca="false">W1285*2/10+X1284*8/10</f>
        <v>72.5506415973615</v>
      </c>
      <c r="Y1285" s="7" t="n">
        <f aca="false">W1285-X1285</f>
        <v>10.7280680879665</v>
      </c>
      <c r="Z1285" s="8" t="s">
        <v>42</v>
      </c>
      <c r="AA1285" s="7" t="str">
        <f aca="false">IFERROR(INDEX(02_轉折點45!B:B,MATCH(A1285,02_轉折點45!A:A,0)),"")</f>
        <v/>
      </c>
      <c r="AB1285" s="7" t="n">
        <f aca="false">COUNTIFS(05_訊號明細!A:A,A1285,05_訊號明細!C:C,"TOP")</f>
        <v>0</v>
      </c>
      <c r="AC1285" s="7" t="n">
        <f aca="false">COUNTIFS(05_訊號明細!A:A,A1285,05_訊號明細!C:C,"BOTTOM")</f>
        <v>0</v>
      </c>
    </row>
    <row r="1286" customFormat="false" ht="15" hidden="false" customHeight="false" outlineLevel="0" collapsed="false">
      <c r="A1286" s="7" t="s">
        <v>1327</v>
      </c>
      <c r="B1286" s="7" t="n">
        <v>21670.06</v>
      </c>
      <c r="C1286" s="7" t="n">
        <v>21793.13</v>
      </c>
      <c r="D1286" s="7" t="n">
        <v>21645.17</v>
      </c>
      <c r="E1286" s="7" t="n">
        <v>21756.73</v>
      </c>
      <c r="F1286" s="7" t="n">
        <v>9535</v>
      </c>
      <c r="G1286" s="7" t="n">
        <f aca="false">AVERAGE(E1282:E1286)</f>
        <v>21649.438</v>
      </c>
      <c r="H1286" s="7" t="n">
        <f aca="false">AVERAGE(E1277:E1286)</f>
        <v>21540.544</v>
      </c>
      <c r="I1286" s="7" t="n">
        <f aca="false">AVERAGE(E1267:E1286)</f>
        <v>21446.978</v>
      </c>
      <c r="J1286" s="7" t="n">
        <f aca="false">AVERAGE(E1237:E1286)</f>
        <v>21399.2114</v>
      </c>
      <c r="K1286" s="7" t="n">
        <f aca="false">AVERAGE(E1187:E1286)</f>
        <v>20842.3105</v>
      </c>
      <c r="L1286" s="7" t="n">
        <f aca="false">AVERAGE(E1087:E1286)</f>
        <v>19953.42885</v>
      </c>
      <c r="M1286" s="7" t="n">
        <f aca="false">I1286</f>
        <v>21446.978</v>
      </c>
      <c r="N1286" s="7" t="n">
        <f aca="false">I1286+2*STDEV(E1267:E1286)</f>
        <v>22091.1746360996</v>
      </c>
      <c r="O1286" s="7" t="n">
        <f aca="false">I1286-2*STDEV(E1267:E1286)</f>
        <v>20802.7813639004</v>
      </c>
      <c r="P1286" s="7" t="n">
        <f aca="false">MAX(E1286-E1285,0)</f>
        <v>265.419999999998</v>
      </c>
      <c r="Q1286" s="7" t="n">
        <f aca="false">MAX(E1285-E1286,0)</f>
        <v>0</v>
      </c>
      <c r="R1286" s="7" t="n">
        <f aca="false">(R1285*13+P1286)/14</f>
        <v>113.315037683983</v>
      </c>
      <c r="S1286" s="7" t="n">
        <f aca="false">(S1285*13+Q1286)/14</f>
        <v>89.8484077415757</v>
      </c>
      <c r="T1286" s="7" t="n">
        <f aca="false">IF(S1286=0,100,100-100/(1+R1286/S1286))</f>
        <v>55.7753081252517</v>
      </c>
      <c r="U1286" s="7" t="n">
        <f aca="false">E1286*2/13+U1285*11/13</f>
        <v>21554.0921625181</v>
      </c>
      <c r="V1286" s="7" t="n">
        <f aca="false">E1286*2/27+V1285*25/27</f>
        <v>21457.8783422724</v>
      </c>
      <c r="W1286" s="7" t="n">
        <f aca="false">U1286-V1286</f>
        <v>96.2138202456517</v>
      </c>
      <c r="X1286" s="7" t="n">
        <f aca="false">W1286*2/10+X1285*8/10</f>
        <v>77.2832773270196</v>
      </c>
      <c r="Y1286" s="7" t="n">
        <f aca="false">W1286-X1286</f>
        <v>18.9305429186322</v>
      </c>
      <c r="Z1286" s="8" t="s">
        <v>42</v>
      </c>
      <c r="AA1286" s="7" t="str">
        <f aca="false">IFERROR(INDEX(02_轉折點45!B:B,MATCH(A1286,02_轉折點45!A:A,0)),"")</f>
        <v/>
      </c>
      <c r="AB1286" s="7" t="n">
        <f aca="false">COUNTIFS(05_訊號明細!A:A,A1286,05_訊號明細!C:C,"TOP")</f>
        <v>0</v>
      </c>
      <c r="AC1286" s="7" t="n">
        <f aca="false">COUNTIFS(05_訊號明細!A:A,A1286,05_訊號明細!C:C,"BOTTOM")</f>
        <v>0</v>
      </c>
    </row>
    <row r="1287" customFormat="false" ht="15" hidden="false" customHeight="false" outlineLevel="0" collapsed="false">
      <c r="A1287" s="7" t="s">
        <v>1328</v>
      </c>
      <c r="B1287" s="7" t="n">
        <v>21629.11</v>
      </c>
      <c r="C1287" s="7" t="n">
        <v>21776.25</v>
      </c>
      <c r="D1287" s="7" t="n">
        <v>21625.51</v>
      </c>
      <c r="E1287" s="7" t="n">
        <v>21693.52</v>
      </c>
      <c r="F1287" s="7" t="n">
        <v>9269</v>
      </c>
      <c r="G1287" s="7" t="n">
        <f aca="false">AVERAGE(E1283:E1287)</f>
        <v>21674.758</v>
      </c>
      <c r="H1287" s="7" t="n">
        <f aca="false">AVERAGE(E1278:E1287)</f>
        <v>21563.592</v>
      </c>
      <c r="I1287" s="7" t="n">
        <f aca="false">AVERAGE(E1268:E1287)</f>
        <v>21492.418</v>
      </c>
      <c r="J1287" s="7" t="n">
        <f aca="false">AVERAGE(E1238:E1287)</f>
        <v>21414.6238</v>
      </c>
      <c r="K1287" s="7" t="n">
        <f aca="false">AVERAGE(E1188:E1287)</f>
        <v>20864.9217</v>
      </c>
      <c r="L1287" s="7" t="n">
        <f aca="false">AVERAGE(E1088:E1287)</f>
        <v>19974.26245</v>
      </c>
      <c r="M1287" s="7" t="n">
        <f aca="false">I1287</f>
        <v>21492.418</v>
      </c>
      <c r="N1287" s="7" t="n">
        <f aca="false">I1287+2*STDEV(E1268:E1287)</f>
        <v>22064.0455251227</v>
      </c>
      <c r="O1287" s="7" t="n">
        <f aca="false">I1287-2*STDEV(E1268:E1287)</f>
        <v>20920.7904748773</v>
      </c>
      <c r="P1287" s="7" t="n">
        <f aca="false">MAX(E1287-E1286,0)</f>
        <v>0</v>
      </c>
      <c r="Q1287" s="7" t="n">
        <f aca="false">MAX(E1286-E1287,0)</f>
        <v>63.2099999999991</v>
      </c>
      <c r="R1287" s="7" t="n">
        <f aca="false">(R1286*13+P1287)/14</f>
        <v>105.221106420841</v>
      </c>
      <c r="S1287" s="7" t="n">
        <f aca="false">(S1286*13+Q1287)/14</f>
        <v>87.9456643314631</v>
      </c>
      <c r="T1287" s="7" t="n">
        <f aca="false">IF(S1287=0,100,100-100/(1+R1287/S1287))</f>
        <v>54.4716392012191</v>
      </c>
      <c r="U1287" s="7" t="n">
        <f aca="false">E1287*2/13+U1286*11/13</f>
        <v>21575.5425990538</v>
      </c>
      <c r="V1287" s="7" t="n">
        <f aca="false">E1287*2/27+V1286*25/27</f>
        <v>21475.3332798819</v>
      </c>
      <c r="W1287" s="7" t="n">
        <f aca="false">U1287-V1287</f>
        <v>100.209319171881</v>
      </c>
      <c r="X1287" s="7" t="n">
        <f aca="false">W1287*2/10+X1286*8/10</f>
        <v>81.8684856959919</v>
      </c>
      <c r="Y1287" s="7" t="n">
        <f aca="false">W1287-X1287</f>
        <v>18.3408334758894</v>
      </c>
      <c r="Z1287" s="8" t="s">
        <v>42</v>
      </c>
      <c r="AA1287" s="7" t="str">
        <f aca="false">IFERROR(INDEX(02_轉折點45!B:B,MATCH(A1287,02_轉折點45!A:A,0)),"")</f>
        <v/>
      </c>
      <c r="AB1287" s="7" t="n">
        <f aca="false">COUNTIFS(05_訊號明細!A:A,A1287,05_訊號明細!C:C,"TOP")</f>
        <v>0</v>
      </c>
      <c r="AC1287" s="7" t="n">
        <f aca="false">COUNTIFS(05_訊號明細!A:A,A1287,05_訊號明細!C:C,"BOTTOM")</f>
        <v>0</v>
      </c>
    </row>
    <row r="1288" customFormat="false" ht="15" hidden="false" customHeight="false" outlineLevel="0" collapsed="false">
      <c r="A1288" s="7" t="s">
        <v>1329</v>
      </c>
      <c r="B1288" s="7" t="n">
        <v>21475.41</v>
      </c>
      <c r="C1288" s="7" t="n">
        <v>21745.66</v>
      </c>
      <c r="D1288" s="7" t="n">
        <v>21454.19</v>
      </c>
      <c r="E1288" s="7" t="n">
        <v>21719.26</v>
      </c>
      <c r="F1288" s="7" t="n">
        <v>7947</v>
      </c>
      <c r="G1288" s="7" t="n">
        <f aca="false">AVERAGE(E1284:E1288)</f>
        <v>21686.978</v>
      </c>
      <c r="H1288" s="7" t="n">
        <f aca="false">AVERAGE(E1279:E1288)</f>
        <v>21594.372</v>
      </c>
      <c r="I1288" s="7" t="n">
        <f aca="false">AVERAGE(E1269:E1288)</f>
        <v>21540.5105</v>
      </c>
      <c r="J1288" s="7" t="n">
        <f aca="false">AVERAGE(E1239:E1288)</f>
        <v>21434.1192</v>
      </c>
      <c r="K1288" s="7" t="n">
        <f aca="false">AVERAGE(E1189:E1288)</f>
        <v>20888.6694</v>
      </c>
      <c r="L1288" s="7" t="n">
        <f aca="false">AVERAGE(E1089:E1288)</f>
        <v>19995.70625</v>
      </c>
      <c r="M1288" s="7" t="n">
        <f aca="false">I1288</f>
        <v>21540.5105</v>
      </c>
      <c r="N1288" s="7" t="n">
        <f aca="false">I1288+2*STDEV(E1269:E1288)</f>
        <v>22003.2400202429</v>
      </c>
      <c r="O1288" s="7" t="n">
        <f aca="false">I1288-2*STDEV(E1269:E1288)</f>
        <v>21077.7809797571</v>
      </c>
      <c r="P1288" s="7" t="n">
        <f aca="false">MAX(E1288-E1287,0)</f>
        <v>25.739999999998</v>
      </c>
      <c r="Q1288" s="7" t="n">
        <f aca="false">MAX(E1287-E1288,0)</f>
        <v>0</v>
      </c>
      <c r="R1288" s="7" t="n">
        <f aca="false">(R1287*13+P1288)/14</f>
        <v>99.5438845336382</v>
      </c>
      <c r="S1288" s="7" t="n">
        <f aca="false">(S1287*13+Q1288)/14</f>
        <v>81.66383116493</v>
      </c>
      <c r="T1288" s="7" t="n">
        <f aca="false">IF(S1288=0,100,100-100/(1+R1288/S1288))</f>
        <v>54.933579483572</v>
      </c>
      <c r="U1288" s="7" t="n">
        <f aca="false">E1288*2/13+U1287*11/13</f>
        <v>21597.6529684301</v>
      </c>
      <c r="V1288" s="7" t="n">
        <f aca="false">E1288*2/27+V1287*25/27</f>
        <v>21493.4019258166</v>
      </c>
      <c r="W1288" s="7" t="n">
        <f aca="false">U1288-V1288</f>
        <v>104.251042613549</v>
      </c>
      <c r="X1288" s="7" t="n">
        <f aca="false">W1288*2/10+X1287*8/10</f>
        <v>86.3449970795033</v>
      </c>
      <c r="Y1288" s="7" t="n">
        <f aca="false">W1288-X1288</f>
        <v>17.9060455340453</v>
      </c>
      <c r="Z1288" s="8" t="s">
        <v>42</v>
      </c>
      <c r="AA1288" s="7" t="str">
        <f aca="false">IFERROR(INDEX(02_轉折點45!B:B,MATCH(A1288,02_轉折點45!A:A,0)),"")</f>
        <v/>
      </c>
      <c r="AB1288" s="7" t="n">
        <f aca="false">COUNTIFS(05_訊號明細!A:A,A1288,05_訊號明細!C:C,"TOP")</f>
        <v>0</v>
      </c>
      <c r="AC1288" s="7" t="n">
        <f aca="false">COUNTIFS(05_訊號明細!A:A,A1288,05_訊號明細!C:C,"BOTTOM")</f>
        <v>0</v>
      </c>
    </row>
    <row r="1289" customFormat="false" ht="15" hidden="false" customHeight="false" outlineLevel="0" collapsed="false">
      <c r="A1289" s="7" t="s">
        <v>1330</v>
      </c>
      <c r="B1289" s="7" t="n">
        <v>21786.16</v>
      </c>
      <c r="C1289" s="7" t="n">
        <v>22038.15</v>
      </c>
      <c r="D1289" s="7" t="n">
        <v>21758.04</v>
      </c>
      <c r="E1289" s="7" t="n">
        <v>22030.71</v>
      </c>
      <c r="F1289" s="7" t="n">
        <v>8415</v>
      </c>
      <c r="G1289" s="7" t="n">
        <f aca="false">AVERAGE(E1285:E1289)</f>
        <v>21738.306</v>
      </c>
      <c r="H1289" s="7" t="n">
        <f aca="false">AVERAGE(E1280:E1289)</f>
        <v>21646.631</v>
      </c>
      <c r="I1289" s="7" t="n">
        <f aca="false">AVERAGE(E1270:E1289)</f>
        <v>21580.1535</v>
      </c>
      <c r="J1289" s="7" t="n">
        <f aca="false">AVERAGE(E1240:E1289)</f>
        <v>21456.126</v>
      </c>
      <c r="K1289" s="7" t="n">
        <f aca="false">AVERAGE(E1190:E1289)</f>
        <v>20910.5782</v>
      </c>
      <c r="L1289" s="7" t="n">
        <f aca="false">AVERAGE(E1090:E1289)</f>
        <v>20017.2683</v>
      </c>
      <c r="M1289" s="7" t="n">
        <f aca="false">I1289</f>
        <v>21580.1535</v>
      </c>
      <c r="N1289" s="7" t="n">
        <f aca="false">I1289+2*STDEV(E1270:E1289)</f>
        <v>22068.8303849293</v>
      </c>
      <c r="O1289" s="7" t="n">
        <f aca="false">I1289-2*STDEV(E1270:E1289)</f>
        <v>21091.4766150707</v>
      </c>
      <c r="P1289" s="7" t="n">
        <f aca="false">MAX(E1289-E1288,0)</f>
        <v>311.450000000001</v>
      </c>
      <c r="Q1289" s="7" t="n">
        <f aca="false">MAX(E1288-E1289,0)</f>
        <v>0</v>
      </c>
      <c r="R1289" s="7" t="n">
        <f aca="false">(R1288*13+P1289)/14</f>
        <v>114.680035638378</v>
      </c>
      <c r="S1289" s="7" t="n">
        <f aca="false">(S1288*13+Q1289)/14</f>
        <v>75.830700367435</v>
      </c>
      <c r="T1289" s="7" t="n">
        <f aca="false">IF(S1289=0,100,100-100/(1+R1289/S1289))</f>
        <v>60.1961013025948</v>
      </c>
      <c r="U1289" s="7" t="n">
        <f aca="false">E1289*2/13+U1288*11/13</f>
        <v>21664.2771271332</v>
      </c>
      <c r="V1289" s="7" t="n">
        <f aca="false">E1289*2/27+V1288*25/27</f>
        <v>21533.2025239042</v>
      </c>
      <c r="W1289" s="7" t="n">
        <f aca="false">U1289-V1289</f>
        <v>131.074603228946</v>
      </c>
      <c r="X1289" s="7" t="n">
        <f aca="false">W1289*2/10+X1288*8/10</f>
        <v>95.2909183093919</v>
      </c>
      <c r="Y1289" s="7" t="n">
        <f aca="false">W1289-X1289</f>
        <v>35.7836849195543</v>
      </c>
      <c r="Z1289" s="8" t="s">
        <v>42</v>
      </c>
      <c r="AA1289" s="7" t="str">
        <f aca="false">IFERROR(INDEX(02_轉折點45!B:B,MATCH(A1289,02_轉折點45!A:A,0)),"")</f>
        <v/>
      </c>
      <c r="AB1289" s="7" t="n">
        <f aca="false">COUNTIFS(05_訊號明細!A:A,A1289,05_訊號明細!C:C,"TOP")</f>
        <v>0</v>
      </c>
      <c r="AC1289" s="7" t="n">
        <f aca="false">COUNTIFS(05_訊號明細!A:A,A1289,05_訊號明細!C:C,"BOTTOM")</f>
        <v>0</v>
      </c>
    </row>
    <row r="1290" customFormat="false" ht="15" hidden="false" customHeight="false" outlineLevel="0" collapsed="false">
      <c r="A1290" s="7" t="s">
        <v>1331</v>
      </c>
      <c r="B1290" s="7" t="n">
        <v>22038.61</v>
      </c>
      <c r="C1290" s="7" t="n">
        <v>22139.43</v>
      </c>
      <c r="D1290" s="7" t="n">
        <v>22010.35</v>
      </c>
      <c r="E1290" s="7" t="n">
        <v>22114.69</v>
      </c>
      <c r="F1290" s="7" t="n">
        <v>7996</v>
      </c>
      <c r="G1290" s="7" t="n">
        <f aca="false">AVERAGE(E1286:E1290)</f>
        <v>21862.982</v>
      </c>
      <c r="H1290" s="7" t="n">
        <f aca="false">AVERAGE(E1281:E1290)</f>
        <v>21710.295</v>
      </c>
      <c r="I1290" s="7" t="n">
        <f aca="false">AVERAGE(E1271:E1290)</f>
        <v>21631.3255</v>
      </c>
      <c r="J1290" s="7" t="n">
        <f aca="false">AVERAGE(E1241:E1290)</f>
        <v>21475.1278</v>
      </c>
      <c r="K1290" s="7" t="n">
        <f aca="false">AVERAGE(E1191:E1290)</f>
        <v>20933.8102</v>
      </c>
      <c r="L1290" s="7" t="n">
        <f aca="false">AVERAGE(E1091:E1290)</f>
        <v>20038.92815</v>
      </c>
      <c r="M1290" s="7" t="n">
        <f aca="false">I1290</f>
        <v>21631.3255</v>
      </c>
      <c r="N1290" s="7" t="n">
        <f aca="false">I1290+2*STDEV(E1271:E1290)</f>
        <v>22118.7797635917</v>
      </c>
      <c r="O1290" s="7" t="n">
        <f aca="false">I1290-2*STDEV(E1271:E1290)</f>
        <v>21143.8712364083</v>
      </c>
      <c r="P1290" s="7" t="n">
        <f aca="false">MAX(E1290-E1289,0)</f>
        <v>83.9799999999996</v>
      </c>
      <c r="Q1290" s="7" t="n">
        <f aca="false">MAX(E1289-E1290,0)</f>
        <v>0</v>
      </c>
      <c r="R1290" s="7" t="n">
        <f aca="false">(R1289*13+P1290)/14</f>
        <v>112.487175949923</v>
      </c>
      <c r="S1290" s="7" t="n">
        <f aca="false">(S1289*13+Q1290)/14</f>
        <v>70.4142217697611</v>
      </c>
      <c r="T1290" s="7" t="n">
        <f aca="false">IF(S1290=0,100,100-100/(1+R1290/S1290))</f>
        <v>61.5015398200081</v>
      </c>
      <c r="U1290" s="7" t="n">
        <f aca="false">E1290*2/13+U1289*11/13</f>
        <v>21733.5714152665</v>
      </c>
      <c r="V1290" s="7" t="n">
        <f aca="false">E1290*2/27+V1289*25/27</f>
        <v>21576.2756702817</v>
      </c>
      <c r="W1290" s="7" t="n">
        <f aca="false">U1290-V1290</f>
        <v>157.29574498484</v>
      </c>
      <c r="X1290" s="7" t="n">
        <f aca="false">W1290*2/10+X1289*8/10</f>
        <v>107.691883644482</v>
      </c>
      <c r="Y1290" s="7" t="n">
        <f aca="false">W1290-X1290</f>
        <v>49.6038613403585</v>
      </c>
      <c r="Z1290" s="8" t="s">
        <v>42</v>
      </c>
      <c r="AA1290" s="7" t="str">
        <f aca="false">IFERROR(INDEX(02_轉折點45!B:B,MATCH(A1290,02_轉折點45!A:A,0)),"")</f>
        <v/>
      </c>
      <c r="AB1290" s="7" t="n">
        <f aca="false">COUNTIFS(05_訊號明細!A:A,A1290,05_訊號明細!C:C,"TOP")</f>
        <v>2</v>
      </c>
      <c r="AC1290" s="7" t="n">
        <f aca="false">COUNTIFS(05_訊號明細!A:A,A1290,05_訊號明細!C:C,"BOTTOM")</f>
        <v>0</v>
      </c>
    </row>
    <row r="1291" customFormat="false" ht="15" hidden="false" customHeight="false" outlineLevel="0" collapsed="false">
      <c r="A1291" s="7" t="s">
        <v>1332</v>
      </c>
      <c r="B1291" s="7" t="n">
        <v>22176.01</v>
      </c>
      <c r="C1291" s="7" t="n">
        <v>22191.37</v>
      </c>
      <c r="D1291" s="7" t="n">
        <v>22029.58</v>
      </c>
      <c r="E1291" s="7" t="n">
        <v>22164.61</v>
      </c>
      <c r="F1291" s="7" t="n">
        <v>8683</v>
      </c>
      <c r="G1291" s="7" t="n">
        <f aca="false">AVERAGE(E1287:E1291)</f>
        <v>21944.558</v>
      </c>
      <c r="H1291" s="7" t="n">
        <f aca="false">AVERAGE(E1282:E1291)</f>
        <v>21796.998</v>
      </c>
      <c r="I1291" s="7" t="n">
        <f aca="false">AVERAGE(E1272:E1291)</f>
        <v>21667.498</v>
      </c>
      <c r="J1291" s="7" t="n">
        <f aca="false">AVERAGE(E1242:E1291)</f>
        <v>21493.8336</v>
      </c>
      <c r="K1291" s="7" t="n">
        <f aca="false">AVERAGE(E1192:E1291)</f>
        <v>20956.9343</v>
      </c>
      <c r="L1291" s="7" t="n">
        <f aca="false">AVERAGE(E1092:E1291)</f>
        <v>20062.54775</v>
      </c>
      <c r="M1291" s="7" t="n">
        <f aca="false">I1291</f>
        <v>21667.498</v>
      </c>
      <c r="N1291" s="7" t="n">
        <f aca="false">I1291+2*STDEV(E1272:E1291)</f>
        <v>22200.7533108517</v>
      </c>
      <c r="O1291" s="7" t="n">
        <f aca="false">I1291-2*STDEV(E1272:E1291)</f>
        <v>21134.2426891483</v>
      </c>
      <c r="P1291" s="7" t="n">
        <f aca="false">MAX(E1291-E1290,0)</f>
        <v>49.9200000000019</v>
      </c>
      <c r="Q1291" s="7" t="n">
        <f aca="false">MAX(E1290-E1291,0)</f>
        <v>0</v>
      </c>
      <c r="R1291" s="7" t="n">
        <f aca="false">(R1290*13+P1291)/14</f>
        <v>108.0180919535</v>
      </c>
      <c r="S1291" s="7" t="n">
        <f aca="false">(S1290*13+Q1291)/14</f>
        <v>65.3846345004924</v>
      </c>
      <c r="T1291" s="7" t="n">
        <f aca="false">IF(S1291=0,100,100-100/(1+R1291/S1291))</f>
        <v>62.293191210093</v>
      </c>
      <c r="U1291" s="7" t="n">
        <f aca="false">E1291*2/13+U1290*11/13</f>
        <v>21799.8850436871</v>
      </c>
      <c r="V1291" s="7" t="n">
        <f aca="false">E1291*2/27+V1290*25/27</f>
        <v>21619.8559910016</v>
      </c>
      <c r="W1291" s="7" t="n">
        <f aca="false">U1291-V1291</f>
        <v>180.029052685499</v>
      </c>
      <c r="X1291" s="7" t="n">
        <f aca="false">W1291*2/10+X1290*8/10</f>
        <v>122.159317452685</v>
      </c>
      <c r="Y1291" s="7" t="n">
        <f aca="false">W1291-X1291</f>
        <v>57.8697352328138</v>
      </c>
      <c r="Z1291" s="8" t="s">
        <v>42</v>
      </c>
      <c r="AA1291" s="7" t="str">
        <f aca="false">IFERROR(INDEX(02_轉折點45!B:B,MATCH(A1291,02_轉折點45!A:A,0)),"")</f>
        <v/>
      </c>
      <c r="AB1291" s="7" t="n">
        <f aca="false">COUNTIFS(05_訊號明細!A:A,A1291,05_訊號明細!C:C,"TOP")</f>
        <v>1</v>
      </c>
      <c r="AC1291" s="7" t="n">
        <f aca="false">COUNTIFS(05_訊號明細!A:A,A1291,05_訊號明細!C:C,"BOTTOM")</f>
        <v>0</v>
      </c>
    </row>
    <row r="1292" customFormat="false" ht="15" hidden="false" customHeight="false" outlineLevel="0" collapsed="false">
      <c r="A1292" s="7" t="s">
        <v>1333</v>
      </c>
      <c r="B1292" s="7" t="n">
        <v>22121.73</v>
      </c>
      <c r="C1292" s="7" t="n">
        <v>22222.61</v>
      </c>
      <c r="D1292" s="7" t="n">
        <v>22045.75</v>
      </c>
      <c r="E1292" s="7" t="n">
        <v>22175.6</v>
      </c>
      <c r="F1292" s="7" t="n">
        <v>8172</v>
      </c>
      <c r="G1292" s="7" t="n">
        <f aca="false">AVERAGE(E1288:E1292)</f>
        <v>22040.974</v>
      </c>
      <c r="H1292" s="7" t="n">
        <f aca="false">AVERAGE(E1283:E1292)</f>
        <v>21857.866</v>
      </c>
      <c r="I1292" s="7" t="n">
        <f aca="false">AVERAGE(E1273:E1292)</f>
        <v>21697.9525</v>
      </c>
      <c r="J1292" s="7" t="n">
        <f aca="false">AVERAGE(E1243:E1292)</f>
        <v>21507.4984</v>
      </c>
      <c r="K1292" s="7" t="n">
        <f aca="false">AVERAGE(E1193:E1292)</f>
        <v>20979.2419</v>
      </c>
      <c r="L1292" s="7" t="n">
        <f aca="false">AVERAGE(E1093:E1292)</f>
        <v>20086.833</v>
      </c>
      <c r="M1292" s="7" t="n">
        <f aca="false">I1292</f>
        <v>21697.9525</v>
      </c>
      <c r="N1292" s="7" t="n">
        <f aca="false">I1292+2*STDEV(E1273:E1292)</f>
        <v>22274.7194165224</v>
      </c>
      <c r="O1292" s="7" t="n">
        <f aca="false">I1292-2*STDEV(E1273:E1292)</f>
        <v>21121.1855834776</v>
      </c>
      <c r="P1292" s="7" t="n">
        <f aca="false">MAX(E1292-E1291,0)</f>
        <v>10.989999999998</v>
      </c>
      <c r="Q1292" s="7" t="n">
        <f aca="false">MAX(E1291-E1292,0)</f>
        <v>0</v>
      </c>
      <c r="R1292" s="7" t="n">
        <f aca="false">(R1291*13+P1292)/14</f>
        <v>101.087513956821</v>
      </c>
      <c r="S1292" s="7" t="n">
        <f aca="false">(S1291*13+Q1292)/14</f>
        <v>60.714303464743</v>
      </c>
      <c r="T1292" s="7" t="n">
        <f aca="false">IF(S1292=0,100,100-100/(1+R1292/S1292))</f>
        <v>62.4761301002227</v>
      </c>
      <c r="U1292" s="7" t="n">
        <f aca="false">E1292*2/13+U1291*11/13</f>
        <v>21857.6873446583</v>
      </c>
      <c r="V1292" s="7" t="n">
        <f aca="false">E1292*2/27+V1291*25/27</f>
        <v>21661.0222138903</v>
      </c>
      <c r="W1292" s="7" t="n">
        <f aca="false">U1292-V1292</f>
        <v>196.665130767942</v>
      </c>
      <c r="X1292" s="7" t="n">
        <f aca="false">W1292*2/10+X1291*8/10</f>
        <v>137.060480115736</v>
      </c>
      <c r="Y1292" s="7" t="n">
        <f aca="false">W1292-X1292</f>
        <v>59.6046506522058</v>
      </c>
      <c r="Z1292" s="8" t="s">
        <v>42</v>
      </c>
      <c r="AA1292" s="7" t="str">
        <f aca="false">IFERROR(INDEX(02_轉折點45!B:B,MATCH(A1292,02_轉折點45!A:A,0)),"")</f>
        <v>TOP</v>
      </c>
      <c r="AB1292" s="7" t="n">
        <f aca="false">COUNTIFS(05_訊號明細!A:A,A1292,05_訊號明細!C:C,"TOP")</f>
        <v>1</v>
      </c>
      <c r="AC1292" s="7" t="n">
        <f aca="false">COUNTIFS(05_訊號明細!A:A,A1292,05_訊號明細!C:C,"BOTTOM")</f>
        <v>0</v>
      </c>
    </row>
    <row r="1293" customFormat="false" ht="15" hidden="false" customHeight="false" outlineLevel="0" collapsed="false">
      <c r="A1293" s="7" t="s">
        <v>1334</v>
      </c>
      <c r="B1293" s="7" t="n">
        <v>22132.71</v>
      </c>
      <c r="C1293" s="7" t="n">
        <v>22148.44</v>
      </c>
      <c r="D1293" s="7" t="n">
        <v>21878.75</v>
      </c>
      <c r="E1293" s="7" t="n">
        <v>22068.06</v>
      </c>
      <c r="F1293" s="7" t="n">
        <v>7329</v>
      </c>
      <c r="G1293" s="7" t="n">
        <f aca="false">AVERAGE(E1289:E1293)</f>
        <v>22110.734</v>
      </c>
      <c r="H1293" s="7" t="n">
        <f aca="false">AVERAGE(E1284:E1293)</f>
        <v>21898.856</v>
      </c>
      <c r="I1293" s="7" t="n">
        <f aca="false">AVERAGE(E1274:E1293)</f>
        <v>21708.7055</v>
      </c>
      <c r="J1293" s="7" t="n">
        <f aca="false">AVERAGE(E1244:E1293)</f>
        <v>21520.3552</v>
      </c>
      <c r="K1293" s="7" t="n">
        <f aca="false">AVERAGE(E1194:E1293)</f>
        <v>21000.1964</v>
      </c>
      <c r="L1293" s="7" t="n">
        <f aca="false">AVERAGE(E1094:E1293)</f>
        <v>20109.4656</v>
      </c>
      <c r="M1293" s="7" t="n">
        <f aca="false">I1293</f>
        <v>21708.7055</v>
      </c>
      <c r="N1293" s="7" t="n">
        <f aca="false">I1293+2*STDEV(E1274:E1293)</f>
        <v>22305.3209814045</v>
      </c>
      <c r="O1293" s="7" t="n">
        <f aca="false">I1293-2*STDEV(E1274:E1293)</f>
        <v>21112.0900185955</v>
      </c>
      <c r="P1293" s="7" t="n">
        <f aca="false">MAX(E1293-E1292,0)</f>
        <v>0</v>
      </c>
      <c r="Q1293" s="7" t="n">
        <f aca="false">MAX(E1292-E1293,0)</f>
        <v>107.539999999997</v>
      </c>
      <c r="R1293" s="7" t="n">
        <f aca="false">(R1292*13+P1293)/14</f>
        <v>93.8669772456196</v>
      </c>
      <c r="S1293" s="7" t="n">
        <f aca="false">(S1292*13+Q1293)/14</f>
        <v>64.058996074404</v>
      </c>
      <c r="T1293" s="7" t="n">
        <f aca="false">IF(S1293=0,100,100-100/(1+R1293/S1293))</f>
        <v>59.4373270414526</v>
      </c>
      <c r="U1293" s="7" t="n">
        <f aca="false">E1293*2/13+U1292*11/13</f>
        <v>21890.052368557</v>
      </c>
      <c r="V1293" s="7" t="n">
        <f aca="false">E1293*2/27+V1292*25/27</f>
        <v>21691.1731610096</v>
      </c>
      <c r="W1293" s="7" t="n">
        <f aca="false">U1293-V1293</f>
        <v>198.87920754743</v>
      </c>
      <c r="X1293" s="7" t="n">
        <f aca="false">W1293*2/10+X1292*8/10</f>
        <v>149.424225602075</v>
      </c>
      <c r="Y1293" s="7" t="n">
        <f aca="false">W1293-X1293</f>
        <v>49.4549819453551</v>
      </c>
      <c r="Z1293" s="8" t="s">
        <v>42</v>
      </c>
      <c r="AA1293" s="7" t="str">
        <f aca="false">IFERROR(INDEX(02_轉折點45!B:B,MATCH(A1293,02_轉折點45!A:A,0)),"")</f>
        <v/>
      </c>
      <c r="AB1293" s="7" t="n">
        <f aca="false">COUNTIFS(05_訊號明細!A:A,A1293,05_訊號明細!C:C,"TOP")</f>
        <v>0</v>
      </c>
      <c r="AC1293" s="7" t="n">
        <f aca="false">COUNTIFS(05_訊號明細!A:A,A1293,05_訊號明細!C:C,"BOTTOM")</f>
        <v>0</v>
      </c>
    </row>
    <row r="1294" customFormat="false" ht="15" hidden="false" customHeight="false" outlineLevel="0" collapsed="false">
      <c r="A1294" s="7" t="s">
        <v>1335</v>
      </c>
      <c r="B1294" s="7" t="n">
        <v>22110.54</v>
      </c>
      <c r="C1294" s="7" t="n">
        <v>22115.21</v>
      </c>
      <c r="D1294" s="7" t="n">
        <v>21597.16</v>
      </c>
      <c r="E1294" s="7" t="n">
        <v>21614.08</v>
      </c>
      <c r="F1294" s="7" t="n">
        <v>8461</v>
      </c>
      <c r="G1294" s="7" t="n">
        <f aca="false">AVERAGE(E1290:E1294)</f>
        <v>22027.408</v>
      </c>
      <c r="H1294" s="7" t="n">
        <f aca="false">AVERAGE(E1285:E1294)</f>
        <v>21882.857</v>
      </c>
      <c r="I1294" s="7" t="n">
        <f aca="false">AVERAGE(E1275:E1294)</f>
        <v>21694.363</v>
      </c>
      <c r="J1294" s="7" t="n">
        <f aca="false">AVERAGE(E1245:E1294)</f>
        <v>21520.1918</v>
      </c>
      <c r="K1294" s="7" t="n">
        <f aca="false">AVERAGE(E1195:E1294)</f>
        <v>21015.1818</v>
      </c>
      <c r="L1294" s="7" t="n">
        <f aca="false">AVERAGE(E1095:E1294)</f>
        <v>20128.082</v>
      </c>
      <c r="M1294" s="7" t="n">
        <f aca="false">I1294</f>
        <v>21694.363</v>
      </c>
      <c r="N1294" s="7" t="n">
        <f aca="false">I1294+2*STDEV(E1275:E1294)</f>
        <v>22285.2859597698</v>
      </c>
      <c r="O1294" s="7" t="n">
        <f aca="false">I1294-2*STDEV(E1275:E1294)</f>
        <v>21103.4400402302</v>
      </c>
      <c r="P1294" s="7" t="n">
        <f aca="false">MAX(E1294-E1293,0)</f>
        <v>0</v>
      </c>
      <c r="Q1294" s="7" t="n">
        <f aca="false">MAX(E1293-E1294,0)</f>
        <v>453.98</v>
      </c>
      <c r="R1294" s="7" t="n">
        <f aca="false">(R1293*13+P1294)/14</f>
        <v>87.1621931566468</v>
      </c>
      <c r="S1294" s="7" t="n">
        <f aca="false">(S1293*13+Q1294)/14</f>
        <v>91.9104963548037</v>
      </c>
      <c r="T1294" s="7" t="n">
        <f aca="false">IF(S1294=0,100,100-100/(1+R1294/S1294))</f>
        <v>48.6741967155597</v>
      </c>
      <c r="U1294" s="7" t="n">
        <f aca="false">E1294*2/13+U1293*11/13</f>
        <v>21847.5950810867</v>
      </c>
      <c r="V1294" s="7" t="n">
        <f aca="false">E1294*2/27+V1293*25/27</f>
        <v>21685.4625564903</v>
      </c>
      <c r="W1294" s="7" t="n">
        <f aca="false">U1294-V1294</f>
        <v>162.132524596353</v>
      </c>
      <c r="X1294" s="7" t="n">
        <f aca="false">W1294*2/10+X1293*8/10</f>
        <v>151.965885400931</v>
      </c>
      <c r="Y1294" s="7" t="n">
        <f aca="false">W1294-X1294</f>
        <v>10.1666391954219</v>
      </c>
      <c r="Z1294" s="8" t="s">
        <v>42</v>
      </c>
      <c r="AA1294" s="7" t="str">
        <f aca="false">IFERROR(INDEX(02_轉折點45!B:B,MATCH(A1294,02_轉折點45!A:A,0)),"")</f>
        <v/>
      </c>
      <c r="AB1294" s="7" t="n">
        <f aca="false">COUNTIFS(05_訊號明細!A:A,A1294,05_訊號明細!C:C,"TOP")</f>
        <v>0</v>
      </c>
      <c r="AC1294" s="7" t="n">
        <f aca="false">COUNTIFS(05_訊號明細!A:A,A1294,05_訊號明細!C:C,"BOTTOM")</f>
        <v>0</v>
      </c>
    </row>
    <row r="1295" customFormat="false" ht="15" hidden="false" customHeight="false" outlineLevel="0" collapsed="false">
      <c r="A1295" s="7" t="s">
        <v>1336</v>
      </c>
      <c r="B1295" s="7" t="n">
        <v>21669.36</v>
      </c>
      <c r="C1295" s="7" t="n">
        <v>21727.58</v>
      </c>
      <c r="D1295" s="7" t="n">
        <v>21341.96</v>
      </c>
      <c r="E1295" s="7" t="n">
        <v>21352.08</v>
      </c>
      <c r="F1295" s="7" t="n">
        <v>7415</v>
      </c>
      <c r="G1295" s="7" t="n">
        <f aca="false">AVERAGE(E1291:E1295)</f>
        <v>21874.886</v>
      </c>
      <c r="H1295" s="7" t="n">
        <f aca="false">AVERAGE(E1286:E1295)</f>
        <v>21868.934</v>
      </c>
      <c r="I1295" s="7" t="n">
        <f aca="false">AVERAGE(E1276:E1295)</f>
        <v>21673.2665</v>
      </c>
      <c r="J1295" s="7" t="n">
        <f aca="false">AVERAGE(E1246:E1295)</f>
        <v>21518.417</v>
      </c>
      <c r="K1295" s="7" t="n">
        <f aca="false">AVERAGE(E1196:E1295)</f>
        <v>21028.6164</v>
      </c>
      <c r="L1295" s="7" t="n">
        <f aca="false">AVERAGE(E1096:E1295)</f>
        <v>20144.37455</v>
      </c>
      <c r="M1295" s="7" t="n">
        <f aca="false">I1295</f>
        <v>21673.2665</v>
      </c>
      <c r="N1295" s="7" t="n">
        <f aca="false">I1295+2*STDEV(E1276:E1295)</f>
        <v>22282.0729245209</v>
      </c>
      <c r="O1295" s="7" t="n">
        <f aca="false">I1295-2*STDEV(E1276:E1295)</f>
        <v>21064.4600754791</v>
      </c>
      <c r="P1295" s="7" t="n">
        <f aca="false">MAX(E1295-E1294,0)</f>
        <v>0</v>
      </c>
      <c r="Q1295" s="7" t="n">
        <f aca="false">MAX(E1294-E1295,0)</f>
        <v>262</v>
      </c>
      <c r="R1295" s="7" t="n">
        <f aca="false">(R1294*13+P1295)/14</f>
        <v>80.9363222168863</v>
      </c>
      <c r="S1295" s="7" t="n">
        <f aca="false">(S1294*13+Q1295)/14</f>
        <v>104.059746615175</v>
      </c>
      <c r="T1295" s="7" t="n">
        <f aca="false">IF(S1295=0,100,100-100/(1+R1295/S1295))</f>
        <v>43.7502930347996</v>
      </c>
      <c r="U1295" s="7" t="n">
        <f aca="false">E1295*2/13+U1294*11/13</f>
        <v>21771.3619916887</v>
      </c>
      <c r="V1295" s="7" t="n">
        <f aca="false">E1295*2/27+V1294*25/27</f>
        <v>21660.7675523059</v>
      </c>
      <c r="W1295" s="7" t="n">
        <f aca="false">U1295-V1295</f>
        <v>110.594439382869</v>
      </c>
      <c r="X1295" s="7" t="n">
        <f aca="false">W1295*2/10+X1294*8/10</f>
        <v>143.691596197318</v>
      </c>
      <c r="Y1295" s="7" t="n">
        <f aca="false">W1295-X1295</f>
        <v>-33.0971568144497</v>
      </c>
      <c r="Z1295" s="8" t="s">
        <v>42</v>
      </c>
      <c r="AA1295" s="7" t="str">
        <f aca="false">IFERROR(INDEX(02_轉折點45!B:B,MATCH(A1295,02_轉折點45!A:A,0)),"")</f>
        <v/>
      </c>
      <c r="AB1295" s="7" t="n">
        <f aca="false">COUNTIFS(05_訊號明細!A:A,A1295,05_訊號明細!C:C,"TOP")</f>
        <v>1</v>
      </c>
      <c r="AC1295" s="7" t="n">
        <f aca="false">COUNTIFS(05_訊號明細!A:A,A1295,05_訊號明細!C:C,"BOTTOM")</f>
        <v>0</v>
      </c>
    </row>
    <row r="1296" customFormat="false" ht="15" hidden="false" customHeight="false" outlineLevel="0" collapsed="false">
      <c r="A1296" s="7" t="s">
        <v>1337</v>
      </c>
      <c r="B1296" s="7" t="n">
        <v>21318.77</v>
      </c>
      <c r="C1296" s="7" t="n">
        <v>21326.81</v>
      </c>
      <c r="D1296" s="7" t="n">
        <v>20930.58</v>
      </c>
      <c r="E1296" s="7" t="n">
        <v>21087.25</v>
      </c>
      <c r="F1296" s="7" t="n">
        <v>7991</v>
      </c>
      <c r="G1296" s="7" t="n">
        <f aca="false">AVERAGE(E1292:E1296)</f>
        <v>21659.414</v>
      </c>
      <c r="H1296" s="7" t="n">
        <f aca="false">AVERAGE(E1287:E1296)</f>
        <v>21801.986</v>
      </c>
      <c r="I1296" s="7" t="n">
        <f aca="false">AVERAGE(E1277:E1296)</f>
        <v>21671.265</v>
      </c>
      <c r="J1296" s="7" t="n">
        <f aca="false">AVERAGE(E1247:E1296)</f>
        <v>21512.7984</v>
      </c>
      <c r="K1296" s="7" t="n">
        <f aca="false">AVERAGE(E1197:E1296)</f>
        <v>21038.882</v>
      </c>
      <c r="L1296" s="7" t="n">
        <f aca="false">AVERAGE(E1097:E1296)</f>
        <v>20159.35355</v>
      </c>
      <c r="M1296" s="7" t="n">
        <f aca="false">I1296</f>
        <v>21671.265</v>
      </c>
      <c r="N1296" s="7" t="n">
        <f aca="false">I1296+2*STDEV(E1277:E1296)</f>
        <v>22287.8428146307</v>
      </c>
      <c r="O1296" s="7" t="n">
        <f aca="false">I1296-2*STDEV(E1277:E1296)</f>
        <v>21054.6871853693</v>
      </c>
      <c r="P1296" s="7" t="n">
        <f aca="false">MAX(E1296-E1295,0)</f>
        <v>0</v>
      </c>
      <c r="Q1296" s="7" t="n">
        <f aca="false">MAX(E1295-E1296,0)</f>
        <v>264.830000000002</v>
      </c>
      <c r="R1296" s="7" t="n">
        <f aca="false">(R1295*13+P1296)/14</f>
        <v>75.1551563442516</v>
      </c>
      <c r="S1296" s="7" t="n">
        <f aca="false">(S1295*13+Q1296)/14</f>
        <v>115.543336142662</v>
      </c>
      <c r="T1296" s="7" t="n">
        <f aca="false">IF(S1296=0,100,100-100/(1+R1296/S1296))</f>
        <v>39.4104617001148</v>
      </c>
      <c r="U1296" s="7" t="n">
        <f aca="false">E1296*2/13+U1295*11/13</f>
        <v>21666.1139929674</v>
      </c>
      <c r="V1296" s="7" t="n">
        <f aca="false">E1296*2/27+V1295*25/27</f>
        <v>21618.2847706536</v>
      </c>
      <c r="W1296" s="7" t="n">
        <f aca="false">U1296-V1296</f>
        <v>47.8292223138124</v>
      </c>
      <c r="X1296" s="7" t="n">
        <f aca="false">W1296*2/10+X1295*8/10</f>
        <v>124.519121420617</v>
      </c>
      <c r="Y1296" s="7" t="n">
        <f aca="false">W1296-X1296</f>
        <v>-76.6898991068047</v>
      </c>
      <c r="Z1296" s="8" t="s">
        <v>42</v>
      </c>
      <c r="AA1296" s="7" t="str">
        <f aca="false">IFERROR(INDEX(02_轉折點45!B:B,MATCH(A1296,02_轉折點45!A:A,0)),"")</f>
        <v/>
      </c>
      <c r="AB1296" s="7" t="n">
        <f aca="false">COUNTIFS(05_訊號明細!A:A,A1296,05_訊號明細!C:C,"TOP")</f>
        <v>1</v>
      </c>
      <c r="AC1296" s="7" t="n">
        <f aca="false">COUNTIFS(05_訊號明細!A:A,A1296,05_訊號明細!C:C,"BOTTOM")</f>
        <v>0</v>
      </c>
    </row>
    <row r="1297" customFormat="false" ht="15" hidden="false" customHeight="false" outlineLevel="0" collapsed="false">
      <c r="A1297" s="7" t="s">
        <v>1338</v>
      </c>
      <c r="B1297" s="7" t="n">
        <v>21170.51</v>
      </c>
      <c r="C1297" s="7" t="n">
        <v>21350.52</v>
      </c>
      <c r="D1297" s="7" t="n">
        <v>21012.62</v>
      </c>
      <c r="E1297" s="7" t="n">
        <v>21132.92</v>
      </c>
      <c r="F1297" s="7" t="n">
        <v>7034</v>
      </c>
      <c r="G1297" s="7" t="n">
        <f aca="false">AVERAGE(E1293:E1297)</f>
        <v>21450.878</v>
      </c>
      <c r="H1297" s="7" t="n">
        <f aca="false">AVERAGE(E1288:E1297)</f>
        <v>21745.926</v>
      </c>
      <c r="I1297" s="7" t="n">
        <f aca="false">AVERAGE(E1278:E1297)</f>
        <v>21654.759</v>
      </c>
      <c r="J1297" s="7" t="n">
        <f aca="false">AVERAGE(E1248:E1297)</f>
        <v>21500.1772</v>
      </c>
      <c r="K1297" s="7" t="n">
        <f aca="false">AVERAGE(E1198:E1297)</f>
        <v>21052.4782</v>
      </c>
      <c r="L1297" s="7" t="n">
        <f aca="false">AVERAGE(E1098:E1297)</f>
        <v>20174.5931</v>
      </c>
      <c r="M1297" s="7" t="n">
        <f aca="false">I1297</f>
        <v>21654.759</v>
      </c>
      <c r="N1297" s="7" t="n">
        <f aca="false">I1297+2*STDEV(E1278:E1297)</f>
        <v>22311.1939785061</v>
      </c>
      <c r="O1297" s="7" t="n">
        <f aca="false">I1297-2*STDEV(E1278:E1297)</f>
        <v>20998.3240214939</v>
      </c>
      <c r="P1297" s="7" t="n">
        <f aca="false">MAX(E1297-E1296,0)</f>
        <v>45.6699999999983</v>
      </c>
      <c r="Q1297" s="7" t="n">
        <f aca="false">MAX(E1296-E1297,0)</f>
        <v>0</v>
      </c>
      <c r="R1297" s="7" t="n">
        <f aca="false">(R1296*13+P1297)/14</f>
        <v>73.0490737482335</v>
      </c>
      <c r="S1297" s="7" t="n">
        <f aca="false">(S1296*13+Q1297)/14</f>
        <v>107.290240703901</v>
      </c>
      <c r="T1297" s="7" t="n">
        <f aca="false">IF(S1297=0,100,100-100/(1+R1297/S1297))</f>
        <v>40.5064608181275</v>
      </c>
      <c r="U1297" s="7" t="n">
        <f aca="false">E1297*2/13+U1296*11/13</f>
        <v>21584.0841478955</v>
      </c>
      <c r="V1297" s="7" t="n">
        <f aca="false">E1297*2/27+V1296*25/27</f>
        <v>21582.3318246793</v>
      </c>
      <c r="W1297" s="7" t="n">
        <f aca="false">U1297-V1297</f>
        <v>1.75232321624208</v>
      </c>
      <c r="X1297" s="7" t="n">
        <f aca="false">W1297*2/10+X1296*8/10</f>
        <v>99.9657617797421</v>
      </c>
      <c r="Y1297" s="7" t="n">
        <f aca="false">W1297-X1297</f>
        <v>-98.2134385635</v>
      </c>
      <c r="Z1297" s="8" t="s">
        <v>42</v>
      </c>
      <c r="AA1297" s="7" t="str">
        <f aca="false">IFERROR(INDEX(02_轉折點45!B:B,MATCH(A1297,02_轉折點45!A:A,0)),"")</f>
        <v/>
      </c>
      <c r="AB1297" s="7" t="n">
        <f aca="false">COUNTIFS(05_訊號明細!A:A,A1297,05_訊號明細!C:C,"TOP")</f>
        <v>0</v>
      </c>
      <c r="AC1297" s="7" t="n">
        <f aca="false">COUNTIFS(05_訊號明細!A:A,A1297,05_訊號明細!C:C,"BOTTOM")</f>
        <v>0</v>
      </c>
    </row>
    <row r="1298" customFormat="false" ht="15" hidden="false" customHeight="false" outlineLevel="0" collapsed="false">
      <c r="A1298" s="7" t="s">
        <v>1339</v>
      </c>
      <c r="B1298" s="7" t="n">
        <v>21281.36</v>
      </c>
      <c r="C1298" s="7" t="n">
        <v>21323.91</v>
      </c>
      <c r="D1298" s="7" t="n">
        <v>20540.68</v>
      </c>
      <c r="E1298" s="7" t="n">
        <v>20550.95</v>
      </c>
      <c r="F1298" s="7" t="n">
        <v>7700</v>
      </c>
      <c r="G1298" s="7" t="n">
        <f aca="false">AVERAGE(E1294:E1298)</f>
        <v>21147.456</v>
      </c>
      <c r="H1298" s="7" t="n">
        <f aca="false">AVERAGE(E1289:E1298)</f>
        <v>21629.095</v>
      </c>
      <c r="I1298" s="7" t="n">
        <f aca="false">AVERAGE(E1279:E1298)</f>
        <v>21611.7335</v>
      </c>
      <c r="J1298" s="7" t="n">
        <f aca="false">AVERAGE(E1249:E1298)</f>
        <v>21478.8908</v>
      </c>
      <c r="K1298" s="7" t="n">
        <f aca="false">AVERAGE(E1199:E1298)</f>
        <v>21059.9618</v>
      </c>
      <c r="L1298" s="7" t="n">
        <f aca="false">AVERAGE(E1099:E1298)</f>
        <v>20186.78055</v>
      </c>
      <c r="M1298" s="7" t="n">
        <f aca="false">I1298</f>
        <v>21611.7335</v>
      </c>
      <c r="N1298" s="7" t="n">
        <f aca="false">I1298+2*STDEV(E1279:E1298)</f>
        <v>22428.5287416036</v>
      </c>
      <c r="O1298" s="7" t="n">
        <f aca="false">I1298-2*STDEV(E1279:E1298)</f>
        <v>20794.9382583964</v>
      </c>
      <c r="P1298" s="7" t="n">
        <f aca="false">MAX(E1298-E1297,0)</f>
        <v>0</v>
      </c>
      <c r="Q1298" s="7" t="n">
        <f aca="false">MAX(E1297-E1298,0)</f>
        <v>581.969999999998</v>
      </c>
      <c r="R1298" s="7" t="n">
        <f aca="false">(R1297*13+P1298)/14</f>
        <v>67.8312827662168</v>
      </c>
      <c r="S1298" s="7" t="n">
        <f aca="false">(S1297*13+Q1298)/14</f>
        <v>141.195937796479</v>
      </c>
      <c r="T1298" s="7" t="n">
        <f aca="false">IF(S1298=0,100,100-100/(1+R1298/S1298))</f>
        <v>32.450932746279</v>
      </c>
      <c r="U1298" s="7" t="n">
        <f aca="false">E1298*2/13+U1297*11/13</f>
        <v>21425.1404328347</v>
      </c>
      <c r="V1298" s="7" t="n">
        <f aca="false">E1298*2/27+V1297*25/27</f>
        <v>21505.9331709993</v>
      </c>
      <c r="W1298" s="7" t="n">
        <f aca="false">U1298-V1298</f>
        <v>-80.7927381646587</v>
      </c>
      <c r="X1298" s="7" t="n">
        <f aca="false">W1298*2/10+X1297*8/10</f>
        <v>63.8140617908619</v>
      </c>
      <c r="Y1298" s="7" t="n">
        <f aca="false">W1298-X1298</f>
        <v>-144.606799955521</v>
      </c>
      <c r="Z1298" s="7" t="s">
        <v>78</v>
      </c>
      <c r="AA1298" s="7" t="str">
        <f aca="false">IFERROR(INDEX(02_轉折點45!B:B,MATCH(A1298,02_轉折點45!A:A,0)),"")</f>
        <v/>
      </c>
      <c r="AB1298" s="7" t="n">
        <f aca="false">COUNTIFS(05_訊號明細!A:A,A1298,05_訊號明細!C:C,"TOP")</f>
        <v>2</v>
      </c>
      <c r="AC1298" s="7" t="n">
        <f aca="false">COUNTIFS(05_訊號明細!A:A,A1298,05_訊號明細!C:C,"BOTTOM")</f>
        <v>0</v>
      </c>
    </row>
    <row r="1299" customFormat="false" ht="15" hidden="false" customHeight="false" outlineLevel="0" collapsed="false">
      <c r="A1299" s="7" t="s">
        <v>1340</v>
      </c>
      <c r="B1299" s="7" t="n">
        <v>20518.65</v>
      </c>
      <c r="C1299" s="7" t="n">
        <v>20900.77</v>
      </c>
      <c r="D1299" s="7" t="n">
        <v>20407.45</v>
      </c>
      <c r="E1299" s="7" t="n">
        <v>20884.41</v>
      </c>
      <c r="F1299" s="7" t="n">
        <v>8248</v>
      </c>
      <c r="G1299" s="7" t="n">
        <f aca="false">AVERAGE(E1295:E1299)</f>
        <v>21001.522</v>
      </c>
      <c r="H1299" s="7" t="n">
        <f aca="false">AVERAGE(E1290:E1299)</f>
        <v>21514.465</v>
      </c>
      <c r="I1299" s="7" t="n">
        <f aca="false">AVERAGE(E1280:E1299)</f>
        <v>21580.548</v>
      </c>
      <c r="J1299" s="7" t="n">
        <f aca="false">AVERAGE(E1250:E1299)</f>
        <v>21460.974</v>
      </c>
      <c r="K1299" s="7" t="n">
        <f aca="false">AVERAGE(E1200:E1299)</f>
        <v>21070.8725</v>
      </c>
      <c r="L1299" s="7" t="n">
        <f aca="false">AVERAGE(E1100:E1299)</f>
        <v>20200.3967</v>
      </c>
      <c r="M1299" s="7" t="n">
        <f aca="false">I1299</f>
        <v>21580.548</v>
      </c>
      <c r="N1299" s="7" t="n">
        <f aca="false">I1299+2*STDEV(E1280:E1299)</f>
        <v>22459.2787503224</v>
      </c>
      <c r="O1299" s="7" t="n">
        <f aca="false">I1299-2*STDEV(E1280:E1299)</f>
        <v>20701.8172496776</v>
      </c>
      <c r="P1299" s="7" t="n">
        <f aca="false">MAX(E1299-E1298,0)</f>
        <v>333.459999999999</v>
      </c>
      <c r="Q1299" s="7" t="n">
        <f aca="false">MAX(E1298-E1299,0)</f>
        <v>0</v>
      </c>
      <c r="R1299" s="7" t="n">
        <f aca="false">(R1298*13+P1299)/14</f>
        <v>86.8047625686298</v>
      </c>
      <c r="S1299" s="7" t="n">
        <f aca="false">(S1298*13+Q1299)/14</f>
        <v>131.110513668159</v>
      </c>
      <c r="T1299" s="7" t="n">
        <f aca="false">IF(S1299=0,100,100-100/(1+R1299/S1299))</f>
        <v>39.8341796259877</v>
      </c>
      <c r="U1299" s="7" t="n">
        <f aca="false">E1299*2/13+U1298*11/13</f>
        <v>21341.9511354755</v>
      </c>
      <c r="V1299" s="7" t="n">
        <f aca="false">E1299*2/27+V1298*25/27</f>
        <v>21459.894417592</v>
      </c>
      <c r="W1299" s="7" t="n">
        <f aca="false">U1299-V1299</f>
        <v>-117.943282116477</v>
      </c>
      <c r="X1299" s="7" t="n">
        <f aca="false">W1299*2/10+X1298*8/10</f>
        <v>27.4625930093941</v>
      </c>
      <c r="Y1299" s="7" t="n">
        <f aca="false">W1299-X1299</f>
        <v>-145.405875125871</v>
      </c>
      <c r="Z1299" s="8" t="s">
        <v>42</v>
      </c>
      <c r="AA1299" s="7" t="str">
        <f aca="false">IFERROR(INDEX(02_轉折點45!B:B,MATCH(A1299,02_轉折點45!A:A,0)),"")</f>
        <v/>
      </c>
      <c r="AB1299" s="7" t="n">
        <f aca="false">COUNTIFS(05_訊號明細!A:A,A1299,05_訊號明細!C:C,"TOP")</f>
        <v>1</v>
      </c>
      <c r="AC1299" s="7" t="n">
        <f aca="false">COUNTIFS(05_訊號明細!A:A,A1299,05_訊號明細!C:C,"BOTTOM")</f>
        <v>0</v>
      </c>
    </row>
    <row r="1300" customFormat="false" ht="15" hidden="false" customHeight="false" outlineLevel="0" collapsed="false">
      <c r="A1300" s="7" t="s">
        <v>1341</v>
      </c>
      <c r="B1300" s="7" t="n">
        <v>20989.58</v>
      </c>
      <c r="C1300" s="7" t="n">
        <v>21073.8</v>
      </c>
      <c r="D1300" s="7" t="n">
        <v>20279.5</v>
      </c>
      <c r="E1300" s="7" t="n">
        <v>20425.58</v>
      </c>
      <c r="F1300" s="7" t="n">
        <v>8170</v>
      </c>
      <c r="G1300" s="7" t="n">
        <f aca="false">AVERAGE(E1296:E1300)</f>
        <v>20816.222</v>
      </c>
      <c r="H1300" s="7" t="n">
        <f aca="false">AVERAGE(E1291:E1300)</f>
        <v>21345.554</v>
      </c>
      <c r="I1300" s="7" t="n">
        <f aca="false">AVERAGE(E1281:E1300)</f>
        <v>21527.9245</v>
      </c>
      <c r="J1300" s="7" t="n">
        <f aca="false">AVERAGE(E1251:E1300)</f>
        <v>21427.5524</v>
      </c>
      <c r="K1300" s="7" t="n">
        <f aca="false">AVERAGE(E1201:E1300)</f>
        <v>21074.7781</v>
      </c>
      <c r="L1300" s="7" t="n">
        <f aca="false">AVERAGE(E1101:E1300)</f>
        <v>20211.53155</v>
      </c>
      <c r="M1300" s="7" t="n">
        <f aca="false">I1300</f>
        <v>21527.9245</v>
      </c>
      <c r="N1300" s="7" t="n">
        <f aca="false">I1300+2*STDEV(E1281:E1300)</f>
        <v>22547.3007087303</v>
      </c>
      <c r="O1300" s="7" t="n">
        <f aca="false">I1300-2*STDEV(E1281:E1300)</f>
        <v>20508.5482912697</v>
      </c>
      <c r="P1300" s="7" t="n">
        <f aca="false">MAX(E1300-E1299,0)</f>
        <v>0</v>
      </c>
      <c r="Q1300" s="7" t="n">
        <f aca="false">MAX(E1299-E1300,0)</f>
        <v>458.829999999998</v>
      </c>
      <c r="R1300" s="7" t="n">
        <f aca="false">(R1299*13+P1300)/14</f>
        <v>80.6044223851563</v>
      </c>
      <c r="S1300" s="7" t="n">
        <f aca="false">(S1299*13+Q1300)/14</f>
        <v>154.519048406148</v>
      </c>
      <c r="T1300" s="7" t="n">
        <f aca="false">IF(S1300=0,100,100-100/(1+R1300/S1300))</f>
        <v>34.2817423177208</v>
      </c>
      <c r="U1300" s="7" t="n">
        <f aca="false">E1300*2/13+U1299*11/13</f>
        <v>21200.9709607869</v>
      </c>
      <c r="V1300" s="7" t="n">
        <f aca="false">E1300*2/27+V1299*25/27</f>
        <v>21383.2785348074</v>
      </c>
      <c r="W1300" s="7" t="n">
        <f aca="false">U1300-V1300</f>
        <v>-182.307574020426</v>
      </c>
      <c r="X1300" s="7" t="n">
        <f aca="false">W1300*2/10+X1299*8/10</f>
        <v>-14.4914403965699</v>
      </c>
      <c r="Y1300" s="7" t="n">
        <f aca="false">W1300-X1300</f>
        <v>-167.816133623856</v>
      </c>
      <c r="Z1300" s="7" t="s">
        <v>78</v>
      </c>
      <c r="AA1300" s="7" t="str">
        <f aca="false">IFERROR(INDEX(02_轉折點45!B:B,MATCH(A1300,02_轉折點45!A:A,0)),"")</f>
        <v/>
      </c>
      <c r="AB1300" s="7" t="n">
        <f aca="false">COUNTIFS(05_訊號明細!A:A,A1300,05_訊號明細!C:C,"TOP")</f>
        <v>2</v>
      </c>
      <c r="AC1300" s="7" t="n">
        <f aca="false">COUNTIFS(05_訊號明細!A:A,A1300,05_訊號明細!C:C,"BOTTOM")</f>
        <v>0</v>
      </c>
    </row>
    <row r="1301" customFormat="false" ht="15" hidden="false" customHeight="false" outlineLevel="0" collapsed="false">
      <c r="A1301" s="7" t="s">
        <v>1342</v>
      </c>
      <c r="B1301" s="7" t="n">
        <v>20281.88</v>
      </c>
      <c r="C1301" s="7" t="n">
        <v>20688.46</v>
      </c>
      <c r="D1301" s="7" t="n">
        <v>20034.68</v>
      </c>
      <c r="E1301" s="7" t="n">
        <v>20352.53</v>
      </c>
      <c r="F1301" s="7" t="n">
        <v>8469</v>
      </c>
      <c r="G1301" s="7" t="n">
        <f aca="false">AVERAGE(E1297:E1301)</f>
        <v>20669.278</v>
      </c>
      <c r="H1301" s="7" t="n">
        <f aca="false">AVERAGE(E1292:E1301)</f>
        <v>21164.346</v>
      </c>
      <c r="I1301" s="7" t="n">
        <f aca="false">AVERAGE(E1282:E1301)</f>
        <v>21480.672</v>
      </c>
      <c r="J1301" s="7" t="n">
        <f aca="false">AVERAGE(E1252:E1301)</f>
        <v>21394.5814</v>
      </c>
      <c r="K1301" s="7" t="n">
        <f aca="false">AVERAGE(E1202:E1301)</f>
        <v>21080.296</v>
      </c>
      <c r="L1301" s="7" t="n">
        <f aca="false">AVERAGE(E1102:E1301)</f>
        <v>20221.68035</v>
      </c>
      <c r="M1301" s="7" t="n">
        <f aca="false">I1301</f>
        <v>21480.672</v>
      </c>
      <c r="N1301" s="7" t="n">
        <f aca="false">I1301+2*STDEV(E1282:E1301)</f>
        <v>22624.9663104786</v>
      </c>
      <c r="O1301" s="7" t="n">
        <f aca="false">I1301-2*STDEV(E1282:E1301)</f>
        <v>20336.3776895214</v>
      </c>
      <c r="P1301" s="7" t="n">
        <f aca="false">MAX(E1301-E1300,0)</f>
        <v>0</v>
      </c>
      <c r="Q1301" s="7" t="n">
        <f aca="false">MAX(E1300-E1301,0)</f>
        <v>73.0500000000029</v>
      </c>
      <c r="R1301" s="7" t="n">
        <f aca="false">(R1300*13+P1301)/14</f>
        <v>74.8469636433594</v>
      </c>
      <c r="S1301" s="7" t="n">
        <f aca="false">(S1300*13+Q1301)/14</f>
        <v>148.699830662852</v>
      </c>
      <c r="T1301" s="7" t="n">
        <f aca="false">IF(S1301=0,100,100-100/(1+R1301/S1301))</f>
        <v>33.4815642852991</v>
      </c>
      <c r="U1301" s="7" t="n">
        <f aca="false">E1301*2/13+U1300*11/13</f>
        <v>21070.4415822043</v>
      </c>
      <c r="V1301" s="7" t="n">
        <f aca="false">E1301*2/27+V1300*25/27</f>
        <v>21306.9267914883</v>
      </c>
      <c r="W1301" s="7" t="n">
        <f aca="false">U1301-V1301</f>
        <v>-236.485209283968</v>
      </c>
      <c r="X1301" s="7" t="n">
        <f aca="false">W1301*2/10+X1300*8/10</f>
        <v>-58.8901941740496</v>
      </c>
      <c r="Y1301" s="7" t="n">
        <f aca="false">W1301-X1301</f>
        <v>-177.595015109919</v>
      </c>
      <c r="Z1301" s="7" t="s">
        <v>78</v>
      </c>
      <c r="AA1301" s="7" t="str">
        <f aca="false">IFERROR(INDEX(02_轉折點45!B:B,MATCH(A1301,02_轉折點45!A:A,0)),"")</f>
        <v/>
      </c>
      <c r="AB1301" s="7" t="n">
        <f aca="false">COUNTIFS(05_訊號明細!A:A,A1301,05_訊號明細!C:C,"TOP")</f>
        <v>0</v>
      </c>
      <c r="AC1301" s="7" t="n">
        <f aca="false">COUNTIFS(05_訊號明細!A:A,A1301,05_訊號明細!C:C,"BOTTOM")</f>
        <v>0</v>
      </c>
    </row>
    <row r="1302" customFormat="false" ht="15" hidden="false" customHeight="false" outlineLevel="0" collapsed="false">
      <c r="A1302" s="7" t="s">
        <v>1343</v>
      </c>
      <c r="B1302" s="7" t="n">
        <v>20363.22</v>
      </c>
      <c r="C1302" s="7" t="n">
        <v>20688.72</v>
      </c>
      <c r="D1302" s="7" t="n">
        <v>20182.57</v>
      </c>
      <c r="E1302" s="7" t="n">
        <v>20628.46</v>
      </c>
      <c r="F1302" s="7" t="n">
        <v>7048</v>
      </c>
      <c r="G1302" s="7" t="n">
        <f aca="false">AVERAGE(E1298:E1302)</f>
        <v>20568.386</v>
      </c>
      <c r="H1302" s="7" t="n">
        <f aca="false">AVERAGE(E1293:E1302)</f>
        <v>21009.632</v>
      </c>
      <c r="I1302" s="7" t="n">
        <f aca="false">AVERAGE(E1283:E1302)</f>
        <v>21433.749</v>
      </c>
      <c r="J1302" s="7" t="n">
        <f aca="false">AVERAGE(E1253:E1302)</f>
        <v>21382.9642</v>
      </c>
      <c r="K1302" s="7" t="n">
        <f aca="false">AVERAGE(E1203:E1302)</f>
        <v>21085.5028</v>
      </c>
      <c r="L1302" s="7" t="n">
        <f aca="false">AVERAGE(E1103:E1302)</f>
        <v>20231.8394</v>
      </c>
      <c r="M1302" s="7" t="n">
        <f aca="false">I1302</f>
        <v>21433.749</v>
      </c>
      <c r="N1302" s="7" t="n">
        <f aca="false">I1302+2*STDEV(E1283:E1302)</f>
        <v>22638.5190103365</v>
      </c>
      <c r="O1302" s="7" t="n">
        <f aca="false">I1302-2*STDEV(E1283:E1302)</f>
        <v>20228.9789896635</v>
      </c>
      <c r="P1302" s="7" t="n">
        <f aca="false">MAX(E1302-E1301,0)</f>
        <v>275.93</v>
      </c>
      <c r="Q1302" s="7" t="n">
        <f aca="false">MAX(E1301-E1302,0)</f>
        <v>0</v>
      </c>
      <c r="R1302" s="7" t="n">
        <f aca="false">(R1301*13+P1302)/14</f>
        <v>89.2100376688337</v>
      </c>
      <c r="S1302" s="7" t="n">
        <f aca="false">(S1301*13+Q1302)/14</f>
        <v>138.078414186934</v>
      </c>
      <c r="T1302" s="7" t="n">
        <f aca="false">IF(S1302=0,100,100-100/(1+R1302/S1302))</f>
        <v>39.2497009594859</v>
      </c>
      <c r="U1302" s="7" t="n">
        <f aca="false">E1302*2/13+U1301*11/13</f>
        <v>21002.4444157114</v>
      </c>
      <c r="V1302" s="7" t="n">
        <f aca="false">E1302*2/27+V1301*25/27</f>
        <v>21256.6699921188</v>
      </c>
      <c r="W1302" s="7" t="n">
        <f aca="false">U1302-V1302</f>
        <v>-254.225576407443</v>
      </c>
      <c r="X1302" s="7" t="n">
        <f aca="false">W1302*2/10+X1301*8/10</f>
        <v>-97.9572706207284</v>
      </c>
      <c r="Y1302" s="7" t="n">
        <f aca="false">W1302-X1302</f>
        <v>-156.268305786715</v>
      </c>
      <c r="Z1302" s="7" t="s">
        <v>78</v>
      </c>
      <c r="AA1302" s="7" t="str">
        <f aca="false">IFERROR(INDEX(02_轉折點45!B:B,MATCH(A1302,02_轉折點45!A:A,0)),"")</f>
        <v/>
      </c>
      <c r="AB1302" s="7" t="n">
        <f aca="false">COUNTIFS(05_訊號明細!A:A,A1302,05_訊號明細!C:C,"TOP")</f>
        <v>0</v>
      </c>
      <c r="AC1302" s="7" t="n">
        <f aca="false">COUNTIFS(05_訊號明細!A:A,A1302,05_訊號明細!C:C,"BOTTOM")</f>
        <v>0</v>
      </c>
    </row>
    <row r="1303" customFormat="false" ht="15" hidden="false" customHeight="false" outlineLevel="0" collapsed="false">
      <c r="A1303" s="7" t="s">
        <v>1344</v>
      </c>
      <c r="B1303" s="7" t="n">
        <v>20231.74</v>
      </c>
      <c r="C1303" s="7" t="n">
        <v>20473.41</v>
      </c>
      <c r="D1303" s="7" t="n">
        <v>19968.56</v>
      </c>
      <c r="E1303" s="7" t="n">
        <v>20052.63</v>
      </c>
      <c r="F1303" s="7" t="n">
        <v>7686</v>
      </c>
      <c r="G1303" s="7" t="n">
        <f aca="false">AVERAGE(E1299:E1303)</f>
        <v>20468.722</v>
      </c>
      <c r="H1303" s="7" t="n">
        <f aca="false">AVERAGE(E1294:E1303)</f>
        <v>20808.089</v>
      </c>
      <c r="I1303" s="7" t="n">
        <f aca="false">AVERAGE(E1284:E1303)</f>
        <v>21353.4725</v>
      </c>
      <c r="J1303" s="7" t="n">
        <f aca="false">AVERAGE(E1254:E1303)</f>
        <v>21361.8066</v>
      </c>
      <c r="K1303" s="7" t="n">
        <f aca="false">AVERAGE(E1204:E1303)</f>
        <v>21083.3405</v>
      </c>
      <c r="L1303" s="7" t="n">
        <f aca="false">AVERAGE(E1104:E1303)</f>
        <v>20239.31275</v>
      </c>
      <c r="M1303" s="7" t="n">
        <f aca="false">I1303</f>
        <v>21353.4725</v>
      </c>
      <c r="N1303" s="7" t="n">
        <f aca="false">I1303+2*STDEV(E1284:E1303)</f>
        <v>22700.8074336082</v>
      </c>
      <c r="O1303" s="7" t="n">
        <f aca="false">I1303-2*STDEV(E1284:E1303)</f>
        <v>20006.1375663918</v>
      </c>
      <c r="P1303" s="7" t="n">
        <f aca="false">MAX(E1303-E1302,0)</f>
        <v>0</v>
      </c>
      <c r="Q1303" s="7" t="n">
        <f aca="false">MAX(E1302-E1303,0)</f>
        <v>575.829999999998</v>
      </c>
      <c r="R1303" s="7" t="n">
        <f aca="false">(R1302*13+P1303)/14</f>
        <v>82.8378921210599</v>
      </c>
      <c r="S1303" s="7" t="n">
        <f aca="false">(S1302*13+Q1303)/14</f>
        <v>169.346384602153</v>
      </c>
      <c r="T1303" s="7" t="n">
        <f aca="false">IF(S1303=0,100,100-100/(1+R1303/S1303))</f>
        <v>32.8481589722501</v>
      </c>
      <c r="U1303" s="7" t="n">
        <f aca="false">E1303*2/13+U1302*11/13</f>
        <v>20856.3191209865</v>
      </c>
      <c r="V1303" s="7" t="n">
        <f aca="false">E1303*2/27+V1302*25/27</f>
        <v>21167.4818445544</v>
      </c>
      <c r="W1303" s="7" t="n">
        <f aca="false">U1303-V1303</f>
        <v>-311.162723567915</v>
      </c>
      <c r="X1303" s="7" t="n">
        <f aca="false">W1303*2/10+X1302*8/10</f>
        <v>-140.598361210166</v>
      </c>
      <c r="Y1303" s="7" t="n">
        <f aca="false">W1303-X1303</f>
        <v>-170.56436235775</v>
      </c>
      <c r="Z1303" s="7" t="s">
        <v>78</v>
      </c>
      <c r="AA1303" s="7" t="str">
        <f aca="false">IFERROR(INDEX(02_轉折點45!B:B,MATCH(A1303,02_轉折點45!A:A,0)),"")</f>
        <v/>
      </c>
      <c r="AB1303" s="7" t="n">
        <f aca="false">COUNTIFS(05_訊號明細!A:A,A1303,05_訊號明細!C:C,"TOP")</f>
        <v>1</v>
      </c>
      <c r="AC1303" s="7" t="n">
        <f aca="false">COUNTIFS(05_訊號明細!A:A,A1303,05_訊號明細!C:C,"BOTTOM")</f>
        <v>0</v>
      </c>
    </row>
    <row r="1304" customFormat="false" ht="15" hidden="false" customHeight="false" outlineLevel="0" collapsed="false">
      <c r="A1304" s="7" t="s">
        <v>1345</v>
      </c>
      <c r="B1304" s="7" t="n">
        <v>20015.62</v>
      </c>
      <c r="C1304" s="7" t="n">
        <v>20253.22</v>
      </c>
      <c r="D1304" s="7" t="n">
        <v>19736.81</v>
      </c>
      <c r="E1304" s="7" t="n">
        <v>20201.37</v>
      </c>
      <c r="F1304" s="7" t="n">
        <v>8135</v>
      </c>
      <c r="G1304" s="7" t="n">
        <f aca="false">AVERAGE(E1300:E1304)</f>
        <v>20332.114</v>
      </c>
      <c r="H1304" s="7" t="n">
        <f aca="false">AVERAGE(E1295:E1304)</f>
        <v>20666.818</v>
      </c>
      <c r="I1304" s="7" t="n">
        <f aca="false">AVERAGE(E1285:E1304)</f>
        <v>21274.8375</v>
      </c>
      <c r="J1304" s="7" t="n">
        <f aca="false">AVERAGE(E1255:E1304)</f>
        <v>21340.051</v>
      </c>
      <c r="K1304" s="7" t="n">
        <f aca="false">AVERAGE(E1205:E1304)</f>
        <v>21082.9366</v>
      </c>
      <c r="L1304" s="7" t="n">
        <f aca="false">AVERAGE(E1105:E1304)</f>
        <v>20247.58845</v>
      </c>
      <c r="M1304" s="7" t="n">
        <f aca="false">I1304</f>
        <v>21274.8375</v>
      </c>
      <c r="N1304" s="7" t="n">
        <f aca="false">I1304+2*STDEV(E1285:E1304)</f>
        <v>22700.1350984556</v>
      </c>
      <c r="O1304" s="7" t="n">
        <f aca="false">I1304-2*STDEV(E1285:E1304)</f>
        <v>19849.5399015445</v>
      </c>
      <c r="P1304" s="7" t="n">
        <f aca="false">MAX(E1304-E1303,0)</f>
        <v>148.739999999998</v>
      </c>
      <c r="Q1304" s="7" t="n">
        <f aca="false">MAX(E1303-E1304,0)</f>
        <v>0</v>
      </c>
      <c r="R1304" s="7" t="n">
        <f aca="false">(R1303*13+P1304)/14</f>
        <v>87.545185540984</v>
      </c>
      <c r="S1304" s="7" t="n">
        <f aca="false">(S1303*13+Q1304)/14</f>
        <v>157.250214273427</v>
      </c>
      <c r="T1304" s="7" t="n">
        <f aca="false">IF(S1304=0,100,100-100/(1+R1304/S1304))</f>
        <v>35.762594234759</v>
      </c>
      <c r="U1304" s="7" t="n">
        <f aca="false">E1304*2/13+U1303*11/13</f>
        <v>20755.5577177578</v>
      </c>
      <c r="V1304" s="7" t="n">
        <f aca="false">E1304*2/27+V1303*25/27</f>
        <v>21095.9180042171</v>
      </c>
      <c r="W1304" s="7" t="n">
        <f aca="false">U1304-V1304</f>
        <v>-340.360286459243</v>
      </c>
      <c r="X1304" s="7" t="n">
        <f aca="false">W1304*2/10+X1303*8/10</f>
        <v>-180.550746259981</v>
      </c>
      <c r="Y1304" s="7" t="n">
        <f aca="false">W1304-X1304</f>
        <v>-159.809540199262</v>
      </c>
      <c r="Z1304" s="7" t="s">
        <v>78</v>
      </c>
      <c r="AA1304" s="7" t="str">
        <f aca="false">IFERROR(INDEX(02_轉折點45!B:B,MATCH(A1304,02_轉折點45!A:A,0)),"")</f>
        <v/>
      </c>
      <c r="AB1304" s="7" t="n">
        <f aca="false">COUNTIFS(05_訊號明細!A:A,A1304,05_訊號明細!C:C,"TOP")</f>
        <v>1</v>
      </c>
      <c r="AC1304" s="7" t="n">
        <f aca="false">COUNTIFS(05_訊號明細!A:A,A1304,05_訊號明細!C:C,"BOTTOM")</f>
        <v>0</v>
      </c>
    </row>
    <row r="1305" customFormat="false" ht="15" hidden="false" customHeight="false" outlineLevel="0" collapsed="false">
      <c r="A1305" s="7" t="s">
        <v>1346</v>
      </c>
      <c r="B1305" s="7" t="n">
        <v>19826.96</v>
      </c>
      <c r="C1305" s="7" t="n">
        <v>19867.08</v>
      </c>
      <c r="D1305" s="7" t="n">
        <v>19243.31</v>
      </c>
      <c r="E1305" s="7" t="n">
        <v>19430.95</v>
      </c>
      <c r="F1305" s="7" t="n">
        <v>8636</v>
      </c>
      <c r="G1305" s="7" t="n">
        <f aca="false">AVERAGE(E1301:E1305)</f>
        <v>20133.188</v>
      </c>
      <c r="H1305" s="7" t="n">
        <f aca="false">AVERAGE(E1296:E1305)</f>
        <v>20474.705</v>
      </c>
      <c r="I1305" s="7" t="n">
        <f aca="false">AVERAGE(E1286:E1305)</f>
        <v>21171.8195</v>
      </c>
      <c r="J1305" s="7" t="n">
        <f aca="false">AVERAGE(E1256:E1305)</f>
        <v>21298.6066</v>
      </c>
      <c r="K1305" s="7" t="n">
        <f aca="false">AVERAGE(E1206:E1305)</f>
        <v>21074.5264</v>
      </c>
      <c r="L1305" s="7" t="n">
        <f aca="false">AVERAGE(E1106:E1305)</f>
        <v>20251.37225</v>
      </c>
      <c r="M1305" s="7" t="n">
        <f aca="false">I1305</f>
        <v>21171.8195</v>
      </c>
      <c r="N1305" s="7" t="n">
        <f aca="false">I1305+2*STDEV(E1286:E1305)</f>
        <v>22812.763035556</v>
      </c>
      <c r="O1305" s="7" t="n">
        <f aca="false">I1305-2*STDEV(E1286:E1305)</f>
        <v>19530.875964444</v>
      </c>
      <c r="P1305" s="7" t="n">
        <f aca="false">MAX(E1305-E1304,0)</f>
        <v>0</v>
      </c>
      <c r="Q1305" s="7" t="n">
        <f aca="false">MAX(E1304-E1305,0)</f>
        <v>770.419999999998</v>
      </c>
      <c r="R1305" s="7" t="n">
        <f aca="false">(R1304*13+P1305)/14</f>
        <v>81.2919580023423</v>
      </c>
      <c r="S1305" s="7" t="n">
        <f aca="false">(S1304*13+Q1305)/14</f>
        <v>201.04805611104</v>
      </c>
      <c r="T1305" s="7" t="n">
        <f aca="false">IF(S1305=0,100,100-100/(1+R1305/S1305))</f>
        <v>28.7922199967367</v>
      </c>
      <c r="U1305" s="7" t="n">
        <f aca="false">E1305*2/13+U1304*11/13</f>
        <v>20551.7719150259</v>
      </c>
      <c r="V1305" s="7" t="n">
        <f aca="false">E1305*2/27+V1304*25/27</f>
        <v>20972.5870409417</v>
      </c>
      <c r="W1305" s="7" t="n">
        <f aca="false">U1305-V1305</f>
        <v>-420.81512591588</v>
      </c>
      <c r="X1305" s="7" t="n">
        <f aca="false">W1305*2/10+X1304*8/10</f>
        <v>-228.603622191161</v>
      </c>
      <c r="Y1305" s="7" t="n">
        <f aca="false">W1305-X1305</f>
        <v>-192.211503724719</v>
      </c>
      <c r="Z1305" s="7" t="s">
        <v>78</v>
      </c>
      <c r="AA1305" s="7" t="str">
        <f aca="false">IFERROR(INDEX(02_轉折點45!B:B,MATCH(A1305,02_轉折點45!A:A,0)),"")</f>
        <v/>
      </c>
      <c r="AB1305" s="7" t="n">
        <f aca="false">COUNTIFS(05_訊號明細!A:A,A1305,05_訊號明細!C:C,"TOP")</f>
        <v>0</v>
      </c>
      <c r="AC1305" s="7" t="n">
        <f aca="false">COUNTIFS(05_訊號明細!A:A,A1305,05_訊號明細!C:C,"BOTTOM")</f>
        <v>0</v>
      </c>
    </row>
    <row r="1306" customFormat="false" ht="15" hidden="false" customHeight="false" outlineLevel="0" collapsed="false">
      <c r="A1306" s="7" t="s">
        <v>1347</v>
      </c>
      <c r="B1306" s="7" t="n">
        <v>19405.52</v>
      </c>
      <c r="C1306" s="7" t="n">
        <v>19659.43</v>
      </c>
      <c r="D1306" s="7" t="n">
        <v>19180.56</v>
      </c>
      <c r="E1306" s="7" t="n">
        <v>19376.96</v>
      </c>
      <c r="F1306" s="7" t="n">
        <v>9177</v>
      </c>
      <c r="G1306" s="7" t="n">
        <f aca="false">AVERAGE(E1302:E1306)</f>
        <v>19938.074</v>
      </c>
      <c r="H1306" s="7" t="n">
        <f aca="false">AVERAGE(E1297:E1306)</f>
        <v>20303.676</v>
      </c>
      <c r="I1306" s="7" t="n">
        <f aca="false">AVERAGE(E1287:E1306)</f>
        <v>21052.831</v>
      </c>
      <c r="J1306" s="7" t="n">
        <f aca="false">AVERAGE(E1257:E1306)</f>
        <v>21250.1928</v>
      </c>
      <c r="K1306" s="7" t="n">
        <f aca="false">AVERAGE(E1207:E1306)</f>
        <v>21063.9055</v>
      </c>
      <c r="L1306" s="7" t="n">
        <f aca="false">AVERAGE(E1107:E1306)</f>
        <v>20254.68805</v>
      </c>
      <c r="M1306" s="7" t="n">
        <f aca="false">I1306</f>
        <v>21052.831</v>
      </c>
      <c r="N1306" s="7" t="n">
        <f aca="false">I1306+2*STDEV(E1287:E1306)</f>
        <v>22852.6286249848</v>
      </c>
      <c r="O1306" s="7" t="n">
        <f aca="false">I1306-2*STDEV(E1287:E1306)</f>
        <v>19253.0333750152</v>
      </c>
      <c r="P1306" s="7" t="n">
        <f aca="false">MAX(E1306-E1305,0)</f>
        <v>0</v>
      </c>
      <c r="Q1306" s="7" t="n">
        <f aca="false">MAX(E1305-E1306,0)</f>
        <v>53.9900000000016</v>
      </c>
      <c r="R1306" s="7" t="n">
        <f aca="false">(R1305*13+P1306)/14</f>
        <v>75.4853895736036</v>
      </c>
      <c r="S1306" s="7" t="n">
        <f aca="false">(S1305*13+Q1306)/14</f>
        <v>190.543909245966</v>
      </c>
      <c r="T1306" s="7" t="n">
        <f aca="false">IF(S1306=0,100,100-100/(1+R1306/S1306))</f>
        <v>28.3748406316706</v>
      </c>
      <c r="U1306" s="7" t="n">
        <f aca="false">E1306*2/13+U1305*11/13</f>
        <v>20371.0316204065</v>
      </c>
      <c r="V1306" s="7" t="n">
        <f aca="false">E1306*2/27+V1305*25/27</f>
        <v>20854.3924453164</v>
      </c>
      <c r="W1306" s="7" t="n">
        <f aca="false">U1306-V1306</f>
        <v>-483.360824909931</v>
      </c>
      <c r="X1306" s="7" t="n">
        <f aca="false">W1306*2/10+X1305*8/10</f>
        <v>-279.555062734915</v>
      </c>
      <c r="Y1306" s="7" t="n">
        <f aca="false">W1306-X1306</f>
        <v>-203.805762175016</v>
      </c>
      <c r="Z1306" s="9" t="s">
        <v>89</v>
      </c>
      <c r="AA1306" s="7" t="str">
        <f aca="false">IFERROR(INDEX(02_轉折點45!B:B,MATCH(A1306,02_轉折點45!A:A,0)),"")</f>
        <v/>
      </c>
      <c r="AB1306" s="7" t="n">
        <f aca="false">COUNTIFS(05_訊號明細!A:A,A1306,05_訊號明細!C:C,"TOP")</f>
        <v>0</v>
      </c>
      <c r="AC1306" s="7" t="n">
        <f aca="false">COUNTIFS(05_訊號明細!A:A,A1306,05_訊號明細!C:C,"BOTTOM")</f>
        <v>0</v>
      </c>
    </row>
    <row r="1307" customFormat="false" ht="15" hidden="false" customHeight="false" outlineLevel="0" collapsed="false">
      <c r="A1307" s="7" t="s">
        <v>1348</v>
      </c>
      <c r="B1307" s="7" t="n">
        <v>19663.39</v>
      </c>
      <c r="C1307" s="7" t="n">
        <v>19756.09</v>
      </c>
      <c r="D1307" s="7" t="n">
        <v>19375.25</v>
      </c>
      <c r="E1307" s="7" t="n">
        <v>19596.02</v>
      </c>
      <c r="F1307" s="7" t="n">
        <v>7746</v>
      </c>
      <c r="G1307" s="7" t="n">
        <f aca="false">AVERAGE(E1303:E1307)</f>
        <v>19731.586</v>
      </c>
      <c r="H1307" s="7" t="n">
        <f aca="false">AVERAGE(E1298:E1307)</f>
        <v>20149.986</v>
      </c>
      <c r="I1307" s="7" t="n">
        <f aca="false">AVERAGE(E1288:E1307)</f>
        <v>20947.956</v>
      </c>
      <c r="J1307" s="7" t="n">
        <f aca="false">AVERAGE(E1258:E1307)</f>
        <v>21206.747</v>
      </c>
      <c r="K1307" s="7" t="n">
        <f aca="false">AVERAGE(E1208:E1307)</f>
        <v>21058.2674</v>
      </c>
      <c r="L1307" s="7" t="n">
        <f aca="false">AVERAGE(E1108:E1307)</f>
        <v>20259.14215</v>
      </c>
      <c r="M1307" s="7" t="n">
        <f aca="false">I1307</f>
        <v>20947.956</v>
      </c>
      <c r="N1307" s="7" t="n">
        <f aca="false">I1307+2*STDEV(E1288:E1307)</f>
        <v>22832.9873505297</v>
      </c>
      <c r="O1307" s="7" t="n">
        <f aca="false">I1307-2*STDEV(E1288:E1307)</f>
        <v>19062.9246494703</v>
      </c>
      <c r="P1307" s="7" t="n">
        <f aca="false">MAX(E1307-E1306,0)</f>
        <v>219.060000000001</v>
      </c>
      <c r="Q1307" s="7" t="n">
        <f aca="false">MAX(E1306-E1307,0)</f>
        <v>0</v>
      </c>
      <c r="R1307" s="7" t="n">
        <f aca="false">(R1306*13+P1307)/14</f>
        <v>85.7407188897748</v>
      </c>
      <c r="S1307" s="7" t="n">
        <f aca="false">(S1306*13+Q1307)/14</f>
        <v>176.933630014111</v>
      </c>
      <c r="T1307" s="7" t="n">
        <f aca="false">IF(S1307=0,100,100-100/(1+R1307/S1307))</f>
        <v>32.6414510010446</v>
      </c>
      <c r="U1307" s="7" t="n">
        <f aca="false">E1307*2/13+U1306*11/13</f>
        <v>20251.7990634209</v>
      </c>
      <c r="V1307" s="7" t="n">
        <f aca="false">E1307*2/27+V1306*25/27</f>
        <v>20761.1796715893</v>
      </c>
      <c r="W1307" s="7" t="n">
        <f aca="false">U1307-V1307</f>
        <v>-509.380608168405</v>
      </c>
      <c r="X1307" s="7" t="n">
        <f aca="false">W1307*2/10+X1306*8/10</f>
        <v>-325.520171821613</v>
      </c>
      <c r="Y1307" s="7" t="n">
        <f aca="false">W1307-X1307</f>
        <v>-183.860436346792</v>
      </c>
      <c r="Z1307" s="9" t="s">
        <v>89</v>
      </c>
      <c r="AA1307" s="7" t="str">
        <f aca="false">IFERROR(INDEX(02_轉折點45!B:B,MATCH(A1307,02_轉折點45!A:A,0)),"")</f>
        <v/>
      </c>
      <c r="AB1307" s="7" t="n">
        <f aca="false">COUNTIFS(05_訊號明細!A:A,A1307,05_訊號明細!C:C,"TOP")</f>
        <v>0</v>
      </c>
      <c r="AC1307" s="7" t="n">
        <f aca="false">COUNTIFS(05_訊號明細!A:A,A1307,05_訊號明細!C:C,"BOTTOM")</f>
        <v>0</v>
      </c>
    </row>
    <row r="1308" customFormat="false" ht="15" hidden="false" customHeight="false" outlineLevel="0" collapsed="false">
      <c r="A1308" s="7" t="s">
        <v>1349</v>
      </c>
      <c r="B1308" s="7" t="n">
        <v>19534.37</v>
      </c>
      <c r="C1308" s="7" t="n">
        <v>19558.56</v>
      </c>
      <c r="D1308" s="7" t="n">
        <v>19152.57</v>
      </c>
      <c r="E1308" s="7" t="n">
        <v>19225.48</v>
      </c>
      <c r="F1308" s="7" t="n">
        <v>7147</v>
      </c>
      <c r="G1308" s="7" t="n">
        <f aca="false">AVERAGE(E1304:E1308)</f>
        <v>19566.156</v>
      </c>
      <c r="H1308" s="7" t="n">
        <f aca="false">AVERAGE(E1299:E1308)</f>
        <v>20017.439</v>
      </c>
      <c r="I1308" s="7" t="n">
        <f aca="false">AVERAGE(E1289:E1308)</f>
        <v>20823.267</v>
      </c>
      <c r="J1308" s="7" t="n">
        <f aca="false">AVERAGE(E1259:E1308)</f>
        <v>21161.7962</v>
      </c>
      <c r="K1308" s="7" t="n">
        <f aca="false">AVERAGE(E1209:E1308)</f>
        <v>21048.7817</v>
      </c>
      <c r="L1308" s="7" t="n">
        <f aca="false">AVERAGE(E1109:E1308)</f>
        <v>20262.1526</v>
      </c>
      <c r="M1308" s="7" t="n">
        <f aca="false">I1308</f>
        <v>20823.267</v>
      </c>
      <c r="N1308" s="7" t="n">
        <f aca="false">I1308+2*STDEV(E1289:E1308)</f>
        <v>22820.0774535415</v>
      </c>
      <c r="O1308" s="7" t="n">
        <f aca="false">I1308-2*STDEV(E1289:E1308)</f>
        <v>18826.4565464585</v>
      </c>
      <c r="P1308" s="7" t="n">
        <f aca="false">MAX(E1308-E1307,0)</f>
        <v>0</v>
      </c>
      <c r="Q1308" s="7" t="n">
        <f aca="false">MAX(E1307-E1308,0)</f>
        <v>370.540000000001</v>
      </c>
      <c r="R1308" s="7" t="n">
        <f aca="false">(R1307*13+P1308)/14</f>
        <v>79.6163818262195</v>
      </c>
      <c r="S1308" s="7" t="n">
        <f aca="false">(S1307*13+Q1308)/14</f>
        <v>190.762656441674</v>
      </c>
      <c r="T1308" s="7" t="n">
        <f aca="false">IF(S1308=0,100,100-100/(1+R1308/S1308))</f>
        <v>29.4462108957333</v>
      </c>
      <c r="U1308" s="7" t="n">
        <f aca="false">E1308*2/13+U1307*11/13</f>
        <v>20093.9038228946</v>
      </c>
      <c r="V1308" s="7" t="n">
        <f aca="false">E1308*2/27+V1307*25/27</f>
        <v>20647.4241403605</v>
      </c>
      <c r="W1308" s="7" t="n">
        <f aca="false">U1308-V1308</f>
        <v>-553.520317465856</v>
      </c>
      <c r="X1308" s="7" t="n">
        <f aca="false">W1308*2/10+X1307*8/10</f>
        <v>-371.120200950462</v>
      </c>
      <c r="Y1308" s="7" t="n">
        <f aca="false">W1308-X1308</f>
        <v>-182.400116515395</v>
      </c>
      <c r="Z1308" s="9" t="s">
        <v>89</v>
      </c>
      <c r="AA1308" s="7" t="str">
        <f aca="false">IFERROR(INDEX(02_轉折點45!B:B,MATCH(A1308,02_轉折點45!A:A,0)),"")</f>
        <v/>
      </c>
      <c r="AB1308" s="7" t="n">
        <f aca="false">COUNTIFS(05_訊號明細!A:A,A1308,05_訊號明細!C:C,"TOP")</f>
        <v>0</v>
      </c>
      <c r="AC1308" s="7" t="n">
        <f aca="false">COUNTIFS(05_訊號明細!A:A,A1308,05_訊號明細!C:C,"BOTTOM")</f>
        <v>0</v>
      </c>
    </row>
    <row r="1309" customFormat="false" ht="15" hidden="false" customHeight="false" outlineLevel="0" collapsed="false">
      <c r="A1309" s="7" t="s">
        <v>1350</v>
      </c>
      <c r="B1309" s="7" t="n">
        <v>19458.89</v>
      </c>
      <c r="C1309" s="7" t="n">
        <v>19729.21</v>
      </c>
      <c r="D1309" s="7" t="n">
        <v>19436.04</v>
      </c>
      <c r="E1309" s="7" t="n">
        <v>19704.64</v>
      </c>
      <c r="F1309" s="7" t="n">
        <v>7094</v>
      </c>
      <c r="G1309" s="7" t="n">
        <f aca="false">AVERAGE(E1305:E1309)</f>
        <v>19466.81</v>
      </c>
      <c r="H1309" s="7" t="n">
        <f aca="false">AVERAGE(E1300:E1309)</f>
        <v>19899.462</v>
      </c>
      <c r="I1309" s="7" t="n">
        <f aca="false">AVERAGE(E1290:E1309)</f>
        <v>20706.9635</v>
      </c>
      <c r="J1309" s="7" t="n">
        <f aca="false">AVERAGE(E1260:E1309)</f>
        <v>21131.9472</v>
      </c>
      <c r="K1309" s="7" t="n">
        <f aca="false">AVERAGE(E1210:E1309)</f>
        <v>21043.9239</v>
      </c>
      <c r="L1309" s="7" t="n">
        <f aca="false">AVERAGE(E1110:E1309)</f>
        <v>20266.63405</v>
      </c>
      <c r="M1309" s="7" t="n">
        <f aca="false">I1309</f>
        <v>20706.9635</v>
      </c>
      <c r="N1309" s="7" t="n">
        <f aca="false">I1309+2*STDEV(E1290:E1309)</f>
        <v>22678.4617079976</v>
      </c>
      <c r="O1309" s="7" t="n">
        <f aca="false">I1309-2*STDEV(E1290:E1309)</f>
        <v>18735.4652920024</v>
      </c>
      <c r="P1309" s="7" t="n">
        <f aca="false">MAX(E1309-E1308,0)</f>
        <v>479.16</v>
      </c>
      <c r="Q1309" s="7" t="n">
        <f aca="false">MAX(E1308-E1309,0)</f>
        <v>0</v>
      </c>
      <c r="R1309" s="7" t="n">
        <f aca="false">(R1308*13+P1309)/14</f>
        <v>108.155211695775</v>
      </c>
      <c r="S1309" s="7" t="n">
        <f aca="false">(S1308*13+Q1309)/14</f>
        <v>177.136752410126</v>
      </c>
      <c r="T1309" s="7" t="n">
        <f aca="false">IF(S1309=0,100,100-100/(1+R1309/S1309))</f>
        <v>37.9103603688002</v>
      </c>
      <c r="U1309" s="7" t="n">
        <f aca="false">E1309*2/13+U1308*11/13</f>
        <v>20034.0170809108</v>
      </c>
      <c r="V1309" s="7" t="n">
        <f aca="false">E1309*2/27+V1308*25/27</f>
        <v>20577.5882781115</v>
      </c>
      <c r="W1309" s="7" t="n">
        <f aca="false">U1309-V1309</f>
        <v>-543.571197200719</v>
      </c>
      <c r="X1309" s="7" t="n">
        <f aca="false">W1309*2/10+X1308*8/10</f>
        <v>-405.610400200513</v>
      </c>
      <c r="Y1309" s="7" t="n">
        <f aca="false">W1309-X1309</f>
        <v>-137.960797000206</v>
      </c>
      <c r="Z1309" s="9" t="s">
        <v>89</v>
      </c>
      <c r="AA1309" s="7" t="str">
        <f aca="false">IFERROR(INDEX(02_轉折點45!B:B,MATCH(A1309,02_轉折點45!A:A,0)),"")</f>
        <v/>
      </c>
      <c r="AB1309" s="7" t="n">
        <f aca="false">COUNTIFS(05_訊號明細!A:A,A1309,05_訊號明細!C:C,"TOP")</f>
        <v>0</v>
      </c>
      <c r="AC1309" s="7" t="n">
        <f aca="false">COUNTIFS(05_訊號明細!A:A,A1309,05_訊號明細!C:C,"BOTTOM")</f>
        <v>0</v>
      </c>
    </row>
    <row r="1310" customFormat="false" ht="15" hidden="false" customHeight="false" outlineLevel="0" collapsed="false">
      <c r="A1310" s="7" t="s">
        <v>1351</v>
      </c>
      <c r="B1310" s="7" t="n">
        <v>19670.69</v>
      </c>
      <c r="C1310" s="7" t="n">
        <v>19943.81</v>
      </c>
      <c r="D1310" s="7" t="n">
        <v>19622.47</v>
      </c>
      <c r="E1310" s="7" t="n">
        <v>19812.24</v>
      </c>
      <c r="F1310" s="7" t="n">
        <v>6306</v>
      </c>
      <c r="G1310" s="7" t="n">
        <f aca="false">AVERAGE(E1306:E1310)</f>
        <v>19543.068</v>
      </c>
      <c r="H1310" s="7" t="n">
        <f aca="false">AVERAGE(E1301:E1310)</f>
        <v>19838.128</v>
      </c>
      <c r="I1310" s="7" t="n">
        <f aca="false">AVERAGE(E1291:E1310)</f>
        <v>20591.841</v>
      </c>
      <c r="J1310" s="7" t="n">
        <f aca="false">AVERAGE(E1261:E1310)</f>
        <v>21107.9486</v>
      </c>
      <c r="K1310" s="7" t="n">
        <f aca="false">AVERAGE(E1211:E1310)</f>
        <v>21038.8059</v>
      </c>
      <c r="L1310" s="7" t="n">
        <f aca="false">AVERAGE(E1111:E1310)</f>
        <v>20271.34805</v>
      </c>
      <c r="M1310" s="7" t="n">
        <f aca="false">I1310</f>
        <v>20591.841</v>
      </c>
      <c r="N1310" s="7" t="n">
        <f aca="false">I1310+2*STDEV(E1291:E1310)</f>
        <v>22484.5470587079</v>
      </c>
      <c r="O1310" s="7" t="n">
        <f aca="false">I1310-2*STDEV(E1291:E1310)</f>
        <v>18699.1349412921</v>
      </c>
      <c r="P1310" s="7" t="n">
        <f aca="false">MAX(E1310-E1309,0)</f>
        <v>107.600000000002</v>
      </c>
      <c r="Q1310" s="7" t="n">
        <f aca="false">MAX(E1309-E1310,0)</f>
        <v>0</v>
      </c>
      <c r="R1310" s="7" t="n">
        <f aca="false">(R1309*13+P1310)/14</f>
        <v>108.115553717506</v>
      </c>
      <c r="S1310" s="7" t="n">
        <f aca="false">(S1309*13+Q1310)/14</f>
        <v>164.484127237974</v>
      </c>
      <c r="T1310" s="7" t="n">
        <f aca="false">IF(S1310=0,100,100-100/(1+R1310/S1310))</f>
        <v>39.6609245243991</v>
      </c>
      <c r="U1310" s="7" t="n">
        <f aca="false">E1310*2/13+U1309*11/13</f>
        <v>19999.8975300015</v>
      </c>
      <c r="V1310" s="7" t="n">
        <f aca="false">E1310*2/27+V1309*25/27</f>
        <v>20520.8958130662</v>
      </c>
      <c r="W1310" s="7" t="n">
        <f aca="false">U1310-V1310</f>
        <v>-520.998283064775</v>
      </c>
      <c r="X1310" s="7" t="n">
        <f aca="false">W1310*2/10+X1309*8/10</f>
        <v>-428.687976773366</v>
      </c>
      <c r="Y1310" s="7" t="n">
        <f aca="false">W1310-X1310</f>
        <v>-92.3103062914095</v>
      </c>
      <c r="Z1310" s="9" t="s">
        <v>89</v>
      </c>
      <c r="AA1310" s="7" t="str">
        <f aca="false">IFERROR(INDEX(02_轉折點45!B:B,MATCH(A1310,02_轉折點45!A:A,0)),"")</f>
        <v/>
      </c>
      <c r="AB1310" s="7" t="n">
        <f aca="false">COUNTIFS(05_訊號明細!A:A,A1310,05_訊號明細!C:C,"TOP")</f>
        <v>0</v>
      </c>
      <c r="AC1310" s="7" t="n">
        <f aca="false">COUNTIFS(05_訊號明細!A:A,A1310,05_訊號明細!C:C,"BOTTOM")</f>
        <v>0</v>
      </c>
    </row>
    <row r="1311" customFormat="false" ht="15" hidden="false" customHeight="false" outlineLevel="0" collapsed="false">
      <c r="A1311" s="7" t="s">
        <v>1352</v>
      </c>
      <c r="B1311" s="7" t="n">
        <v>19657.1</v>
      </c>
      <c r="C1311" s="7" t="n">
        <v>19676.05</v>
      </c>
      <c r="D1311" s="7" t="n">
        <v>19397.08</v>
      </c>
      <c r="E1311" s="7" t="n">
        <v>19483.36</v>
      </c>
      <c r="F1311" s="7" t="n">
        <v>6451</v>
      </c>
      <c r="G1311" s="7" t="n">
        <f aca="false">AVERAGE(E1307:E1311)</f>
        <v>19564.348</v>
      </c>
      <c r="H1311" s="7" t="n">
        <f aca="false">AVERAGE(E1302:E1311)</f>
        <v>19751.211</v>
      </c>
      <c r="I1311" s="7" t="n">
        <f aca="false">AVERAGE(E1292:E1311)</f>
        <v>20457.7785</v>
      </c>
      <c r="J1311" s="7" t="n">
        <f aca="false">AVERAGE(E1262:E1311)</f>
        <v>21078.1034</v>
      </c>
      <c r="K1311" s="7" t="n">
        <f aca="false">AVERAGE(E1212:E1311)</f>
        <v>21030.0248</v>
      </c>
      <c r="L1311" s="7" t="n">
        <f aca="false">AVERAGE(E1112:E1311)</f>
        <v>20275.0811</v>
      </c>
      <c r="M1311" s="7" t="n">
        <f aca="false">I1311</f>
        <v>20457.7785</v>
      </c>
      <c r="N1311" s="7" t="n">
        <f aca="false">I1311+2*STDEV(E1292:E1311)</f>
        <v>22259.0511371888</v>
      </c>
      <c r="O1311" s="7" t="n">
        <f aca="false">I1311-2*STDEV(E1292:E1311)</f>
        <v>18656.5058628112</v>
      </c>
      <c r="P1311" s="7" t="n">
        <f aca="false">MAX(E1311-E1310,0)</f>
        <v>0</v>
      </c>
      <c r="Q1311" s="7" t="n">
        <f aca="false">MAX(E1310-E1311,0)</f>
        <v>328.880000000001</v>
      </c>
      <c r="R1311" s="7" t="n">
        <f aca="false">(R1310*13+P1311)/14</f>
        <v>100.393014166255</v>
      </c>
      <c r="S1311" s="7" t="n">
        <f aca="false">(S1310*13+Q1311)/14</f>
        <v>176.226689578119</v>
      </c>
      <c r="T1311" s="7" t="n">
        <f aca="false">IF(S1311=0,100,100-100/(1+R1311/S1311))</f>
        <v>36.2927921645918</v>
      </c>
      <c r="U1311" s="7" t="n">
        <f aca="false">E1311*2/13+U1310*11/13</f>
        <v>19920.4302176935</v>
      </c>
      <c r="V1311" s="7" t="n">
        <f aca="false">E1311*2/27+V1310*25/27</f>
        <v>20444.0413083947</v>
      </c>
      <c r="W1311" s="7" t="n">
        <f aca="false">U1311-V1311</f>
        <v>-523.611090701121</v>
      </c>
      <c r="X1311" s="7" t="n">
        <f aca="false">W1311*2/10+X1310*8/10</f>
        <v>-447.672599558917</v>
      </c>
      <c r="Y1311" s="7" t="n">
        <f aca="false">W1311-X1311</f>
        <v>-75.9384911422041</v>
      </c>
      <c r="Z1311" s="9" t="s">
        <v>89</v>
      </c>
      <c r="AA1311" s="7" t="str">
        <f aca="false">IFERROR(INDEX(02_轉折點45!B:B,MATCH(A1311,02_轉折點45!A:A,0)),"")</f>
        <v/>
      </c>
      <c r="AB1311" s="7" t="n">
        <f aca="false">COUNTIFS(05_訊號明細!A:A,A1311,05_訊號明細!C:C,"TOP")</f>
        <v>0</v>
      </c>
      <c r="AC1311" s="7" t="n">
        <f aca="false">COUNTIFS(05_訊號明細!A:A,A1311,05_訊號明細!C:C,"BOTTOM")</f>
        <v>0</v>
      </c>
    </row>
    <row r="1312" customFormat="false" ht="15" hidden="false" customHeight="false" outlineLevel="0" collapsed="false">
      <c r="A1312" s="7" t="s">
        <v>1353</v>
      </c>
      <c r="B1312" s="7" t="n">
        <v>19576.32</v>
      </c>
      <c r="C1312" s="7" t="n">
        <v>19921.62</v>
      </c>
      <c r="D1312" s="7" t="n">
        <v>19497.79</v>
      </c>
      <c r="E1312" s="7" t="n">
        <v>19736.66</v>
      </c>
      <c r="F1312" s="7" t="n">
        <v>6302</v>
      </c>
      <c r="G1312" s="7" t="n">
        <f aca="false">AVERAGE(E1308:E1312)</f>
        <v>19592.476</v>
      </c>
      <c r="H1312" s="7" t="n">
        <f aca="false">AVERAGE(E1303:E1312)</f>
        <v>19662.031</v>
      </c>
      <c r="I1312" s="7" t="n">
        <f aca="false">AVERAGE(E1293:E1312)</f>
        <v>20335.8315</v>
      </c>
      <c r="J1312" s="7" t="n">
        <f aca="false">AVERAGE(E1263:E1312)</f>
        <v>21046.3134</v>
      </c>
      <c r="K1312" s="7" t="n">
        <f aca="false">AVERAGE(E1213:E1312)</f>
        <v>21023.4868</v>
      </c>
      <c r="L1312" s="7" t="n">
        <f aca="false">AVERAGE(E1113:E1312)</f>
        <v>20281.0711</v>
      </c>
      <c r="M1312" s="7" t="n">
        <f aca="false">I1312</f>
        <v>20335.8315</v>
      </c>
      <c r="N1312" s="7" t="n">
        <f aca="false">I1312+2*STDEV(E1293:E1312)</f>
        <v>21969.9061332279</v>
      </c>
      <c r="O1312" s="7" t="n">
        <f aca="false">I1312-2*STDEV(E1293:E1312)</f>
        <v>18701.7568667721</v>
      </c>
      <c r="P1312" s="7" t="n">
        <f aca="false">MAX(E1312-E1311,0)</f>
        <v>253.299999999999</v>
      </c>
      <c r="Q1312" s="7" t="n">
        <f aca="false">MAX(E1311-E1312,0)</f>
        <v>0</v>
      </c>
      <c r="R1312" s="7" t="n">
        <f aca="false">(R1311*13+P1312)/14</f>
        <v>111.314941725808</v>
      </c>
      <c r="S1312" s="7" t="n">
        <f aca="false">(S1311*13+Q1312)/14</f>
        <v>163.639068893968</v>
      </c>
      <c r="T1312" s="7" t="n">
        <f aca="false">IF(S1312=0,100,100-100/(1+R1312/S1312))</f>
        <v>40.4849310889819</v>
      </c>
      <c r="U1312" s="7" t="n">
        <f aca="false">E1312*2/13+U1311*11/13</f>
        <v>19892.1578765099</v>
      </c>
      <c r="V1312" s="7" t="n">
        <f aca="false">E1312*2/27+V1311*25/27</f>
        <v>20391.642692958</v>
      </c>
      <c r="W1312" s="7" t="n">
        <f aca="false">U1312-V1312</f>
        <v>-499.484816448101</v>
      </c>
      <c r="X1312" s="7" t="n">
        <f aca="false">W1312*2/10+X1311*8/10</f>
        <v>-458.035042936754</v>
      </c>
      <c r="Y1312" s="7" t="n">
        <f aca="false">W1312-X1312</f>
        <v>-41.4497735113474</v>
      </c>
      <c r="Z1312" s="7" t="s">
        <v>78</v>
      </c>
      <c r="AA1312" s="7" t="str">
        <f aca="false">IFERROR(INDEX(02_轉折點45!B:B,MATCH(A1312,02_轉折點45!A:A,0)),"")</f>
        <v/>
      </c>
      <c r="AB1312" s="7" t="n">
        <f aca="false">COUNTIFS(05_訊號明細!A:A,A1312,05_訊號明細!C:C,"TOP")</f>
        <v>0</v>
      </c>
      <c r="AC1312" s="7" t="n">
        <f aca="false">COUNTIFS(05_訊號明細!A:A,A1312,05_訊號明細!C:C,"BOTTOM")</f>
        <v>0</v>
      </c>
    </row>
    <row r="1313" customFormat="false" ht="15" hidden="false" customHeight="false" outlineLevel="0" collapsed="false">
      <c r="A1313" s="7" t="s">
        <v>1354</v>
      </c>
      <c r="B1313" s="7" t="n">
        <v>19558.28</v>
      </c>
      <c r="C1313" s="7" t="n">
        <v>19888.85</v>
      </c>
      <c r="D1313" s="7" t="n">
        <v>19549.31</v>
      </c>
      <c r="E1313" s="7" t="n">
        <v>19677.61</v>
      </c>
      <c r="F1313" s="7" t="n">
        <v>6098</v>
      </c>
      <c r="G1313" s="7" t="n">
        <f aca="false">AVERAGE(E1309:E1313)</f>
        <v>19682.902</v>
      </c>
      <c r="H1313" s="7" t="n">
        <f aca="false">AVERAGE(E1304:E1313)</f>
        <v>19624.529</v>
      </c>
      <c r="I1313" s="7" t="n">
        <f aca="false">AVERAGE(E1294:E1313)</f>
        <v>20216.309</v>
      </c>
      <c r="J1313" s="7" t="n">
        <f aca="false">AVERAGE(E1264:E1313)</f>
        <v>21008.6756</v>
      </c>
      <c r="K1313" s="7" t="n">
        <f aca="false">AVERAGE(E1214:E1313)</f>
        <v>21019.5933</v>
      </c>
      <c r="L1313" s="7" t="n">
        <f aca="false">AVERAGE(E1114:E1313)</f>
        <v>20286.7759</v>
      </c>
      <c r="M1313" s="7" t="n">
        <f aca="false">I1313</f>
        <v>20216.309</v>
      </c>
      <c r="N1313" s="7" t="n">
        <f aca="false">I1313+2*STDEV(E1294:E1313)</f>
        <v>21654.9031210838</v>
      </c>
      <c r="O1313" s="7" t="n">
        <f aca="false">I1313-2*STDEV(E1294:E1313)</f>
        <v>18777.7148789162</v>
      </c>
      <c r="P1313" s="7" t="n">
        <f aca="false">MAX(E1313-E1312,0)</f>
        <v>0</v>
      </c>
      <c r="Q1313" s="7" t="n">
        <f aca="false">MAX(E1312-E1313,0)</f>
        <v>59.0499999999993</v>
      </c>
      <c r="R1313" s="7" t="n">
        <f aca="false">(R1312*13+P1313)/14</f>
        <v>103.363874459679</v>
      </c>
      <c r="S1313" s="7" t="n">
        <f aca="false">(S1312*13+Q1313)/14</f>
        <v>156.168421115827</v>
      </c>
      <c r="T1313" s="7" t="n">
        <f aca="false">IF(S1313=0,100,100-100/(1+R1313/S1313))</f>
        <v>39.8269796174971</v>
      </c>
      <c r="U1313" s="7" t="n">
        <f aca="false">E1313*2/13+U1312*11/13</f>
        <v>19859.150510893</v>
      </c>
      <c r="V1313" s="7" t="n">
        <f aca="false">E1313*2/27+V1312*25/27</f>
        <v>20338.7513823685</v>
      </c>
      <c r="W1313" s="7" t="n">
        <f aca="false">U1313-V1313</f>
        <v>-479.60087147553</v>
      </c>
      <c r="X1313" s="7" t="n">
        <f aca="false">W1313*2/10+X1312*8/10</f>
        <v>-462.348208644509</v>
      </c>
      <c r="Y1313" s="7" t="n">
        <f aca="false">W1313-X1313</f>
        <v>-17.2526628310211</v>
      </c>
      <c r="Z1313" s="7" t="s">
        <v>78</v>
      </c>
      <c r="AA1313" s="7" t="str">
        <f aca="false">IFERROR(INDEX(02_轉折點45!B:B,MATCH(A1313,02_轉折點45!A:A,0)),"")</f>
        <v/>
      </c>
      <c r="AB1313" s="7" t="n">
        <f aca="false">COUNTIFS(05_訊號明細!A:A,A1313,05_訊號明細!C:C,"TOP")</f>
        <v>0</v>
      </c>
      <c r="AC1313" s="7" t="n">
        <f aca="false">COUNTIFS(05_訊號明細!A:A,A1313,05_訊號明細!C:C,"BOTTOM")</f>
        <v>1</v>
      </c>
    </row>
    <row r="1314" customFormat="false" ht="15" hidden="false" customHeight="false" outlineLevel="0" collapsed="false">
      <c r="A1314" s="7" t="s">
        <v>1355</v>
      </c>
      <c r="B1314" s="7" t="n">
        <v>19466.44</v>
      </c>
      <c r="C1314" s="7" t="n">
        <v>19767.98</v>
      </c>
      <c r="D1314" s="7" t="n">
        <v>19409.18</v>
      </c>
      <c r="E1314" s="7" t="n">
        <v>19753.97</v>
      </c>
      <c r="F1314" s="7" t="n">
        <v>8838</v>
      </c>
      <c r="G1314" s="7" t="n">
        <f aca="false">AVERAGE(E1310:E1314)</f>
        <v>19692.768</v>
      </c>
      <c r="H1314" s="7" t="n">
        <f aca="false">AVERAGE(E1305:E1314)</f>
        <v>19579.789</v>
      </c>
      <c r="I1314" s="7" t="n">
        <f aca="false">AVERAGE(E1295:E1314)</f>
        <v>20123.3035</v>
      </c>
      <c r="J1314" s="7" t="n">
        <f aca="false">AVERAGE(E1265:E1314)</f>
        <v>20980.2942</v>
      </c>
      <c r="K1314" s="7" t="n">
        <f aca="false">AVERAGE(E1215:E1314)</f>
        <v>21014.8043</v>
      </c>
      <c r="L1314" s="7" t="n">
        <f aca="false">AVERAGE(E1115:E1314)</f>
        <v>20292.5409</v>
      </c>
      <c r="M1314" s="7" t="n">
        <f aca="false">I1314</f>
        <v>20123.3035</v>
      </c>
      <c r="N1314" s="7" t="n">
        <f aca="false">I1314+2*STDEV(E1295:E1314)</f>
        <v>21414.3553018597</v>
      </c>
      <c r="O1314" s="7" t="n">
        <f aca="false">I1314-2*STDEV(E1295:E1314)</f>
        <v>18832.2516981403</v>
      </c>
      <c r="P1314" s="7" t="n">
        <f aca="false">MAX(E1314-E1313,0)</f>
        <v>76.3600000000006</v>
      </c>
      <c r="Q1314" s="7" t="n">
        <f aca="false">MAX(E1313-E1314,0)</f>
        <v>0</v>
      </c>
      <c r="R1314" s="7" t="n">
        <f aca="false">(R1313*13+P1314)/14</f>
        <v>101.435026283988</v>
      </c>
      <c r="S1314" s="7" t="n">
        <f aca="false">(S1313*13+Q1314)/14</f>
        <v>145.013533893268</v>
      </c>
      <c r="T1314" s="7" t="n">
        <f aca="false">IF(S1314=0,100,100-100/(1+R1314/S1314))</f>
        <v>41.1587011143549</v>
      </c>
      <c r="U1314" s="7" t="n">
        <f aca="false">E1314*2/13+U1313*11/13</f>
        <v>19842.9688938325</v>
      </c>
      <c r="V1314" s="7" t="n">
        <f aca="false">E1314*2/27+V1313*25/27</f>
        <v>20295.4342429338</v>
      </c>
      <c r="W1314" s="7" t="n">
        <f aca="false">U1314-V1314</f>
        <v>-452.465349101287</v>
      </c>
      <c r="X1314" s="7" t="n">
        <f aca="false">W1314*2/10+X1313*8/10</f>
        <v>-460.371636735864</v>
      </c>
      <c r="Y1314" s="7" t="n">
        <f aca="false">W1314-X1314</f>
        <v>7.90628763457755</v>
      </c>
      <c r="Z1314" s="7" t="s">
        <v>78</v>
      </c>
      <c r="AA1314" s="7" t="str">
        <f aca="false">IFERROR(INDEX(02_轉折點45!B:B,MATCH(A1314,02_轉折點45!A:A,0)),"")</f>
        <v/>
      </c>
      <c r="AB1314" s="7" t="n">
        <f aca="false">COUNTIFS(05_訊號明細!A:A,A1314,05_訊號明細!C:C,"TOP")</f>
        <v>0</v>
      </c>
      <c r="AC1314" s="7" t="n">
        <f aca="false">COUNTIFS(05_訊號明細!A:A,A1314,05_訊號明細!C:C,"BOTTOM")</f>
        <v>0</v>
      </c>
    </row>
    <row r="1315" customFormat="false" ht="15" hidden="false" customHeight="false" outlineLevel="0" collapsed="false">
      <c r="A1315" s="7" t="s">
        <v>1356</v>
      </c>
      <c r="B1315" s="7" t="n">
        <v>20041.21</v>
      </c>
      <c r="C1315" s="7" t="n">
        <v>20208.84</v>
      </c>
      <c r="D1315" s="7" t="n">
        <v>20024.97</v>
      </c>
      <c r="E1315" s="7" t="n">
        <v>20180.45</v>
      </c>
      <c r="F1315" s="7" t="n">
        <v>6788</v>
      </c>
      <c r="G1315" s="7" t="n">
        <f aca="false">AVERAGE(E1311:E1315)</f>
        <v>19766.41</v>
      </c>
      <c r="H1315" s="7" t="n">
        <f aca="false">AVERAGE(E1306:E1315)</f>
        <v>19654.739</v>
      </c>
      <c r="I1315" s="7" t="n">
        <f aca="false">AVERAGE(E1296:E1315)</f>
        <v>20064.722</v>
      </c>
      <c r="J1315" s="7" t="n">
        <f aca="false">AVERAGE(E1266:E1315)</f>
        <v>20960.2838</v>
      </c>
      <c r="K1315" s="7" t="n">
        <f aca="false">AVERAGE(E1216:E1315)</f>
        <v>21013.0886</v>
      </c>
      <c r="L1315" s="7" t="n">
        <f aca="false">AVERAGE(E1116:E1315)</f>
        <v>20300.16895</v>
      </c>
      <c r="M1315" s="7" t="n">
        <f aca="false">I1315</f>
        <v>20064.722</v>
      </c>
      <c r="N1315" s="7" t="n">
        <f aca="false">I1315+2*STDEV(E1296:E1315)</f>
        <v>21220.2221905596</v>
      </c>
      <c r="O1315" s="7" t="n">
        <f aca="false">I1315-2*STDEV(E1296:E1315)</f>
        <v>18909.2218094405</v>
      </c>
      <c r="P1315" s="7" t="n">
        <f aca="false">MAX(E1315-E1314,0)</f>
        <v>426.48</v>
      </c>
      <c r="Q1315" s="7" t="n">
        <f aca="false">MAX(E1314-E1315,0)</f>
        <v>0</v>
      </c>
      <c r="R1315" s="7" t="n">
        <f aca="false">(R1314*13+P1315)/14</f>
        <v>124.65252440656</v>
      </c>
      <c r="S1315" s="7" t="n">
        <f aca="false">(S1314*13+Q1315)/14</f>
        <v>134.655424329463</v>
      </c>
      <c r="T1315" s="7" t="n">
        <f aca="false">IF(S1315=0,100,100-100/(1+R1315/S1315))</f>
        <v>48.0712315276756</v>
      </c>
      <c r="U1315" s="7" t="n">
        <f aca="false">E1315*2/13+U1314*11/13</f>
        <v>19894.8890640122</v>
      </c>
      <c r="V1315" s="7" t="n">
        <f aca="false">E1315*2/27+V1314*25/27</f>
        <v>20286.9168916054</v>
      </c>
      <c r="W1315" s="7" t="n">
        <f aca="false">U1315-V1315</f>
        <v>-392.02782759324</v>
      </c>
      <c r="X1315" s="7" t="n">
        <f aca="false">W1315*2/10+X1314*8/10</f>
        <v>-446.70287490734</v>
      </c>
      <c r="Y1315" s="7" t="n">
        <f aca="false">W1315-X1315</f>
        <v>54.6750473140999</v>
      </c>
      <c r="Z1315" s="7" t="s">
        <v>78</v>
      </c>
      <c r="AA1315" s="7" t="str">
        <f aca="false">IFERROR(INDEX(02_轉折點45!B:B,MATCH(A1315,02_轉折點45!A:A,0)),"")</f>
        <v/>
      </c>
      <c r="AB1315" s="7" t="n">
        <f aca="false">COUNTIFS(05_訊號明細!A:A,A1315,05_訊號明細!C:C,"TOP")</f>
        <v>0</v>
      </c>
      <c r="AC1315" s="7" t="n">
        <f aca="false">COUNTIFS(05_訊號明細!A:A,A1315,05_訊號明細!C:C,"BOTTOM")</f>
        <v>1</v>
      </c>
    </row>
    <row r="1316" customFormat="false" ht="15" hidden="false" customHeight="false" outlineLevel="0" collapsed="false">
      <c r="A1316" s="7" t="s">
        <v>1357</v>
      </c>
      <c r="B1316" s="7" t="n">
        <v>20196.5</v>
      </c>
      <c r="C1316" s="7" t="n">
        <v>20292.19</v>
      </c>
      <c r="D1316" s="7" t="n">
        <v>20164.07</v>
      </c>
      <c r="E1316" s="7" t="n">
        <v>20287.83</v>
      </c>
      <c r="F1316" s="7" t="n">
        <v>6476</v>
      </c>
      <c r="G1316" s="7" t="n">
        <f aca="false">AVERAGE(E1312:E1316)</f>
        <v>19927.304</v>
      </c>
      <c r="H1316" s="7" t="n">
        <f aca="false">AVERAGE(E1307:E1316)</f>
        <v>19745.826</v>
      </c>
      <c r="I1316" s="7" t="n">
        <f aca="false">AVERAGE(E1297:E1316)</f>
        <v>20024.751</v>
      </c>
      <c r="J1316" s="7" t="n">
        <f aca="false">AVERAGE(E1267:E1316)</f>
        <v>20949.0888</v>
      </c>
      <c r="K1316" s="7" t="n">
        <f aca="false">AVERAGE(E1217:E1316)</f>
        <v>21012.4562</v>
      </c>
      <c r="L1316" s="7" t="n">
        <f aca="false">AVERAGE(E1117:E1316)</f>
        <v>20306.43285</v>
      </c>
      <c r="M1316" s="7" t="n">
        <f aca="false">I1316</f>
        <v>20024.751</v>
      </c>
      <c r="N1316" s="7" t="n">
        <f aca="false">I1316+2*STDEV(E1297:E1316)</f>
        <v>21082.4912259315</v>
      </c>
      <c r="O1316" s="7" t="n">
        <f aca="false">I1316-2*STDEV(E1297:E1316)</f>
        <v>18967.0107740685</v>
      </c>
      <c r="P1316" s="7" t="n">
        <f aca="false">MAX(E1316-E1315,0)</f>
        <v>107.380000000001</v>
      </c>
      <c r="Q1316" s="7" t="n">
        <f aca="false">MAX(E1315-E1316,0)</f>
        <v>0</v>
      </c>
      <c r="R1316" s="7" t="n">
        <f aca="false">(R1315*13+P1316)/14</f>
        <v>123.418772663235</v>
      </c>
      <c r="S1316" s="7" t="n">
        <f aca="false">(S1315*13+Q1316)/14</f>
        <v>125.037179734502</v>
      </c>
      <c r="T1316" s="7" t="n">
        <f aca="false">IF(S1316=0,100,100-100/(1+R1316/S1316))</f>
        <v>49.6743070440357</v>
      </c>
      <c r="U1316" s="7" t="n">
        <f aca="false">E1316*2/13+U1315*11/13</f>
        <v>19955.3415157026</v>
      </c>
      <c r="V1316" s="7" t="n">
        <f aca="false">E1316*2/27+V1315*25/27</f>
        <v>20286.9845292643</v>
      </c>
      <c r="W1316" s="7" t="n">
        <f aca="false">U1316-V1316</f>
        <v>-331.643013561661</v>
      </c>
      <c r="X1316" s="7" t="n">
        <f aca="false">W1316*2/10+X1315*8/10</f>
        <v>-423.690902638204</v>
      </c>
      <c r="Y1316" s="7" t="n">
        <f aca="false">W1316-X1316</f>
        <v>92.0478890765427</v>
      </c>
      <c r="Z1316" s="7" t="s">
        <v>78</v>
      </c>
      <c r="AA1316" s="7" t="str">
        <f aca="false">IFERROR(INDEX(02_轉折點45!B:B,MATCH(A1316,02_轉折點45!A:A,0)),"")</f>
        <v/>
      </c>
      <c r="AB1316" s="7" t="n">
        <f aca="false">COUNTIFS(05_訊號明細!A:A,A1316,05_訊號明細!C:C,"TOP")</f>
        <v>0</v>
      </c>
      <c r="AC1316" s="7" t="n">
        <f aca="false">COUNTIFS(05_訊號明細!A:A,A1316,05_訊號明細!C:C,"BOTTOM")</f>
        <v>0</v>
      </c>
    </row>
    <row r="1317" customFormat="false" ht="15" hidden="false" customHeight="false" outlineLevel="0" collapsed="false">
      <c r="A1317" s="7" t="s">
        <v>1358</v>
      </c>
      <c r="B1317" s="7" t="n">
        <v>20239.04</v>
      </c>
      <c r="C1317" s="7" t="n">
        <v>20270.19</v>
      </c>
      <c r="D1317" s="7" t="n">
        <v>19848.49</v>
      </c>
      <c r="E1317" s="7" t="n">
        <v>19916.99</v>
      </c>
      <c r="F1317" s="7" t="n">
        <v>9092</v>
      </c>
      <c r="G1317" s="7" t="n">
        <f aca="false">AVERAGE(E1313:E1317)</f>
        <v>19963.37</v>
      </c>
      <c r="H1317" s="7" t="n">
        <f aca="false">AVERAGE(E1308:E1317)</f>
        <v>19777.923</v>
      </c>
      <c r="I1317" s="7" t="n">
        <f aca="false">AVERAGE(E1298:E1317)</f>
        <v>19963.9545</v>
      </c>
      <c r="J1317" s="7" t="n">
        <f aca="false">AVERAGE(E1268:E1317)</f>
        <v>20931.7342</v>
      </c>
      <c r="K1317" s="7" t="n">
        <f aca="false">AVERAGE(E1218:E1317)</f>
        <v>21006.1196</v>
      </c>
      <c r="L1317" s="7" t="n">
        <f aca="false">AVERAGE(E1118:E1317)</f>
        <v>20310.91185</v>
      </c>
      <c r="M1317" s="7" t="n">
        <f aca="false">I1317</f>
        <v>19963.9545</v>
      </c>
      <c r="N1317" s="7" t="n">
        <f aca="false">I1317+2*STDEV(E1298:E1317)</f>
        <v>20884.3683592812</v>
      </c>
      <c r="O1317" s="7" t="n">
        <f aca="false">I1317-2*STDEV(E1298:E1317)</f>
        <v>19043.5406407188</v>
      </c>
      <c r="P1317" s="7" t="n">
        <f aca="false">MAX(E1317-E1316,0)</f>
        <v>0</v>
      </c>
      <c r="Q1317" s="7" t="n">
        <f aca="false">MAX(E1316-E1317,0)</f>
        <v>370.84</v>
      </c>
      <c r="R1317" s="7" t="n">
        <f aca="false">(R1316*13+P1317)/14</f>
        <v>114.603146044432</v>
      </c>
      <c r="S1317" s="7" t="n">
        <f aca="false">(S1316*13+Q1317)/14</f>
        <v>142.59452403918</v>
      </c>
      <c r="T1317" s="7" t="n">
        <f aca="false">IF(S1317=0,100,100-100/(1+R1317/S1317))</f>
        <v>44.5583919975542</v>
      </c>
      <c r="U1317" s="7" t="n">
        <f aca="false">E1317*2/13+U1316*11/13</f>
        <v>19949.4412825176</v>
      </c>
      <c r="V1317" s="7" t="n">
        <f aca="false">E1317*2/27+V1316*25/27</f>
        <v>20259.5775270965</v>
      </c>
      <c r="W1317" s="7" t="n">
        <f aca="false">U1317-V1317</f>
        <v>-310.136244578953</v>
      </c>
      <c r="X1317" s="7" t="n">
        <f aca="false">W1317*2/10+X1316*8/10</f>
        <v>-400.979971026354</v>
      </c>
      <c r="Y1317" s="7" t="n">
        <f aca="false">W1317-X1317</f>
        <v>90.8437264474009</v>
      </c>
      <c r="Z1317" s="7" t="s">
        <v>78</v>
      </c>
      <c r="AA1317" s="7" t="str">
        <f aca="false">IFERROR(INDEX(02_轉折點45!B:B,MATCH(A1317,02_轉折點45!A:A,0)),"")</f>
        <v/>
      </c>
      <c r="AB1317" s="7" t="n">
        <f aca="false">COUNTIFS(05_訊號明細!A:A,A1317,05_訊號明細!C:C,"TOP")</f>
        <v>0</v>
      </c>
      <c r="AC1317" s="7" t="n">
        <f aca="false">COUNTIFS(05_訊號明細!A:A,A1317,05_訊號明細!C:C,"BOTTOM")</f>
        <v>0</v>
      </c>
    </row>
    <row r="1318" customFormat="false" ht="15" hidden="false" customHeight="false" outlineLevel="0" collapsed="false">
      <c r="A1318" s="7" t="s">
        <v>1359</v>
      </c>
      <c r="B1318" s="7" t="n">
        <v>19814.61</v>
      </c>
      <c r="C1318" s="7" t="n">
        <v>20003.36</v>
      </c>
      <c r="D1318" s="7" t="n">
        <v>19740.22</v>
      </c>
      <c r="E1318" s="7" t="n">
        <v>19798.62</v>
      </c>
      <c r="F1318" s="7" t="n">
        <v>8002</v>
      </c>
      <c r="G1318" s="7" t="n">
        <f aca="false">AVERAGE(E1314:E1318)</f>
        <v>19987.572</v>
      </c>
      <c r="H1318" s="7" t="n">
        <f aca="false">AVERAGE(E1309:E1318)</f>
        <v>19835.237</v>
      </c>
      <c r="I1318" s="7" t="n">
        <f aca="false">AVERAGE(E1299:E1318)</f>
        <v>19926.338</v>
      </c>
      <c r="J1318" s="7" t="n">
        <f aca="false">AVERAGE(E1269:E1318)</f>
        <v>20912.5584</v>
      </c>
      <c r="K1318" s="7" t="n">
        <f aca="false">AVERAGE(E1219:E1318)</f>
        <v>21000.2288</v>
      </c>
      <c r="L1318" s="7" t="n">
        <f aca="false">AVERAGE(E1119:E1318)</f>
        <v>20314.9002</v>
      </c>
      <c r="M1318" s="7" t="n">
        <f aca="false">I1318</f>
        <v>19926.338</v>
      </c>
      <c r="N1318" s="7" t="n">
        <f aca="false">I1318+2*STDEV(E1299:E1318)</f>
        <v>20806.3487298532</v>
      </c>
      <c r="O1318" s="7" t="n">
        <f aca="false">I1318-2*STDEV(E1299:E1318)</f>
        <v>19046.3272701468</v>
      </c>
      <c r="P1318" s="7" t="n">
        <f aca="false">MAX(E1318-E1317,0)</f>
        <v>0</v>
      </c>
      <c r="Q1318" s="7" t="n">
        <f aca="false">MAX(E1317-E1318,0)</f>
        <v>118.370000000003</v>
      </c>
      <c r="R1318" s="7" t="n">
        <f aca="false">(R1317*13+P1318)/14</f>
        <v>106.417207041258</v>
      </c>
      <c r="S1318" s="7" t="n">
        <f aca="false">(S1317*13+Q1318)/14</f>
        <v>140.864200893524</v>
      </c>
      <c r="T1318" s="7" t="n">
        <f aca="false">IF(S1318=0,100,100-100/(1+R1318/S1318))</f>
        <v>43.0348597292541</v>
      </c>
      <c r="U1318" s="7" t="n">
        <f aca="false">E1318*2/13+U1317*11/13</f>
        <v>19926.2380082841</v>
      </c>
      <c r="V1318" s="7" t="n">
        <f aca="false">E1318*2/27+V1317*25/27</f>
        <v>20225.4325250894</v>
      </c>
      <c r="W1318" s="7" t="n">
        <f aca="false">U1318-V1318</f>
        <v>-299.194516805277</v>
      </c>
      <c r="X1318" s="7" t="n">
        <f aca="false">W1318*2/10+X1317*8/10</f>
        <v>-380.622880182138</v>
      </c>
      <c r="Y1318" s="7" t="n">
        <f aca="false">W1318-X1318</f>
        <v>81.4283633768612</v>
      </c>
      <c r="Z1318" s="7" t="s">
        <v>78</v>
      </c>
      <c r="AA1318" s="7" t="str">
        <f aca="false">IFERROR(INDEX(02_轉折點45!B:B,MATCH(A1318,02_轉折點45!A:A,0)),"")</f>
        <v/>
      </c>
      <c r="AB1318" s="7" t="n">
        <f aca="false">COUNTIFS(05_訊號明細!A:A,A1318,05_訊號明細!C:C,"TOP")</f>
        <v>0</v>
      </c>
      <c r="AC1318" s="7" t="n">
        <f aca="false">COUNTIFS(05_訊號明細!A:A,A1318,05_訊號明細!C:C,"BOTTOM")</f>
        <v>0</v>
      </c>
    </row>
    <row r="1319" customFormat="false" ht="15" hidden="false" customHeight="false" outlineLevel="0" collapsed="false">
      <c r="A1319" s="7" t="s">
        <v>1360</v>
      </c>
      <c r="B1319" s="7" t="n">
        <v>19718.46</v>
      </c>
      <c r="C1319" s="7" t="n">
        <v>19752.45</v>
      </c>
      <c r="D1319" s="7" t="n">
        <v>19241.54</v>
      </c>
      <c r="E1319" s="7" t="n">
        <v>19281.4</v>
      </c>
      <c r="F1319" s="7" t="n">
        <v>7015</v>
      </c>
      <c r="G1319" s="7" t="n">
        <f aca="false">AVERAGE(E1315:E1319)</f>
        <v>19893.058</v>
      </c>
      <c r="H1319" s="7" t="n">
        <f aca="false">AVERAGE(E1310:E1319)</f>
        <v>19792.913</v>
      </c>
      <c r="I1319" s="7" t="n">
        <f aca="false">AVERAGE(E1300:E1319)</f>
        <v>19846.1875</v>
      </c>
      <c r="J1319" s="7" t="n">
        <f aca="false">AVERAGE(E1270:E1319)</f>
        <v>20873.4294</v>
      </c>
      <c r="K1319" s="7" t="n">
        <f aca="false">AVERAGE(E1220:E1319)</f>
        <v>20994.1386</v>
      </c>
      <c r="L1319" s="7" t="n">
        <f aca="false">AVERAGE(E1120:E1319)</f>
        <v>20315.93385</v>
      </c>
      <c r="M1319" s="7" t="n">
        <f aca="false">I1319</f>
        <v>19846.1875</v>
      </c>
      <c r="N1319" s="7" t="n">
        <f aca="false">I1319+2*STDEV(E1300:E1319)</f>
        <v>20647.2461043053</v>
      </c>
      <c r="O1319" s="7" t="n">
        <f aca="false">I1319-2*STDEV(E1300:E1319)</f>
        <v>19045.1288956947</v>
      </c>
      <c r="P1319" s="7" t="n">
        <f aca="false">MAX(E1319-E1318,0)</f>
        <v>0</v>
      </c>
      <c r="Q1319" s="7" t="n">
        <f aca="false">MAX(E1318-E1319,0)</f>
        <v>517.219999999998</v>
      </c>
      <c r="R1319" s="7" t="n">
        <f aca="false">(R1318*13+P1319)/14</f>
        <v>98.8159779668827</v>
      </c>
      <c r="S1319" s="7" t="n">
        <f aca="false">(S1318*13+Q1319)/14</f>
        <v>167.746757972558</v>
      </c>
      <c r="T1319" s="7" t="n">
        <f aca="false">IF(S1319=0,100,100-100/(1+R1319/S1319))</f>
        <v>37.0704395791212</v>
      </c>
      <c r="U1319" s="7" t="n">
        <f aca="false">E1319*2/13+U1318*11/13</f>
        <v>19827.0321608558</v>
      </c>
      <c r="V1319" s="7" t="n">
        <f aca="false">E1319*2/27+V1318*25/27</f>
        <v>20155.5041898976</v>
      </c>
      <c r="W1319" s="7" t="n">
        <f aca="false">U1319-V1319</f>
        <v>-328.472029041797</v>
      </c>
      <c r="X1319" s="7" t="n">
        <f aca="false">W1319*2/10+X1318*8/10</f>
        <v>-370.19270995407</v>
      </c>
      <c r="Y1319" s="7" t="n">
        <f aca="false">W1319-X1319</f>
        <v>41.7206809122729</v>
      </c>
      <c r="Z1319" s="7" t="s">
        <v>78</v>
      </c>
      <c r="AA1319" s="7" t="str">
        <f aca="false">IFERROR(INDEX(02_轉折點45!B:B,MATCH(A1319,02_轉折點45!A:A,0)),"")</f>
        <v/>
      </c>
      <c r="AB1319" s="7" t="n">
        <f aca="false">COUNTIFS(05_訊號明細!A:A,A1319,05_訊號明細!C:C,"TOP")</f>
        <v>0</v>
      </c>
      <c r="AC1319" s="7" t="n">
        <f aca="false">COUNTIFS(05_訊號明細!A:A,A1319,05_訊號明細!C:C,"BOTTOM")</f>
        <v>0</v>
      </c>
    </row>
    <row r="1320" customFormat="false" ht="15" hidden="false" customHeight="false" outlineLevel="0" collapsed="false">
      <c r="A1320" s="7" t="s">
        <v>1361</v>
      </c>
      <c r="B1320" s="7" t="n">
        <v>18998.54</v>
      </c>
      <c r="C1320" s="7" t="n">
        <v>19316.06</v>
      </c>
      <c r="D1320" s="7" t="n">
        <v>18799.2</v>
      </c>
      <c r="E1320" s="7" t="n">
        <v>19278.45</v>
      </c>
      <c r="F1320" s="7" t="n">
        <v>8122</v>
      </c>
      <c r="G1320" s="7" t="n">
        <f aca="false">AVERAGE(E1316:E1320)</f>
        <v>19712.658</v>
      </c>
      <c r="H1320" s="7" t="n">
        <f aca="false">AVERAGE(E1311:E1320)</f>
        <v>19739.534</v>
      </c>
      <c r="I1320" s="7" t="n">
        <f aca="false">AVERAGE(E1301:E1320)</f>
        <v>19788.831</v>
      </c>
      <c r="J1320" s="7" t="n">
        <f aca="false">AVERAGE(E1271:E1320)</f>
        <v>20837.1734</v>
      </c>
      <c r="K1320" s="7" t="n">
        <f aca="false">AVERAGE(E1221:E1320)</f>
        <v>20986.5917</v>
      </c>
      <c r="L1320" s="7" t="n">
        <f aca="false">AVERAGE(E1121:E1320)</f>
        <v>20316.2752</v>
      </c>
      <c r="M1320" s="7" t="n">
        <f aca="false">I1320</f>
        <v>19788.831</v>
      </c>
      <c r="N1320" s="7" t="n">
        <f aca="false">I1320+2*STDEV(E1301:E1320)</f>
        <v>20579.418463623</v>
      </c>
      <c r="O1320" s="7" t="n">
        <f aca="false">I1320-2*STDEV(E1301:E1320)</f>
        <v>18998.243536377</v>
      </c>
      <c r="P1320" s="7" t="n">
        <f aca="false">MAX(E1320-E1319,0)</f>
        <v>0</v>
      </c>
      <c r="Q1320" s="7" t="n">
        <f aca="false">MAX(E1319-E1320,0)</f>
        <v>2.95000000000073</v>
      </c>
      <c r="R1320" s="7" t="n">
        <f aca="false">(R1319*13+P1320)/14</f>
        <v>91.7576938263911</v>
      </c>
      <c r="S1320" s="7" t="n">
        <f aca="false">(S1319*13+Q1320)/14</f>
        <v>155.975560974518</v>
      </c>
      <c r="T1320" s="7" t="n">
        <f aca="false">IF(S1320=0,100,100-100/(1+R1320/S1320))</f>
        <v>37.0389086035833</v>
      </c>
      <c r="U1320" s="7" t="n">
        <f aca="false">E1320*2/13+U1319*11/13</f>
        <v>19742.6349053395</v>
      </c>
      <c r="V1320" s="7" t="n">
        <f aca="false">E1320*2/27+V1319*25/27</f>
        <v>20090.5372128681</v>
      </c>
      <c r="W1320" s="7" t="n">
        <f aca="false">U1320-V1320</f>
        <v>-347.90230752862</v>
      </c>
      <c r="X1320" s="7" t="n">
        <f aca="false">W1320*2/10+X1319*8/10</f>
        <v>-365.73462946898</v>
      </c>
      <c r="Y1320" s="7" t="n">
        <f aca="false">W1320-X1320</f>
        <v>17.8323219403597</v>
      </c>
      <c r="Z1320" s="9" t="s">
        <v>89</v>
      </c>
      <c r="AA1320" s="7" t="str">
        <f aca="false">IFERROR(INDEX(02_轉折點45!B:B,MATCH(A1320,02_轉折點45!A:A,0)),"")</f>
        <v/>
      </c>
      <c r="AB1320" s="7" t="n">
        <f aca="false">COUNTIFS(05_訊號明細!A:A,A1320,05_訊號明細!C:C,"TOP")</f>
        <v>2</v>
      </c>
      <c r="AC1320" s="7" t="n">
        <f aca="false">COUNTIFS(05_訊號明細!A:A,A1320,05_訊號明細!C:C,"BOTTOM")</f>
        <v>0</v>
      </c>
    </row>
    <row r="1321" customFormat="false" ht="15" hidden="false" customHeight="false" outlineLevel="0" collapsed="false">
      <c r="A1321" s="7" t="s">
        <v>1362</v>
      </c>
      <c r="B1321" s="7" t="n">
        <v>19192.77</v>
      </c>
      <c r="C1321" s="7" t="n">
        <v>19468.62</v>
      </c>
      <c r="D1321" s="7" t="n">
        <v>19095.17</v>
      </c>
      <c r="E1321" s="7" t="n">
        <v>19436.42</v>
      </c>
      <c r="F1321" s="7" t="n">
        <v>7757</v>
      </c>
      <c r="G1321" s="7" t="n">
        <f aca="false">AVERAGE(E1317:E1321)</f>
        <v>19542.376</v>
      </c>
      <c r="H1321" s="7" t="n">
        <f aca="false">AVERAGE(E1312:E1321)</f>
        <v>19734.84</v>
      </c>
      <c r="I1321" s="7" t="n">
        <f aca="false">AVERAGE(E1302:E1321)</f>
        <v>19743.0255</v>
      </c>
      <c r="J1321" s="7" t="n">
        <f aca="false">AVERAGE(E1272:E1321)</f>
        <v>20797.0786</v>
      </c>
      <c r="K1321" s="7" t="n">
        <f aca="false">AVERAGE(E1222:E1321)</f>
        <v>20981.3199</v>
      </c>
      <c r="L1321" s="7" t="n">
        <f aca="false">AVERAGE(E1122:E1321)</f>
        <v>20316.1314</v>
      </c>
      <c r="M1321" s="7" t="n">
        <f aca="false">I1321</f>
        <v>19743.0255</v>
      </c>
      <c r="N1321" s="7" t="n">
        <f aca="false">I1321+2*STDEV(E1302:E1321)</f>
        <v>20501.6058399141</v>
      </c>
      <c r="O1321" s="7" t="n">
        <f aca="false">I1321-2*STDEV(E1302:E1321)</f>
        <v>18984.4451600859</v>
      </c>
      <c r="P1321" s="7" t="n">
        <f aca="false">MAX(E1321-E1320,0)</f>
        <v>157.969999999998</v>
      </c>
      <c r="Q1321" s="7" t="n">
        <f aca="false">MAX(E1320-E1321,0)</f>
        <v>0</v>
      </c>
      <c r="R1321" s="7" t="n">
        <f aca="false">(R1320*13+P1321)/14</f>
        <v>96.487144267363</v>
      </c>
      <c r="S1321" s="7" t="n">
        <f aca="false">(S1320*13+Q1321)/14</f>
        <v>144.834449476339</v>
      </c>
      <c r="T1321" s="7" t="n">
        <f aca="false">IF(S1321=0,100,100-100/(1+R1321/S1321))</f>
        <v>39.9828058361981</v>
      </c>
      <c r="U1321" s="7" t="n">
        <f aca="false">E1321*2/13+U1320*11/13</f>
        <v>19695.5249199027</v>
      </c>
      <c r="V1321" s="7" t="n">
        <f aca="false">E1321*2/27+V1320*25/27</f>
        <v>20042.084085989</v>
      </c>
      <c r="W1321" s="7" t="n">
        <f aca="false">U1321-V1321</f>
        <v>-346.559166086347</v>
      </c>
      <c r="X1321" s="7" t="n">
        <f aca="false">W1321*2/10+X1320*8/10</f>
        <v>-361.899536792453</v>
      </c>
      <c r="Y1321" s="7" t="n">
        <f aca="false">W1321-X1321</f>
        <v>15.3403707061069</v>
      </c>
      <c r="Z1321" s="9" t="s">
        <v>89</v>
      </c>
      <c r="AA1321" s="7" t="str">
        <f aca="false">IFERROR(INDEX(02_轉折點45!B:B,MATCH(A1321,02_轉折點45!A:A,0)),"")</f>
        <v/>
      </c>
      <c r="AB1321" s="7" t="n">
        <f aca="false">COUNTIFS(05_訊號明細!A:A,A1321,05_訊號明細!C:C,"TOP")</f>
        <v>0</v>
      </c>
      <c r="AC1321" s="7" t="n">
        <f aca="false">COUNTIFS(05_訊號明細!A:A,A1321,05_訊號明細!C:C,"BOTTOM")</f>
        <v>0</v>
      </c>
    </row>
    <row r="1322" customFormat="false" ht="15" hidden="false" customHeight="false" outlineLevel="0" collapsed="false">
      <c r="A1322" s="7" t="s">
        <v>1363</v>
      </c>
      <c r="B1322" s="7" t="n">
        <v>19182.39</v>
      </c>
      <c r="C1322" s="7" t="n">
        <v>19707.34</v>
      </c>
      <c r="D1322" s="7" t="n">
        <v>19157.2</v>
      </c>
      <c r="E1322" s="7" t="n">
        <v>19581.78</v>
      </c>
      <c r="F1322" s="7" t="n">
        <v>9127</v>
      </c>
      <c r="G1322" s="7" t="n">
        <f aca="false">AVERAGE(E1318:E1322)</f>
        <v>19475.334</v>
      </c>
      <c r="H1322" s="7" t="n">
        <f aca="false">AVERAGE(E1313:E1322)</f>
        <v>19719.352</v>
      </c>
      <c r="I1322" s="7" t="n">
        <f aca="false">AVERAGE(E1303:E1322)</f>
        <v>19690.6915</v>
      </c>
      <c r="J1322" s="7" t="n">
        <f aca="false">AVERAGE(E1273:E1322)</f>
        <v>20757.384</v>
      </c>
      <c r="K1322" s="7" t="n">
        <f aca="false">AVERAGE(E1223:E1322)</f>
        <v>20974.8631</v>
      </c>
      <c r="L1322" s="7" t="n">
        <f aca="false">AVERAGE(E1123:E1322)</f>
        <v>20316.1557</v>
      </c>
      <c r="M1322" s="7" t="n">
        <f aca="false">I1322</f>
        <v>19690.6915</v>
      </c>
      <c r="N1322" s="7" t="n">
        <f aca="false">I1322+2*STDEV(E1303:E1322)</f>
        <v>20326.564465442</v>
      </c>
      <c r="O1322" s="7" t="n">
        <f aca="false">I1322-2*STDEV(E1303:E1322)</f>
        <v>19054.818534558</v>
      </c>
      <c r="P1322" s="7" t="n">
        <f aca="false">MAX(E1322-E1321,0)</f>
        <v>145.360000000001</v>
      </c>
      <c r="Q1322" s="7" t="n">
        <f aca="false">MAX(E1321-E1322,0)</f>
        <v>0</v>
      </c>
      <c r="R1322" s="7" t="n">
        <f aca="false">(R1321*13+P1322)/14</f>
        <v>99.97806253398</v>
      </c>
      <c r="S1322" s="7" t="n">
        <f aca="false">(S1321*13+Q1322)/14</f>
        <v>134.4891316566</v>
      </c>
      <c r="T1322" s="7" t="n">
        <f aca="false">IF(S1322=0,100,100-100/(1+R1322/S1322))</f>
        <v>42.6405335207431</v>
      </c>
      <c r="U1322" s="7" t="n">
        <f aca="false">E1322*2/13+U1321*11/13</f>
        <v>19678.0257014561</v>
      </c>
      <c r="V1322" s="7" t="n">
        <f aca="false">E1322*2/27+V1321*25/27</f>
        <v>20007.9874870269</v>
      </c>
      <c r="W1322" s="7" t="n">
        <f aca="false">U1322-V1322</f>
        <v>-329.961785570762</v>
      </c>
      <c r="X1322" s="7" t="n">
        <f aca="false">W1322*2/10+X1321*8/10</f>
        <v>-355.511986548115</v>
      </c>
      <c r="Y1322" s="7" t="n">
        <f aca="false">W1322-X1322</f>
        <v>25.5502009773531</v>
      </c>
      <c r="Z1322" s="9" t="s">
        <v>89</v>
      </c>
      <c r="AA1322" s="7" t="str">
        <f aca="false">IFERROR(INDEX(02_轉折點45!B:B,MATCH(A1322,02_轉折點45!A:A,0)),"")</f>
        <v/>
      </c>
      <c r="AB1322" s="7" t="n">
        <f aca="false">COUNTIFS(05_訊號明細!A:A,A1322,05_訊號明細!C:C,"TOP")</f>
        <v>0</v>
      </c>
      <c r="AC1322" s="7" t="n">
        <f aca="false">COUNTIFS(05_訊號明細!A:A,A1322,05_訊號明細!C:C,"BOTTOM")</f>
        <v>0</v>
      </c>
    </row>
    <row r="1323" customFormat="false" ht="15" hidden="false" customHeight="false" outlineLevel="0" collapsed="false">
      <c r="A1323" s="7" t="s">
        <v>1364</v>
      </c>
      <c r="B1323" s="7" t="n">
        <v>18774.15</v>
      </c>
      <c r="C1323" s="7" t="n">
        <v>18902.07</v>
      </c>
      <c r="D1323" s="7" t="n">
        <v>18502.97</v>
      </c>
      <c r="E1323" s="7" t="n">
        <v>18521.47</v>
      </c>
      <c r="F1323" s="7" t="n">
        <v>9461</v>
      </c>
      <c r="G1323" s="7" t="n">
        <f aca="false">AVERAGE(E1319:E1323)</f>
        <v>19219.904</v>
      </c>
      <c r="H1323" s="7" t="n">
        <f aca="false">AVERAGE(E1314:E1323)</f>
        <v>19603.738</v>
      </c>
      <c r="I1323" s="7" t="n">
        <f aca="false">AVERAGE(E1304:E1323)</f>
        <v>19614.1335</v>
      </c>
      <c r="J1323" s="7" t="n">
        <f aca="false">AVERAGE(E1274:E1323)</f>
        <v>20690.7534</v>
      </c>
      <c r="K1323" s="7" t="n">
        <f aca="false">AVERAGE(E1224:E1323)</f>
        <v>20952.2645</v>
      </c>
      <c r="L1323" s="7" t="n">
        <f aca="false">AVERAGE(E1124:E1323)</f>
        <v>20310.46405</v>
      </c>
      <c r="M1323" s="7" t="n">
        <f aca="false">I1323</f>
        <v>19614.1335</v>
      </c>
      <c r="N1323" s="7" t="n">
        <f aca="false">I1323+2*STDEV(E1304:E1323)</f>
        <v>20414.060526258</v>
      </c>
      <c r="O1323" s="7" t="n">
        <f aca="false">I1323-2*STDEV(E1304:E1323)</f>
        <v>18814.206473742</v>
      </c>
      <c r="P1323" s="7" t="n">
        <f aca="false">MAX(E1323-E1322,0)</f>
        <v>0</v>
      </c>
      <c r="Q1323" s="7" t="n">
        <f aca="false">MAX(E1322-E1323,0)</f>
        <v>1060.31</v>
      </c>
      <c r="R1323" s="7" t="n">
        <f aca="false">(R1322*13+P1323)/14</f>
        <v>92.8367723529814</v>
      </c>
      <c r="S1323" s="7" t="n">
        <f aca="false">(S1322*13+Q1323)/14</f>
        <v>200.619193681128</v>
      </c>
      <c r="T1323" s="7" t="n">
        <f aca="false">IF(S1323=0,100,100-100/(1+R1323/S1323))</f>
        <v>31.6356738653562</v>
      </c>
      <c r="U1323" s="7" t="n">
        <f aca="false">E1323*2/13+U1322*11/13</f>
        <v>19500.0940550782</v>
      </c>
      <c r="V1323" s="7" t="n">
        <f aca="false">E1323*2/27+V1322*25/27</f>
        <v>19897.8750805804</v>
      </c>
      <c r="W1323" s="7" t="n">
        <f aca="false">U1323-V1323</f>
        <v>-397.781025502194</v>
      </c>
      <c r="X1323" s="7" t="n">
        <f aca="false">W1323*2/10+X1322*8/10</f>
        <v>-363.965794338931</v>
      </c>
      <c r="Y1323" s="7" t="n">
        <f aca="false">W1323-X1323</f>
        <v>-33.8152311632632</v>
      </c>
      <c r="Z1323" s="9" t="s">
        <v>89</v>
      </c>
      <c r="AA1323" s="7" t="str">
        <f aca="false">IFERROR(INDEX(02_轉折點45!B:B,MATCH(A1323,02_轉折點45!A:A,0)),"")</f>
        <v/>
      </c>
      <c r="AB1323" s="7" t="n">
        <f aca="false">COUNTIFS(05_訊號明細!A:A,A1323,05_訊號明細!C:C,"TOP")</f>
        <v>1</v>
      </c>
      <c r="AC1323" s="7" t="n">
        <f aca="false">COUNTIFS(05_訊號明細!A:A,A1323,05_訊號明細!C:C,"BOTTOM")</f>
        <v>1</v>
      </c>
    </row>
    <row r="1324" customFormat="false" ht="15" hidden="false" customHeight="false" outlineLevel="0" collapsed="false">
      <c r="A1324" s="7" t="s">
        <v>1365</v>
      </c>
      <c r="B1324" s="7" t="n">
        <v>18022.16</v>
      </c>
      <c r="C1324" s="7" t="n">
        <v>18089.25</v>
      </c>
      <c r="D1324" s="7" t="n">
        <v>17387.83</v>
      </c>
      <c r="E1324" s="7" t="n">
        <v>17397.7</v>
      </c>
      <c r="F1324" s="7" t="n">
        <v>11038</v>
      </c>
      <c r="G1324" s="7" t="n">
        <f aca="false">AVERAGE(E1320:E1324)</f>
        <v>18843.164</v>
      </c>
      <c r="H1324" s="7" t="n">
        <f aca="false">AVERAGE(E1315:E1324)</f>
        <v>19368.111</v>
      </c>
      <c r="I1324" s="7" t="n">
        <f aca="false">AVERAGE(E1305:E1324)</f>
        <v>19473.95</v>
      </c>
      <c r="J1324" s="7" t="n">
        <f aca="false">AVERAGE(E1275:E1324)</f>
        <v>20600.6888</v>
      </c>
      <c r="K1324" s="7" t="n">
        <f aca="false">AVERAGE(E1225:E1324)</f>
        <v>20915.2258</v>
      </c>
      <c r="L1324" s="7" t="n">
        <f aca="false">AVERAGE(E1125:E1324)</f>
        <v>20297.9388</v>
      </c>
      <c r="M1324" s="7" t="n">
        <f aca="false">I1324</f>
        <v>19473.95</v>
      </c>
      <c r="N1324" s="7" t="n">
        <f aca="false">I1324+2*STDEV(E1305:E1324)</f>
        <v>20706.3330491668</v>
      </c>
      <c r="O1324" s="7" t="n">
        <f aca="false">I1324-2*STDEV(E1305:E1324)</f>
        <v>18241.5669508332</v>
      </c>
      <c r="P1324" s="7" t="n">
        <f aca="false">MAX(E1324-E1323,0)</f>
        <v>0</v>
      </c>
      <c r="Q1324" s="7" t="n">
        <f aca="false">MAX(E1323-E1324,0)</f>
        <v>1123.77</v>
      </c>
      <c r="R1324" s="7" t="n">
        <f aca="false">(R1323*13+P1324)/14</f>
        <v>86.2055743277685</v>
      </c>
      <c r="S1324" s="7" t="n">
        <f aca="false">(S1323*13+Q1324)/14</f>
        <v>266.558536989619</v>
      </c>
      <c r="T1324" s="7" t="n">
        <f aca="false">IF(S1324=0,100,100-100/(1+R1324/S1324))</f>
        <v>24.4371724793194</v>
      </c>
      <c r="U1324" s="7" t="n">
        <f aca="false">E1324*2/13+U1323*11/13</f>
        <v>19176.6488158354</v>
      </c>
      <c r="V1324" s="7" t="n">
        <f aca="false">E1324*2/27+V1323*25/27</f>
        <v>19712.6769264634</v>
      </c>
      <c r="W1324" s="7" t="n">
        <f aca="false">U1324-V1324</f>
        <v>-536.028110627933</v>
      </c>
      <c r="X1324" s="7" t="n">
        <f aca="false">W1324*2/10+X1323*8/10</f>
        <v>-398.378257596731</v>
      </c>
      <c r="Y1324" s="7" t="n">
        <f aca="false">W1324-X1324</f>
        <v>-137.649853031201</v>
      </c>
      <c r="Z1324" s="9" t="s">
        <v>89</v>
      </c>
      <c r="AA1324" s="7" t="str">
        <f aca="false">IFERROR(INDEX(02_轉折點45!B:B,MATCH(A1324,02_轉折點45!A:A,0)),"")</f>
        <v/>
      </c>
      <c r="AB1324" s="7" t="n">
        <f aca="false">COUNTIFS(05_訊號明細!A:A,A1324,05_訊號明細!C:C,"TOP")</f>
        <v>0</v>
      </c>
      <c r="AC1324" s="7" t="n">
        <f aca="false">COUNTIFS(05_訊號明細!A:A,A1324,05_訊號明細!C:C,"BOTTOM")</f>
        <v>0</v>
      </c>
    </row>
    <row r="1325" customFormat="false" ht="15" hidden="false" customHeight="false" outlineLevel="0" collapsed="false">
      <c r="A1325" s="7" t="s">
        <v>1366</v>
      </c>
      <c r="B1325" s="7" t="n">
        <v>16771.77</v>
      </c>
      <c r="C1325" s="7" t="n">
        <v>18191.5</v>
      </c>
      <c r="D1325" s="7" t="n">
        <v>16542.2</v>
      </c>
      <c r="E1325" s="7" t="n">
        <v>17430.68</v>
      </c>
      <c r="F1325" s="7" t="n">
        <v>12484</v>
      </c>
      <c r="G1325" s="7" t="n">
        <f aca="false">AVERAGE(E1321:E1325)</f>
        <v>18473.61</v>
      </c>
      <c r="H1325" s="7" t="n">
        <f aca="false">AVERAGE(E1316:E1325)</f>
        <v>19093.134</v>
      </c>
      <c r="I1325" s="7" t="n">
        <f aca="false">AVERAGE(E1306:E1325)</f>
        <v>19373.9365</v>
      </c>
      <c r="J1325" s="7" t="n">
        <f aca="false">AVERAGE(E1276:E1325)</f>
        <v>20513.8222</v>
      </c>
      <c r="K1325" s="7" t="n">
        <f aca="false">AVERAGE(E1226:E1325)</f>
        <v>20878.3608</v>
      </c>
      <c r="L1325" s="7" t="n">
        <f aca="false">AVERAGE(E1126:E1325)</f>
        <v>20285.5479</v>
      </c>
      <c r="M1325" s="7" t="n">
        <f aca="false">I1325</f>
        <v>19373.9365</v>
      </c>
      <c r="N1325" s="7" t="n">
        <f aca="false">I1325+2*STDEV(E1306:E1325)</f>
        <v>20908.6023949721</v>
      </c>
      <c r="O1325" s="7" t="n">
        <f aca="false">I1325-2*STDEV(E1306:E1325)</f>
        <v>17839.2706050279</v>
      </c>
      <c r="P1325" s="7" t="n">
        <f aca="false">MAX(E1325-E1324,0)</f>
        <v>32.9799999999996</v>
      </c>
      <c r="Q1325" s="7" t="n">
        <f aca="false">MAX(E1324-E1325,0)</f>
        <v>0</v>
      </c>
      <c r="R1325" s="7" t="n">
        <f aca="false">(R1324*13+P1325)/14</f>
        <v>82.4037475900707</v>
      </c>
      <c r="S1325" s="7" t="n">
        <f aca="false">(S1324*13+Q1325)/14</f>
        <v>247.518641490361</v>
      </c>
      <c r="T1325" s="7" t="n">
        <f aca="false">IF(S1325=0,100,100-100/(1+R1325/S1325))</f>
        <v>24.9767067399544</v>
      </c>
      <c r="U1325" s="7" t="n">
        <f aca="false">E1325*2/13+U1324*11/13</f>
        <v>18908.0382287838</v>
      </c>
      <c r="V1325" s="7" t="n">
        <f aca="false">E1325*2/27+V1324*25/27</f>
        <v>19543.6401170957</v>
      </c>
      <c r="W1325" s="7" t="n">
        <f aca="false">U1325-V1325</f>
        <v>-635.601888311881</v>
      </c>
      <c r="X1325" s="7" t="n">
        <f aca="false">W1325*2/10+X1324*8/10</f>
        <v>-445.822983739761</v>
      </c>
      <c r="Y1325" s="7" t="n">
        <f aca="false">W1325-X1325</f>
        <v>-189.77890457212</v>
      </c>
      <c r="Z1325" s="9" t="s">
        <v>89</v>
      </c>
      <c r="AA1325" s="7" t="str">
        <f aca="false">IFERROR(INDEX(02_轉折點45!B:B,MATCH(A1325,02_轉折點45!A:A,0)),"")</f>
        <v/>
      </c>
      <c r="AB1325" s="7" t="n">
        <f aca="false">COUNTIFS(05_訊號明細!A:A,A1325,05_訊號明細!C:C,"TOP")</f>
        <v>0</v>
      </c>
      <c r="AC1325" s="7" t="n">
        <f aca="false">COUNTIFS(05_訊號明細!A:A,A1325,05_訊號明細!C:C,"BOTTOM")</f>
        <v>0</v>
      </c>
    </row>
    <row r="1326" customFormat="false" ht="15" hidden="false" customHeight="false" outlineLevel="0" collapsed="false">
      <c r="A1326" s="7" t="s">
        <v>1367</v>
      </c>
      <c r="B1326" s="7" t="n">
        <v>18034.46</v>
      </c>
      <c r="C1326" s="7" t="n">
        <v>18207.01</v>
      </c>
      <c r="D1326" s="7" t="n">
        <v>16850.18</v>
      </c>
      <c r="E1326" s="7" t="n">
        <v>17090.4</v>
      </c>
      <c r="F1326" s="7" t="n">
        <v>10497</v>
      </c>
      <c r="G1326" s="7" t="n">
        <f aca="false">AVERAGE(E1322:E1326)</f>
        <v>18004.406</v>
      </c>
      <c r="H1326" s="7" t="n">
        <f aca="false">AVERAGE(E1317:E1326)</f>
        <v>18773.391</v>
      </c>
      <c r="I1326" s="7" t="n">
        <f aca="false">AVERAGE(E1307:E1326)</f>
        <v>19259.6085</v>
      </c>
      <c r="J1326" s="7" t="n">
        <f aca="false">AVERAGE(E1277:E1326)</f>
        <v>20433.0846</v>
      </c>
      <c r="K1326" s="7" t="n">
        <f aca="false">AVERAGE(E1227:E1326)</f>
        <v>20838.1989</v>
      </c>
      <c r="L1326" s="7" t="n">
        <f aca="false">AVERAGE(E1127:E1326)</f>
        <v>20272.2384</v>
      </c>
      <c r="M1326" s="7" t="n">
        <f aca="false">I1326</f>
        <v>19259.6085</v>
      </c>
      <c r="N1326" s="7" t="n">
        <f aca="false">I1326+2*STDEV(E1307:E1326)</f>
        <v>21102.9640882372</v>
      </c>
      <c r="O1326" s="7" t="n">
        <f aca="false">I1326-2*STDEV(E1307:E1326)</f>
        <v>17416.2529117628</v>
      </c>
      <c r="P1326" s="7" t="n">
        <f aca="false">MAX(E1326-E1325,0)</f>
        <v>0</v>
      </c>
      <c r="Q1326" s="7" t="n">
        <f aca="false">MAX(E1325-E1326,0)</f>
        <v>340.279999999999</v>
      </c>
      <c r="R1326" s="7" t="n">
        <f aca="false">(R1325*13+P1326)/14</f>
        <v>76.5177656193513</v>
      </c>
      <c r="S1326" s="7" t="n">
        <f aca="false">(S1325*13+Q1326)/14</f>
        <v>254.144452812478</v>
      </c>
      <c r="T1326" s="7" t="n">
        <f aca="false">IF(S1326=0,100,100-100/(1+R1326/S1326))</f>
        <v>23.1407646093461</v>
      </c>
      <c r="U1326" s="7" t="n">
        <f aca="false">E1326*2/13+U1325*11/13</f>
        <v>18628.4015782017</v>
      </c>
      <c r="V1326" s="7" t="n">
        <f aca="false">E1326*2/27+V1325*25/27</f>
        <v>19361.9186269405</v>
      </c>
      <c r="W1326" s="7" t="n">
        <f aca="false">U1326-V1326</f>
        <v>-733.51704873877</v>
      </c>
      <c r="X1326" s="7" t="n">
        <f aca="false">W1326*2/10+X1325*8/10</f>
        <v>-503.361796739563</v>
      </c>
      <c r="Y1326" s="7" t="n">
        <f aca="false">W1326-X1326</f>
        <v>-230.155251999207</v>
      </c>
      <c r="Z1326" s="9" t="s">
        <v>89</v>
      </c>
      <c r="AA1326" s="7" t="str">
        <f aca="false">IFERROR(INDEX(02_轉折點45!B:B,MATCH(A1326,02_轉折點45!A:A,0)),"")</f>
        <v>BOTTOM</v>
      </c>
      <c r="AB1326" s="7" t="n">
        <f aca="false">COUNTIFS(05_訊號明細!A:A,A1326,05_訊號明細!C:C,"TOP")</f>
        <v>0</v>
      </c>
      <c r="AC1326" s="7" t="n">
        <f aca="false">COUNTIFS(05_訊號明細!A:A,A1326,05_訊號明細!C:C,"BOTTOM")</f>
        <v>0</v>
      </c>
    </row>
    <row r="1327" customFormat="false" ht="15" hidden="false" customHeight="false" outlineLevel="0" collapsed="false">
      <c r="A1327" s="7" t="s">
        <v>1368</v>
      </c>
      <c r="B1327" s="7" t="n">
        <v>17116.53</v>
      </c>
      <c r="C1327" s="7" t="n">
        <v>19234.02</v>
      </c>
      <c r="D1327" s="7" t="n">
        <v>17082.36</v>
      </c>
      <c r="E1327" s="7" t="n">
        <v>19145.06</v>
      </c>
      <c r="F1327" s="7" t="n">
        <v>13480</v>
      </c>
      <c r="G1327" s="7" t="n">
        <f aca="false">AVERAGE(E1323:E1327)</f>
        <v>17917.062</v>
      </c>
      <c r="H1327" s="7" t="n">
        <f aca="false">AVERAGE(E1318:E1327)</f>
        <v>18696.198</v>
      </c>
      <c r="I1327" s="7" t="n">
        <f aca="false">AVERAGE(E1308:E1327)</f>
        <v>19237.0605</v>
      </c>
      <c r="J1327" s="7" t="n">
        <f aca="false">AVERAGE(E1278:E1327)</f>
        <v>20386.725</v>
      </c>
      <c r="K1327" s="7" t="n">
        <f aca="false">AVERAGE(E1228:E1327)</f>
        <v>20818.9416</v>
      </c>
      <c r="L1327" s="7" t="n">
        <f aca="false">AVERAGE(E1128:E1327)</f>
        <v>20269.46155</v>
      </c>
      <c r="M1327" s="7" t="n">
        <f aca="false">I1327</f>
        <v>19237.0605</v>
      </c>
      <c r="N1327" s="7" t="n">
        <f aca="false">I1327+2*STDEV(E1308:E1327)</f>
        <v>21074.1113162868</v>
      </c>
      <c r="O1327" s="7" t="n">
        <f aca="false">I1327-2*STDEV(E1308:E1327)</f>
        <v>17400.0096837132</v>
      </c>
      <c r="P1327" s="7" t="n">
        <f aca="false">MAX(E1327-E1326,0)</f>
        <v>2054.66</v>
      </c>
      <c r="Q1327" s="7" t="n">
        <f aca="false">MAX(E1326-E1327,0)</f>
        <v>0</v>
      </c>
      <c r="R1327" s="7" t="n">
        <f aca="false">(R1326*13+P1327)/14</f>
        <v>217.813639503683</v>
      </c>
      <c r="S1327" s="7" t="n">
        <f aca="false">(S1326*13+Q1327)/14</f>
        <v>235.991277611587</v>
      </c>
      <c r="T1327" s="7" t="n">
        <f aca="false">IF(S1327=0,100,100-100/(1+R1327/S1327))</f>
        <v>47.9971968766387</v>
      </c>
      <c r="U1327" s="7" t="n">
        <f aca="false">E1327*2/13+U1326*11/13</f>
        <v>18707.8874892476</v>
      </c>
      <c r="V1327" s="7" t="n">
        <f aca="false">E1327*2/27+V1326*25/27</f>
        <v>19345.8550249449</v>
      </c>
      <c r="W1327" s="7" t="n">
        <f aca="false">U1327-V1327</f>
        <v>-637.967535697288</v>
      </c>
      <c r="X1327" s="7" t="n">
        <f aca="false">W1327*2/10+X1326*8/10</f>
        <v>-530.282944531108</v>
      </c>
      <c r="Y1327" s="7" t="n">
        <f aca="false">W1327-X1327</f>
        <v>-107.68459116618</v>
      </c>
      <c r="Z1327" s="9" t="s">
        <v>89</v>
      </c>
      <c r="AA1327" s="7" t="str">
        <f aca="false">IFERROR(INDEX(02_轉折點45!B:B,MATCH(A1327,02_轉折點45!A:A,0)),"")</f>
        <v/>
      </c>
      <c r="AB1327" s="7" t="n">
        <f aca="false">COUNTIFS(05_訊號明細!A:A,A1327,05_訊號明細!C:C,"TOP")</f>
        <v>0</v>
      </c>
      <c r="AC1327" s="7" t="n">
        <f aca="false">COUNTIFS(05_訊號明細!A:A,A1327,05_訊號明細!C:C,"BOTTOM")</f>
        <v>1</v>
      </c>
    </row>
    <row r="1328" customFormat="false" ht="15" hidden="false" customHeight="false" outlineLevel="0" collapsed="false">
      <c r="A1328" s="7" t="s">
        <v>1369</v>
      </c>
      <c r="B1328" s="7" t="n">
        <v>18626.11</v>
      </c>
      <c r="C1328" s="7" t="n">
        <v>18710.58</v>
      </c>
      <c r="D1328" s="7" t="n">
        <v>17794.5</v>
      </c>
      <c r="E1328" s="7" t="n">
        <v>18343.57</v>
      </c>
      <c r="F1328" s="7" t="n">
        <v>11862</v>
      </c>
      <c r="G1328" s="7" t="n">
        <f aca="false">AVERAGE(E1324:E1328)</f>
        <v>17881.482</v>
      </c>
      <c r="H1328" s="7" t="n">
        <f aca="false">AVERAGE(E1319:E1328)</f>
        <v>18550.693</v>
      </c>
      <c r="I1328" s="7" t="n">
        <f aca="false">AVERAGE(E1309:E1328)</f>
        <v>19192.965</v>
      </c>
      <c r="J1328" s="7" t="n">
        <f aca="false">AVERAGE(E1279:E1328)</f>
        <v>20325.3672</v>
      </c>
      <c r="K1328" s="7" t="n">
        <f aca="false">AVERAGE(E1229:E1328)</f>
        <v>20792.0157</v>
      </c>
      <c r="L1328" s="7" t="n">
        <f aca="false">AVERAGE(E1129:E1328)</f>
        <v>20263.8063</v>
      </c>
      <c r="M1328" s="7" t="n">
        <f aca="false">I1328</f>
        <v>19192.965</v>
      </c>
      <c r="N1328" s="7" t="n">
        <f aca="false">I1328+2*STDEV(E1309:E1328)</f>
        <v>21073.0205694979</v>
      </c>
      <c r="O1328" s="7" t="n">
        <f aca="false">I1328-2*STDEV(E1309:E1328)</f>
        <v>17312.9094305021</v>
      </c>
      <c r="P1328" s="7" t="n">
        <f aca="false">MAX(E1328-E1327,0)</f>
        <v>0</v>
      </c>
      <c r="Q1328" s="7" t="n">
        <f aca="false">MAX(E1327-E1328,0)</f>
        <v>801.490000000002</v>
      </c>
      <c r="R1328" s="7" t="n">
        <f aca="false">(R1327*13+P1328)/14</f>
        <v>202.255522396277</v>
      </c>
      <c r="S1328" s="7" t="n">
        <f aca="false">(S1327*13+Q1328)/14</f>
        <v>276.384043496473</v>
      </c>
      <c r="T1328" s="7" t="n">
        <f aca="false">IF(S1328=0,100,100-100/(1+R1328/S1328))</f>
        <v>42.2563316551221</v>
      </c>
      <c r="U1328" s="7" t="n">
        <f aca="false">E1328*2/13+U1327*11/13</f>
        <v>18651.838644748</v>
      </c>
      <c r="V1328" s="7" t="n">
        <f aca="false">E1328*2/27+V1327*25/27</f>
        <v>19271.6116897638</v>
      </c>
      <c r="W1328" s="7" t="n">
        <f aca="false">U1328-V1328</f>
        <v>-619.773045015816</v>
      </c>
      <c r="X1328" s="7" t="n">
        <f aca="false">W1328*2/10+X1327*8/10</f>
        <v>-548.18096462805</v>
      </c>
      <c r="Y1328" s="7" t="n">
        <f aca="false">W1328-X1328</f>
        <v>-71.5920803877665</v>
      </c>
      <c r="Z1328" s="9" t="s">
        <v>89</v>
      </c>
      <c r="AA1328" s="7" t="str">
        <f aca="false">IFERROR(INDEX(02_轉折點45!B:B,MATCH(A1328,02_轉折點45!A:A,0)),"")</f>
        <v/>
      </c>
      <c r="AB1328" s="7" t="n">
        <f aca="false">COUNTIFS(05_訊號明細!A:A,A1328,05_訊號明細!C:C,"TOP")</f>
        <v>0</v>
      </c>
      <c r="AC1328" s="7" t="n">
        <f aca="false">COUNTIFS(05_訊號明細!A:A,A1328,05_訊號明細!C:C,"BOTTOM")</f>
        <v>0</v>
      </c>
    </row>
    <row r="1329" customFormat="false" ht="15" hidden="false" customHeight="false" outlineLevel="0" collapsed="false">
      <c r="A1329" s="7" t="s">
        <v>1370</v>
      </c>
      <c r="B1329" s="7" t="n">
        <v>18309.29</v>
      </c>
      <c r="C1329" s="7" t="n">
        <v>18728.95</v>
      </c>
      <c r="D1329" s="7" t="n">
        <v>18153.32</v>
      </c>
      <c r="E1329" s="7" t="n">
        <v>18690.05</v>
      </c>
      <c r="F1329" s="7" t="n">
        <v>9445</v>
      </c>
      <c r="G1329" s="7" t="n">
        <f aca="false">AVERAGE(E1325:E1329)</f>
        <v>18139.952</v>
      </c>
      <c r="H1329" s="7" t="n">
        <f aca="false">AVERAGE(E1320:E1329)</f>
        <v>18491.558</v>
      </c>
      <c r="I1329" s="7" t="n">
        <f aca="false">AVERAGE(E1310:E1329)</f>
        <v>19142.2355</v>
      </c>
      <c r="J1329" s="7" t="n">
        <f aca="false">AVERAGE(E1280:E1329)</f>
        <v>20269.0058</v>
      </c>
      <c r="K1329" s="7" t="n">
        <f aca="false">AVERAGE(E1230:E1329)</f>
        <v>20769.9495</v>
      </c>
      <c r="L1329" s="7" t="n">
        <f aca="false">AVERAGE(E1130:E1329)</f>
        <v>20258.7509</v>
      </c>
      <c r="M1329" s="7" t="n">
        <f aca="false">I1329</f>
        <v>19142.2355</v>
      </c>
      <c r="N1329" s="7" t="n">
        <f aca="false">I1329+2*STDEV(E1310:E1329)</f>
        <v>21018.9086501359</v>
      </c>
      <c r="O1329" s="7" t="n">
        <f aca="false">I1329-2*STDEV(E1310:E1329)</f>
        <v>17265.5623498641</v>
      </c>
      <c r="P1329" s="7" t="n">
        <f aca="false">MAX(E1329-E1328,0)</f>
        <v>346.48</v>
      </c>
      <c r="Q1329" s="7" t="n">
        <f aca="false">MAX(E1328-E1329,0)</f>
        <v>0</v>
      </c>
      <c r="R1329" s="7" t="n">
        <f aca="false">(R1328*13+P1329)/14</f>
        <v>212.557270796543</v>
      </c>
      <c r="S1329" s="7" t="n">
        <f aca="false">(S1328*13+Q1329)/14</f>
        <v>256.642326103868</v>
      </c>
      <c r="T1329" s="7" t="n">
        <f aca="false">IF(S1329=0,100,100-100/(1+R1329/S1329))</f>
        <v>45.30210004457</v>
      </c>
      <c r="U1329" s="7" t="n">
        <f aca="false">E1329*2/13+U1328*11/13</f>
        <v>18657.7173147867</v>
      </c>
      <c r="V1329" s="7" t="n">
        <f aca="false">E1329*2/27+V1328*25/27</f>
        <v>19228.5330460776</v>
      </c>
      <c r="W1329" s="7" t="n">
        <f aca="false">U1329-V1329</f>
        <v>-570.815731290837</v>
      </c>
      <c r="X1329" s="7" t="n">
        <f aca="false">W1329*2/10+X1328*8/10</f>
        <v>-552.707917960607</v>
      </c>
      <c r="Y1329" s="7" t="n">
        <f aca="false">W1329-X1329</f>
        <v>-18.10781333023</v>
      </c>
      <c r="Z1329" s="9" t="s">
        <v>89</v>
      </c>
      <c r="AA1329" s="7" t="str">
        <f aca="false">IFERROR(INDEX(02_轉折點45!B:B,MATCH(A1329,02_轉折點45!A:A,0)),"")</f>
        <v/>
      </c>
      <c r="AB1329" s="7" t="n">
        <f aca="false">COUNTIFS(05_訊號明細!A:A,A1329,05_訊號明細!C:C,"TOP")</f>
        <v>2</v>
      </c>
      <c r="AC1329" s="7" t="n">
        <f aca="false">COUNTIFS(05_訊號明細!A:A,A1329,05_訊號明細!C:C,"BOTTOM")</f>
        <v>0</v>
      </c>
    </row>
    <row r="1330" customFormat="false" ht="15" hidden="false" customHeight="false" outlineLevel="0" collapsed="false">
      <c r="A1330" s="7" t="s">
        <v>1371</v>
      </c>
      <c r="B1330" s="7" t="n">
        <v>19095.49</v>
      </c>
      <c r="C1330" s="7" t="n">
        <v>19115.15</v>
      </c>
      <c r="D1330" s="7" t="n">
        <v>18614.76</v>
      </c>
      <c r="E1330" s="7" t="n">
        <v>18796.02</v>
      </c>
      <c r="F1330" s="7" t="n">
        <v>9667</v>
      </c>
      <c r="G1330" s="7" t="n">
        <f aca="false">AVERAGE(E1326:E1330)</f>
        <v>18413.02</v>
      </c>
      <c r="H1330" s="7" t="n">
        <f aca="false">AVERAGE(E1321:E1330)</f>
        <v>18443.315</v>
      </c>
      <c r="I1330" s="7" t="n">
        <f aca="false">AVERAGE(E1311:E1330)</f>
        <v>19091.4245</v>
      </c>
      <c r="J1330" s="7" t="n">
        <f aca="false">AVERAGE(E1281:E1330)</f>
        <v>20215.3652</v>
      </c>
      <c r="K1330" s="7" t="n">
        <f aca="false">AVERAGE(E1231:E1330)</f>
        <v>20753.9684</v>
      </c>
      <c r="L1330" s="7" t="n">
        <f aca="false">AVERAGE(E1131:E1330)</f>
        <v>20253.97575</v>
      </c>
      <c r="M1330" s="7" t="n">
        <f aca="false">I1330</f>
        <v>19091.4245</v>
      </c>
      <c r="N1330" s="7" t="n">
        <f aca="false">I1330+2*STDEV(E1311:E1330)</f>
        <v>20946.6225471436</v>
      </c>
      <c r="O1330" s="7" t="n">
        <f aca="false">I1330-2*STDEV(E1311:E1330)</f>
        <v>17236.2264528564</v>
      </c>
      <c r="P1330" s="7" t="n">
        <f aca="false">MAX(E1330-E1329,0)</f>
        <v>105.970000000001</v>
      </c>
      <c r="Q1330" s="7" t="n">
        <f aca="false">MAX(E1329-E1330,0)</f>
        <v>0</v>
      </c>
      <c r="R1330" s="7" t="n">
        <f aca="false">(R1329*13+P1330)/14</f>
        <v>204.943894311076</v>
      </c>
      <c r="S1330" s="7" t="n">
        <f aca="false">(S1329*13+Q1330)/14</f>
        <v>238.310731382163</v>
      </c>
      <c r="T1330" s="7" t="n">
        <f aca="false">IF(S1330=0,100,100-100/(1+R1330/S1330))</f>
        <v>46.2361546685607</v>
      </c>
      <c r="U1330" s="7" t="n">
        <f aca="false">E1330*2/13+U1329*11/13</f>
        <v>18678.9946509734</v>
      </c>
      <c r="V1330" s="7" t="n">
        <f aca="false">E1330*2/27+V1329*25/27</f>
        <v>19196.4950426644</v>
      </c>
      <c r="W1330" s="7" t="n">
        <f aca="false">U1330-V1330</f>
        <v>-517.500391691028</v>
      </c>
      <c r="X1330" s="7" t="n">
        <f aca="false">W1330*2/10+X1329*8/10</f>
        <v>-545.666412706691</v>
      </c>
      <c r="Y1330" s="7" t="n">
        <f aca="false">W1330-X1330</f>
        <v>28.1660210156631</v>
      </c>
      <c r="Z1330" s="9" t="s">
        <v>89</v>
      </c>
      <c r="AA1330" s="7" t="str">
        <f aca="false">IFERROR(INDEX(02_轉折點45!B:B,MATCH(A1330,02_轉折點45!A:A,0)),"")</f>
        <v/>
      </c>
      <c r="AB1330" s="7" t="n">
        <f aca="false">COUNTIFS(05_訊號明細!A:A,A1330,05_訊號明細!C:C,"TOP")</f>
        <v>0</v>
      </c>
      <c r="AC1330" s="7" t="n">
        <f aca="false">COUNTIFS(05_訊號明細!A:A,A1330,05_訊號明細!C:C,"BOTTOM")</f>
        <v>1</v>
      </c>
    </row>
    <row r="1331" customFormat="false" ht="15" hidden="false" customHeight="false" outlineLevel="0" collapsed="false">
      <c r="A1331" s="7" t="s">
        <v>1372</v>
      </c>
      <c r="B1331" s="7" t="n">
        <v>18831.98</v>
      </c>
      <c r="C1331" s="7" t="n">
        <v>19004.17</v>
      </c>
      <c r="D1331" s="7" t="n">
        <v>18754.87</v>
      </c>
      <c r="E1331" s="7" t="n">
        <v>18830.23</v>
      </c>
      <c r="F1331" s="7" t="n">
        <v>7483</v>
      </c>
      <c r="G1331" s="7" t="n">
        <f aca="false">AVERAGE(E1327:E1331)</f>
        <v>18760.986</v>
      </c>
      <c r="H1331" s="7" t="n">
        <f aca="false">AVERAGE(E1322:E1331)</f>
        <v>18382.696</v>
      </c>
      <c r="I1331" s="7" t="n">
        <f aca="false">AVERAGE(E1312:E1331)</f>
        <v>19058.768</v>
      </c>
      <c r="J1331" s="7" t="n">
        <f aca="false">AVERAGE(E1282:E1331)</f>
        <v>20166.0182</v>
      </c>
      <c r="K1331" s="7" t="n">
        <f aca="false">AVERAGE(E1232:E1331)</f>
        <v>20736.8788</v>
      </c>
      <c r="L1331" s="7" t="n">
        <f aca="false">AVERAGE(E1132:E1331)</f>
        <v>20249.18175</v>
      </c>
      <c r="M1331" s="7" t="n">
        <f aca="false">I1331</f>
        <v>19058.768</v>
      </c>
      <c r="N1331" s="7" t="n">
        <f aca="false">I1331+2*STDEV(E1312:E1331)</f>
        <v>20907.9008956778</v>
      </c>
      <c r="O1331" s="7" t="n">
        <f aca="false">I1331-2*STDEV(E1312:E1331)</f>
        <v>17209.6351043222</v>
      </c>
      <c r="P1331" s="7" t="n">
        <f aca="false">MAX(E1331-E1330,0)</f>
        <v>34.2099999999991</v>
      </c>
      <c r="Q1331" s="7" t="n">
        <f aca="false">MAX(E1330-E1331,0)</f>
        <v>0</v>
      </c>
      <c r="R1331" s="7" t="n">
        <f aca="false">(R1330*13+P1331)/14</f>
        <v>192.748616145999</v>
      </c>
      <c r="S1331" s="7" t="n">
        <f aca="false">(S1330*13+Q1331)/14</f>
        <v>221.288536283437</v>
      </c>
      <c r="T1331" s="7" t="n">
        <f aca="false">IF(S1331=0,100,100-100/(1+R1331/S1331))</f>
        <v>46.5534590350195</v>
      </c>
      <c r="U1331" s="7" t="n">
        <f aca="false">E1331*2/13+U1330*11/13</f>
        <v>18702.2616277467</v>
      </c>
      <c r="V1331" s="7" t="n">
        <f aca="false">E1331*2/27+V1330*25/27</f>
        <v>19169.3642987634</v>
      </c>
      <c r="W1331" s="7" t="n">
        <f aca="false">U1331-V1331</f>
        <v>-467.102671016633</v>
      </c>
      <c r="X1331" s="7" t="n">
        <f aca="false">W1331*2/10+X1330*8/10</f>
        <v>-529.95366436868</v>
      </c>
      <c r="Y1331" s="7" t="n">
        <f aca="false">W1331-X1331</f>
        <v>62.8509933520463</v>
      </c>
      <c r="Z1331" s="9" t="s">
        <v>89</v>
      </c>
      <c r="AA1331" s="7" t="str">
        <f aca="false">IFERROR(INDEX(02_轉折點45!B:B,MATCH(A1331,02_轉折點45!A:A,0)),"")</f>
        <v/>
      </c>
      <c r="AB1331" s="7" t="n">
        <f aca="false">COUNTIFS(05_訊號明細!A:A,A1331,05_訊號明細!C:C,"TOP")</f>
        <v>0</v>
      </c>
      <c r="AC1331" s="7" t="n">
        <f aca="false">COUNTIFS(05_訊號明細!A:A,A1331,05_訊號明細!C:C,"BOTTOM")</f>
        <v>1</v>
      </c>
    </row>
    <row r="1332" customFormat="false" ht="15" hidden="false" customHeight="false" outlineLevel="0" collapsed="false">
      <c r="A1332" s="7" t="s">
        <v>1373</v>
      </c>
      <c r="B1332" s="7" t="n">
        <v>18475.76</v>
      </c>
      <c r="C1332" s="7" t="n">
        <v>18597.32</v>
      </c>
      <c r="D1332" s="7" t="n">
        <v>17995.96</v>
      </c>
      <c r="E1332" s="7" t="n">
        <v>18257.64</v>
      </c>
      <c r="F1332" s="7" t="n">
        <v>7909</v>
      </c>
      <c r="G1332" s="7" t="n">
        <f aca="false">AVERAGE(E1328:E1332)</f>
        <v>18583.502</v>
      </c>
      <c r="H1332" s="7" t="n">
        <f aca="false">AVERAGE(E1323:E1332)</f>
        <v>18250.282</v>
      </c>
      <c r="I1332" s="7" t="n">
        <f aca="false">AVERAGE(E1313:E1332)</f>
        <v>18984.817</v>
      </c>
      <c r="J1332" s="7" t="n">
        <f aca="false">AVERAGE(E1283:E1332)</f>
        <v>20099.8326</v>
      </c>
      <c r="K1332" s="7" t="n">
        <f aca="false">AVERAGE(E1233:E1332)</f>
        <v>20712.6093</v>
      </c>
      <c r="L1332" s="7" t="n">
        <f aca="false">AVERAGE(E1133:E1332)</f>
        <v>20242.0556</v>
      </c>
      <c r="M1332" s="7" t="n">
        <f aca="false">I1332</f>
        <v>18984.817</v>
      </c>
      <c r="N1332" s="7" t="n">
        <f aca="false">I1332+2*STDEV(E1313:E1332)</f>
        <v>20838.0947627828</v>
      </c>
      <c r="O1332" s="7" t="n">
        <f aca="false">I1332-2*STDEV(E1313:E1332)</f>
        <v>17131.5392372172</v>
      </c>
      <c r="P1332" s="7" t="n">
        <f aca="false">MAX(E1332-E1331,0)</f>
        <v>0</v>
      </c>
      <c r="Q1332" s="7" t="n">
        <f aca="false">MAX(E1331-E1332,0)</f>
        <v>572.59</v>
      </c>
      <c r="R1332" s="7" t="n">
        <f aca="false">(R1331*13+P1332)/14</f>
        <v>178.980857849856</v>
      </c>
      <c r="S1332" s="7" t="n">
        <f aca="false">(S1331*13+Q1332)/14</f>
        <v>246.381497977478</v>
      </c>
      <c r="T1332" s="7" t="n">
        <f aca="false">IF(S1332=0,100,100-100/(1+R1332/S1332))</f>
        <v>42.0772678630051</v>
      </c>
      <c r="U1332" s="7" t="n">
        <f aca="false">E1332*2/13+U1331*11/13</f>
        <v>18633.8583004011</v>
      </c>
      <c r="V1332" s="7" t="n">
        <f aca="false">E1332*2/27+V1331*25/27</f>
        <v>19101.8291655216</v>
      </c>
      <c r="W1332" s="7" t="n">
        <f aca="false">U1332-V1332</f>
        <v>-467.970865120551</v>
      </c>
      <c r="X1332" s="7" t="n">
        <f aca="false">W1332*2/10+X1331*8/10</f>
        <v>-517.557104519054</v>
      </c>
      <c r="Y1332" s="7" t="n">
        <f aca="false">W1332-X1332</f>
        <v>49.5862393985029</v>
      </c>
      <c r="Z1332" s="9" t="s">
        <v>89</v>
      </c>
      <c r="AA1332" s="7" t="str">
        <f aca="false">IFERROR(INDEX(02_轉折點45!B:B,MATCH(A1332,02_轉折點45!A:A,0)),"")</f>
        <v/>
      </c>
      <c r="AB1332" s="7" t="n">
        <f aca="false">COUNTIFS(05_訊號明細!A:A,A1332,05_訊號明細!C:C,"TOP")</f>
        <v>0</v>
      </c>
      <c r="AC1332" s="7" t="n">
        <f aca="false">COUNTIFS(05_訊號明細!A:A,A1332,05_訊號明細!C:C,"BOTTOM")</f>
        <v>0</v>
      </c>
    </row>
    <row r="1333" customFormat="false" ht="15" hidden="false" customHeight="false" outlineLevel="0" collapsed="false">
      <c r="A1333" s="7" t="s">
        <v>1374</v>
      </c>
      <c r="B1333" s="7" t="n">
        <v>18369.9</v>
      </c>
      <c r="C1333" s="7" t="n">
        <v>18401.05</v>
      </c>
      <c r="D1333" s="7" t="n">
        <v>18144.46</v>
      </c>
      <c r="E1333" s="7" t="n">
        <v>18258.09</v>
      </c>
      <c r="F1333" s="7" t="n">
        <v>7046</v>
      </c>
      <c r="G1333" s="7" t="n">
        <f aca="false">AVERAGE(E1329:E1333)</f>
        <v>18566.406</v>
      </c>
      <c r="H1333" s="7" t="n">
        <f aca="false">AVERAGE(E1324:E1333)</f>
        <v>18223.944</v>
      </c>
      <c r="I1333" s="7" t="n">
        <f aca="false">AVERAGE(E1314:E1333)</f>
        <v>18913.841</v>
      </c>
      <c r="J1333" s="7" t="n">
        <f aca="false">AVERAGE(E1284:E1333)</f>
        <v>20031.8312</v>
      </c>
      <c r="K1333" s="7" t="n">
        <f aca="false">AVERAGE(E1234:E1333)</f>
        <v>20688.5192</v>
      </c>
      <c r="L1333" s="7" t="n">
        <f aca="false">AVERAGE(E1134:E1333)</f>
        <v>20234.28495</v>
      </c>
      <c r="M1333" s="7" t="n">
        <f aca="false">I1333</f>
        <v>18913.841</v>
      </c>
      <c r="N1333" s="7" t="n">
        <f aca="false">I1333+2*STDEV(E1314:E1333)</f>
        <v>20764.1297884857</v>
      </c>
      <c r="O1333" s="7" t="n">
        <f aca="false">I1333-2*STDEV(E1314:E1333)</f>
        <v>17063.5522115143</v>
      </c>
      <c r="P1333" s="7" t="n">
        <f aca="false">MAX(E1333-E1332,0)</f>
        <v>0.450000000000728</v>
      </c>
      <c r="Q1333" s="7" t="n">
        <f aca="false">MAX(E1332-E1333,0)</f>
        <v>0</v>
      </c>
      <c r="R1333" s="7" t="n">
        <f aca="false">(R1332*13+P1333)/14</f>
        <v>166.228653717724</v>
      </c>
      <c r="S1333" s="7" t="n">
        <f aca="false">(S1332*13+Q1333)/14</f>
        <v>228.782819550515</v>
      </c>
      <c r="T1333" s="7" t="n">
        <f aca="false">IF(S1333=0,100,100-100/(1+R1333/S1333))</f>
        <v>42.081981149151</v>
      </c>
      <c r="U1333" s="7" t="n">
        <f aca="false">E1333*2/13+U1332*11/13</f>
        <v>18576.0477926471</v>
      </c>
      <c r="V1333" s="7" t="n">
        <f aca="false">E1333*2/27+V1332*25/27</f>
        <v>19039.3299680756</v>
      </c>
      <c r="W1333" s="7" t="n">
        <f aca="false">U1333-V1333</f>
        <v>-463.282175428514</v>
      </c>
      <c r="X1333" s="7" t="n">
        <f aca="false">W1333*2/10+X1332*8/10</f>
        <v>-506.702118700946</v>
      </c>
      <c r="Y1333" s="7" t="n">
        <f aca="false">W1333-X1333</f>
        <v>43.4199432724319</v>
      </c>
      <c r="Z1333" s="9" t="s">
        <v>89</v>
      </c>
      <c r="AA1333" s="7" t="str">
        <f aca="false">IFERROR(INDEX(02_轉折點45!B:B,MATCH(A1333,02_轉折點45!A:A,0)),"")</f>
        <v/>
      </c>
      <c r="AB1333" s="7" t="n">
        <f aca="false">COUNTIFS(05_訊號明細!A:A,A1333,05_訊號明細!C:C,"TOP")</f>
        <v>0</v>
      </c>
      <c r="AC1333" s="7" t="n">
        <f aca="false">COUNTIFS(05_訊號明細!A:A,A1333,05_訊號明細!C:C,"BOTTOM")</f>
        <v>0</v>
      </c>
    </row>
    <row r="1334" customFormat="false" ht="15" hidden="false" customHeight="false" outlineLevel="0" collapsed="false">
      <c r="A1334" s="7" t="s">
        <v>1375</v>
      </c>
      <c r="B1334" s="7" t="n">
        <v>18023.01</v>
      </c>
      <c r="C1334" s="7" t="n">
        <v>18043.08</v>
      </c>
      <c r="D1334" s="7" t="n">
        <v>17592.92</v>
      </c>
      <c r="E1334" s="7" t="n">
        <v>17808.3</v>
      </c>
      <c r="F1334" s="7" t="n">
        <v>6679</v>
      </c>
      <c r="G1334" s="7" t="n">
        <f aca="false">AVERAGE(E1330:E1334)</f>
        <v>18390.056</v>
      </c>
      <c r="H1334" s="7" t="n">
        <f aca="false">AVERAGE(E1325:E1334)</f>
        <v>18265.004</v>
      </c>
      <c r="I1334" s="7" t="n">
        <f aca="false">AVERAGE(E1315:E1334)</f>
        <v>18816.5575</v>
      </c>
      <c r="J1334" s="7" t="n">
        <f aca="false">AVERAGE(E1285:E1334)</f>
        <v>19952.5158</v>
      </c>
      <c r="K1334" s="7" t="n">
        <f aca="false">AVERAGE(E1235:E1334)</f>
        <v>20659.1944</v>
      </c>
      <c r="L1334" s="7" t="n">
        <f aca="false">AVERAGE(E1135:E1334)</f>
        <v>20223.267</v>
      </c>
      <c r="M1334" s="7" t="n">
        <f aca="false">I1334</f>
        <v>18816.5575</v>
      </c>
      <c r="N1334" s="7" t="n">
        <f aca="false">I1334+2*STDEV(E1315:E1334)</f>
        <v>20685.3636729561</v>
      </c>
      <c r="O1334" s="7" t="n">
        <f aca="false">I1334-2*STDEV(E1315:E1334)</f>
        <v>16947.7513270439</v>
      </c>
      <c r="P1334" s="7" t="n">
        <f aca="false">MAX(E1334-E1333,0)</f>
        <v>0</v>
      </c>
      <c r="Q1334" s="7" t="n">
        <f aca="false">MAX(E1333-E1334,0)</f>
        <v>449.790000000001</v>
      </c>
      <c r="R1334" s="7" t="n">
        <f aca="false">(R1333*13+P1334)/14</f>
        <v>154.355178452172</v>
      </c>
      <c r="S1334" s="7" t="n">
        <f aca="false">(S1333*13+Q1334)/14</f>
        <v>244.569046725478</v>
      </c>
      <c r="T1334" s="7" t="n">
        <f aca="false">IF(S1334=0,100,100-100/(1+R1334/S1334))</f>
        <v>38.6928566154222</v>
      </c>
      <c r="U1334" s="7" t="n">
        <f aca="false">E1334*2/13+U1333*11/13</f>
        <v>18457.9327476244</v>
      </c>
      <c r="V1334" s="7" t="n">
        <f aca="false">E1334*2/27+V1333*25/27</f>
        <v>18948.1425630329</v>
      </c>
      <c r="W1334" s="7" t="n">
        <f aca="false">U1334-V1334</f>
        <v>-490.209815408503</v>
      </c>
      <c r="X1334" s="7" t="n">
        <f aca="false">W1334*2/10+X1333*8/10</f>
        <v>-503.403658042458</v>
      </c>
      <c r="Y1334" s="7" t="n">
        <f aca="false">W1334-X1334</f>
        <v>13.1938426339541</v>
      </c>
      <c r="Z1334" s="9" t="s">
        <v>89</v>
      </c>
      <c r="AA1334" s="7" t="str">
        <f aca="false">IFERROR(INDEX(02_轉折點45!B:B,MATCH(A1334,02_轉折點45!A:A,0)),"")</f>
        <v/>
      </c>
      <c r="AB1334" s="7" t="n">
        <f aca="false">COUNTIFS(05_訊號明細!A:A,A1334,05_訊號明細!C:C,"TOP")</f>
        <v>0</v>
      </c>
      <c r="AC1334" s="7" t="n">
        <f aca="false">COUNTIFS(05_訊號明細!A:A,A1334,05_訊號明細!C:C,"BOTTOM")</f>
        <v>0</v>
      </c>
    </row>
    <row r="1335" customFormat="false" ht="15" hidden="false" customHeight="false" outlineLevel="0" collapsed="false">
      <c r="A1335" s="7" t="s">
        <v>1376</v>
      </c>
      <c r="B1335" s="7" t="n">
        <v>18033.9</v>
      </c>
      <c r="C1335" s="7" t="n">
        <v>18396.39</v>
      </c>
      <c r="D1335" s="7" t="n">
        <v>17993.24</v>
      </c>
      <c r="E1335" s="7" t="n">
        <v>18276.41</v>
      </c>
      <c r="F1335" s="7" t="n">
        <v>6982</v>
      </c>
      <c r="G1335" s="7" t="n">
        <f aca="false">AVERAGE(E1331:E1335)</f>
        <v>18286.134</v>
      </c>
      <c r="H1335" s="7" t="n">
        <f aca="false">AVERAGE(E1326:E1335)</f>
        <v>18349.577</v>
      </c>
      <c r="I1335" s="7" t="n">
        <f aca="false">AVERAGE(E1316:E1335)</f>
        <v>18721.3555</v>
      </c>
      <c r="J1335" s="7" t="n">
        <f aca="false">AVERAGE(E1286:E1335)</f>
        <v>19888.2178</v>
      </c>
      <c r="K1335" s="7" t="n">
        <f aca="false">AVERAGE(E1236:E1335)</f>
        <v>20634.1962</v>
      </c>
      <c r="L1335" s="7" t="n">
        <f aca="false">AVERAGE(E1136:E1335)</f>
        <v>20213.7159</v>
      </c>
      <c r="M1335" s="7" t="n">
        <f aca="false">I1335</f>
        <v>18721.3555</v>
      </c>
      <c r="N1335" s="7" t="n">
        <f aca="false">I1335+2*STDEV(E1316:E1335)</f>
        <v>20488.8611219069</v>
      </c>
      <c r="O1335" s="7" t="n">
        <f aca="false">I1335-2*STDEV(E1316:E1335)</f>
        <v>16953.8498780931</v>
      </c>
      <c r="P1335" s="7" t="n">
        <f aca="false">MAX(E1335-E1334,0)</f>
        <v>468.110000000001</v>
      </c>
      <c r="Q1335" s="7" t="n">
        <f aca="false">MAX(E1334-E1335,0)</f>
        <v>0</v>
      </c>
      <c r="R1335" s="7" t="n">
        <f aca="false">(R1334*13+P1335)/14</f>
        <v>176.76623713416</v>
      </c>
      <c r="S1335" s="7" t="n">
        <f aca="false">(S1334*13+Q1335)/14</f>
        <v>227.09982910223</v>
      </c>
      <c r="T1335" s="7" t="n">
        <f aca="false">IF(S1335=0,100,100-100/(1+R1335/S1335))</f>
        <v>43.7685292011376</v>
      </c>
      <c r="U1335" s="7" t="n">
        <f aca="false">E1335*2/13+U1334*11/13</f>
        <v>18430.0061710668</v>
      </c>
      <c r="V1335" s="7" t="n">
        <f aca="false">E1335*2/27+V1334*25/27</f>
        <v>18898.3845954009</v>
      </c>
      <c r="W1335" s="7" t="n">
        <f aca="false">U1335-V1335</f>
        <v>-468.378424334042</v>
      </c>
      <c r="X1335" s="7" t="n">
        <f aca="false">W1335*2/10+X1334*8/10</f>
        <v>-496.398611300774</v>
      </c>
      <c r="Y1335" s="7" t="n">
        <f aca="false">W1335-X1335</f>
        <v>28.0201869667328</v>
      </c>
      <c r="Z1335" s="9" t="s">
        <v>89</v>
      </c>
      <c r="AA1335" s="7" t="str">
        <f aca="false">IFERROR(INDEX(02_轉折點45!B:B,MATCH(A1335,02_轉折點45!A:A,0)),"")</f>
        <v/>
      </c>
      <c r="AB1335" s="7" t="n">
        <f aca="false">COUNTIFS(05_訊號明細!A:A,A1335,05_訊號明細!C:C,"TOP")</f>
        <v>0</v>
      </c>
      <c r="AC1335" s="7" t="n">
        <f aca="false">COUNTIFS(05_訊號明細!A:A,A1335,05_訊號明細!C:C,"BOTTOM")</f>
        <v>0</v>
      </c>
    </row>
    <row r="1336" customFormat="false" ht="15" hidden="false" customHeight="false" outlineLevel="0" collapsed="false">
      <c r="A1336" s="7" t="s">
        <v>1377</v>
      </c>
      <c r="B1336" s="7" t="n">
        <v>18870.63</v>
      </c>
      <c r="C1336" s="7" t="n">
        <v>19043.01</v>
      </c>
      <c r="D1336" s="7" t="n">
        <v>18618.89</v>
      </c>
      <c r="E1336" s="7" t="n">
        <v>18693.26</v>
      </c>
      <c r="F1336" s="7" t="n">
        <v>8565</v>
      </c>
      <c r="G1336" s="7" t="n">
        <f aca="false">AVERAGE(E1332:E1336)</f>
        <v>18258.74</v>
      </c>
      <c r="H1336" s="7" t="n">
        <f aca="false">AVERAGE(E1327:E1336)</f>
        <v>18509.863</v>
      </c>
      <c r="I1336" s="7" t="n">
        <f aca="false">AVERAGE(E1317:E1336)</f>
        <v>18641.627</v>
      </c>
      <c r="J1336" s="7" t="n">
        <f aca="false">AVERAGE(E1287:E1336)</f>
        <v>19826.9484</v>
      </c>
      <c r="K1336" s="7" t="n">
        <f aca="false">AVERAGE(E1237:E1336)</f>
        <v>20613.0799</v>
      </c>
      <c r="L1336" s="7" t="n">
        <f aca="false">AVERAGE(E1137:E1336)</f>
        <v>20205.22235</v>
      </c>
      <c r="M1336" s="7" t="n">
        <f aca="false">I1336</f>
        <v>18641.627</v>
      </c>
      <c r="N1336" s="7" t="n">
        <f aca="false">I1336+2*STDEV(E1317:E1336)</f>
        <v>20248.1384811273</v>
      </c>
      <c r="O1336" s="7" t="n">
        <f aca="false">I1336-2*STDEV(E1317:E1336)</f>
        <v>17035.1155188727</v>
      </c>
      <c r="P1336" s="7" t="n">
        <f aca="false">MAX(E1336-E1335,0)</f>
        <v>416.849999999999</v>
      </c>
      <c r="Q1336" s="7" t="n">
        <f aca="false">MAX(E1335-E1336,0)</f>
        <v>0</v>
      </c>
      <c r="R1336" s="7" t="n">
        <f aca="false">(R1335*13+P1336)/14</f>
        <v>193.915077338863</v>
      </c>
      <c r="S1336" s="7" t="n">
        <f aca="false">(S1335*13+Q1336)/14</f>
        <v>210.878412737785</v>
      </c>
      <c r="T1336" s="7" t="n">
        <f aca="false">IF(S1336=0,100,100-100/(1+R1336/S1336))</f>
        <v>47.9046926624598</v>
      </c>
      <c r="U1336" s="7" t="n">
        <f aca="false">E1336*2/13+U1335*11/13</f>
        <v>18470.5067601335</v>
      </c>
      <c r="V1336" s="7" t="n">
        <f aca="false">E1336*2/27+V1335*25/27</f>
        <v>18883.1901809267</v>
      </c>
      <c r="W1336" s="7" t="n">
        <f aca="false">U1336-V1336</f>
        <v>-412.683420793263</v>
      </c>
      <c r="X1336" s="7" t="n">
        <f aca="false">W1336*2/10+X1335*8/10</f>
        <v>-479.655573199272</v>
      </c>
      <c r="Y1336" s="7" t="n">
        <f aca="false">W1336-X1336</f>
        <v>66.9721524060094</v>
      </c>
      <c r="Z1336" s="9" t="s">
        <v>89</v>
      </c>
      <c r="AA1336" s="7" t="str">
        <f aca="false">IFERROR(INDEX(02_轉折點45!B:B,MATCH(A1336,02_轉折點45!A:A,0)),"")</f>
        <v/>
      </c>
      <c r="AB1336" s="7" t="n">
        <f aca="false">COUNTIFS(05_訊號明細!A:A,A1336,05_訊號明細!C:C,"TOP")</f>
        <v>0</v>
      </c>
      <c r="AC1336" s="7" t="n">
        <f aca="false">COUNTIFS(05_訊號明細!A:A,A1336,05_訊號明細!C:C,"BOTTOM")</f>
        <v>0</v>
      </c>
    </row>
    <row r="1337" customFormat="false" ht="15" hidden="false" customHeight="false" outlineLevel="0" collapsed="false">
      <c r="A1337" s="7" t="s">
        <v>1378</v>
      </c>
      <c r="B1337" s="7" t="n">
        <v>18756.53</v>
      </c>
      <c r="C1337" s="7" t="n">
        <v>19224.8</v>
      </c>
      <c r="D1337" s="7" t="n">
        <v>18744.47</v>
      </c>
      <c r="E1337" s="7" t="n">
        <v>19214.4</v>
      </c>
      <c r="F1337" s="7" t="n">
        <v>7607</v>
      </c>
      <c r="G1337" s="7" t="n">
        <f aca="false">AVERAGE(E1333:E1337)</f>
        <v>18450.092</v>
      </c>
      <c r="H1337" s="7" t="n">
        <f aca="false">AVERAGE(E1328:E1337)</f>
        <v>18516.797</v>
      </c>
      <c r="I1337" s="7" t="n">
        <f aca="false">AVERAGE(E1318:E1337)</f>
        <v>18606.4975</v>
      </c>
      <c r="J1337" s="7" t="n">
        <f aca="false">AVERAGE(E1288:E1337)</f>
        <v>19777.366</v>
      </c>
      <c r="K1337" s="7" t="n">
        <f aca="false">AVERAGE(E1238:E1337)</f>
        <v>20595.9949</v>
      </c>
      <c r="L1337" s="7" t="n">
        <f aca="false">AVERAGE(E1138:E1337)</f>
        <v>20199.09665</v>
      </c>
      <c r="M1337" s="7" t="n">
        <f aca="false">I1337</f>
        <v>18606.4975</v>
      </c>
      <c r="N1337" s="7" t="n">
        <f aca="false">I1337+2*STDEV(E1318:E1337)</f>
        <v>20123.8367503136</v>
      </c>
      <c r="O1337" s="7" t="n">
        <f aca="false">I1337-2*STDEV(E1318:E1337)</f>
        <v>17089.1582496864</v>
      </c>
      <c r="P1337" s="7" t="n">
        <f aca="false">MAX(E1337-E1336,0)</f>
        <v>521.140000000003</v>
      </c>
      <c r="Q1337" s="7" t="n">
        <f aca="false">MAX(E1336-E1337,0)</f>
        <v>0</v>
      </c>
      <c r="R1337" s="7" t="n">
        <f aca="false">(R1336*13+P1337)/14</f>
        <v>217.288286100373</v>
      </c>
      <c r="S1337" s="7" t="n">
        <f aca="false">(S1336*13+Q1337)/14</f>
        <v>195.8156689708</v>
      </c>
      <c r="T1337" s="7" t="n">
        <f aca="false">IF(S1337=0,100,100-100/(1+R1337/S1337))</f>
        <v>52.5989362805632</v>
      </c>
      <c r="U1337" s="7" t="n">
        <f aca="false">E1337*2/13+U1336*11/13</f>
        <v>18584.9518739591</v>
      </c>
      <c r="V1337" s="7" t="n">
        <f aca="false">E1337*2/27+V1336*25/27</f>
        <v>18907.7242415988</v>
      </c>
      <c r="W1337" s="7" t="n">
        <f aca="false">U1337-V1337</f>
        <v>-322.772367639736</v>
      </c>
      <c r="X1337" s="7" t="n">
        <f aca="false">W1337*2/10+X1336*8/10</f>
        <v>-448.278932087365</v>
      </c>
      <c r="Y1337" s="7" t="n">
        <f aca="false">W1337-X1337</f>
        <v>125.506564447628</v>
      </c>
      <c r="Z1337" s="9" t="s">
        <v>89</v>
      </c>
      <c r="AA1337" s="7" t="str">
        <f aca="false">IFERROR(INDEX(02_轉折點45!B:B,MATCH(A1337,02_轉折點45!A:A,0)),"")</f>
        <v/>
      </c>
      <c r="AB1337" s="7" t="n">
        <f aca="false">COUNTIFS(05_訊號明細!A:A,A1337,05_訊號明細!C:C,"TOP")</f>
        <v>0</v>
      </c>
      <c r="AC1337" s="7" t="n">
        <f aca="false">COUNTIFS(05_訊號明細!A:A,A1337,05_訊號明細!C:C,"BOTTOM")</f>
        <v>0</v>
      </c>
    </row>
    <row r="1338" customFormat="false" ht="15" hidden="false" customHeight="false" outlineLevel="0" collapsed="false">
      <c r="A1338" s="7" t="s">
        <v>1379</v>
      </c>
      <c r="B1338" s="7" t="n">
        <v>19209.72</v>
      </c>
      <c r="C1338" s="7" t="n">
        <v>19447.56</v>
      </c>
      <c r="D1338" s="7" t="n">
        <v>19133.23</v>
      </c>
      <c r="E1338" s="7" t="n">
        <v>19432.56</v>
      </c>
      <c r="F1338" s="7" t="n">
        <v>7413</v>
      </c>
      <c r="G1338" s="7" t="n">
        <f aca="false">AVERAGE(E1334:E1338)</f>
        <v>18684.986</v>
      </c>
      <c r="H1338" s="7" t="n">
        <f aca="false">AVERAGE(E1329:E1338)</f>
        <v>18625.696</v>
      </c>
      <c r="I1338" s="7" t="n">
        <f aca="false">AVERAGE(E1319:E1338)</f>
        <v>18588.1945</v>
      </c>
      <c r="J1338" s="7" t="n">
        <f aca="false">AVERAGE(E1289:E1338)</f>
        <v>19731.632</v>
      </c>
      <c r="K1338" s="7" t="n">
        <f aca="false">AVERAGE(E1239:E1338)</f>
        <v>20582.8756</v>
      </c>
      <c r="L1338" s="7" t="n">
        <f aca="false">AVERAGE(E1139:E1338)</f>
        <v>20193.99435</v>
      </c>
      <c r="M1338" s="7" t="n">
        <f aca="false">I1338</f>
        <v>18588.1945</v>
      </c>
      <c r="N1338" s="7" t="n">
        <f aca="false">I1338+2*STDEV(E1319:E1338)</f>
        <v>20052.9046818804</v>
      </c>
      <c r="O1338" s="7" t="n">
        <f aca="false">I1338-2*STDEV(E1319:E1338)</f>
        <v>17123.4843181196</v>
      </c>
      <c r="P1338" s="7" t="n">
        <f aca="false">MAX(E1338-E1337,0)</f>
        <v>218.16</v>
      </c>
      <c r="Q1338" s="7" t="n">
        <f aca="false">MAX(E1337-E1338,0)</f>
        <v>0</v>
      </c>
      <c r="R1338" s="7" t="n">
        <f aca="false">(R1337*13+P1338)/14</f>
        <v>217.350551378917</v>
      </c>
      <c r="S1338" s="7" t="n">
        <f aca="false">(S1337*13+Q1338)/14</f>
        <v>181.828835472886</v>
      </c>
      <c r="T1338" s="7" t="n">
        <f aca="false">IF(S1338=0,100,100-100/(1+R1338/S1338))</f>
        <v>54.4493424605639</v>
      </c>
      <c r="U1338" s="7" t="n">
        <f aca="false">E1338*2/13+U1337*11/13</f>
        <v>18715.3531241192</v>
      </c>
      <c r="V1338" s="7" t="n">
        <f aca="false">E1338*2/27+V1337*25/27</f>
        <v>18946.6009644434</v>
      </c>
      <c r="W1338" s="7" t="n">
        <f aca="false">U1338-V1338</f>
        <v>-231.247840324129</v>
      </c>
      <c r="X1338" s="7" t="n">
        <f aca="false">W1338*2/10+X1337*8/10</f>
        <v>-404.872713734718</v>
      </c>
      <c r="Y1338" s="7" t="n">
        <f aca="false">W1338-X1338</f>
        <v>173.624873410588</v>
      </c>
      <c r="Z1338" s="9" t="s">
        <v>89</v>
      </c>
      <c r="AA1338" s="7" t="str">
        <f aca="false">IFERROR(INDEX(02_轉折點45!B:B,MATCH(A1338,02_轉折點45!A:A,0)),"")</f>
        <v/>
      </c>
      <c r="AB1338" s="7" t="n">
        <f aca="false">COUNTIFS(05_訊號明細!A:A,A1338,05_訊號明細!C:C,"TOP")</f>
        <v>0</v>
      </c>
      <c r="AC1338" s="7" t="n">
        <f aca="false">COUNTIFS(05_訊號明細!A:A,A1338,05_訊號明細!C:C,"BOTTOM")</f>
        <v>0</v>
      </c>
    </row>
    <row r="1339" customFormat="false" ht="15" hidden="false" customHeight="false" outlineLevel="0" collapsed="false">
      <c r="A1339" s="7" t="s">
        <v>1380</v>
      </c>
      <c r="B1339" s="7" t="n">
        <v>19432.72</v>
      </c>
      <c r="C1339" s="7" t="n">
        <v>19519.33</v>
      </c>
      <c r="D1339" s="7" t="n">
        <v>19162.46</v>
      </c>
      <c r="E1339" s="7" t="n">
        <v>19427.29</v>
      </c>
      <c r="F1339" s="7" t="n">
        <v>10313</v>
      </c>
      <c r="G1339" s="7" t="n">
        <f aca="false">AVERAGE(E1335:E1339)</f>
        <v>19008.784</v>
      </c>
      <c r="H1339" s="7" t="n">
        <f aca="false">AVERAGE(E1330:E1339)</f>
        <v>18699.42</v>
      </c>
      <c r="I1339" s="7" t="n">
        <f aca="false">AVERAGE(E1320:E1339)</f>
        <v>18595.489</v>
      </c>
      <c r="J1339" s="7" t="n">
        <f aca="false">AVERAGE(E1290:E1339)</f>
        <v>19679.5636</v>
      </c>
      <c r="K1339" s="7" t="n">
        <f aca="false">AVERAGE(E1240:E1339)</f>
        <v>20567.8448</v>
      </c>
      <c r="L1339" s="7" t="n">
        <f aca="false">AVERAGE(E1140:E1339)</f>
        <v>20187.7539</v>
      </c>
      <c r="M1339" s="7" t="n">
        <f aca="false">I1339</f>
        <v>18595.489</v>
      </c>
      <c r="N1339" s="7" t="n">
        <f aca="false">I1339+2*STDEV(E1320:E1339)</f>
        <v>20076.10187478</v>
      </c>
      <c r="O1339" s="7" t="n">
        <f aca="false">I1339-2*STDEV(E1320:E1339)</f>
        <v>17114.87612522</v>
      </c>
      <c r="P1339" s="7" t="n">
        <f aca="false">MAX(E1339-E1338,0)</f>
        <v>0</v>
      </c>
      <c r="Q1339" s="7" t="n">
        <f aca="false">MAX(E1338-E1339,0)</f>
        <v>5.27000000000044</v>
      </c>
      <c r="R1339" s="7" t="n">
        <f aca="false">(R1338*13+P1339)/14</f>
        <v>201.825511994709</v>
      </c>
      <c r="S1339" s="7" t="n">
        <f aca="false">(S1338*13+Q1339)/14</f>
        <v>169.217490081965</v>
      </c>
      <c r="T1339" s="7" t="n">
        <f aca="false">IF(S1339=0,100,100-100/(1+R1339/S1339))</f>
        <v>54.3941028034812</v>
      </c>
      <c r="U1339" s="7" t="n">
        <f aca="false">E1339*2/13+U1338*11/13</f>
        <v>18824.8818742547</v>
      </c>
      <c r="V1339" s="7" t="n">
        <f aca="false">E1339*2/27+V1338*25/27</f>
        <v>18982.2075596698</v>
      </c>
      <c r="W1339" s="7" t="n">
        <f aca="false">U1339-V1339</f>
        <v>-157.325685415046</v>
      </c>
      <c r="X1339" s="7" t="n">
        <f aca="false">W1339*2/10+X1338*8/10</f>
        <v>-355.363308070783</v>
      </c>
      <c r="Y1339" s="7" t="n">
        <f aca="false">W1339-X1339</f>
        <v>198.037622655737</v>
      </c>
      <c r="Z1339" s="9" t="s">
        <v>89</v>
      </c>
      <c r="AA1339" s="7" t="str">
        <f aca="false">IFERROR(INDEX(02_轉折點45!B:B,MATCH(A1339,02_轉折點45!A:A,0)),"")</f>
        <v/>
      </c>
      <c r="AB1339" s="7" t="n">
        <f aca="false">COUNTIFS(05_訊號明細!A:A,A1339,05_訊號明細!C:C,"TOP")</f>
        <v>0</v>
      </c>
      <c r="AC1339" s="7" t="n">
        <f aca="false">COUNTIFS(05_訊號明細!A:A,A1339,05_訊號明細!C:C,"BOTTOM")</f>
        <v>0</v>
      </c>
    </row>
    <row r="1340" customFormat="false" ht="15" hidden="false" customHeight="false" outlineLevel="0" collapsed="false">
      <c r="A1340" s="7" t="s">
        <v>1381</v>
      </c>
      <c r="B1340" s="7" t="n">
        <v>19315.95</v>
      </c>
      <c r="C1340" s="7" t="n">
        <v>19582.77</v>
      </c>
      <c r="D1340" s="7" t="n">
        <v>19304.83</v>
      </c>
      <c r="E1340" s="7" t="n">
        <v>19544.95</v>
      </c>
      <c r="F1340" s="7" t="n">
        <v>13002</v>
      </c>
      <c r="G1340" s="7" t="n">
        <f aca="false">AVERAGE(E1336:E1340)</f>
        <v>19262.492</v>
      </c>
      <c r="H1340" s="7" t="n">
        <f aca="false">AVERAGE(E1331:E1340)</f>
        <v>18774.313</v>
      </c>
      <c r="I1340" s="7" t="n">
        <f aca="false">AVERAGE(E1321:E1340)</f>
        <v>18608.814</v>
      </c>
      <c r="J1340" s="7" t="n">
        <f aca="false">AVERAGE(E1291:E1340)</f>
        <v>19628.1688</v>
      </c>
      <c r="K1340" s="7" t="n">
        <f aca="false">AVERAGE(E1241:E1340)</f>
        <v>20551.6483</v>
      </c>
      <c r="L1340" s="7" t="n">
        <f aca="false">AVERAGE(E1141:E1340)</f>
        <v>20184.42185</v>
      </c>
      <c r="M1340" s="7" t="n">
        <f aca="false">I1340</f>
        <v>18608.814</v>
      </c>
      <c r="N1340" s="7" t="n">
        <f aca="false">I1340+2*STDEV(E1321:E1340)</f>
        <v>20119.7919443219</v>
      </c>
      <c r="O1340" s="7" t="n">
        <f aca="false">I1340-2*STDEV(E1321:E1340)</f>
        <v>17097.8360556781</v>
      </c>
      <c r="P1340" s="7" t="n">
        <f aca="false">MAX(E1340-E1339,0)</f>
        <v>117.66</v>
      </c>
      <c r="Q1340" s="7" t="n">
        <f aca="false">MAX(E1339-E1340,0)</f>
        <v>0</v>
      </c>
      <c r="R1340" s="7" t="n">
        <f aca="false">(R1339*13+P1340)/14</f>
        <v>195.813689709373</v>
      </c>
      <c r="S1340" s="7" t="n">
        <f aca="false">(S1339*13+Q1340)/14</f>
        <v>157.130526504682</v>
      </c>
      <c r="T1340" s="7" t="n">
        <f aca="false">IF(S1340=0,100,100-100/(1+R1340/S1340))</f>
        <v>55.4800675896655</v>
      </c>
      <c r="U1340" s="7" t="n">
        <f aca="false">E1340*2/13+U1339*11/13</f>
        <v>18935.6615859079</v>
      </c>
      <c r="V1340" s="7" t="n">
        <f aca="false">E1340*2/27+V1339*25/27</f>
        <v>19023.8921848794</v>
      </c>
      <c r="W1340" s="7" t="n">
        <f aca="false">U1340-V1340</f>
        <v>-88.2305989715751</v>
      </c>
      <c r="X1340" s="7" t="n">
        <f aca="false">W1340*2/10+X1339*8/10</f>
        <v>-301.936766250942</v>
      </c>
      <c r="Y1340" s="7" t="n">
        <f aca="false">W1340-X1340</f>
        <v>213.706167279367</v>
      </c>
      <c r="Z1340" s="7" t="s">
        <v>78</v>
      </c>
      <c r="AA1340" s="7" t="str">
        <f aca="false">IFERROR(INDEX(02_轉折點45!B:B,MATCH(A1340,02_轉折點45!A:A,0)),"")</f>
        <v/>
      </c>
      <c r="AB1340" s="7" t="n">
        <f aca="false">COUNTIFS(05_訊號明細!A:A,A1340,05_訊號明細!C:C,"TOP")</f>
        <v>0</v>
      </c>
      <c r="AC1340" s="7" t="n">
        <f aca="false">COUNTIFS(05_訊號明細!A:A,A1340,05_訊號明細!C:C,"BOTTOM")</f>
        <v>2</v>
      </c>
    </row>
    <row r="1341" customFormat="false" ht="15" hidden="false" customHeight="false" outlineLevel="0" collapsed="false">
      <c r="A1341" s="7" t="s">
        <v>1382</v>
      </c>
      <c r="B1341" s="7" t="n">
        <v>19168.09</v>
      </c>
      <c r="C1341" s="7" t="n">
        <v>19612.76</v>
      </c>
      <c r="D1341" s="7" t="n">
        <v>19011.98</v>
      </c>
      <c r="E1341" s="7" t="n">
        <v>19571.02</v>
      </c>
      <c r="F1341" s="7" t="n">
        <v>8595</v>
      </c>
      <c r="G1341" s="7" t="n">
        <f aca="false">AVERAGE(E1337:E1341)</f>
        <v>19438.044</v>
      </c>
      <c r="H1341" s="7" t="n">
        <f aca="false">AVERAGE(E1332:E1341)</f>
        <v>18848.392</v>
      </c>
      <c r="I1341" s="7" t="n">
        <f aca="false">AVERAGE(E1322:E1341)</f>
        <v>18615.544</v>
      </c>
      <c r="J1341" s="7" t="n">
        <f aca="false">AVERAGE(E1292:E1341)</f>
        <v>19576.297</v>
      </c>
      <c r="K1341" s="7" t="n">
        <f aca="false">AVERAGE(E1242:E1341)</f>
        <v>20535.0653</v>
      </c>
      <c r="L1341" s="7" t="n">
        <f aca="false">AVERAGE(E1142:E1341)</f>
        <v>20180.6195</v>
      </c>
      <c r="M1341" s="7" t="n">
        <f aca="false">I1341</f>
        <v>18615.544</v>
      </c>
      <c r="N1341" s="7" t="n">
        <f aca="false">I1341+2*STDEV(E1322:E1341)</f>
        <v>20143.1503829803</v>
      </c>
      <c r="O1341" s="7" t="n">
        <f aca="false">I1341-2*STDEV(E1322:E1341)</f>
        <v>17087.9376170197</v>
      </c>
      <c r="P1341" s="7" t="n">
        <f aca="false">MAX(E1341-E1340,0)</f>
        <v>26.0699999999997</v>
      </c>
      <c r="Q1341" s="7" t="n">
        <f aca="false">MAX(E1340-E1341,0)</f>
        <v>0</v>
      </c>
      <c r="R1341" s="7" t="n">
        <f aca="false">(R1340*13+P1341)/14</f>
        <v>183.689140444418</v>
      </c>
      <c r="S1341" s="7" t="n">
        <f aca="false">(S1340*13+Q1341)/14</f>
        <v>145.906917468633</v>
      </c>
      <c r="T1341" s="7" t="n">
        <f aca="false">IF(S1341=0,100,100-100/(1+R1341/S1341))</f>
        <v>55.7315950947677</v>
      </c>
      <c r="U1341" s="7" t="n">
        <f aca="false">E1341*2/13+U1340*11/13</f>
        <v>19033.4090342297</v>
      </c>
      <c r="V1341" s="7" t="n">
        <f aca="false">E1341*2/27+V1340*25/27</f>
        <v>19064.4201711847</v>
      </c>
      <c r="W1341" s="7" t="n">
        <f aca="false">U1341-V1341</f>
        <v>-31.0111369549377</v>
      </c>
      <c r="X1341" s="7" t="n">
        <f aca="false">W1341*2/10+X1340*8/10</f>
        <v>-247.751640391741</v>
      </c>
      <c r="Y1341" s="7" t="n">
        <f aca="false">W1341-X1341</f>
        <v>216.740503436803</v>
      </c>
      <c r="Z1341" s="9" t="s">
        <v>89</v>
      </c>
      <c r="AA1341" s="7" t="str">
        <f aca="false">IFERROR(INDEX(02_轉折點45!B:B,MATCH(A1341,02_轉折點45!A:A,0)),"")</f>
        <v/>
      </c>
      <c r="AB1341" s="7" t="n">
        <f aca="false">COUNTIFS(05_訊號明細!A:A,A1341,05_訊號明細!C:C,"TOP")</f>
        <v>0</v>
      </c>
      <c r="AC1341" s="7" t="n">
        <f aca="false">COUNTIFS(05_訊號明細!A:A,A1341,05_訊號明細!C:C,"BOTTOM")</f>
        <v>0</v>
      </c>
    </row>
    <row r="1342" customFormat="false" ht="15" hidden="false" customHeight="false" outlineLevel="0" collapsed="false">
      <c r="A1342" s="7" t="s">
        <v>1383</v>
      </c>
      <c r="B1342" s="7" t="n">
        <v>19866.83</v>
      </c>
      <c r="C1342" s="7" t="n">
        <v>20024.48</v>
      </c>
      <c r="D1342" s="7" t="n">
        <v>19763.14</v>
      </c>
      <c r="E1342" s="7" t="n">
        <v>19786.71</v>
      </c>
      <c r="F1342" s="7" t="n">
        <v>8410</v>
      </c>
      <c r="G1342" s="7" t="n">
        <f aca="false">AVERAGE(E1338:E1342)</f>
        <v>19552.506</v>
      </c>
      <c r="H1342" s="7" t="n">
        <f aca="false">AVERAGE(E1333:E1342)</f>
        <v>19001.299</v>
      </c>
      <c r="I1342" s="7" t="n">
        <f aca="false">AVERAGE(E1323:E1342)</f>
        <v>18625.7905</v>
      </c>
      <c r="J1342" s="7" t="n">
        <f aca="false">AVERAGE(E1293:E1342)</f>
        <v>19528.5192</v>
      </c>
      <c r="K1342" s="7" t="n">
        <f aca="false">AVERAGE(E1243:E1342)</f>
        <v>20518.0088</v>
      </c>
      <c r="L1342" s="7" t="n">
        <f aca="false">AVERAGE(E1143:E1342)</f>
        <v>20177.61865</v>
      </c>
      <c r="M1342" s="7" t="n">
        <f aca="false">I1342</f>
        <v>18625.7905</v>
      </c>
      <c r="N1342" s="7" t="n">
        <f aca="false">I1342+2*STDEV(E1323:E1342)</f>
        <v>20183.1451374944</v>
      </c>
      <c r="O1342" s="7" t="n">
        <f aca="false">I1342-2*STDEV(E1323:E1342)</f>
        <v>17068.4358625056</v>
      </c>
      <c r="P1342" s="7" t="n">
        <f aca="false">MAX(E1342-E1341,0)</f>
        <v>215.689999999999</v>
      </c>
      <c r="Q1342" s="7" t="n">
        <f aca="false">MAX(E1341-E1342,0)</f>
        <v>0</v>
      </c>
      <c r="R1342" s="7" t="n">
        <f aca="false">(R1341*13+P1342)/14</f>
        <v>185.974916126959</v>
      </c>
      <c r="S1342" s="7" t="n">
        <f aca="false">(S1341*13+Q1342)/14</f>
        <v>135.484994792303</v>
      </c>
      <c r="T1342" s="7" t="n">
        <f aca="false">IF(S1342=0,100,100-100/(1+R1342/S1342))</f>
        <v>57.853222069009</v>
      </c>
      <c r="U1342" s="7" t="n">
        <f aca="false">E1342*2/13+U1341*11/13</f>
        <v>19149.3014905021</v>
      </c>
      <c r="V1342" s="7" t="n">
        <f aca="false">E1342*2/27+V1341*25/27</f>
        <v>19117.9231214673</v>
      </c>
      <c r="W1342" s="7" t="n">
        <f aca="false">U1342-V1342</f>
        <v>31.3783690347955</v>
      </c>
      <c r="X1342" s="7" t="n">
        <f aca="false">W1342*2/10+X1341*8/10</f>
        <v>-191.925638506434</v>
      </c>
      <c r="Y1342" s="7" t="n">
        <f aca="false">W1342-X1342</f>
        <v>223.304007541229</v>
      </c>
      <c r="Z1342" s="7" t="s">
        <v>78</v>
      </c>
      <c r="AA1342" s="7" t="str">
        <f aca="false">IFERROR(INDEX(02_轉折點45!B:B,MATCH(A1342,02_轉折點45!A:A,0)),"")</f>
        <v/>
      </c>
      <c r="AB1342" s="7" t="n">
        <f aca="false">COUNTIFS(05_訊號明細!A:A,A1342,05_訊號明細!C:C,"TOP")</f>
        <v>0</v>
      </c>
      <c r="AC1342" s="7" t="n">
        <f aca="false">COUNTIFS(05_訊號明細!A:A,A1342,05_訊號明細!C:C,"BOTTOM")</f>
        <v>1</v>
      </c>
    </row>
    <row r="1343" customFormat="false" ht="15" hidden="false" customHeight="false" outlineLevel="0" collapsed="false">
      <c r="A1343" s="7" t="s">
        <v>1384</v>
      </c>
      <c r="B1343" s="7" t="n">
        <v>19986.61</v>
      </c>
      <c r="C1343" s="7" t="n">
        <v>20176.6</v>
      </c>
      <c r="D1343" s="7" t="n">
        <v>19936.67</v>
      </c>
      <c r="E1343" s="7" t="n">
        <v>20102.61</v>
      </c>
      <c r="F1343" s="7" t="n">
        <v>8180</v>
      </c>
      <c r="G1343" s="7" t="n">
        <f aca="false">AVERAGE(E1339:E1343)</f>
        <v>19686.516</v>
      </c>
      <c r="H1343" s="7" t="n">
        <f aca="false">AVERAGE(E1334:E1343)</f>
        <v>19185.751</v>
      </c>
      <c r="I1343" s="7" t="n">
        <f aca="false">AVERAGE(E1324:E1343)</f>
        <v>18704.8475</v>
      </c>
      <c r="J1343" s="7" t="n">
        <f aca="false">AVERAGE(E1294:E1343)</f>
        <v>19489.2102</v>
      </c>
      <c r="K1343" s="7" t="n">
        <f aca="false">AVERAGE(E1244:E1343)</f>
        <v>20504.7827</v>
      </c>
      <c r="L1343" s="7" t="n">
        <f aca="false">AVERAGE(E1144:E1343)</f>
        <v>20176.1386</v>
      </c>
      <c r="M1343" s="7" t="n">
        <f aca="false">I1343</f>
        <v>18704.8475</v>
      </c>
      <c r="N1343" s="7" t="n">
        <f aca="false">I1343+2*STDEV(E1324:E1343)</f>
        <v>20394.7893770307</v>
      </c>
      <c r="O1343" s="7" t="n">
        <f aca="false">I1343-2*STDEV(E1324:E1343)</f>
        <v>17014.9056229693</v>
      </c>
      <c r="P1343" s="7" t="n">
        <f aca="false">MAX(E1343-E1342,0)</f>
        <v>315.900000000001</v>
      </c>
      <c r="Q1343" s="7" t="n">
        <f aca="false">MAX(E1342-E1343,0)</f>
        <v>0</v>
      </c>
      <c r="R1343" s="7" t="n">
        <f aca="false">(R1342*13+P1343)/14</f>
        <v>195.255279260748</v>
      </c>
      <c r="S1343" s="7" t="n">
        <f aca="false">(S1342*13+Q1343)/14</f>
        <v>125.807495164281</v>
      </c>
      <c r="T1343" s="7" t="n">
        <f aca="false">IF(S1343=0,100,100-100/(1+R1343/S1343))</f>
        <v>60.8152968248712</v>
      </c>
      <c r="U1343" s="7" t="n">
        <f aca="false">E1343*2/13+U1342*11/13</f>
        <v>19295.9643381171</v>
      </c>
      <c r="V1343" s="7" t="n">
        <f aca="false">E1343*2/27+V1342*25/27</f>
        <v>19190.8628902475</v>
      </c>
      <c r="W1343" s="7" t="n">
        <f aca="false">U1343-V1343</f>
        <v>105.10144786966</v>
      </c>
      <c r="X1343" s="7" t="n">
        <f aca="false">W1343*2/10+X1342*8/10</f>
        <v>-132.520221231215</v>
      </c>
      <c r="Y1343" s="7" t="n">
        <f aca="false">W1343-X1343</f>
        <v>237.621669100875</v>
      </c>
      <c r="Z1343" s="7" t="s">
        <v>78</v>
      </c>
      <c r="AA1343" s="7" t="str">
        <f aca="false">IFERROR(INDEX(02_轉折點45!B:B,MATCH(A1343,02_轉折點45!A:A,0)),"")</f>
        <v/>
      </c>
      <c r="AB1343" s="7" t="n">
        <f aca="false">COUNTIFS(05_訊號明細!A:A,A1343,05_訊號明細!C:C,"TOP")</f>
        <v>0</v>
      </c>
      <c r="AC1343" s="7" t="n">
        <f aca="false">COUNTIFS(05_訊號明細!A:A,A1343,05_訊號明細!C:C,"BOTTOM")</f>
        <v>0</v>
      </c>
    </row>
    <row r="1344" customFormat="false" ht="15" hidden="false" customHeight="false" outlineLevel="0" collapsed="false">
      <c r="A1344" s="7" t="s">
        <v>1385</v>
      </c>
      <c r="B1344" s="7" t="n">
        <v>19928.82</v>
      </c>
      <c r="C1344" s="7" t="n">
        <v>20100.61</v>
      </c>
      <c r="D1344" s="7" t="n">
        <v>19899.28</v>
      </c>
      <c r="E1344" s="7" t="n">
        <v>19967.94</v>
      </c>
      <c r="F1344" s="7" t="n">
        <v>7075</v>
      </c>
      <c r="G1344" s="7" t="n">
        <f aca="false">AVERAGE(E1340:E1344)</f>
        <v>19794.646</v>
      </c>
      <c r="H1344" s="7" t="n">
        <f aca="false">AVERAGE(E1335:E1344)</f>
        <v>19401.715</v>
      </c>
      <c r="I1344" s="7" t="n">
        <f aca="false">AVERAGE(E1325:E1344)</f>
        <v>18833.3595</v>
      </c>
      <c r="J1344" s="7" t="n">
        <f aca="false">AVERAGE(E1295:E1344)</f>
        <v>19456.2874</v>
      </c>
      <c r="K1344" s="7" t="n">
        <f aca="false">AVERAGE(E1245:E1344)</f>
        <v>20488.2396</v>
      </c>
      <c r="L1344" s="7" t="n">
        <f aca="false">AVERAGE(E1145:E1344)</f>
        <v>20176.9826</v>
      </c>
      <c r="M1344" s="7" t="n">
        <f aca="false">I1344</f>
        <v>18833.3595</v>
      </c>
      <c r="N1344" s="7" t="n">
        <f aca="false">I1344+2*STDEV(E1325:E1344)</f>
        <v>20495.4446359343</v>
      </c>
      <c r="O1344" s="7" t="n">
        <f aca="false">I1344-2*STDEV(E1325:E1344)</f>
        <v>17171.2743640657</v>
      </c>
      <c r="P1344" s="7" t="n">
        <f aca="false">MAX(E1344-E1343,0)</f>
        <v>0</v>
      </c>
      <c r="Q1344" s="7" t="n">
        <f aca="false">MAX(E1343-E1344,0)</f>
        <v>134.670000000002</v>
      </c>
      <c r="R1344" s="7" t="n">
        <f aca="false">(R1343*13+P1344)/14</f>
        <v>181.308473599266</v>
      </c>
      <c r="S1344" s="7" t="n">
        <f aca="false">(S1343*13+Q1344)/14</f>
        <v>126.440531223975</v>
      </c>
      <c r="T1344" s="7" t="n">
        <f aca="false">IF(S1344=0,100,100-100/(1+R1344/S1344))</f>
        <v>58.9143980184119</v>
      </c>
      <c r="U1344" s="7" t="n">
        <f aca="false">E1344*2/13+U1343*11/13</f>
        <v>19399.345209176</v>
      </c>
      <c r="V1344" s="7" t="n">
        <f aca="false">E1344*2/27+V1343*25/27</f>
        <v>19248.4241576366</v>
      </c>
      <c r="W1344" s="7" t="n">
        <f aca="false">U1344-V1344</f>
        <v>150.921051539488</v>
      </c>
      <c r="X1344" s="7" t="n">
        <f aca="false">W1344*2/10+X1343*8/10</f>
        <v>-75.8319666770744</v>
      </c>
      <c r="Y1344" s="7" t="n">
        <f aca="false">W1344-X1344</f>
        <v>226.753018216562</v>
      </c>
      <c r="Z1344" s="7" t="s">
        <v>78</v>
      </c>
      <c r="AA1344" s="7" t="str">
        <f aca="false">IFERROR(INDEX(02_轉折點45!B:B,MATCH(A1344,02_轉折點45!A:A,0)),"")</f>
        <v/>
      </c>
      <c r="AB1344" s="7" t="n">
        <f aca="false">COUNTIFS(05_訊號明細!A:A,A1344,05_訊號明細!C:C,"TOP")</f>
        <v>0</v>
      </c>
      <c r="AC1344" s="7" t="n">
        <f aca="false">COUNTIFS(05_訊號明細!A:A,A1344,05_訊號明細!C:C,"BOTTOM")</f>
        <v>0</v>
      </c>
    </row>
    <row r="1345" customFormat="false" ht="15" hidden="false" customHeight="false" outlineLevel="0" collapsed="false">
      <c r="A1345" s="7" t="s">
        <v>1386</v>
      </c>
      <c r="B1345" s="7" t="n">
        <v>19709.64</v>
      </c>
      <c r="C1345" s="7" t="n">
        <v>19927.23</v>
      </c>
      <c r="D1345" s="7" t="n">
        <v>19659.32</v>
      </c>
      <c r="E1345" s="7" t="n">
        <v>19791.35</v>
      </c>
      <c r="F1345" s="7" t="n">
        <v>6958</v>
      </c>
      <c r="G1345" s="7" t="n">
        <f aca="false">AVERAGE(E1341:E1345)</f>
        <v>19843.926</v>
      </c>
      <c r="H1345" s="7" t="n">
        <f aca="false">AVERAGE(E1336:E1345)</f>
        <v>19553.209</v>
      </c>
      <c r="I1345" s="7" t="n">
        <f aca="false">AVERAGE(E1326:E1345)</f>
        <v>18951.393</v>
      </c>
      <c r="J1345" s="7" t="n">
        <f aca="false">AVERAGE(E1296:E1345)</f>
        <v>19425.0728</v>
      </c>
      <c r="K1345" s="7" t="n">
        <f aca="false">AVERAGE(E1246:E1345)</f>
        <v>20471.7449</v>
      </c>
      <c r="L1345" s="7" t="n">
        <f aca="false">AVERAGE(E1146:E1345)</f>
        <v>20177.4139</v>
      </c>
      <c r="M1345" s="7" t="n">
        <f aca="false">I1345</f>
        <v>18951.393</v>
      </c>
      <c r="N1345" s="7" t="n">
        <f aca="false">I1345+2*STDEV(E1326:E1345)</f>
        <v>20527.1034410472</v>
      </c>
      <c r="O1345" s="7" t="n">
        <f aca="false">I1345-2*STDEV(E1326:E1345)</f>
        <v>17375.6825589528</v>
      </c>
      <c r="P1345" s="7" t="n">
        <f aca="false">MAX(E1345-E1344,0)</f>
        <v>0</v>
      </c>
      <c r="Q1345" s="7" t="n">
        <f aca="false">MAX(E1344-E1345,0)</f>
        <v>176.59</v>
      </c>
      <c r="R1345" s="7" t="n">
        <f aca="false">(R1344*13+P1345)/14</f>
        <v>168.357868342175</v>
      </c>
      <c r="S1345" s="7" t="n">
        <f aca="false">(S1344*13+Q1345)/14</f>
        <v>130.022636136548</v>
      </c>
      <c r="T1345" s="7" t="n">
        <f aca="false">IF(S1345=0,100,100-100/(1+R1345/S1345))</f>
        <v>56.4238835363254</v>
      </c>
      <c r="U1345" s="7" t="n">
        <f aca="false">E1345*2/13+U1344*11/13</f>
        <v>19459.6536385336</v>
      </c>
      <c r="V1345" s="7" t="n">
        <f aca="false">E1345*2/27+V1344*25/27</f>
        <v>19288.6408867005</v>
      </c>
      <c r="W1345" s="7" t="n">
        <f aca="false">U1345-V1345</f>
        <v>171.012751833063</v>
      </c>
      <c r="X1345" s="7" t="n">
        <f aca="false">W1345*2/10+X1344*8/10</f>
        <v>-26.4630229750469</v>
      </c>
      <c r="Y1345" s="7" t="n">
        <f aca="false">W1345-X1345</f>
        <v>197.47577480811</v>
      </c>
      <c r="Z1345" s="7" t="s">
        <v>78</v>
      </c>
      <c r="AA1345" s="7" t="str">
        <f aca="false">IFERROR(INDEX(02_轉折點45!B:B,MATCH(A1345,02_轉折點45!A:A,0)),"")</f>
        <v/>
      </c>
      <c r="AB1345" s="7" t="n">
        <f aca="false">COUNTIFS(05_訊號明細!A:A,A1345,05_訊號明細!C:C,"TOP")</f>
        <v>0</v>
      </c>
      <c r="AC1345" s="7" t="n">
        <f aca="false">COUNTIFS(05_訊號明細!A:A,A1345,05_訊號明細!C:C,"BOTTOM")</f>
        <v>0</v>
      </c>
    </row>
    <row r="1346" customFormat="false" ht="15" hidden="false" customHeight="false" outlineLevel="0" collapsed="false">
      <c r="A1346" s="7" t="s">
        <v>1387</v>
      </c>
      <c r="B1346" s="7" t="n">
        <v>19804.5</v>
      </c>
      <c r="C1346" s="7" t="n">
        <v>19960.86</v>
      </c>
      <c r="D1346" s="7" t="n">
        <v>19605.07</v>
      </c>
      <c r="E1346" s="7" t="n">
        <v>19867.97</v>
      </c>
      <c r="F1346" s="7" t="n">
        <v>7978</v>
      </c>
      <c r="G1346" s="7" t="n">
        <f aca="false">AVERAGE(E1342:E1346)</f>
        <v>19903.316</v>
      </c>
      <c r="H1346" s="7" t="n">
        <f aca="false">AVERAGE(E1337:E1346)</f>
        <v>19670.68</v>
      </c>
      <c r="I1346" s="7" t="n">
        <f aca="false">AVERAGE(E1327:E1346)</f>
        <v>19090.2715</v>
      </c>
      <c r="J1346" s="7" t="n">
        <f aca="false">AVERAGE(E1297:E1346)</f>
        <v>19400.6872</v>
      </c>
      <c r="K1346" s="7" t="n">
        <f aca="false">AVERAGE(E1247:E1346)</f>
        <v>20456.7428</v>
      </c>
      <c r="L1346" s="7" t="n">
        <f aca="false">AVERAGE(E1147:E1346)</f>
        <v>20179.14065</v>
      </c>
      <c r="M1346" s="7" t="n">
        <f aca="false">I1346</f>
        <v>19090.2715</v>
      </c>
      <c r="N1346" s="7" t="n">
        <f aca="false">I1346+2*STDEV(E1327:E1346)</f>
        <v>20450.1998895431</v>
      </c>
      <c r="O1346" s="7" t="n">
        <f aca="false">I1346-2*STDEV(E1327:E1346)</f>
        <v>17730.3431104569</v>
      </c>
      <c r="P1346" s="7" t="n">
        <f aca="false">MAX(E1346-E1345,0)</f>
        <v>76.6200000000026</v>
      </c>
      <c r="Q1346" s="7" t="n">
        <f aca="false">MAX(E1345-E1346,0)</f>
        <v>0</v>
      </c>
      <c r="R1346" s="7" t="n">
        <f aca="false">(R1345*13+P1346)/14</f>
        <v>161.805163460592</v>
      </c>
      <c r="S1346" s="7" t="n">
        <f aca="false">(S1345*13+Q1346)/14</f>
        <v>120.735304983938</v>
      </c>
      <c r="T1346" s="7" t="n">
        <f aca="false">IF(S1346=0,100,100-100/(1+R1346/S1346))</f>
        <v>57.267960356751</v>
      </c>
      <c r="U1346" s="7" t="n">
        <f aca="false">E1346*2/13+U1345*11/13</f>
        <v>19522.4715402976</v>
      </c>
      <c r="V1346" s="7" t="n">
        <f aca="false">E1346*2/27+V1345*25/27</f>
        <v>19331.5541543523</v>
      </c>
      <c r="W1346" s="7" t="n">
        <f aca="false">U1346-V1346</f>
        <v>190.917385945315</v>
      </c>
      <c r="X1346" s="7" t="n">
        <f aca="false">W1346*2/10+X1345*8/10</f>
        <v>17.0130588090254</v>
      </c>
      <c r="Y1346" s="7" t="n">
        <f aca="false">W1346-X1346</f>
        <v>173.904327136289</v>
      </c>
      <c r="Z1346" s="7" t="s">
        <v>78</v>
      </c>
      <c r="AA1346" s="7" t="str">
        <f aca="false">IFERROR(INDEX(02_轉折點45!B:B,MATCH(A1346,02_轉折點45!A:A,0)),"")</f>
        <v/>
      </c>
      <c r="AB1346" s="7" t="n">
        <f aca="false">COUNTIFS(05_訊號明細!A:A,A1346,05_訊號明細!C:C,"TOP")</f>
        <v>0</v>
      </c>
      <c r="AC1346" s="7" t="n">
        <f aca="false">COUNTIFS(05_訊號明細!A:A,A1346,05_訊號明細!C:C,"BOTTOM")</f>
        <v>0</v>
      </c>
    </row>
    <row r="1347" customFormat="false" ht="15" hidden="false" customHeight="false" outlineLevel="0" collapsed="false">
      <c r="A1347" s="7" t="s">
        <v>1388</v>
      </c>
      <c r="B1347" s="7" t="n">
        <v>20067.43</v>
      </c>
      <c r="C1347" s="7" t="n">
        <v>20249.76</v>
      </c>
      <c r="D1347" s="7" t="n">
        <v>19907.67</v>
      </c>
      <c r="E1347" s="7" t="n">
        <v>20063.56</v>
      </c>
      <c r="F1347" s="7" t="n">
        <v>8500</v>
      </c>
      <c r="G1347" s="7" t="n">
        <f aca="false">AVERAGE(E1343:E1347)</f>
        <v>19958.686</v>
      </c>
      <c r="H1347" s="7" t="n">
        <f aca="false">AVERAGE(E1338:E1347)</f>
        <v>19755.596</v>
      </c>
      <c r="I1347" s="7" t="n">
        <f aca="false">AVERAGE(E1328:E1347)</f>
        <v>19136.1965</v>
      </c>
      <c r="J1347" s="7" t="n">
        <f aca="false">AVERAGE(E1298:E1347)</f>
        <v>19379.3</v>
      </c>
      <c r="K1347" s="7" t="n">
        <f aca="false">AVERAGE(E1248:E1347)</f>
        <v>20439.7386</v>
      </c>
      <c r="L1347" s="7" t="n">
        <f aca="false">AVERAGE(E1148:E1347)</f>
        <v>20180.3441</v>
      </c>
      <c r="M1347" s="7" t="n">
        <f aca="false">I1347</f>
        <v>19136.1965</v>
      </c>
      <c r="N1347" s="7" t="n">
        <f aca="false">I1347+2*STDEV(E1328:E1347)</f>
        <v>20564.244960718</v>
      </c>
      <c r="O1347" s="7" t="n">
        <f aca="false">I1347-2*STDEV(E1328:E1347)</f>
        <v>17708.148039282</v>
      </c>
      <c r="P1347" s="7" t="n">
        <f aca="false">MAX(E1347-E1346,0)</f>
        <v>195.59</v>
      </c>
      <c r="Q1347" s="7" t="n">
        <f aca="false">MAX(E1346-E1347,0)</f>
        <v>0</v>
      </c>
      <c r="R1347" s="7" t="n">
        <f aca="false">(R1346*13+P1347)/14</f>
        <v>164.218366070549</v>
      </c>
      <c r="S1347" s="7" t="n">
        <f aca="false">(S1346*13+Q1347)/14</f>
        <v>112.111354627942</v>
      </c>
      <c r="T1347" s="7" t="n">
        <f aca="false">IF(S1347=0,100,100-100/(1+R1347/S1347))</f>
        <v>59.4284124253616</v>
      </c>
      <c r="U1347" s="7" t="n">
        <f aca="false">E1347*2/13+U1346*11/13</f>
        <v>19605.7159187134</v>
      </c>
      <c r="V1347" s="7" t="n">
        <f aca="false">E1347*2/27+V1346*25/27</f>
        <v>19385.7768095855</v>
      </c>
      <c r="W1347" s="7" t="n">
        <f aca="false">U1347-V1347</f>
        <v>219.939109127903</v>
      </c>
      <c r="X1347" s="7" t="n">
        <f aca="false">W1347*2/10+X1346*8/10</f>
        <v>57.598268872801</v>
      </c>
      <c r="Y1347" s="7" t="n">
        <f aca="false">W1347-X1347</f>
        <v>162.340840255102</v>
      </c>
      <c r="Z1347" s="7" t="s">
        <v>78</v>
      </c>
      <c r="AA1347" s="7" t="str">
        <f aca="false">IFERROR(INDEX(02_轉折點45!B:B,MATCH(A1347,02_轉折點45!A:A,0)),"")</f>
        <v/>
      </c>
      <c r="AB1347" s="7" t="n">
        <f aca="false">COUNTIFS(05_訊號明細!A:A,A1347,05_訊號明細!C:C,"TOP")</f>
        <v>0</v>
      </c>
      <c r="AC1347" s="7" t="n">
        <f aca="false">COUNTIFS(05_訊號明細!A:A,A1347,05_訊號明細!C:C,"BOTTOM")</f>
        <v>0</v>
      </c>
    </row>
    <row r="1348" customFormat="false" ht="15" hidden="false" customHeight="false" outlineLevel="0" collapsed="false">
      <c r="A1348" s="7" t="s">
        <v>1389</v>
      </c>
      <c r="B1348" s="7" t="n">
        <v>20170.37</v>
      </c>
      <c r="C1348" s="7" t="n">
        <v>20203.58</v>
      </c>
      <c r="D1348" s="7" t="n">
        <v>19984.53</v>
      </c>
      <c r="E1348" s="7" t="n">
        <v>20061.45</v>
      </c>
      <c r="F1348" s="7" t="n">
        <v>8835</v>
      </c>
      <c r="G1348" s="7" t="n">
        <f aca="false">AVERAGE(E1344:E1348)</f>
        <v>19950.454</v>
      </c>
      <c r="H1348" s="7" t="n">
        <f aca="false">AVERAGE(E1339:E1348)</f>
        <v>19818.485</v>
      </c>
      <c r="I1348" s="7" t="n">
        <f aca="false">AVERAGE(E1329:E1348)</f>
        <v>19222.0905</v>
      </c>
      <c r="J1348" s="7" t="n">
        <f aca="false">AVERAGE(E1299:E1348)</f>
        <v>19369.51</v>
      </c>
      <c r="K1348" s="7" t="n">
        <f aca="false">AVERAGE(E1249:E1348)</f>
        <v>20424.2004</v>
      </c>
      <c r="L1348" s="7" t="n">
        <f aca="false">AVERAGE(E1149:E1348)</f>
        <v>20181.87965</v>
      </c>
      <c r="M1348" s="7" t="n">
        <f aca="false">I1348</f>
        <v>19222.0905</v>
      </c>
      <c r="N1348" s="7" t="n">
        <f aca="false">I1348+2*STDEV(E1329:E1348)</f>
        <v>20656.0444092127</v>
      </c>
      <c r="O1348" s="7" t="n">
        <f aca="false">I1348-2*STDEV(E1329:E1348)</f>
        <v>17788.1365907873</v>
      </c>
      <c r="P1348" s="7" t="n">
        <f aca="false">MAX(E1348-E1347,0)</f>
        <v>0</v>
      </c>
      <c r="Q1348" s="7" t="n">
        <f aca="false">MAX(E1347-E1348,0)</f>
        <v>2.11000000000058</v>
      </c>
      <c r="R1348" s="7" t="n">
        <f aca="false">(R1347*13+P1348)/14</f>
        <v>152.488482779796</v>
      </c>
      <c r="S1348" s="7" t="n">
        <f aca="false">(S1347*13+Q1348)/14</f>
        <v>104.254115011661</v>
      </c>
      <c r="T1348" s="7" t="n">
        <f aca="false">IF(S1348=0,100,100-100/(1+R1348/S1348))</f>
        <v>59.3935264702966</v>
      </c>
      <c r="U1348" s="7" t="n">
        <f aca="false">E1348*2/13+U1347*11/13</f>
        <v>19675.8288542959</v>
      </c>
      <c r="V1348" s="7" t="n">
        <f aca="false">E1348*2/27+V1347*25/27</f>
        <v>19435.8266755421</v>
      </c>
      <c r="W1348" s="7" t="n">
        <f aca="false">U1348-V1348</f>
        <v>240.002178753824</v>
      </c>
      <c r="X1348" s="7" t="n">
        <f aca="false">W1348*2/10+X1347*8/10</f>
        <v>94.0790508490057</v>
      </c>
      <c r="Y1348" s="7" t="n">
        <f aca="false">W1348-X1348</f>
        <v>145.923127904819</v>
      </c>
      <c r="Z1348" s="7" t="s">
        <v>78</v>
      </c>
      <c r="AA1348" s="7" t="str">
        <f aca="false">IFERROR(INDEX(02_轉折點45!B:B,MATCH(A1348,02_轉折點45!A:A,0)),"")</f>
        <v/>
      </c>
      <c r="AB1348" s="7" t="n">
        <f aca="false">COUNTIFS(05_訊號明細!A:A,A1348,05_訊號明細!C:C,"TOP")</f>
        <v>0</v>
      </c>
      <c r="AC1348" s="7" t="n">
        <f aca="false">COUNTIFS(05_訊號明細!A:A,A1348,05_訊號明細!C:C,"BOTTOM")</f>
        <v>0</v>
      </c>
    </row>
    <row r="1349" customFormat="false" ht="15" hidden="false" customHeight="false" outlineLevel="0" collapsed="false">
      <c r="A1349" s="7" t="s">
        <v>1390</v>
      </c>
      <c r="B1349" s="7" t="n">
        <v>20818.78</v>
      </c>
      <c r="C1349" s="7" t="n">
        <v>20870.12</v>
      </c>
      <c r="D1349" s="7" t="n">
        <v>20613.27</v>
      </c>
      <c r="E1349" s="7" t="n">
        <v>20868.15</v>
      </c>
      <c r="F1349" s="7" t="n">
        <v>10718</v>
      </c>
      <c r="G1349" s="7" t="n">
        <f aca="false">AVERAGE(E1345:E1349)</f>
        <v>20130.496</v>
      </c>
      <c r="H1349" s="7" t="n">
        <f aca="false">AVERAGE(E1340:E1349)</f>
        <v>19962.571</v>
      </c>
      <c r="I1349" s="7" t="n">
        <f aca="false">AVERAGE(E1330:E1349)</f>
        <v>19330.9955</v>
      </c>
      <c r="J1349" s="7" t="n">
        <f aca="false">AVERAGE(E1300:E1349)</f>
        <v>19369.1848</v>
      </c>
      <c r="K1349" s="7" t="n">
        <f aca="false">AVERAGE(E1250:E1349)</f>
        <v>20415.0794</v>
      </c>
      <c r="L1349" s="7" t="n">
        <f aca="false">AVERAGE(E1150:E1349)</f>
        <v>20191.05845</v>
      </c>
      <c r="M1349" s="7" t="n">
        <f aca="false">I1349</f>
        <v>19330.9955</v>
      </c>
      <c r="N1349" s="7" t="n">
        <f aca="false">I1349+2*STDEV(E1330:E1349)</f>
        <v>20917.5377129302</v>
      </c>
      <c r="O1349" s="7" t="n">
        <f aca="false">I1349-2*STDEV(E1330:E1349)</f>
        <v>17744.4532870698</v>
      </c>
      <c r="P1349" s="7" t="n">
        <f aca="false">MAX(E1349-E1348,0)</f>
        <v>806.700000000001</v>
      </c>
      <c r="Q1349" s="7" t="n">
        <f aca="false">MAX(E1348-E1349,0)</f>
        <v>0</v>
      </c>
      <c r="R1349" s="7" t="n">
        <f aca="false">(R1348*13+P1349)/14</f>
        <v>199.217876866953</v>
      </c>
      <c r="S1349" s="7" t="n">
        <f aca="false">(S1348*13+Q1349)/14</f>
        <v>96.8073925108278</v>
      </c>
      <c r="T1349" s="7" t="n">
        <f aca="false">IF(S1349=0,100,100-100/(1+R1349/S1349))</f>
        <v>67.2975916163143</v>
      </c>
      <c r="U1349" s="7" t="n">
        <f aca="false">E1349*2/13+U1348*11/13</f>
        <v>19859.262876712</v>
      </c>
      <c r="V1349" s="7" t="n">
        <f aca="false">E1349*2/27+V1348*25/27</f>
        <v>19541.924699576</v>
      </c>
      <c r="W1349" s="7" t="n">
        <f aca="false">U1349-V1349</f>
        <v>317.338177135916</v>
      </c>
      <c r="X1349" s="7" t="n">
        <f aca="false">W1349*2/10+X1348*8/10</f>
        <v>138.730876106388</v>
      </c>
      <c r="Y1349" s="7" t="n">
        <f aca="false">W1349-X1349</f>
        <v>178.607301029529</v>
      </c>
      <c r="Z1349" s="8" t="s">
        <v>42</v>
      </c>
      <c r="AA1349" s="7" t="str">
        <f aca="false">IFERROR(INDEX(02_轉折點45!B:B,MATCH(A1349,02_轉折點45!A:A,0)),"")</f>
        <v/>
      </c>
      <c r="AB1349" s="7" t="n">
        <f aca="false">COUNTIFS(05_訊號明細!A:A,A1349,05_訊號明細!C:C,"TOP")</f>
        <v>1</v>
      </c>
      <c r="AC1349" s="7" t="n">
        <f aca="false">COUNTIFS(05_訊號明細!A:A,A1349,05_訊號明細!C:C,"BOTTOM")</f>
        <v>1</v>
      </c>
    </row>
    <row r="1350" customFormat="false" ht="15" hidden="false" customHeight="false" outlineLevel="0" collapsed="false">
      <c r="A1350" s="7" t="s">
        <v>1391</v>
      </c>
      <c r="B1350" s="7" t="n">
        <v>20906.92</v>
      </c>
      <c r="C1350" s="7" t="n">
        <v>21259.39</v>
      </c>
      <c r="D1350" s="7" t="n">
        <v>20891.18</v>
      </c>
      <c r="E1350" s="7" t="n">
        <v>21197.7</v>
      </c>
      <c r="F1350" s="7" t="n">
        <v>9242</v>
      </c>
      <c r="G1350" s="7" t="n">
        <f aca="false">AVERAGE(E1346:E1350)</f>
        <v>20411.766</v>
      </c>
      <c r="H1350" s="7" t="n">
        <f aca="false">AVERAGE(E1341:E1350)</f>
        <v>20127.846</v>
      </c>
      <c r="I1350" s="7" t="n">
        <f aca="false">AVERAGE(E1331:E1350)</f>
        <v>19451.0795</v>
      </c>
      <c r="J1350" s="7" t="n">
        <f aca="false">AVERAGE(E1301:E1350)</f>
        <v>19384.6272</v>
      </c>
      <c r="K1350" s="7" t="n">
        <f aca="false">AVERAGE(E1251:E1350)</f>
        <v>20406.0898</v>
      </c>
      <c r="L1350" s="7" t="n">
        <f aca="false">AVERAGE(E1151:E1350)</f>
        <v>20202.89405</v>
      </c>
      <c r="M1350" s="7" t="n">
        <f aca="false">I1350</f>
        <v>19451.0795</v>
      </c>
      <c r="N1350" s="7" t="n">
        <f aca="false">I1350+2*STDEV(E1331:E1350)</f>
        <v>21220.1878381359</v>
      </c>
      <c r="O1350" s="7" t="n">
        <f aca="false">I1350-2*STDEV(E1331:E1350)</f>
        <v>17681.9711618641</v>
      </c>
      <c r="P1350" s="7" t="n">
        <f aca="false">MAX(E1350-E1349,0)</f>
        <v>329.549999999999</v>
      </c>
      <c r="Q1350" s="7" t="n">
        <f aca="false">MAX(E1349-E1350,0)</f>
        <v>0</v>
      </c>
      <c r="R1350" s="7" t="n">
        <f aca="false">(R1349*13+P1350)/14</f>
        <v>208.527314233599</v>
      </c>
      <c r="S1350" s="7" t="n">
        <f aca="false">(S1349*13+Q1350)/14</f>
        <v>89.8925787600544</v>
      </c>
      <c r="T1350" s="7" t="n">
        <f aca="false">IF(S1350=0,100,100-100/(1+R1350/S1350))</f>
        <v>69.8771493219569</v>
      </c>
      <c r="U1350" s="7" t="n">
        <f aca="false">E1350*2/13+U1349*11/13</f>
        <v>20065.1762802947</v>
      </c>
      <c r="V1350" s="7" t="n">
        <f aca="false">E1350*2/27+V1349*25/27</f>
        <v>19664.5747218297</v>
      </c>
      <c r="W1350" s="7" t="n">
        <f aca="false">U1350-V1350</f>
        <v>400.601558465067</v>
      </c>
      <c r="X1350" s="7" t="n">
        <f aca="false">W1350*2/10+X1349*8/10</f>
        <v>191.105012578124</v>
      </c>
      <c r="Y1350" s="7" t="n">
        <f aca="false">W1350-X1350</f>
        <v>209.496545886943</v>
      </c>
      <c r="Z1350" s="8" t="s">
        <v>42</v>
      </c>
      <c r="AA1350" s="7" t="str">
        <f aca="false">IFERROR(INDEX(02_轉折點45!B:B,MATCH(A1350,02_轉折點45!A:A,0)),"")</f>
        <v/>
      </c>
      <c r="AB1350" s="7" t="n">
        <f aca="false">COUNTIFS(05_訊號明細!A:A,A1350,05_訊號明細!C:C,"TOP")</f>
        <v>1</v>
      </c>
      <c r="AC1350" s="7" t="n">
        <f aca="false">COUNTIFS(05_訊號明細!A:A,A1350,05_訊號明細!C:C,"BOTTOM")</f>
        <v>0</v>
      </c>
    </row>
    <row r="1351" customFormat="false" ht="15" hidden="false" customHeight="false" outlineLevel="0" collapsed="false">
      <c r="A1351" s="7" t="s">
        <v>1392</v>
      </c>
      <c r="B1351" s="7" t="n">
        <v>21254.47</v>
      </c>
      <c r="C1351" s="7" t="n">
        <v>21336.48</v>
      </c>
      <c r="D1351" s="7" t="n">
        <v>21199.85</v>
      </c>
      <c r="E1351" s="7" t="n">
        <v>21319.21</v>
      </c>
      <c r="F1351" s="7" t="n">
        <v>11745</v>
      </c>
      <c r="G1351" s="7" t="n">
        <f aca="false">AVERAGE(E1347:E1351)</f>
        <v>20702.014</v>
      </c>
      <c r="H1351" s="7" t="n">
        <f aca="false">AVERAGE(E1342:E1351)</f>
        <v>20302.665</v>
      </c>
      <c r="I1351" s="7" t="n">
        <f aca="false">AVERAGE(E1332:E1351)</f>
        <v>19575.5285</v>
      </c>
      <c r="J1351" s="7" t="n">
        <f aca="false">AVERAGE(E1302:E1351)</f>
        <v>19403.9608</v>
      </c>
      <c r="K1351" s="7" t="n">
        <f aca="false">AVERAGE(E1252:E1351)</f>
        <v>20399.2711</v>
      </c>
      <c r="L1351" s="7" t="n">
        <f aca="false">AVERAGE(E1152:E1351)</f>
        <v>20214.3718</v>
      </c>
      <c r="M1351" s="7" t="n">
        <f aca="false">I1351</f>
        <v>19575.5285</v>
      </c>
      <c r="N1351" s="7" t="n">
        <f aca="false">I1351+2*STDEV(E1332:E1351)</f>
        <v>21503.7669583729</v>
      </c>
      <c r="O1351" s="7" t="n">
        <f aca="false">I1351-2*STDEV(E1332:E1351)</f>
        <v>17647.2900416271</v>
      </c>
      <c r="P1351" s="7" t="n">
        <f aca="false">MAX(E1351-E1350,0)</f>
        <v>121.509999999998</v>
      </c>
      <c r="Q1351" s="7" t="n">
        <f aca="false">MAX(E1350-E1351,0)</f>
        <v>0</v>
      </c>
      <c r="R1351" s="7" t="n">
        <f aca="false">(R1350*13+P1351)/14</f>
        <v>202.311791788342</v>
      </c>
      <c r="S1351" s="7" t="n">
        <f aca="false">(S1350*13+Q1351)/14</f>
        <v>83.4716802771934</v>
      </c>
      <c r="T1351" s="7" t="n">
        <f aca="false">IF(S1351=0,100,100-100/(1+R1351/S1351))</f>
        <v>70.7919846890055</v>
      </c>
      <c r="U1351" s="7" t="n">
        <f aca="false">E1351*2/13+U1350*11/13</f>
        <v>20258.1045448648</v>
      </c>
      <c r="V1351" s="7" t="n">
        <f aca="false">E1351*2/27+V1350*25/27</f>
        <v>19787.1402979904</v>
      </c>
      <c r="W1351" s="7" t="n">
        <f aca="false">U1351-V1351</f>
        <v>470.96424687434</v>
      </c>
      <c r="X1351" s="7" t="n">
        <f aca="false">W1351*2/10+X1350*8/10</f>
        <v>247.076859437367</v>
      </c>
      <c r="Y1351" s="7" t="n">
        <f aca="false">W1351-X1351</f>
        <v>223.887387436973</v>
      </c>
      <c r="Z1351" s="8" t="s">
        <v>42</v>
      </c>
      <c r="AA1351" s="7" t="str">
        <f aca="false">IFERROR(INDEX(02_轉折點45!B:B,MATCH(A1351,02_轉折點45!A:A,0)),"")</f>
        <v/>
      </c>
      <c r="AB1351" s="7" t="n">
        <f aca="false">COUNTIFS(05_訊號明細!A:A,A1351,05_訊號明細!C:C,"TOP")</f>
        <v>0</v>
      </c>
      <c r="AC1351" s="7" t="n">
        <f aca="false">COUNTIFS(05_訊號明細!A:A,A1351,05_訊號明細!C:C,"BOTTOM")</f>
        <v>0</v>
      </c>
    </row>
    <row r="1352" customFormat="false" ht="15" hidden="false" customHeight="false" outlineLevel="0" collapsed="false">
      <c r="A1352" s="7" t="s">
        <v>1393</v>
      </c>
      <c r="B1352" s="7" t="n">
        <v>21206.73</v>
      </c>
      <c r="C1352" s="7" t="n">
        <v>21443.88</v>
      </c>
      <c r="D1352" s="7" t="n">
        <v>21168.17</v>
      </c>
      <c r="E1352" s="7" t="n">
        <v>21335.82</v>
      </c>
      <c r="F1352" s="7" t="n">
        <v>10546</v>
      </c>
      <c r="G1352" s="7" t="n">
        <f aca="false">AVERAGE(E1348:E1352)</f>
        <v>20956.466</v>
      </c>
      <c r="H1352" s="7" t="n">
        <f aca="false">AVERAGE(E1343:E1352)</f>
        <v>20457.576</v>
      </c>
      <c r="I1352" s="7" t="n">
        <f aca="false">AVERAGE(E1333:E1352)</f>
        <v>19729.4375</v>
      </c>
      <c r="J1352" s="7" t="n">
        <f aca="false">AVERAGE(E1303:E1352)</f>
        <v>19418.108</v>
      </c>
      <c r="K1352" s="7" t="n">
        <f aca="false">AVERAGE(E1253:E1352)</f>
        <v>20400.5361</v>
      </c>
      <c r="L1352" s="7" t="n">
        <f aca="false">AVERAGE(E1153:E1352)</f>
        <v>20225.75345</v>
      </c>
      <c r="M1352" s="7" t="n">
        <f aca="false">I1352</f>
        <v>19729.4375</v>
      </c>
      <c r="N1352" s="7" t="n">
        <f aca="false">I1352+2*STDEV(E1333:E1352)</f>
        <v>21705.5596107899</v>
      </c>
      <c r="O1352" s="7" t="n">
        <f aca="false">I1352-2*STDEV(E1333:E1352)</f>
        <v>17753.3153892101</v>
      </c>
      <c r="P1352" s="7" t="n">
        <f aca="false">MAX(E1352-E1351,0)</f>
        <v>16.6100000000006</v>
      </c>
      <c r="Q1352" s="7" t="n">
        <f aca="false">MAX(E1351-E1352,0)</f>
        <v>0</v>
      </c>
      <c r="R1352" s="7" t="n">
        <f aca="false">(R1351*13+P1352)/14</f>
        <v>189.047378089175</v>
      </c>
      <c r="S1352" s="7" t="n">
        <f aca="false">(S1351*13+Q1352)/14</f>
        <v>77.509417400251</v>
      </c>
      <c r="T1352" s="7" t="n">
        <f aca="false">IF(S1352=0,100,100-100/(1+R1352/S1352))</f>
        <v>70.9219878420523</v>
      </c>
      <c r="U1352" s="7" t="n">
        <f aca="false">E1352*2/13+U1351*11/13</f>
        <v>20423.9069225779</v>
      </c>
      <c r="V1352" s="7" t="n">
        <f aca="false">E1352*2/27+V1351*25/27</f>
        <v>19901.8573129541</v>
      </c>
      <c r="W1352" s="7" t="n">
        <f aca="false">U1352-V1352</f>
        <v>522.049609623784</v>
      </c>
      <c r="X1352" s="7" t="n">
        <f aca="false">W1352*2/10+X1351*8/10</f>
        <v>302.07140947465</v>
      </c>
      <c r="Y1352" s="7" t="n">
        <f aca="false">W1352-X1352</f>
        <v>219.978200149134</v>
      </c>
      <c r="Z1352" s="8" t="s">
        <v>42</v>
      </c>
      <c r="AA1352" s="7" t="str">
        <f aca="false">IFERROR(INDEX(02_轉折點45!B:B,MATCH(A1352,02_轉折點45!A:A,0)),"")</f>
        <v/>
      </c>
      <c r="AB1352" s="7" t="n">
        <f aca="false">COUNTIFS(05_訊號明細!A:A,A1352,05_訊號明細!C:C,"TOP")</f>
        <v>0</v>
      </c>
      <c r="AC1352" s="7" t="n">
        <f aca="false">COUNTIFS(05_訊號明細!A:A,A1352,05_訊號明細!C:C,"BOTTOM")</f>
        <v>0</v>
      </c>
    </row>
    <row r="1353" customFormat="false" ht="15" hidden="false" customHeight="false" outlineLevel="0" collapsed="false">
      <c r="A1353" s="7" t="s">
        <v>1394</v>
      </c>
      <c r="B1353" s="7" t="n">
        <v>21375.63</v>
      </c>
      <c r="C1353" s="7" t="n">
        <v>21428.79</v>
      </c>
      <c r="D1353" s="7" t="n">
        <v>21246.42</v>
      </c>
      <c r="E1353" s="7" t="n">
        <v>21427.94</v>
      </c>
      <c r="F1353" s="7" t="n">
        <v>10510</v>
      </c>
      <c r="G1353" s="7" t="n">
        <f aca="false">AVERAGE(E1349:E1353)</f>
        <v>21229.764</v>
      </c>
      <c r="H1353" s="7" t="n">
        <f aca="false">AVERAGE(E1344:E1353)</f>
        <v>20590.109</v>
      </c>
      <c r="I1353" s="7" t="n">
        <f aca="false">AVERAGE(E1334:E1353)</f>
        <v>19887.93</v>
      </c>
      <c r="J1353" s="7" t="n">
        <f aca="false">AVERAGE(E1304:E1353)</f>
        <v>19445.6142</v>
      </c>
      <c r="K1353" s="7" t="n">
        <f aca="false">AVERAGE(E1254:E1353)</f>
        <v>20403.7104</v>
      </c>
      <c r="L1353" s="7" t="n">
        <f aca="false">AVERAGE(E1154:E1353)</f>
        <v>20238.9118</v>
      </c>
      <c r="M1353" s="7" t="n">
        <f aca="false">I1353</f>
        <v>19887.93</v>
      </c>
      <c r="N1353" s="7" t="n">
        <f aca="false">I1353+2*STDEV(E1334:E1353)</f>
        <v>21875.6119697008</v>
      </c>
      <c r="O1353" s="7" t="n">
        <f aca="false">I1353-2*STDEV(E1334:E1353)</f>
        <v>17900.2480302992</v>
      </c>
      <c r="P1353" s="7" t="n">
        <f aca="false">MAX(E1353-E1352,0)</f>
        <v>92.119999999999</v>
      </c>
      <c r="Q1353" s="7" t="n">
        <f aca="false">MAX(E1352-E1353,0)</f>
        <v>0</v>
      </c>
      <c r="R1353" s="7" t="n">
        <f aca="false">(R1352*13+P1353)/14</f>
        <v>182.123993939948</v>
      </c>
      <c r="S1353" s="7" t="n">
        <f aca="false">(S1352*13+Q1353)/14</f>
        <v>71.9730304430902</v>
      </c>
      <c r="T1353" s="7" t="n">
        <f aca="false">IF(S1353=0,100,100-100/(1+R1353/S1353))</f>
        <v>71.6749809967887</v>
      </c>
      <c r="U1353" s="7" t="n">
        <f aca="false">E1353*2/13+U1352*11/13</f>
        <v>20578.3735498736</v>
      </c>
      <c r="V1353" s="7" t="n">
        <f aca="false">E1353*2/27+V1352*25/27</f>
        <v>20014.9004749575</v>
      </c>
      <c r="W1353" s="7" t="n">
        <f aca="false">U1353-V1353</f>
        <v>563.473074916095</v>
      </c>
      <c r="X1353" s="7" t="n">
        <f aca="false">W1353*2/10+X1352*8/10</f>
        <v>354.351742562939</v>
      </c>
      <c r="Y1353" s="7" t="n">
        <f aca="false">W1353-X1353</f>
        <v>209.121332353156</v>
      </c>
      <c r="Z1353" s="8" t="s">
        <v>42</v>
      </c>
      <c r="AA1353" s="7" t="str">
        <f aca="false">IFERROR(INDEX(02_轉折點45!B:B,MATCH(A1353,02_轉折點45!A:A,0)),"")</f>
        <v/>
      </c>
      <c r="AB1353" s="7" t="n">
        <f aca="false">COUNTIFS(05_訊號明細!A:A,A1353,05_訊號明細!C:C,"TOP")</f>
        <v>0</v>
      </c>
      <c r="AC1353" s="7" t="n">
        <f aca="false">COUNTIFS(05_訊號明細!A:A,A1353,05_訊號明細!C:C,"BOTTOM")</f>
        <v>0</v>
      </c>
    </row>
    <row r="1354" customFormat="false" ht="15" hidden="false" customHeight="false" outlineLevel="0" collapsed="false">
      <c r="A1354" s="7" t="s">
        <v>1395</v>
      </c>
      <c r="B1354" s="7" t="n">
        <v>21138.13</v>
      </c>
      <c r="C1354" s="7" t="n">
        <v>21464.56</v>
      </c>
      <c r="D1354" s="7" t="n">
        <v>21138.13</v>
      </c>
      <c r="E1354" s="7" t="n">
        <v>21447.05</v>
      </c>
      <c r="F1354" s="7" t="n">
        <v>13080</v>
      </c>
      <c r="G1354" s="7" t="n">
        <f aca="false">AVERAGE(E1350:E1354)</f>
        <v>21345.544</v>
      </c>
      <c r="H1354" s="7" t="n">
        <f aca="false">AVERAGE(E1345:E1354)</f>
        <v>20738.02</v>
      </c>
      <c r="I1354" s="7" t="n">
        <f aca="false">AVERAGE(E1335:E1354)</f>
        <v>20069.8675</v>
      </c>
      <c r="J1354" s="7" t="n">
        <f aca="false">AVERAGE(E1305:E1354)</f>
        <v>19470.5278</v>
      </c>
      <c r="K1354" s="7" t="n">
        <f aca="false">AVERAGE(E1255:E1354)</f>
        <v>20405.2894</v>
      </c>
      <c r="L1354" s="7" t="n">
        <f aca="false">AVERAGE(E1155:E1354)</f>
        <v>20249.3349</v>
      </c>
      <c r="M1354" s="7" t="n">
        <f aca="false">I1354</f>
        <v>20069.8675</v>
      </c>
      <c r="N1354" s="7" t="n">
        <f aca="false">I1354+2*STDEV(E1335:E1354)</f>
        <v>21917.2353184792</v>
      </c>
      <c r="O1354" s="7" t="n">
        <f aca="false">I1354-2*STDEV(E1335:E1354)</f>
        <v>18222.4996815208</v>
      </c>
      <c r="P1354" s="7" t="n">
        <f aca="false">MAX(E1354-E1353,0)</f>
        <v>19.1100000000006</v>
      </c>
      <c r="Q1354" s="7" t="n">
        <f aca="false">MAX(E1353-E1354,0)</f>
        <v>0</v>
      </c>
      <c r="R1354" s="7" t="n">
        <f aca="false">(R1353*13+P1354)/14</f>
        <v>170.480137229952</v>
      </c>
      <c r="S1354" s="7" t="n">
        <f aca="false">(S1353*13+Q1354)/14</f>
        <v>66.8320996971552</v>
      </c>
      <c r="T1354" s="7" t="n">
        <f aca="false">IF(S1354=0,100,100-100/(1+R1354/S1354))</f>
        <v>71.8379041205181</v>
      </c>
      <c r="U1354" s="7" t="n">
        <f aca="false">E1354*2/13+U1353*11/13</f>
        <v>20712.0160806623</v>
      </c>
      <c r="V1354" s="7" t="n">
        <f aca="false">E1354*2/27+V1353*25/27</f>
        <v>20120.9856249606</v>
      </c>
      <c r="W1354" s="7" t="n">
        <f aca="false">U1354-V1354</f>
        <v>591.030455701624</v>
      </c>
      <c r="X1354" s="7" t="n">
        <f aca="false">W1354*2/10+X1353*8/10</f>
        <v>401.687485190676</v>
      </c>
      <c r="Y1354" s="7" t="n">
        <f aca="false">W1354-X1354</f>
        <v>189.342970510948</v>
      </c>
      <c r="Z1354" s="8" t="s">
        <v>42</v>
      </c>
      <c r="AA1354" s="7" t="str">
        <f aca="false">IFERROR(INDEX(02_轉折點45!B:B,MATCH(A1354,02_轉折點45!A:A,0)),"")</f>
        <v/>
      </c>
      <c r="AB1354" s="7" t="n">
        <f aca="false">COUNTIFS(05_訊號明細!A:A,A1354,05_訊號明細!C:C,"TOP")</f>
        <v>0</v>
      </c>
      <c r="AC1354" s="7" t="n">
        <f aca="false">COUNTIFS(05_訊號明細!A:A,A1354,05_訊號明細!C:C,"BOTTOM")</f>
        <v>0</v>
      </c>
    </row>
    <row r="1355" customFormat="false" ht="15" hidden="false" customHeight="false" outlineLevel="0" collapsed="false">
      <c r="A1355" s="7" t="s">
        <v>1396</v>
      </c>
      <c r="B1355" s="7" t="n">
        <v>21347.63</v>
      </c>
      <c r="C1355" s="7" t="n">
        <v>21399.99</v>
      </c>
      <c r="D1355" s="7" t="n">
        <v>21226.66</v>
      </c>
      <c r="E1355" s="7" t="n">
        <v>21367.37</v>
      </c>
      <c r="F1355" s="7" t="n">
        <v>9047</v>
      </c>
      <c r="G1355" s="7" t="n">
        <f aca="false">AVERAGE(E1351:E1355)</f>
        <v>21379.478</v>
      </c>
      <c r="H1355" s="7" t="n">
        <f aca="false">AVERAGE(E1346:E1355)</f>
        <v>20895.622</v>
      </c>
      <c r="I1355" s="7" t="n">
        <f aca="false">AVERAGE(E1336:E1355)</f>
        <v>20224.4155</v>
      </c>
      <c r="J1355" s="7" t="n">
        <f aca="false">AVERAGE(E1306:E1355)</f>
        <v>19509.2562</v>
      </c>
      <c r="K1355" s="7" t="n">
        <f aca="false">AVERAGE(E1256:E1355)</f>
        <v>20403.9314</v>
      </c>
      <c r="L1355" s="7" t="n">
        <f aca="false">AVERAGE(E1156:E1355)</f>
        <v>20261.7198</v>
      </c>
      <c r="M1355" s="7" t="n">
        <f aca="false">I1355</f>
        <v>20224.4155</v>
      </c>
      <c r="N1355" s="7" t="n">
        <f aca="false">I1355+2*STDEV(E1336:E1355)</f>
        <v>21953.4230380613</v>
      </c>
      <c r="O1355" s="7" t="n">
        <f aca="false">I1355-2*STDEV(E1336:E1355)</f>
        <v>18495.4079619388</v>
      </c>
      <c r="P1355" s="7" t="n">
        <f aca="false">MAX(E1355-E1354,0)</f>
        <v>0</v>
      </c>
      <c r="Q1355" s="7" t="n">
        <f aca="false">MAX(E1354-E1355,0)</f>
        <v>79.6800000000003</v>
      </c>
      <c r="R1355" s="7" t="n">
        <f aca="false">(R1354*13+P1355)/14</f>
        <v>158.30298457067</v>
      </c>
      <c r="S1355" s="7" t="n">
        <f aca="false">(S1354*13+Q1355)/14</f>
        <v>67.7498068616441</v>
      </c>
      <c r="T1355" s="7" t="n">
        <f aca="false">IF(S1355=0,100,100-100/(1+R1355/S1355))</f>
        <v>70.0292102422764</v>
      </c>
      <c r="U1355" s="7" t="n">
        <f aca="false">E1355*2/13+U1354*11/13</f>
        <v>20812.8397605604</v>
      </c>
      <c r="V1355" s="7" t="n">
        <f aca="false">E1355*2/27+V1354*25/27</f>
        <v>20213.3103934821</v>
      </c>
      <c r="W1355" s="7" t="n">
        <f aca="false">U1355-V1355</f>
        <v>599.529367078303</v>
      </c>
      <c r="X1355" s="7" t="n">
        <f aca="false">W1355*2/10+X1354*8/10</f>
        <v>441.255861568202</v>
      </c>
      <c r="Y1355" s="7" t="n">
        <f aca="false">W1355-X1355</f>
        <v>158.273505510101</v>
      </c>
      <c r="Z1355" s="8" t="s">
        <v>42</v>
      </c>
      <c r="AA1355" s="7" t="str">
        <f aca="false">IFERROR(INDEX(02_轉折點45!B:B,MATCH(A1355,02_轉折點45!A:A,0)),"")</f>
        <v/>
      </c>
      <c r="AB1355" s="7" t="n">
        <f aca="false">COUNTIFS(05_訊號明細!A:A,A1355,05_訊號明細!C:C,"TOP")</f>
        <v>0</v>
      </c>
      <c r="AC1355" s="7" t="n">
        <f aca="false">COUNTIFS(05_訊號明細!A:A,A1355,05_訊號明細!C:C,"BOTTOM")</f>
        <v>0</v>
      </c>
    </row>
    <row r="1356" customFormat="false" ht="15" hidden="false" customHeight="false" outlineLevel="0" collapsed="false">
      <c r="A1356" s="7" t="s">
        <v>1397</v>
      </c>
      <c r="B1356" s="7" t="n">
        <v>21217.31</v>
      </c>
      <c r="C1356" s="7" t="n">
        <v>21482.98</v>
      </c>
      <c r="D1356" s="7" t="n">
        <v>21002.1</v>
      </c>
      <c r="E1356" s="7" t="n">
        <v>21080.36</v>
      </c>
      <c r="F1356" s="7" t="n">
        <v>11112</v>
      </c>
      <c r="G1356" s="7" t="n">
        <f aca="false">AVERAGE(E1352:E1356)</f>
        <v>21331.708</v>
      </c>
      <c r="H1356" s="7" t="n">
        <f aca="false">AVERAGE(E1347:E1356)</f>
        <v>21016.861</v>
      </c>
      <c r="I1356" s="7" t="n">
        <f aca="false">AVERAGE(E1337:E1356)</f>
        <v>20343.7705</v>
      </c>
      <c r="J1356" s="7" t="n">
        <f aca="false">AVERAGE(E1307:E1356)</f>
        <v>19543.3242</v>
      </c>
      <c r="K1356" s="7" t="n">
        <f aca="false">AVERAGE(E1257:E1356)</f>
        <v>20396.7585</v>
      </c>
      <c r="L1356" s="7" t="n">
        <f aca="false">AVERAGE(E1157:E1356)</f>
        <v>20274.91735</v>
      </c>
      <c r="M1356" s="7" t="n">
        <f aca="false">I1356</f>
        <v>20343.7705</v>
      </c>
      <c r="N1356" s="7" t="n">
        <f aca="false">I1356+2*STDEV(E1337:E1356)</f>
        <v>21953.1679072105</v>
      </c>
      <c r="O1356" s="7" t="n">
        <f aca="false">I1356-2*STDEV(E1337:E1356)</f>
        <v>18734.3730927895</v>
      </c>
      <c r="P1356" s="7" t="n">
        <f aca="false">MAX(E1356-E1355,0)</f>
        <v>0</v>
      </c>
      <c r="Q1356" s="7" t="n">
        <f aca="false">MAX(E1355-E1356,0)</f>
        <v>287.009999999998</v>
      </c>
      <c r="R1356" s="7" t="n">
        <f aca="false">(R1355*13+P1356)/14</f>
        <v>146.995628529908</v>
      </c>
      <c r="S1356" s="7" t="n">
        <f aca="false">(S1355*13+Q1356)/14</f>
        <v>83.4112492286695</v>
      </c>
      <c r="T1356" s="7" t="n">
        <f aca="false">IF(S1356=0,100,100-100/(1+R1356/S1356))</f>
        <v>63.7982815269652</v>
      </c>
      <c r="U1356" s="7" t="n">
        <f aca="false">E1356*2/13+U1355*11/13</f>
        <v>20853.9967204742</v>
      </c>
      <c r="V1356" s="7" t="n">
        <f aca="false">E1356*2/27+V1355*25/27</f>
        <v>20277.5362902612</v>
      </c>
      <c r="W1356" s="7" t="n">
        <f aca="false">U1356-V1356</f>
        <v>576.460430212988</v>
      </c>
      <c r="X1356" s="7" t="n">
        <f aca="false">W1356*2/10+X1355*8/10</f>
        <v>468.296775297159</v>
      </c>
      <c r="Y1356" s="7" t="n">
        <f aca="false">W1356-X1356</f>
        <v>108.163654915829</v>
      </c>
      <c r="Z1356" s="8" t="s">
        <v>42</v>
      </c>
      <c r="AA1356" s="7" t="str">
        <f aca="false">IFERROR(INDEX(02_轉折點45!B:B,MATCH(A1356,02_轉折點45!A:A,0)),"")</f>
        <v/>
      </c>
      <c r="AB1356" s="7" t="n">
        <f aca="false">COUNTIFS(05_訊號明細!A:A,A1356,05_訊號明細!C:C,"TOP")</f>
        <v>0</v>
      </c>
      <c r="AC1356" s="7" t="n">
        <f aca="false">COUNTIFS(05_訊號明細!A:A,A1356,05_訊號明細!C:C,"BOTTOM")</f>
        <v>0</v>
      </c>
    </row>
    <row r="1357" customFormat="false" ht="15" hidden="false" customHeight="false" outlineLevel="0" collapsed="false">
      <c r="A1357" s="7" t="s">
        <v>1398</v>
      </c>
      <c r="B1357" s="7" t="n">
        <v>21097.46</v>
      </c>
      <c r="C1357" s="7" t="n">
        <v>21263.18</v>
      </c>
      <c r="D1357" s="7" t="n">
        <v>21046.22</v>
      </c>
      <c r="E1357" s="7" t="n">
        <v>21112.47</v>
      </c>
      <c r="F1357" s="7" t="n">
        <v>8290</v>
      </c>
      <c r="G1357" s="7" t="n">
        <f aca="false">AVERAGE(E1353:E1357)</f>
        <v>21287.038</v>
      </c>
      <c r="H1357" s="7" t="n">
        <f aca="false">AVERAGE(E1348:E1357)</f>
        <v>21121.752</v>
      </c>
      <c r="I1357" s="7" t="n">
        <f aca="false">AVERAGE(E1338:E1357)</f>
        <v>20438.674</v>
      </c>
      <c r="J1357" s="7" t="n">
        <f aca="false">AVERAGE(E1308:E1357)</f>
        <v>19573.6532</v>
      </c>
      <c r="K1357" s="7" t="n">
        <f aca="false">AVERAGE(E1258:E1357)</f>
        <v>20390.2001</v>
      </c>
      <c r="L1357" s="7" t="n">
        <f aca="false">AVERAGE(E1158:E1357)</f>
        <v>20291.0039</v>
      </c>
      <c r="M1357" s="7" t="n">
        <f aca="false">I1357</f>
        <v>20438.674</v>
      </c>
      <c r="N1357" s="7" t="n">
        <f aca="false">I1357+2*STDEV(E1338:E1357)</f>
        <v>21990.4843368158</v>
      </c>
      <c r="O1357" s="7" t="n">
        <f aca="false">I1357-2*STDEV(E1338:E1357)</f>
        <v>18886.8636631842</v>
      </c>
      <c r="P1357" s="7" t="n">
        <f aca="false">MAX(E1357-E1356,0)</f>
        <v>32.1100000000006</v>
      </c>
      <c r="Q1357" s="7" t="n">
        <f aca="false">MAX(E1356-E1357,0)</f>
        <v>0</v>
      </c>
      <c r="R1357" s="7" t="n">
        <f aca="false">(R1356*13+P1357)/14</f>
        <v>138.789512206343</v>
      </c>
      <c r="S1357" s="7" t="n">
        <f aca="false">(S1356*13+Q1357)/14</f>
        <v>77.4533028551931</v>
      </c>
      <c r="T1357" s="7" t="n">
        <f aca="false">IF(S1357=0,100,100-100/(1+R1357/S1357))</f>
        <v>64.1822537164288</v>
      </c>
      <c r="U1357" s="7" t="n">
        <f aca="false">E1357*2/13+U1356*11/13</f>
        <v>20893.7618404012</v>
      </c>
      <c r="V1357" s="7" t="n">
        <f aca="false">E1357*2/27+V1356*25/27</f>
        <v>20339.3832317233</v>
      </c>
      <c r="W1357" s="7" t="n">
        <f aca="false">U1357-V1357</f>
        <v>554.378608677911</v>
      </c>
      <c r="X1357" s="7" t="n">
        <f aca="false">W1357*2/10+X1356*8/10</f>
        <v>485.51314197331</v>
      </c>
      <c r="Y1357" s="7" t="n">
        <f aca="false">W1357-X1357</f>
        <v>68.8654667046015</v>
      </c>
      <c r="Z1357" s="8" t="s">
        <v>42</v>
      </c>
      <c r="AA1357" s="7" t="str">
        <f aca="false">IFERROR(INDEX(02_轉折點45!B:B,MATCH(A1357,02_轉折點45!A:A,0)),"")</f>
        <v/>
      </c>
      <c r="AB1357" s="7" t="n">
        <f aca="false">COUNTIFS(05_訊號明細!A:A,A1357,05_訊號明細!C:C,"TOP")</f>
        <v>0</v>
      </c>
      <c r="AC1357" s="7" t="n">
        <f aca="false">COUNTIFS(05_訊號明細!A:A,A1357,05_訊號明細!C:C,"BOTTOM")</f>
        <v>0</v>
      </c>
    </row>
    <row r="1358" customFormat="false" ht="15" hidden="false" customHeight="false" outlineLevel="0" collapsed="false">
      <c r="A1358" s="7" t="s">
        <v>1399</v>
      </c>
      <c r="B1358" s="7" t="n">
        <v>20806.37</v>
      </c>
      <c r="C1358" s="7" t="n">
        <v>21025.58</v>
      </c>
      <c r="D1358" s="7" t="n">
        <v>20777.97</v>
      </c>
      <c r="E1358" s="7" t="n">
        <v>20915.66</v>
      </c>
      <c r="F1358" s="7" t="n">
        <v>8730</v>
      </c>
      <c r="G1358" s="7" t="n">
        <f aca="false">AVERAGE(E1354:E1358)</f>
        <v>21184.582</v>
      </c>
      <c r="H1358" s="7" t="n">
        <f aca="false">AVERAGE(E1349:E1358)</f>
        <v>21207.173</v>
      </c>
      <c r="I1358" s="7" t="n">
        <f aca="false">AVERAGE(E1339:E1358)</f>
        <v>20512.829</v>
      </c>
      <c r="J1358" s="7" t="n">
        <f aca="false">AVERAGE(E1309:E1358)</f>
        <v>19607.4568</v>
      </c>
      <c r="K1358" s="7" t="n">
        <f aca="false">AVERAGE(E1259:E1358)</f>
        <v>20384.6265</v>
      </c>
      <c r="L1358" s="7" t="n">
        <f aca="false">AVERAGE(E1159:E1358)</f>
        <v>20305.1926</v>
      </c>
      <c r="M1358" s="7" t="n">
        <f aca="false">I1358</f>
        <v>20512.829</v>
      </c>
      <c r="N1358" s="7" t="n">
        <f aca="false">I1358+2*STDEV(E1339:E1358)</f>
        <v>22002.7119879579</v>
      </c>
      <c r="O1358" s="7" t="n">
        <f aca="false">I1358-2*STDEV(E1339:E1358)</f>
        <v>19022.9460120421</v>
      </c>
      <c r="P1358" s="7" t="n">
        <f aca="false">MAX(E1358-E1357,0)</f>
        <v>0</v>
      </c>
      <c r="Q1358" s="7" t="n">
        <f aca="false">MAX(E1357-E1358,0)</f>
        <v>196.810000000001</v>
      </c>
      <c r="R1358" s="7" t="n">
        <f aca="false">(R1357*13+P1358)/14</f>
        <v>128.875975620175</v>
      </c>
      <c r="S1358" s="7" t="n">
        <f aca="false">(S1357*13+Q1358)/14</f>
        <v>85.9787812226794</v>
      </c>
      <c r="T1358" s="7" t="n">
        <f aca="false">IF(S1358=0,100,100-100/(1+R1358/S1358))</f>
        <v>59.98283562064</v>
      </c>
      <c r="U1358" s="7" t="n">
        <f aca="false">E1358*2/13+U1357*11/13</f>
        <v>20897.1307880318</v>
      </c>
      <c r="V1358" s="7" t="n">
        <f aca="false">E1358*2/27+V1357*25/27</f>
        <v>20382.0703997438</v>
      </c>
      <c r="W1358" s="7" t="n">
        <f aca="false">U1358-V1358</f>
        <v>515.060388287995</v>
      </c>
      <c r="X1358" s="7" t="n">
        <f aca="false">W1358*2/10+X1357*8/10</f>
        <v>491.422591236247</v>
      </c>
      <c r="Y1358" s="7" t="n">
        <f aca="false">W1358-X1358</f>
        <v>23.6377970517484</v>
      </c>
      <c r="Z1358" s="8" t="s">
        <v>42</v>
      </c>
      <c r="AA1358" s="7" t="str">
        <f aca="false">IFERROR(INDEX(02_轉折點45!B:B,MATCH(A1358,02_轉折點45!A:A,0)),"")</f>
        <v/>
      </c>
      <c r="AB1358" s="7" t="n">
        <f aca="false">COUNTIFS(05_訊號明細!A:A,A1358,05_訊號明細!C:C,"TOP")</f>
        <v>0</v>
      </c>
      <c r="AC1358" s="7" t="n">
        <f aca="false">COUNTIFS(05_訊號明細!A:A,A1358,05_訊號明細!C:C,"BOTTOM")</f>
        <v>0</v>
      </c>
    </row>
    <row r="1359" customFormat="false" ht="15" hidden="false" customHeight="false" outlineLevel="0" collapsed="false">
      <c r="A1359" s="7" t="s">
        <v>1400</v>
      </c>
      <c r="B1359" s="7" t="n">
        <v>21201.45</v>
      </c>
      <c r="C1359" s="7" t="n">
        <v>21429.32</v>
      </c>
      <c r="D1359" s="7" t="n">
        <v>21145.13</v>
      </c>
      <c r="E1359" s="7" t="n">
        <v>21414.99</v>
      </c>
      <c r="F1359" s="7" t="n">
        <v>8928</v>
      </c>
      <c r="G1359" s="7" t="n">
        <f aca="false">AVERAGE(E1355:E1359)</f>
        <v>21178.17</v>
      </c>
      <c r="H1359" s="7" t="n">
        <f aca="false">AVERAGE(E1350:E1359)</f>
        <v>21261.857</v>
      </c>
      <c r="I1359" s="7" t="n">
        <f aca="false">AVERAGE(E1340:E1359)</f>
        <v>20612.214</v>
      </c>
      <c r="J1359" s="7" t="n">
        <f aca="false">AVERAGE(E1310:E1359)</f>
        <v>19641.6638</v>
      </c>
      <c r="K1359" s="7" t="n">
        <f aca="false">AVERAGE(E1260:E1359)</f>
        <v>20386.8055</v>
      </c>
      <c r="L1359" s="7" t="n">
        <f aca="false">AVERAGE(E1160:E1359)</f>
        <v>20322.9307</v>
      </c>
      <c r="M1359" s="7" t="n">
        <f aca="false">I1359</f>
        <v>20612.214</v>
      </c>
      <c r="N1359" s="7" t="n">
        <f aca="false">I1359+2*STDEV(E1340:E1359)</f>
        <v>22061.8434077765</v>
      </c>
      <c r="O1359" s="7" t="n">
        <f aca="false">I1359-2*STDEV(E1340:E1359)</f>
        <v>19162.5845922235</v>
      </c>
      <c r="P1359" s="7" t="n">
        <f aca="false">MAX(E1359-E1358,0)</f>
        <v>499.330000000002</v>
      </c>
      <c r="Q1359" s="7" t="n">
        <f aca="false">MAX(E1358-E1359,0)</f>
        <v>0</v>
      </c>
      <c r="R1359" s="7" t="n">
        <f aca="false">(R1358*13+P1359)/14</f>
        <v>155.336977361592</v>
      </c>
      <c r="S1359" s="7" t="n">
        <f aca="false">(S1358*13+Q1359)/14</f>
        <v>79.8374397067737</v>
      </c>
      <c r="T1359" s="7" t="n">
        <f aca="false">IF(S1359=0,100,100-100/(1+R1359/S1359))</f>
        <v>66.0518177521134</v>
      </c>
      <c r="U1359" s="7" t="n">
        <f aca="false">E1359*2/13+U1358*11/13</f>
        <v>20976.8014360269</v>
      </c>
      <c r="V1359" s="7" t="n">
        <f aca="false">E1359*2/27+V1358*25/27</f>
        <v>20458.5829627258</v>
      </c>
      <c r="W1359" s="7" t="n">
        <f aca="false">U1359-V1359</f>
        <v>518.218473301164</v>
      </c>
      <c r="X1359" s="7" t="n">
        <f aca="false">W1359*2/10+X1358*8/10</f>
        <v>496.78176764923</v>
      </c>
      <c r="Y1359" s="7" t="n">
        <f aca="false">W1359-X1359</f>
        <v>21.4367056519336</v>
      </c>
      <c r="Z1359" s="8" t="s">
        <v>42</v>
      </c>
      <c r="AA1359" s="7" t="str">
        <f aca="false">IFERROR(INDEX(02_轉折點45!B:B,MATCH(A1359,02_轉折點45!A:A,0)),"")</f>
        <v/>
      </c>
      <c r="AB1359" s="7" t="n">
        <f aca="false">COUNTIFS(05_訊號明細!A:A,A1359,05_訊號明細!C:C,"TOP")</f>
        <v>0</v>
      </c>
      <c r="AC1359" s="7" t="n">
        <f aca="false">COUNTIFS(05_訊號明細!A:A,A1359,05_訊號明細!C:C,"BOTTOM")</f>
        <v>0</v>
      </c>
    </row>
    <row r="1360" customFormat="false" ht="15" hidden="false" customHeight="false" outlineLevel="0" collapsed="false">
      <c r="A1360" s="7" t="s">
        <v>1401</v>
      </c>
      <c r="B1360" s="7" t="n">
        <v>21451.69</v>
      </c>
      <c r="C1360" s="7" t="n">
        <v>21508.08</v>
      </c>
      <c r="D1360" s="7" t="n">
        <v>21296.51</v>
      </c>
      <c r="E1360" s="7" t="n">
        <v>21318.17</v>
      </c>
      <c r="F1360" s="7" t="n">
        <v>8088</v>
      </c>
      <c r="G1360" s="7" t="n">
        <f aca="false">AVERAGE(E1356:E1360)</f>
        <v>21168.33</v>
      </c>
      <c r="H1360" s="7" t="n">
        <f aca="false">AVERAGE(E1351:E1360)</f>
        <v>21273.904</v>
      </c>
      <c r="I1360" s="7" t="n">
        <f aca="false">AVERAGE(E1341:E1360)</f>
        <v>20700.875</v>
      </c>
      <c r="J1360" s="7" t="n">
        <f aca="false">AVERAGE(E1311:E1360)</f>
        <v>19671.7824</v>
      </c>
      <c r="K1360" s="7" t="n">
        <f aca="false">AVERAGE(E1261:E1360)</f>
        <v>20389.8655</v>
      </c>
      <c r="L1360" s="7" t="n">
        <f aca="false">AVERAGE(E1161:E1360)</f>
        <v>20337.45245</v>
      </c>
      <c r="M1360" s="7" t="n">
        <f aca="false">I1360</f>
        <v>20700.875</v>
      </c>
      <c r="N1360" s="7" t="n">
        <f aca="false">I1360+2*STDEV(E1341:E1360)</f>
        <v>22091.3597102095</v>
      </c>
      <c r="O1360" s="7" t="n">
        <f aca="false">I1360-2*STDEV(E1341:E1360)</f>
        <v>19310.3902897905</v>
      </c>
      <c r="P1360" s="7" t="n">
        <f aca="false">MAX(E1360-E1359,0)</f>
        <v>0</v>
      </c>
      <c r="Q1360" s="7" t="n">
        <f aca="false">MAX(E1359-E1360,0)</f>
        <v>96.8200000000034</v>
      </c>
      <c r="R1360" s="7" t="n">
        <f aca="false">(R1359*13+P1360)/14</f>
        <v>144.241478978621</v>
      </c>
      <c r="S1360" s="7" t="n">
        <f aca="false">(S1359*13+Q1360)/14</f>
        <v>81.0504797277187</v>
      </c>
      <c r="T1360" s="7" t="n">
        <f aca="false">IF(S1360=0,100,100-100/(1+R1360/S1360))</f>
        <v>64.0242464963584</v>
      </c>
      <c r="U1360" s="7" t="n">
        <f aca="false">E1360*2/13+U1359*11/13</f>
        <v>21029.3196766382</v>
      </c>
      <c r="V1360" s="7" t="n">
        <f aca="false">E1360*2/27+V1359*25/27</f>
        <v>20522.2560765979</v>
      </c>
      <c r="W1360" s="7" t="n">
        <f aca="false">U1360-V1360</f>
        <v>507.063600040241</v>
      </c>
      <c r="X1360" s="7" t="n">
        <f aca="false">W1360*2/10+X1359*8/10</f>
        <v>498.838134127432</v>
      </c>
      <c r="Y1360" s="7" t="n">
        <f aca="false">W1360-X1360</f>
        <v>8.22546591280877</v>
      </c>
      <c r="Z1360" s="8" t="s">
        <v>42</v>
      </c>
      <c r="AA1360" s="7" t="str">
        <f aca="false">IFERROR(INDEX(02_轉折點45!B:B,MATCH(A1360,02_轉折點45!A:A,0)),"")</f>
        <v/>
      </c>
      <c r="AB1360" s="7" t="n">
        <f aca="false">COUNTIFS(05_訊號明細!A:A,A1360,05_訊號明細!C:C,"TOP")</f>
        <v>0</v>
      </c>
      <c r="AC1360" s="7" t="n">
        <f aca="false">COUNTIFS(05_訊號明細!A:A,A1360,05_訊號明細!C:C,"BOTTOM")</f>
        <v>0</v>
      </c>
    </row>
    <row r="1361" customFormat="false" ht="15" hidden="false" customHeight="false" outlineLevel="0" collapsed="false">
      <c r="A1361" s="7" t="s">
        <v>1402</v>
      </c>
      <c r="B1361" s="7" t="n">
        <v>21611.54</v>
      </c>
      <c r="C1361" s="7" t="n">
        <v>21611.54</v>
      </c>
      <c r="D1361" s="7" t="n">
        <v>21260.73</v>
      </c>
      <c r="E1361" s="7" t="n">
        <v>21363.95</v>
      </c>
      <c r="F1361" s="7" t="n">
        <v>11017</v>
      </c>
      <c r="G1361" s="7" t="n">
        <f aca="false">AVERAGE(E1357:E1361)</f>
        <v>21225.048</v>
      </c>
      <c r="H1361" s="7" t="n">
        <f aca="false">AVERAGE(E1352:E1361)</f>
        <v>21278.378</v>
      </c>
      <c r="I1361" s="7" t="n">
        <f aca="false">AVERAGE(E1342:E1361)</f>
        <v>20790.5215</v>
      </c>
      <c r="J1361" s="7" t="n">
        <f aca="false">AVERAGE(E1312:E1361)</f>
        <v>19709.3942</v>
      </c>
      <c r="K1361" s="7" t="n">
        <f aca="false">AVERAGE(E1262:E1361)</f>
        <v>20393.7488</v>
      </c>
      <c r="L1361" s="7" t="n">
        <f aca="false">AVERAGE(E1162:E1361)</f>
        <v>20351.7067</v>
      </c>
      <c r="M1361" s="7" t="n">
        <f aca="false">I1361</f>
        <v>20790.5215</v>
      </c>
      <c r="N1361" s="7" t="n">
        <f aca="false">I1361+2*STDEV(E1342:E1361)</f>
        <v>22103.312255737</v>
      </c>
      <c r="O1361" s="7" t="n">
        <f aca="false">I1361-2*STDEV(E1342:E1361)</f>
        <v>19477.730744263</v>
      </c>
      <c r="P1361" s="7" t="n">
        <f aca="false">MAX(E1361-E1360,0)</f>
        <v>45.7800000000025</v>
      </c>
      <c r="Q1361" s="7" t="n">
        <f aca="false">MAX(E1360-E1361,0)</f>
        <v>0</v>
      </c>
      <c r="R1361" s="7" t="n">
        <f aca="false">(R1360*13+P1361)/14</f>
        <v>137.208516194434</v>
      </c>
      <c r="S1361" s="7" t="n">
        <f aca="false">(S1360*13+Q1361)/14</f>
        <v>75.2611597471673</v>
      </c>
      <c r="T1361" s="7" t="n">
        <f aca="false">IF(S1361=0,100,100-100/(1+R1361/S1361))</f>
        <v>64.5779288674336</v>
      </c>
      <c r="U1361" s="7" t="n">
        <f aca="false">E1361*2/13+U1360*11/13</f>
        <v>21080.8012648477</v>
      </c>
      <c r="V1361" s="7" t="n">
        <f aca="false">E1361*2/27+V1360*25/27</f>
        <v>20584.6037746277</v>
      </c>
      <c r="W1361" s="7" t="n">
        <f aca="false">U1361-V1361</f>
        <v>496.197490219969</v>
      </c>
      <c r="X1361" s="7" t="n">
        <f aca="false">W1361*2/10+X1360*8/10</f>
        <v>498.31000534594</v>
      </c>
      <c r="Y1361" s="7" t="n">
        <f aca="false">W1361-X1361</f>
        <v>-2.11251512597056</v>
      </c>
      <c r="Z1361" s="8" t="s">
        <v>42</v>
      </c>
      <c r="AA1361" s="7" t="str">
        <f aca="false">IFERROR(INDEX(02_轉折點45!B:B,MATCH(A1361,02_轉折點45!A:A,0)),"")</f>
        <v/>
      </c>
      <c r="AB1361" s="7" t="n">
        <f aca="false">COUNTIFS(05_訊號明細!A:A,A1361,05_訊號明細!C:C,"TOP")</f>
        <v>0</v>
      </c>
      <c r="AC1361" s="7" t="n">
        <f aca="false">COUNTIFS(05_訊號明細!A:A,A1361,05_訊號明細!C:C,"BOTTOM")</f>
        <v>0</v>
      </c>
    </row>
    <row r="1362" customFormat="false" ht="15" hidden="false" customHeight="false" outlineLevel="0" collapsed="false">
      <c r="A1362" s="7" t="s">
        <v>1403</v>
      </c>
      <c r="B1362" s="7" t="n">
        <v>21330.85</v>
      </c>
      <c r="C1362" s="7" t="n">
        <v>21386.29</v>
      </c>
      <c r="D1362" s="7" t="n">
        <v>21032.56</v>
      </c>
      <c r="E1362" s="7" t="n">
        <v>21340.99</v>
      </c>
      <c r="F1362" s="7" t="n">
        <v>9042</v>
      </c>
      <c r="G1362" s="7" t="n">
        <f aca="false">AVERAGE(E1358:E1362)</f>
        <v>21270.752</v>
      </c>
      <c r="H1362" s="7" t="n">
        <f aca="false">AVERAGE(E1353:E1362)</f>
        <v>21278.895</v>
      </c>
      <c r="I1362" s="7" t="n">
        <f aca="false">AVERAGE(E1343:E1362)</f>
        <v>20868.2355</v>
      </c>
      <c r="J1362" s="7" t="n">
        <f aca="false">AVERAGE(E1313:E1362)</f>
        <v>19741.4808</v>
      </c>
      <c r="K1362" s="7" t="n">
        <f aca="false">AVERAGE(E1263:E1362)</f>
        <v>20393.8971</v>
      </c>
      <c r="L1362" s="7" t="n">
        <f aca="false">AVERAGE(E1163:E1362)</f>
        <v>20365.7015</v>
      </c>
      <c r="M1362" s="7" t="n">
        <f aca="false">I1362</f>
        <v>20868.2355</v>
      </c>
      <c r="N1362" s="7" t="n">
        <f aca="false">I1362+2*STDEV(E1343:E1362)</f>
        <v>22113.0843959832</v>
      </c>
      <c r="O1362" s="7" t="n">
        <f aca="false">I1362-2*STDEV(E1343:E1362)</f>
        <v>19623.3866040168</v>
      </c>
      <c r="P1362" s="7" t="n">
        <f aca="false">MAX(E1362-E1361,0)</f>
        <v>0</v>
      </c>
      <c r="Q1362" s="7" t="n">
        <f aca="false">MAX(E1361-E1362,0)</f>
        <v>22.9599999999991</v>
      </c>
      <c r="R1362" s="7" t="n">
        <f aca="false">(R1361*13+P1362)/14</f>
        <v>127.407907894831</v>
      </c>
      <c r="S1362" s="7" t="n">
        <f aca="false">(S1361*13+Q1362)/14</f>
        <v>71.5253626223696</v>
      </c>
      <c r="T1362" s="7" t="n">
        <f aca="false">IF(S1362=0,100,100-100/(1+R1362/S1362))</f>
        <v>64.0455503313182</v>
      </c>
      <c r="U1362" s="7" t="n">
        <f aca="false">E1362*2/13+U1361*11/13</f>
        <v>21120.830301025</v>
      </c>
      <c r="V1362" s="7" t="n">
        <f aca="false">E1362*2/27+V1361*25/27</f>
        <v>20640.6323839145</v>
      </c>
      <c r="W1362" s="7" t="n">
        <f aca="false">U1362-V1362</f>
        <v>480.19791711041</v>
      </c>
      <c r="X1362" s="7" t="n">
        <f aca="false">W1362*2/10+X1361*8/10</f>
        <v>494.687587698834</v>
      </c>
      <c r="Y1362" s="7" t="n">
        <f aca="false">W1362-X1362</f>
        <v>-14.4896705884235</v>
      </c>
      <c r="Z1362" s="8" t="s">
        <v>42</v>
      </c>
      <c r="AA1362" s="7" t="str">
        <f aca="false">IFERROR(INDEX(02_轉折點45!B:B,MATCH(A1362,02_轉折點45!A:A,0)),"")</f>
        <v/>
      </c>
      <c r="AB1362" s="7" t="n">
        <f aca="false">COUNTIFS(05_訊號明細!A:A,A1362,05_訊號明細!C:C,"TOP")</f>
        <v>0</v>
      </c>
      <c r="AC1362" s="7" t="n">
        <f aca="false">COUNTIFS(05_訊號明細!A:A,A1362,05_訊號明細!C:C,"BOTTOM")</f>
        <v>0</v>
      </c>
    </row>
    <row r="1363" customFormat="false" ht="15" hidden="false" customHeight="false" outlineLevel="0" collapsed="false">
      <c r="A1363" s="7" t="s">
        <v>1404</v>
      </c>
      <c r="B1363" s="7" t="n">
        <v>21270.57</v>
      </c>
      <c r="C1363" s="7" t="n">
        <v>21500.36</v>
      </c>
      <c r="D1363" s="7" t="n">
        <v>21199.37</v>
      </c>
      <c r="E1363" s="7" t="n">
        <v>21491.75</v>
      </c>
      <c r="F1363" s="7" t="n">
        <v>7780</v>
      </c>
      <c r="G1363" s="7" t="n">
        <f aca="false">AVERAGE(E1359:E1363)</f>
        <v>21385.97</v>
      </c>
      <c r="H1363" s="7" t="n">
        <f aca="false">AVERAGE(E1354:E1363)</f>
        <v>21285.276</v>
      </c>
      <c r="I1363" s="7" t="n">
        <f aca="false">AVERAGE(E1344:E1363)</f>
        <v>20937.6925</v>
      </c>
      <c r="J1363" s="7" t="n">
        <f aca="false">AVERAGE(E1314:E1363)</f>
        <v>19777.7636</v>
      </c>
      <c r="K1363" s="7" t="n">
        <f aca="false">AVERAGE(E1264:E1363)</f>
        <v>20393.2196</v>
      </c>
      <c r="L1363" s="7" t="n">
        <f aca="false">AVERAGE(E1164:E1363)</f>
        <v>20378.1281</v>
      </c>
      <c r="M1363" s="7" t="n">
        <f aca="false">I1363</f>
        <v>20937.6925</v>
      </c>
      <c r="N1363" s="7" t="n">
        <f aca="false">I1363+2*STDEV(E1344:E1363)</f>
        <v>22157.4365718769</v>
      </c>
      <c r="O1363" s="7" t="n">
        <f aca="false">I1363-2*STDEV(E1344:E1363)</f>
        <v>19717.9484281231</v>
      </c>
      <c r="P1363" s="7" t="n">
        <f aca="false">MAX(E1363-E1362,0)</f>
        <v>150.759999999998</v>
      </c>
      <c r="Q1363" s="7" t="n">
        <f aca="false">MAX(E1362-E1363,0)</f>
        <v>0</v>
      </c>
      <c r="R1363" s="7" t="n">
        <f aca="false">(R1362*13+P1363)/14</f>
        <v>129.075914473772</v>
      </c>
      <c r="S1363" s="7" t="n">
        <f aca="false">(S1362*13+Q1363)/14</f>
        <v>66.4164081493432</v>
      </c>
      <c r="T1363" s="7" t="n">
        <f aca="false">IF(S1363=0,100,100-100/(1+R1363/S1363))</f>
        <v>66.0260785394699</v>
      </c>
      <c r="U1363" s="7" t="n">
        <f aca="false">E1363*2/13+U1362*11/13</f>
        <v>21177.894870098</v>
      </c>
      <c r="V1363" s="7" t="n">
        <f aca="false">E1363*2/27+V1362*25/27</f>
        <v>20703.6781332542</v>
      </c>
      <c r="W1363" s="7" t="n">
        <f aca="false">U1363-V1363</f>
        <v>474.216736843831</v>
      </c>
      <c r="X1363" s="7" t="n">
        <f aca="false">W1363*2/10+X1362*8/10</f>
        <v>490.593417527833</v>
      </c>
      <c r="Y1363" s="7" t="n">
        <f aca="false">W1363-X1363</f>
        <v>-16.376680684002</v>
      </c>
      <c r="Z1363" s="8" t="s">
        <v>42</v>
      </c>
      <c r="AA1363" s="7" t="str">
        <f aca="false">IFERROR(INDEX(02_轉折點45!B:B,MATCH(A1363,02_轉折點45!A:A,0)),"")</f>
        <v/>
      </c>
      <c r="AB1363" s="7" t="n">
        <f aca="false">COUNTIFS(05_訊號明細!A:A,A1363,05_訊號明細!C:C,"TOP")</f>
        <v>1</v>
      </c>
      <c r="AC1363" s="7" t="n">
        <f aca="false">COUNTIFS(05_訊號明細!A:A,A1363,05_訊號明細!C:C,"BOTTOM")</f>
        <v>0</v>
      </c>
    </row>
    <row r="1364" customFormat="false" ht="15" hidden="false" customHeight="false" outlineLevel="0" collapsed="false">
      <c r="A1364" s="7" t="s">
        <v>1405</v>
      </c>
      <c r="B1364" s="7" t="n">
        <v>21529.98</v>
      </c>
      <c r="C1364" s="7" t="n">
        <v>21715.96</v>
      </c>
      <c r="D1364" s="7" t="n">
        <v>21474.51</v>
      </c>
      <c r="E1364" s="7" t="n">
        <v>21662.58</v>
      </c>
      <c r="F1364" s="7" t="n">
        <v>7990</v>
      </c>
      <c r="G1364" s="7" t="n">
        <f aca="false">AVERAGE(E1360:E1364)</f>
        <v>21435.488</v>
      </c>
      <c r="H1364" s="7" t="n">
        <f aca="false">AVERAGE(E1355:E1364)</f>
        <v>21306.829</v>
      </c>
      <c r="I1364" s="7" t="n">
        <f aca="false">AVERAGE(E1345:E1364)</f>
        <v>21022.4245</v>
      </c>
      <c r="J1364" s="7" t="n">
        <f aca="false">AVERAGE(E1315:E1364)</f>
        <v>19815.9358</v>
      </c>
      <c r="K1364" s="7" t="n">
        <f aca="false">AVERAGE(E1265:E1364)</f>
        <v>20398.115</v>
      </c>
      <c r="L1364" s="7" t="n">
        <f aca="false">AVERAGE(E1165:E1364)</f>
        <v>20391.3276</v>
      </c>
      <c r="M1364" s="7" t="n">
        <f aca="false">I1364</f>
        <v>21022.4245</v>
      </c>
      <c r="N1364" s="7" t="n">
        <f aca="false">I1364+2*STDEV(E1345:E1364)</f>
        <v>22192.9741544332</v>
      </c>
      <c r="O1364" s="7" t="n">
        <f aca="false">I1364-2*STDEV(E1345:E1364)</f>
        <v>19851.8748455668</v>
      </c>
      <c r="P1364" s="7" t="n">
        <f aca="false">MAX(E1364-E1363,0)</f>
        <v>170.830000000002</v>
      </c>
      <c r="Q1364" s="7" t="n">
        <f aca="false">MAX(E1363-E1364,0)</f>
        <v>0</v>
      </c>
      <c r="R1364" s="7" t="n">
        <f aca="false">(R1363*13+P1364)/14</f>
        <v>132.058349154217</v>
      </c>
      <c r="S1364" s="7" t="n">
        <f aca="false">(S1363*13+Q1364)/14</f>
        <v>61.6723789958187</v>
      </c>
      <c r="T1364" s="7" t="n">
        <f aca="false">IF(S1364=0,100,100-100/(1+R1364/S1364))</f>
        <v>68.1659282527157</v>
      </c>
      <c r="U1364" s="7" t="n">
        <f aca="false">E1364*2/13+U1363*11/13</f>
        <v>21252.4618131599</v>
      </c>
      <c r="V1364" s="7" t="n">
        <f aca="false">E1364*2/27+V1363*25/27</f>
        <v>20774.7079011613</v>
      </c>
      <c r="W1364" s="7" t="n">
        <f aca="false">U1364-V1364</f>
        <v>477.753911998578</v>
      </c>
      <c r="X1364" s="7" t="n">
        <f aca="false">W1364*2/10+X1363*8/10</f>
        <v>488.025516421982</v>
      </c>
      <c r="Y1364" s="7" t="n">
        <f aca="false">W1364-X1364</f>
        <v>-10.2716044234045</v>
      </c>
      <c r="Z1364" s="8" t="s">
        <v>42</v>
      </c>
      <c r="AA1364" s="7" t="str">
        <f aca="false">IFERROR(INDEX(02_轉折點45!B:B,MATCH(A1364,02_轉折點45!A:A,0)),"")</f>
        <v/>
      </c>
      <c r="AB1364" s="7" t="n">
        <f aca="false">COUNTIFS(05_訊號明細!A:A,A1364,05_訊號明細!C:C,"TOP")</f>
        <v>0</v>
      </c>
      <c r="AC1364" s="7" t="n">
        <f aca="false">COUNTIFS(05_訊號明細!A:A,A1364,05_訊號明細!C:C,"BOTTOM")</f>
        <v>0</v>
      </c>
    </row>
    <row r="1365" customFormat="false" ht="15" hidden="false" customHeight="false" outlineLevel="0" collapsed="false">
      <c r="A1365" s="7" t="s">
        <v>1406</v>
      </c>
      <c r="B1365" s="7" t="n">
        <v>21689.02</v>
      </c>
      <c r="C1365" s="7" t="n">
        <v>21761.37</v>
      </c>
      <c r="D1365" s="7" t="n">
        <v>21607.33</v>
      </c>
      <c r="E1365" s="7" t="n">
        <v>21721.92</v>
      </c>
      <c r="F1365" s="7" t="n">
        <v>7696</v>
      </c>
      <c r="G1365" s="7" t="n">
        <f aca="false">AVERAGE(E1361:E1365)</f>
        <v>21516.238</v>
      </c>
      <c r="H1365" s="7" t="n">
        <f aca="false">AVERAGE(E1356:E1365)</f>
        <v>21342.284</v>
      </c>
      <c r="I1365" s="7" t="n">
        <f aca="false">AVERAGE(E1346:E1365)</f>
        <v>21118.953</v>
      </c>
      <c r="J1365" s="7" t="n">
        <f aca="false">AVERAGE(E1316:E1365)</f>
        <v>19846.7652</v>
      </c>
      <c r="K1365" s="7" t="n">
        <f aca="false">AVERAGE(E1266:E1365)</f>
        <v>20403.5245</v>
      </c>
      <c r="L1365" s="7" t="n">
        <f aca="false">AVERAGE(E1166:E1365)</f>
        <v>20402.48645</v>
      </c>
      <c r="M1365" s="7" t="n">
        <f aca="false">I1365</f>
        <v>21118.953</v>
      </c>
      <c r="N1365" s="7" t="n">
        <f aca="false">I1365+2*STDEV(E1346:E1365)</f>
        <v>22174.8417847955</v>
      </c>
      <c r="O1365" s="7" t="n">
        <f aca="false">I1365-2*STDEV(E1346:E1365)</f>
        <v>20063.0642152045</v>
      </c>
      <c r="P1365" s="7" t="n">
        <f aca="false">MAX(E1365-E1364,0)</f>
        <v>59.3399999999965</v>
      </c>
      <c r="Q1365" s="7" t="n">
        <f aca="false">MAX(E1364-E1365,0)</f>
        <v>0</v>
      </c>
      <c r="R1365" s="7" t="n">
        <f aca="false">(R1364*13+P1365)/14</f>
        <v>126.864181357487</v>
      </c>
      <c r="S1365" s="7" t="n">
        <f aca="false">(S1364*13+Q1365)/14</f>
        <v>57.2672090675459</v>
      </c>
      <c r="T1365" s="7" t="n">
        <f aca="false">IF(S1365=0,100,100-100/(1+R1365/S1365))</f>
        <v>68.898725559311</v>
      </c>
      <c r="U1365" s="7" t="n">
        <f aca="false">E1365*2/13+U1364*11/13</f>
        <v>21324.6861495968</v>
      </c>
      <c r="V1365" s="7" t="n">
        <f aca="false">E1365*2/27+V1364*25/27</f>
        <v>20844.8717603345</v>
      </c>
      <c r="W1365" s="7" t="n">
        <f aca="false">U1365-V1365</f>
        <v>479.814389262279</v>
      </c>
      <c r="X1365" s="7" t="n">
        <f aca="false">W1365*2/10+X1364*8/10</f>
        <v>486.383290990042</v>
      </c>
      <c r="Y1365" s="7" t="n">
        <f aca="false">W1365-X1365</f>
        <v>-6.5689017277623</v>
      </c>
      <c r="Z1365" s="8" t="s">
        <v>42</v>
      </c>
      <c r="AA1365" s="7" t="str">
        <f aca="false">IFERROR(INDEX(02_轉折點45!B:B,MATCH(A1365,02_轉折點45!A:A,0)),"")</f>
        <v/>
      </c>
      <c r="AB1365" s="7" t="n">
        <f aca="false">COUNTIFS(05_訊號明細!A:A,A1365,05_訊號明細!C:C,"TOP")</f>
        <v>0</v>
      </c>
      <c r="AC1365" s="7" t="n">
        <f aca="false">COUNTIFS(05_訊號明細!A:A,A1365,05_訊號明細!C:C,"BOTTOM")</f>
        <v>0</v>
      </c>
    </row>
    <row r="1366" customFormat="false" ht="15" hidden="false" customHeight="false" outlineLevel="0" collapsed="false">
      <c r="A1366" s="7" t="s">
        <v>1407</v>
      </c>
      <c r="B1366" s="7" t="n">
        <v>21782.34</v>
      </c>
      <c r="C1366" s="7" t="n">
        <v>21891.89</v>
      </c>
      <c r="D1366" s="7" t="n">
        <v>21472.77</v>
      </c>
      <c r="E1366" s="7" t="n">
        <v>21547.43</v>
      </c>
      <c r="F1366" s="7" t="n">
        <v>8782</v>
      </c>
      <c r="G1366" s="7" t="n">
        <f aca="false">AVERAGE(E1362:E1366)</f>
        <v>21552.934</v>
      </c>
      <c r="H1366" s="7" t="n">
        <f aca="false">AVERAGE(E1357:E1366)</f>
        <v>21388.991</v>
      </c>
      <c r="I1366" s="7" t="n">
        <f aca="false">AVERAGE(E1347:E1366)</f>
        <v>21202.926</v>
      </c>
      <c r="J1366" s="7" t="n">
        <f aca="false">AVERAGE(E1317:E1366)</f>
        <v>19871.9572</v>
      </c>
      <c r="K1366" s="7" t="n">
        <f aca="false">AVERAGE(E1267:E1366)</f>
        <v>20410.523</v>
      </c>
      <c r="L1366" s="7" t="n">
        <f aca="false">AVERAGE(E1167:E1366)</f>
        <v>20412.681</v>
      </c>
      <c r="M1366" s="7" t="n">
        <f aca="false">I1366</f>
        <v>21202.926</v>
      </c>
      <c r="N1366" s="7" t="n">
        <f aca="false">I1366+2*STDEV(E1347:E1366)</f>
        <v>22094.215441614</v>
      </c>
      <c r="O1366" s="7" t="n">
        <f aca="false">I1366-2*STDEV(E1347:E1366)</f>
        <v>20311.636558386</v>
      </c>
      <c r="P1366" s="7" t="n">
        <f aca="false">MAX(E1366-E1365,0)</f>
        <v>0</v>
      </c>
      <c r="Q1366" s="7" t="n">
        <f aca="false">MAX(E1365-E1366,0)</f>
        <v>174.489999999998</v>
      </c>
      <c r="R1366" s="7" t="n">
        <f aca="false">(R1365*13+P1366)/14</f>
        <v>117.802454117666</v>
      </c>
      <c r="S1366" s="7" t="n">
        <f aca="false">(S1365*13+Q1366)/14</f>
        <v>65.6402655627211</v>
      </c>
      <c r="T1366" s="7" t="n">
        <f aca="false">IF(S1366=0,100,100-100/(1+R1366/S1366))</f>
        <v>64.2175684720079</v>
      </c>
      <c r="U1366" s="7" t="n">
        <f aca="false">E1366*2/13+U1365*11/13</f>
        <v>21358.9544342742</v>
      </c>
      <c r="V1366" s="7" t="n">
        <f aca="false">E1366*2/27+V1365*25/27</f>
        <v>20896.9131114209</v>
      </c>
      <c r="W1366" s="7" t="n">
        <f aca="false">U1366-V1366</f>
        <v>462.041322853362</v>
      </c>
      <c r="X1366" s="7" t="n">
        <f aca="false">W1366*2/10+X1365*8/10</f>
        <v>481.514897362706</v>
      </c>
      <c r="Y1366" s="7" t="n">
        <f aca="false">W1366-X1366</f>
        <v>-19.473574509344</v>
      </c>
      <c r="Z1366" s="8" t="s">
        <v>42</v>
      </c>
      <c r="AA1366" s="7" t="str">
        <f aca="false">IFERROR(INDEX(02_轉折點45!B:B,MATCH(A1366,02_轉折點45!A:A,0)),"")</f>
        <v/>
      </c>
      <c r="AB1366" s="7" t="n">
        <f aca="false">COUNTIFS(05_訊號明細!A:A,A1366,05_訊號明細!C:C,"TOP")</f>
        <v>0</v>
      </c>
      <c r="AC1366" s="7" t="n">
        <f aca="false">COUNTIFS(05_訊號明細!A:A,A1366,05_訊號明細!C:C,"BOTTOM")</f>
        <v>0</v>
      </c>
    </row>
    <row r="1367" customFormat="false" ht="15" hidden="false" customHeight="false" outlineLevel="0" collapsed="false">
      <c r="A1367" s="7" t="s">
        <v>1408</v>
      </c>
      <c r="B1367" s="7" t="n">
        <v>21777.5</v>
      </c>
      <c r="C1367" s="7" t="n">
        <v>21836.57</v>
      </c>
      <c r="D1367" s="7" t="n">
        <v>21696.69</v>
      </c>
      <c r="E1367" s="7" t="n">
        <v>21761.79</v>
      </c>
      <c r="F1367" s="7" t="n">
        <v>7292</v>
      </c>
      <c r="G1367" s="7" t="n">
        <f aca="false">AVERAGE(E1363:E1367)</f>
        <v>21637.094</v>
      </c>
      <c r="H1367" s="7" t="n">
        <f aca="false">AVERAGE(E1358:E1367)</f>
        <v>21453.923</v>
      </c>
      <c r="I1367" s="7" t="n">
        <f aca="false">AVERAGE(E1348:E1367)</f>
        <v>21287.8375</v>
      </c>
      <c r="J1367" s="7" t="n">
        <f aca="false">AVERAGE(E1318:E1367)</f>
        <v>19908.8532</v>
      </c>
      <c r="K1367" s="7" t="n">
        <f aca="false">AVERAGE(E1268:E1367)</f>
        <v>20420.2937</v>
      </c>
      <c r="L1367" s="7" t="n">
        <f aca="false">AVERAGE(E1168:E1367)</f>
        <v>20422.6575</v>
      </c>
      <c r="M1367" s="7" t="n">
        <f aca="false">I1367</f>
        <v>21287.8375</v>
      </c>
      <c r="N1367" s="7" t="n">
        <f aca="false">I1367+2*STDEV(E1348:E1367)</f>
        <v>22033.8246536039</v>
      </c>
      <c r="O1367" s="7" t="n">
        <f aca="false">I1367-2*STDEV(E1348:E1367)</f>
        <v>20541.8503463961</v>
      </c>
      <c r="P1367" s="7" t="n">
        <f aca="false">MAX(E1367-E1366,0)</f>
        <v>214.360000000001</v>
      </c>
      <c r="Q1367" s="7" t="n">
        <f aca="false">MAX(E1366-E1367,0)</f>
        <v>0</v>
      </c>
      <c r="R1367" s="7" t="n">
        <f aca="false">(R1366*13+P1367)/14</f>
        <v>124.69942168069</v>
      </c>
      <c r="S1367" s="7" t="n">
        <f aca="false">(S1366*13+Q1367)/14</f>
        <v>60.9516751653839</v>
      </c>
      <c r="T1367" s="7" t="n">
        <f aca="false">IF(S1367=0,100,100-100/(1+R1367/S1367))</f>
        <v>67.1686964414114</v>
      </c>
      <c r="U1367" s="7" t="n">
        <f aca="false">E1367*2/13+U1366*11/13</f>
        <v>21420.9291366936</v>
      </c>
      <c r="V1367" s="7" t="n">
        <f aca="false">E1367*2/27+V1366*25/27</f>
        <v>20960.9780661304</v>
      </c>
      <c r="W1367" s="7" t="n">
        <f aca="false">U1367-V1367</f>
        <v>459.95107056314</v>
      </c>
      <c r="X1367" s="7" t="n">
        <f aca="false">W1367*2/10+X1366*8/10</f>
        <v>477.202132002793</v>
      </c>
      <c r="Y1367" s="7" t="n">
        <f aca="false">W1367-X1367</f>
        <v>-17.2510614396524</v>
      </c>
      <c r="Z1367" s="8" t="s">
        <v>42</v>
      </c>
      <c r="AA1367" s="7" t="str">
        <f aca="false">IFERROR(INDEX(02_轉折點45!B:B,MATCH(A1367,02_轉折點45!A:A,0)),"")</f>
        <v/>
      </c>
      <c r="AB1367" s="7" t="n">
        <f aca="false">COUNTIFS(05_訊號明細!A:A,A1367,05_訊號明細!C:C,"TOP")</f>
        <v>0</v>
      </c>
      <c r="AC1367" s="7" t="n">
        <f aca="false">COUNTIFS(05_訊號明細!A:A,A1367,05_訊號明細!C:C,"BOTTOM")</f>
        <v>0</v>
      </c>
    </row>
    <row r="1368" customFormat="false" ht="15" hidden="false" customHeight="false" outlineLevel="0" collapsed="false">
      <c r="A1368" s="7" t="s">
        <v>1409</v>
      </c>
      <c r="B1368" s="7" t="n">
        <v>21779.18</v>
      </c>
      <c r="C1368" s="7" t="n">
        <v>21855.15</v>
      </c>
      <c r="D1368" s="7" t="n">
        <v>21729.3</v>
      </c>
      <c r="E1368" s="7" t="n">
        <v>21797.87</v>
      </c>
      <c r="F1368" s="7" t="n">
        <v>9539</v>
      </c>
      <c r="G1368" s="7" t="n">
        <f aca="false">AVERAGE(E1364:E1368)</f>
        <v>21698.318</v>
      </c>
      <c r="H1368" s="7" t="n">
        <f aca="false">AVERAGE(E1359:E1368)</f>
        <v>21542.144</v>
      </c>
      <c r="I1368" s="7" t="n">
        <f aca="false">AVERAGE(E1349:E1368)</f>
        <v>21374.6585</v>
      </c>
      <c r="J1368" s="7" t="n">
        <f aca="false">AVERAGE(E1319:E1368)</f>
        <v>19948.8382</v>
      </c>
      <c r="K1368" s="7" t="n">
        <f aca="false">AVERAGE(E1269:E1368)</f>
        <v>20430.6983</v>
      </c>
      <c r="L1368" s="7" t="n">
        <f aca="false">AVERAGE(E1169:E1368)</f>
        <v>20433.04775</v>
      </c>
      <c r="M1368" s="7" t="n">
        <f aca="false">I1368</f>
        <v>21374.6585</v>
      </c>
      <c r="N1368" s="7" t="n">
        <f aca="false">I1368+2*STDEV(E1349:E1368)</f>
        <v>21887.3827181575</v>
      </c>
      <c r="O1368" s="7" t="n">
        <f aca="false">I1368-2*STDEV(E1349:E1368)</f>
        <v>20861.9342818425</v>
      </c>
      <c r="P1368" s="7" t="n">
        <f aca="false">MAX(E1368-E1367,0)</f>
        <v>36.0799999999981</v>
      </c>
      <c r="Q1368" s="7" t="n">
        <f aca="false">MAX(E1367-E1368,0)</f>
        <v>0</v>
      </c>
      <c r="R1368" s="7" t="n">
        <f aca="false">(R1367*13+P1368)/14</f>
        <v>118.369462989212</v>
      </c>
      <c r="S1368" s="7" t="n">
        <f aca="false">(S1367*13+Q1368)/14</f>
        <v>56.5979840821422</v>
      </c>
      <c r="T1368" s="7" t="n">
        <f aca="false">IF(S1368=0,100,100-100/(1+R1368/S1368))</f>
        <v>67.6522775924937</v>
      </c>
      <c r="U1368" s="7" t="n">
        <f aca="false">E1368*2/13+U1367*11/13</f>
        <v>21478.9200387407</v>
      </c>
      <c r="V1368" s="7" t="n">
        <f aca="false">E1368*2/27+V1367*25/27</f>
        <v>21022.9700612319</v>
      </c>
      <c r="W1368" s="7" t="n">
        <f aca="false">U1368-V1368</f>
        <v>455.949977508833</v>
      </c>
      <c r="X1368" s="7" t="n">
        <f aca="false">W1368*2/10+X1367*8/10</f>
        <v>472.951701104001</v>
      </c>
      <c r="Y1368" s="7" t="n">
        <f aca="false">W1368-X1368</f>
        <v>-17.0017235951673</v>
      </c>
      <c r="Z1368" s="8" t="s">
        <v>42</v>
      </c>
      <c r="AA1368" s="7" t="str">
        <f aca="false">IFERROR(INDEX(02_轉折點45!B:B,MATCH(A1368,02_轉折點45!A:A,0)),"")</f>
        <v/>
      </c>
      <c r="AB1368" s="7" t="n">
        <f aca="false">COUNTIFS(05_訊號明細!A:A,A1368,05_訊號明細!C:C,"TOP")</f>
        <v>0</v>
      </c>
      <c r="AC1368" s="7" t="n">
        <f aca="false">COUNTIFS(05_訊號明細!A:A,A1368,05_訊號明細!C:C,"BOTTOM")</f>
        <v>0</v>
      </c>
    </row>
    <row r="1369" customFormat="false" ht="15" hidden="false" customHeight="false" outlineLevel="0" collapsed="false">
      <c r="A1369" s="7" t="s">
        <v>1410</v>
      </c>
      <c r="B1369" s="7" t="n">
        <v>21819.79</v>
      </c>
      <c r="C1369" s="7" t="n">
        <v>21961.42</v>
      </c>
      <c r="D1369" s="7" t="n">
        <v>21727.34</v>
      </c>
      <c r="E1369" s="7" t="n">
        <v>21941.92</v>
      </c>
      <c r="F1369" s="7" t="n">
        <v>11222</v>
      </c>
      <c r="G1369" s="7" t="n">
        <f aca="false">AVERAGE(E1365:E1369)</f>
        <v>21754.186</v>
      </c>
      <c r="H1369" s="7" t="n">
        <f aca="false">AVERAGE(E1360:E1369)</f>
        <v>21594.837</v>
      </c>
      <c r="I1369" s="7" t="n">
        <f aca="false">AVERAGE(E1350:E1369)</f>
        <v>21428.347</v>
      </c>
      <c r="J1369" s="7" t="n">
        <f aca="false">AVERAGE(E1320:E1369)</f>
        <v>20002.0486</v>
      </c>
      <c r="K1369" s="7" t="n">
        <f aca="false">AVERAGE(E1270:E1369)</f>
        <v>20437.739</v>
      </c>
      <c r="L1369" s="7" t="n">
        <f aca="false">AVERAGE(E1170:E1369)</f>
        <v>20443.63315</v>
      </c>
      <c r="M1369" s="7" t="n">
        <f aca="false">I1369</f>
        <v>21428.347</v>
      </c>
      <c r="N1369" s="7" t="n">
        <f aca="false">I1369+2*STDEV(E1350:E1369)</f>
        <v>21942.6262067023</v>
      </c>
      <c r="O1369" s="7" t="n">
        <f aca="false">I1369-2*STDEV(E1350:E1369)</f>
        <v>20914.0677932977</v>
      </c>
      <c r="P1369" s="7" t="n">
        <f aca="false">MAX(E1369-E1368,0)</f>
        <v>144.049999999999</v>
      </c>
      <c r="Q1369" s="7" t="n">
        <f aca="false">MAX(E1368-E1369,0)</f>
        <v>0</v>
      </c>
      <c r="R1369" s="7" t="n">
        <f aca="false">(R1368*13+P1369)/14</f>
        <v>120.203787061411</v>
      </c>
      <c r="S1369" s="7" t="n">
        <f aca="false">(S1368*13+Q1369)/14</f>
        <v>52.5552709334177</v>
      </c>
      <c r="T1369" s="7" t="n">
        <f aca="false">IF(S1369=0,100,100-100/(1+R1369/S1369))</f>
        <v>69.5788622932924</v>
      </c>
      <c r="U1369" s="7" t="n">
        <f aca="false">E1369*2/13+U1368*11/13</f>
        <v>21550.1508020114</v>
      </c>
      <c r="V1369" s="7" t="n">
        <f aca="false">E1369*2/27+V1368*25/27</f>
        <v>21091.0404270666</v>
      </c>
      <c r="W1369" s="7" t="n">
        <f aca="false">U1369-V1369</f>
        <v>459.110374944816</v>
      </c>
      <c r="X1369" s="7" t="n">
        <f aca="false">W1369*2/10+X1368*8/10</f>
        <v>470.183435872164</v>
      </c>
      <c r="Y1369" s="7" t="n">
        <f aca="false">W1369-X1369</f>
        <v>-11.073060927348</v>
      </c>
      <c r="Z1369" s="8" t="s">
        <v>42</v>
      </c>
      <c r="AA1369" s="7" t="str">
        <f aca="false">IFERROR(INDEX(02_轉折點45!B:B,MATCH(A1369,02_轉折點45!A:A,0)),"")</f>
        <v/>
      </c>
      <c r="AB1369" s="7" t="n">
        <f aca="false">COUNTIFS(05_訊號明細!A:A,A1369,05_訊號明細!C:C,"TOP")</f>
        <v>0</v>
      </c>
      <c r="AC1369" s="7" t="n">
        <f aca="false">COUNTIFS(05_訊號明細!A:A,A1369,05_訊號明細!C:C,"BOTTOM")</f>
        <v>0</v>
      </c>
    </row>
    <row r="1370" customFormat="false" ht="15" hidden="false" customHeight="false" outlineLevel="0" collapsed="false">
      <c r="A1370" s="7" t="s">
        <v>1411</v>
      </c>
      <c r="B1370" s="7" t="n">
        <v>21994.16</v>
      </c>
      <c r="C1370" s="7" t="n">
        <v>22041.83</v>
      </c>
      <c r="D1370" s="7" t="n">
        <v>21775.27</v>
      </c>
      <c r="E1370" s="7" t="n">
        <v>21860.8</v>
      </c>
      <c r="F1370" s="7" t="n">
        <v>10214</v>
      </c>
      <c r="G1370" s="7" t="n">
        <f aca="false">AVERAGE(E1366:E1370)</f>
        <v>21781.962</v>
      </c>
      <c r="H1370" s="7" t="n">
        <f aca="false">AVERAGE(E1361:E1370)</f>
        <v>21649.1</v>
      </c>
      <c r="I1370" s="7" t="n">
        <f aca="false">AVERAGE(E1351:E1370)</f>
        <v>21461.502</v>
      </c>
      <c r="J1370" s="7" t="n">
        <f aca="false">AVERAGE(E1321:E1370)</f>
        <v>20053.6956</v>
      </c>
      <c r="K1370" s="7" t="n">
        <f aca="false">AVERAGE(E1271:E1370)</f>
        <v>20445.4345</v>
      </c>
      <c r="L1370" s="7" t="n">
        <f aca="false">AVERAGE(E1171:E1370)</f>
        <v>20455.47795</v>
      </c>
      <c r="M1370" s="7" t="n">
        <f aca="false">I1370</f>
        <v>21461.502</v>
      </c>
      <c r="N1370" s="7" t="n">
        <f aca="false">I1370+2*STDEV(E1351:E1370)</f>
        <v>21998.1832667183</v>
      </c>
      <c r="O1370" s="7" t="n">
        <f aca="false">I1370-2*STDEV(E1351:E1370)</f>
        <v>20924.8207332817</v>
      </c>
      <c r="P1370" s="7" t="n">
        <f aca="false">MAX(E1370-E1369,0)</f>
        <v>0</v>
      </c>
      <c r="Q1370" s="7" t="n">
        <f aca="false">MAX(E1369-E1370,0)</f>
        <v>81.119999999999</v>
      </c>
      <c r="R1370" s="7" t="n">
        <f aca="false">(R1369*13+P1370)/14</f>
        <v>111.61780227131</v>
      </c>
      <c r="S1370" s="7" t="n">
        <f aca="false">(S1369*13+Q1370)/14</f>
        <v>54.5956087238878</v>
      </c>
      <c r="T1370" s="7" t="n">
        <f aca="false">IF(S1370=0,100,100-100/(1+R1370/S1370))</f>
        <v>67.1533070665008</v>
      </c>
      <c r="U1370" s="7" t="n">
        <f aca="false">E1370*2/13+U1369*11/13</f>
        <v>21597.9429863173</v>
      </c>
      <c r="V1370" s="7" t="n">
        <f aca="false">E1370*2/27+V1369*25/27</f>
        <v>21148.0596546913</v>
      </c>
      <c r="W1370" s="7" t="n">
        <f aca="false">U1370-V1370</f>
        <v>449.883331626061</v>
      </c>
      <c r="X1370" s="7" t="n">
        <f aca="false">W1370*2/10+X1369*8/10</f>
        <v>466.123415022943</v>
      </c>
      <c r="Y1370" s="7" t="n">
        <f aca="false">W1370-X1370</f>
        <v>-16.2400833968824</v>
      </c>
      <c r="Z1370" s="8" t="s">
        <v>42</v>
      </c>
      <c r="AA1370" s="7" t="str">
        <f aca="false">IFERROR(INDEX(02_轉折點45!B:B,MATCH(A1370,02_轉折點45!A:A,0)),"")</f>
        <v/>
      </c>
      <c r="AB1370" s="7" t="n">
        <f aca="false">COUNTIFS(05_訊號明細!A:A,A1370,05_訊號明細!C:C,"TOP")</f>
        <v>0</v>
      </c>
      <c r="AC1370" s="7" t="n">
        <f aca="false">COUNTIFS(05_訊號明細!A:A,A1370,05_訊號明細!C:C,"BOTTOM")</f>
        <v>0</v>
      </c>
    </row>
    <row r="1371" customFormat="false" ht="15" hidden="false" customHeight="false" outlineLevel="0" collapsed="false">
      <c r="A1371" s="7" t="s">
        <v>1412</v>
      </c>
      <c r="B1371" s="7" t="n">
        <v>21826.79</v>
      </c>
      <c r="C1371" s="7" t="n">
        <v>21952</v>
      </c>
      <c r="D1371" s="7" t="n">
        <v>21807</v>
      </c>
      <c r="E1371" s="7" t="n">
        <v>21913.32</v>
      </c>
      <c r="F1371" s="7" t="n">
        <v>16309</v>
      </c>
      <c r="G1371" s="7" t="n">
        <f aca="false">AVERAGE(E1367:E1371)</f>
        <v>21855.14</v>
      </c>
      <c r="H1371" s="7" t="n">
        <f aca="false">AVERAGE(E1362:E1371)</f>
        <v>21704.037</v>
      </c>
      <c r="I1371" s="7" t="n">
        <f aca="false">AVERAGE(E1352:E1371)</f>
        <v>21491.2075</v>
      </c>
      <c r="J1371" s="7" t="n">
        <f aca="false">AVERAGE(E1322:E1371)</f>
        <v>20103.2336</v>
      </c>
      <c r="K1371" s="7" t="n">
        <f aca="false">AVERAGE(E1272:E1371)</f>
        <v>20450.1561</v>
      </c>
      <c r="L1371" s="7" t="n">
        <f aca="false">AVERAGE(E1172:E1371)</f>
        <v>20466.4402</v>
      </c>
      <c r="M1371" s="7" t="n">
        <f aca="false">I1371</f>
        <v>21491.2075</v>
      </c>
      <c r="N1371" s="7" t="n">
        <f aca="false">I1371+2*STDEV(E1352:E1371)</f>
        <v>22059.5608689482</v>
      </c>
      <c r="O1371" s="7" t="n">
        <f aca="false">I1371-2*STDEV(E1352:E1371)</f>
        <v>20922.8541310518</v>
      </c>
      <c r="P1371" s="7" t="n">
        <f aca="false">MAX(E1371-E1370,0)</f>
        <v>52.5200000000004</v>
      </c>
      <c r="Q1371" s="7" t="n">
        <f aca="false">MAX(E1370-E1371,0)</f>
        <v>0</v>
      </c>
      <c r="R1371" s="7" t="n">
        <f aca="false">(R1370*13+P1371)/14</f>
        <v>107.396530680503</v>
      </c>
      <c r="S1371" s="7" t="n">
        <f aca="false">(S1370*13+Q1371)/14</f>
        <v>50.6959223864672</v>
      </c>
      <c r="T1371" s="7" t="n">
        <f aca="false">IF(S1371=0,100,100-100/(1+R1371/S1371))</f>
        <v>67.9327372034693</v>
      </c>
      <c r="U1371" s="7" t="n">
        <f aca="false">E1371*2/13+U1370*11/13</f>
        <v>21646.4625268839</v>
      </c>
      <c r="V1371" s="7" t="n">
        <f aca="false">E1371*2/27+V1370*25/27</f>
        <v>21204.7456061956</v>
      </c>
      <c r="W1371" s="7" t="n">
        <f aca="false">U1371-V1371</f>
        <v>441.716920688272</v>
      </c>
      <c r="X1371" s="7" t="n">
        <f aca="false">W1371*2/10+X1370*8/10</f>
        <v>461.242116156009</v>
      </c>
      <c r="Y1371" s="7" t="n">
        <f aca="false">W1371-X1371</f>
        <v>-19.525195467737</v>
      </c>
      <c r="Z1371" s="8" t="s">
        <v>42</v>
      </c>
      <c r="AA1371" s="7" t="str">
        <f aca="false">IFERROR(INDEX(02_轉折點45!B:B,MATCH(A1371,02_轉折點45!A:A,0)),"")</f>
        <v/>
      </c>
      <c r="AB1371" s="7" t="n">
        <f aca="false">COUNTIFS(05_訊號明細!A:A,A1371,05_訊號明細!C:C,"TOP")</f>
        <v>0</v>
      </c>
      <c r="AC1371" s="7" t="n">
        <f aca="false">COUNTIFS(05_訊號明細!A:A,A1371,05_訊號明細!C:C,"BOTTOM")</f>
        <v>0</v>
      </c>
    </row>
    <row r="1372" customFormat="false" ht="15" hidden="false" customHeight="false" outlineLevel="0" collapsed="false">
      <c r="A1372" s="7" t="s">
        <v>1413</v>
      </c>
      <c r="B1372" s="7" t="n">
        <v>21675.94</v>
      </c>
      <c r="C1372" s="7" t="n">
        <v>21838.47</v>
      </c>
      <c r="D1372" s="7" t="n">
        <v>21591.11</v>
      </c>
      <c r="E1372" s="7" t="n">
        <v>21631.04</v>
      </c>
      <c r="F1372" s="7" t="n">
        <v>9002</v>
      </c>
      <c r="G1372" s="7" t="n">
        <f aca="false">AVERAGE(E1368:E1372)</f>
        <v>21828.99</v>
      </c>
      <c r="H1372" s="7" t="n">
        <f aca="false">AVERAGE(E1363:E1372)</f>
        <v>21733.042</v>
      </c>
      <c r="I1372" s="7" t="n">
        <f aca="false">AVERAGE(E1353:E1372)</f>
        <v>21505.9685</v>
      </c>
      <c r="J1372" s="7" t="n">
        <f aca="false">AVERAGE(E1323:E1372)</f>
        <v>20144.2188</v>
      </c>
      <c r="K1372" s="7" t="n">
        <f aca="false">AVERAGE(E1273:E1372)</f>
        <v>20450.8014</v>
      </c>
      <c r="L1372" s="7" t="n">
        <f aca="false">AVERAGE(E1173:E1372)</f>
        <v>20477.0132</v>
      </c>
      <c r="M1372" s="7" t="n">
        <f aca="false">I1372</f>
        <v>21505.9685</v>
      </c>
      <c r="N1372" s="7" t="n">
        <f aca="false">I1372+2*STDEV(E1353:E1372)</f>
        <v>22072.6618604052</v>
      </c>
      <c r="O1372" s="7" t="n">
        <f aca="false">I1372-2*STDEV(E1353:E1372)</f>
        <v>20939.2751395948</v>
      </c>
      <c r="P1372" s="7" t="n">
        <f aca="false">MAX(E1372-E1371,0)</f>
        <v>0</v>
      </c>
      <c r="Q1372" s="7" t="n">
        <f aca="false">MAX(E1371-E1372,0)</f>
        <v>282.279999999999</v>
      </c>
      <c r="R1372" s="7" t="n">
        <f aca="false">(R1371*13+P1372)/14</f>
        <v>99.7253499176096</v>
      </c>
      <c r="S1372" s="7" t="n">
        <f aca="false">(S1371*13+Q1372)/14</f>
        <v>67.2376422160052</v>
      </c>
      <c r="T1372" s="7" t="n">
        <f aca="false">IF(S1372=0,100,100-100/(1+R1372/S1372))</f>
        <v>59.729014581748</v>
      </c>
      <c r="U1372" s="7" t="n">
        <f aca="false">E1372*2/13+U1371*11/13</f>
        <v>21644.0898304402</v>
      </c>
      <c r="V1372" s="7" t="n">
        <f aca="false">E1372*2/27+V1371*25/27</f>
        <v>21236.3229686996</v>
      </c>
      <c r="W1372" s="7" t="n">
        <f aca="false">U1372-V1372</f>
        <v>407.766861740569</v>
      </c>
      <c r="X1372" s="7" t="n">
        <f aca="false">W1372*2/10+X1371*8/10</f>
        <v>450.547065272921</v>
      </c>
      <c r="Y1372" s="7" t="n">
        <f aca="false">W1372-X1372</f>
        <v>-42.780203532352</v>
      </c>
      <c r="Z1372" s="8" t="s">
        <v>42</v>
      </c>
      <c r="AA1372" s="7" t="str">
        <f aca="false">IFERROR(INDEX(02_轉折點45!B:B,MATCH(A1372,02_轉折點45!A:A,0)),"")</f>
        <v/>
      </c>
      <c r="AB1372" s="7" t="n">
        <f aca="false">COUNTIFS(05_訊號明細!A:A,A1372,05_訊號明細!C:C,"TOP")</f>
        <v>1</v>
      </c>
      <c r="AC1372" s="7" t="n">
        <f aca="false">COUNTIFS(05_訊號明細!A:A,A1372,05_訊號明細!C:C,"BOTTOM")</f>
        <v>0</v>
      </c>
    </row>
    <row r="1373" customFormat="false" ht="15" hidden="false" customHeight="false" outlineLevel="0" collapsed="false">
      <c r="A1373" s="7" t="s">
        <v>1414</v>
      </c>
      <c r="B1373" s="7" t="n">
        <v>21783.08</v>
      </c>
      <c r="C1373" s="7" t="n">
        <v>21979.77</v>
      </c>
      <c r="D1373" s="7" t="n">
        <v>21783.08</v>
      </c>
      <c r="E1373" s="7" t="n">
        <v>21937.57</v>
      </c>
      <c r="F1373" s="7" t="n">
        <v>9619</v>
      </c>
      <c r="G1373" s="7" t="n">
        <f aca="false">AVERAGE(E1369:E1373)</f>
        <v>21856.93</v>
      </c>
      <c r="H1373" s="7" t="n">
        <f aca="false">AVERAGE(E1364:E1373)</f>
        <v>21777.624</v>
      </c>
      <c r="I1373" s="7" t="n">
        <f aca="false">AVERAGE(E1354:E1373)</f>
        <v>21531.45</v>
      </c>
      <c r="J1373" s="7" t="n">
        <f aca="false">AVERAGE(E1324:E1373)</f>
        <v>20212.5408</v>
      </c>
      <c r="K1373" s="7" t="n">
        <f aca="false">AVERAGE(E1274:E1373)</f>
        <v>20451.6471</v>
      </c>
      <c r="L1373" s="7" t="n">
        <f aca="false">AVERAGE(E1174:E1373)</f>
        <v>20488.79345</v>
      </c>
      <c r="M1373" s="7" t="n">
        <f aca="false">I1373</f>
        <v>21531.45</v>
      </c>
      <c r="N1373" s="7" t="n">
        <f aca="false">I1373+2*STDEV(E1354:E1373)</f>
        <v>22128.3942808522</v>
      </c>
      <c r="O1373" s="7" t="n">
        <f aca="false">I1373-2*STDEV(E1354:E1373)</f>
        <v>20934.5057191478</v>
      </c>
      <c r="P1373" s="7" t="n">
        <f aca="false">MAX(E1373-E1372,0)</f>
        <v>306.529999999999</v>
      </c>
      <c r="Q1373" s="7" t="n">
        <f aca="false">MAX(E1372-E1373,0)</f>
        <v>0</v>
      </c>
      <c r="R1373" s="7" t="n">
        <f aca="false">(R1372*13+P1373)/14</f>
        <v>114.49711063778</v>
      </c>
      <c r="S1373" s="7" t="n">
        <f aca="false">(S1372*13+Q1373)/14</f>
        <v>62.4349534862906</v>
      </c>
      <c r="T1373" s="7" t="n">
        <f aca="false">IF(S1373=0,100,100-100/(1+R1373/S1373))</f>
        <v>64.712470972752</v>
      </c>
      <c r="U1373" s="7" t="n">
        <f aca="false">E1373*2/13+U1372*11/13</f>
        <v>21689.2406257571</v>
      </c>
      <c r="V1373" s="7" t="n">
        <f aca="false">E1373*2/27+V1372*25/27</f>
        <v>21288.2671932404</v>
      </c>
      <c r="W1373" s="7" t="n">
        <f aca="false">U1373-V1373</f>
        <v>400.973432516694</v>
      </c>
      <c r="X1373" s="7" t="n">
        <f aca="false">W1373*2/10+X1372*8/10</f>
        <v>440.632338721675</v>
      </c>
      <c r="Y1373" s="7" t="n">
        <f aca="false">W1373-X1373</f>
        <v>-39.6589062049817</v>
      </c>
      <c r="Z1373" s="8" t="s">
        <v>42</v>
      </c>
      <c r="AA1373" s="7" t="str">
        <f aca="false">IFERROR(INDEX(02_轉折點45!B:B,MATCH(A1373,02_轉折點45!A:A,0)),"")</f>
        <v/>
      </c>
      <c r="AB1373" s="7" t="n">
        <f aca="false">COUNTIFS(05_訊號明細!A:A,A1373,05_訊號明細!C:C,"TOP")</f>
        <v>0</v>
      </c>
      <c r="AC1373" s="7" t="n">
        <f aca="false">COUNTIFS(05_訊號明細!A:A,A1373,05_訊號明細!C:C,"BOTTOM")</f>
        <v>0</v>
      </c>
    </row>
    <row r="1374" customFormat="false" ht="15" hidden="false" customHeight="false" outlineLevel="0" collapsed="false">
      <c r="A1374" s="7" t="s">
        <v>1415</v>
      </c>
      <c r="B1374" s="7" t="n">
        <v>21858.89</v>
      </c>
      <c r="C1374" s="7" t="n">
        <v>21896.42</v>
      </c>
      <c r="D1374" s="7" t="n">
        <v>21680.18</v>
      </c>
      <c r="E1374" s="7" t="n">
        <v>21719.08</v>
      </c>
      <c r="F1374" s="7" t="n">
        <v>8520</v>
      </c>
      <c r="G1374" s="7" t="n">
        <f aca="false">AVERAGE(E1370:E1374)</f>
        <v>21812.362</v>
      </c>
      <c r="H1374" s="7" t="n">
        <f aca="false">AVERAGE(E1365:E1374)</f>
        <v>21783.274</v>
      </c>
      <c r="I1374" s="7" t="n">
        <f aca="false">AVERAGE(E1355:E1374)</f>
        <v>21545.0515</v>
      </c>
      <c r="J1374" s="7" t="n">
        <f aca="false">AVERAGE(E1325:E1374)</f>
        <v>20298.9684</v>
      </c>
      <c r="K1374" s="7" t="n">
        <f aca="false">AVERAGE(E1275:E1374)</f>
        <v>20449.8286</v>
      </c>
      <c r="L1374" s="7" t="n">
        <f aca="false">AVERAGE(E1175:E1374)</f>
        <v>20500.63495</v>
      </c>
      <c r="M1374" s="7" t="n">
        <f aca="false">I1374</f>
        <v>21545.0515</v>
      </c>
      <c r="N1374" s="7" t="n">
        <f aca="false">I1374+2*STDEV(E1355:E1374)</f>
        <v>22146.2797856488</v>
      </c>
      <c r="O1374" s="7" t="n">
        <f aca="false">I1374-2*STDEV(E1355:E1374)</f>
        <v>20943.8232143512</v>
      </c>
      <c r="P1374" s="7" t="n">
        <f aca="false">MAX(E1374-E1373,0)</f>
        <v>0</v>
      </c>
      <c r="Q1374" s="7" t="n">
        <f aca="false">MAX(E1373-E1374,0)</f>
        <v>218.489999999998</v>
      </c>
      <c r="R1374" s="7" t="n">
        <f aca="false">(R1373*13+P1374)/14</f>
        <v>106.318745592224</v>
      </c>
      <c r="S1374" s="7" t="n">
        <f aca="false">(S1373*13+Q1374)/14</f>
        <v>73.581742522984</v>
      </c>
      <c r="T1374" s="7" t="n">
        <f aca="false">IF(S1374=0,100,100-100/(1+R1374/S1374))</f>
        <v>59.0986420915867</v>
      </c>
      <c r="U1374" s="7" t="n">
        <f aca="false">E1374*2/13+U1373*11/13</f>
        <v>21693.8312987176</v>
      </c>
      <c r="V1374" s="7" t="n">
        <f aca="false">E1374*2/27+V1373*25/27</f>
        <v>21320.1792530004</v>
      </c>
      <c r="W1374" s="7" t="n">
        <f aca="false">U1374-V1374</f>
        <v>373.652045717172</v>
      </c>
      <c r="X1374" s="7" t="n">
        <f aca="false">W1374*2/10+X1373*8/10</f>
        <v>427.236280120775</v>
      </c>
      <c r="Y1374" s="7" t="n">
        <f aca="false">W1374-X1374</f>
        <v>-53.5842344036029</v>
      </c>
      <c r="Z1374" s="8" t="s">
        <v>42</v>
      </c>
      <c r="AA1374" s="7" t="str">
        <f aca="false">IFERROR(INDEX(02_轉折點45!B:B,MATCH(A1374,02_轉折點45!A:A,0)),"")</f>
        <v/>
      </c>
      <c r="AB1374" s="7" t="n">
        <f aca="false">COUNTIFS(05_訊號明細!A:A,A1374,05_訊號明細!C:C,"TOP")</f>
        <v>0</v>
      </c>
      <c r="AC1374" s="7" t="n">
        <f aca="false">COUNTIFS(05_訊號明細!A:A,A1374,05_訊號明細!C:C,"BOTTOM")</f>
        <v>0</v>
      </c>
    </row>
    <row r="1375" customFormat="false" ht="15" hidden="false" customHeight="false" outlineLevel="0" collapsed="false">
      <c r="A1375" s="7" t="s">
        <v>1416</v>
      </c>
      <c r="B1375" s="7" t="n">
        <v>21745.5</v>
      </c>
      <c r="C1375" s="7" t="n">
        <v>21863</v>
      </c>
      <c r="D1375" s="7" t="n">
        <v>21660.52</v>
      </c>
      <c r="E1375" s="7" t="n">
        <v>21719.69</v>
      </c>
      <c r="F1375" s="7" t="n">
        <v>7819</v>
      </c>
      <c r="G1375" s="7" t="n">
        <f aca="false">AVERAGE(E1371:E1375)</f>
        <v>21784.14</v>
      </c>
      <c r="H1375" s="7" t="n">
        <f aca="false">AVERAGE(E1366:E1375)</f>
        <v>21783.051</v>
      </c>
      <c r="I1375" s="7" t="n">
        <f aca="false">AVERAGE(E1356:E1375)</f>
        <v>21562.6675</v>
      </c>
      <c r="J1375" s="7" t="n">
        <f aca="false">AVERAGE(E1326:E1375)</f>
        <v>20384.7486</v>
      </c>
      <c r="K1375" s="7" t="n">
        <f aca="false">AVERAGE(E1276:E1375)</f>
        <v>20449.2854</v>
      </c>
      <c r="L1375" s="7" t="n">
        <f aca="false">AVERAGE(E1176:E1375)</f>
        <v>20512.60615</v>
      </c>
      <c r="M1375" s="7" t="n">
        <f aca="false">I1375</f>
        <v>21562.6675</v>
      </c>
      <c r="N1375" s="7" t="n">
        <f aca="false">I1375+2*STDEV(E1356:E1375)</f>
        <v>22162.6200973512</v>
      </c>
      <c r="O1375" s="7" t="n">
        <f aca="false">I1375-2*STDEV(E1356:E1375)</f>
        <v>20962.7149026488</v>
      </c>
      <c r="P1375" s="7" t="n">
        <f aca="false">MAX(E1375-E1374,0)</f>
        <v>0.609999999996944</v>
      </c>
      <c r="Q1375" s="7" t="n">
        <f aca="false">MAX(E1374-E1375,0)</f>
        <v>0</v>
      </c>
      <c r="R1375" s="7" t="n">
        <f aca="false">(R1374*13+P1375)/14</f>
        <v>98.7681209070654</v>
      </c>
      <c r="S1375" s="7" t="n">
        <f aca="false">(S1374*13+Q1375)/14</f>
        <v>68.3259037713422</v>
      </c>
      <c r="T1375" s="7" t="n">
        <f aca="false">IF(S1375=0,100,100-100/(1+R1375/S1375))</f>
        <v>59.1093075273975</v>
      </c>
      <c r="U1375" s="7" t="n">
        <f aca="false">E1375*2/13+U1374*11/13</f>
        <v>21697.8095604533</v>
      </c>
      <c r="V1375" s="7" t="n">
        <f aca="false">E1375*2/27+V1374*25/27</f>
        <v>21349.772641667</v>
      </c>
      <c r="W1375" s="7" t="n">
        <f aca="false">U1375-V1375</f>
        <v>348.036918786293</v>
      </c>
      <c r="X1375" s="7" t="n">
        <f aca="false">W1375*2/10+X1374*8/10</f>
        <v>411.396407853878</v>
      </c>
      <c r="Y1375" s="7" t="n">
        <f aca="false">W1375-X1375</f>
        <v>-63.3594890675857</v>
      </c>
      <c r="Z1375" s="8" t="s">
        <v>42</v>
      </c>
      <c r="AA1375" s="7" t="str">
        <f aca="false">IFERROR(INDEX(02_轉折點45!B:B,MATCH(A1375,02_轉折點45!A:A,0)),"")</f>
        <v/>
      </c>
      <c r="AB1375" s="7" t="n">
        <f aca="false">COUNTIFS(05_訊號明細!A:A,A1375,05_訊號明細!C:C,"TOP")</f>
        <v>0</v>
      </c>
      <c r="AC1375" s="7" t="n">
        <f aca="false">COUNTIFS(05_訊號明細!A:A,A1375,05_訊號明細!C:C,"BOTTOM")</f>
        <v>0</v>
      </c>
    </row>
    <row r="1376" customFormat="false" ht="15" hidden="false" customHeight="false" outlineLevel="0" collapsed="false">
      <c r="A1376" s="7" t="s">
        <v>1417</v>
      </c>
      <c r="B1376" s="7" t="n">
        <v>21834.49</v>
      </c>
      <c r="C1376" s="7" t="n">
        <v>21902.99</v>
      </c>
      <c r="D1376" s="7" t="n">
        <v>21552.81</v>
      </c>
      <c r="E1376" s="7" t="n">
        <v>21626.39</v>
      </c>
      <c r="F1376" s="7" t="n">
        <v>9969</v>
      </c>
      <c r="G1376" s="7" t="n">
        <f aca="false">AVERAGE(E1372:E1376)</f>
        <v>21726.754</v>
      </c>
      <c r="H1376" s="7" t="n">
        <f aca="false">AVERAGE(E1367:E1376)</f>
        <v>21790.947</v>
      </c>
      <c r="I1376" s="7" t="n">
        <f aca="false">AVERAGE(E1357:E1376)</f>
        <v>21589.969</v>
      </c>
      <c r="J1376" s="7" t="n">
        <f aca="false">AVERAGE(E1327:E1376)</f>
        <v>20475.4684</v>
      </c>
      <c r="K1376" s="7" t="n">
        <f aca="false">AVERAGE(E1277:E1376)</f>
        <v>20454.2765</v>
      </c>
      <c r="L1376" s="7" t="n">
        <f aca="false">AVERAGE(E1177:E1376)</f>
        <v>20522.8649</v>
      </c>
      <c r="M1376" s="7" t="n">
        <f aca="false">I1376</f>
        <v>21589.969</v>
      </c>
      <c r="N1376" s="7" t="n">
        <f aca="false">I1376+2*STDEV(E1357:E1376)</f>
        <v>22145.5649171499</v>
      </c>
      <c r="O1376" s="7" t="n">
        <f aca="false">I1376-2*STDEV(E1357:E1376)</f>
        <v>21034.3730828501</v>
      </c>
      <c r="P1376" s="7" t="n">
        <f aca="false">MAX(E1376-E1375,0)</f>
        <v>0</v>
      </c>
      <c r="Q1376" s="7" t="n">
        <f aca="false">MAX(E1375-E1376,0)</f>
        <v>93.2999999999993</v>
      </c>
      <c r="R1376" s="7" t="n">
        <f aca="false">(R1375*13+P1376)/14</f>
        <v>91.7132551279893</v>
      </c>
      <c r="S1376" s="7" t="n">
        <f aca="false">(S1375*13+Q1376)/14</f>
        <v>70.1097677876749</v>
      </c>
      <c r="T1376" s="7" t="n">
        <f aca="false">IF(S1376=0,100,100-100/(1+R1376/S1376))</f>
        <v>56.6750351560214</v>
      </c>
      <c r="U1376" s="7" t="n">
        <f aca="false">E1376*2/13+U1375*11/13</f>
        <v>21686.8219357682</v>
      </c>
      <c r="V1376" s="7" t="n">
        <f aca="false">E1376*2/27+V1375*25/27</f>
        <v>21370.2628163584</v>
      </c>
      <c r="W1376" s="7" t="n">
        <f aca="false">U1376-V1376</f>
        <v>316.559119409838</v>
      </c>
      <c r="X1376" s="7" t="n">
        <f aca="false">W1376*2/10+X1375*8/10</f>
        <v>392.42895016507</v>
      </c>
      <c r="Y1376" s="7" t="n">
        <f aca="false">W1376-X1376</f>
        <v>-75.8698307552323</v>
      </c>
      <c r="Z1376" s="8" t="s">
        <v>42</v>
      </c>
      <c r="AA1376" s="7" t="str">
        <f aca="false">IFERROR(INDEX(02_轉折點45!B:B,MATCH(A1376,02_轉折點45!A:A,0)),"")</f>
        <v/>
      </c>
      <c r="AB1376" s="7" t="n">
        <f aca="false">COUNTIFS(05_訊號明細!A:A,A1376,05_訊號明細!C:C,"TOP")</f>
        <v>2</v>
      </c>
      <c r="AC1376" s="7" t="n">
        <f aca="false">COUNTIFS(05_訊號明細!A:A,A1376,05_訊號明細!C:C,"BOTTOM")</f>
        <v>1</v>
      </c>
    </row>
    <row r="1377" customFormat="false" ht="15" hidden="false" customHeight="false" outlineLevel="0" collapsed="false">
      <c r="A1377" s="7" t="s">
        <v>1418</v>
      </c>
      <c r="B1377" s="7" t="n">
        <v>21632.78</v>
      </c>
      <c r="C1377" s="7" t="n">
        <v>21871.87</v>
      </c>
      <c r="D1377" s="7" t="n">
        <v>21532.32</v>
      </c>
      <c r="E1377" s="7" t="n">
        <v>21856.33</v>
      </c>
      <c r="F1377" s="7" t="n">
        <v>9088</v>
      </c>
      <c r="G1377" s="7" t="n">
        <f aca="false">AVERAGE(E1373:E1377)</f>
        <v>21771.812</v>
      </c>
      <c r="H1377" s="7" t="n">
        <f aca="false">AVERAGE(E1368:E1377)</f>
        <v>21800.401</v>
      </c>
      <c r="I1377" s="7" t="n">
        <f aca="false">AVERAGE(E1358:E1377)</f>
        <v>21627.162</v>
      </c>
      <c r="J1377" s="7" t="n">
        <f aca="false">AVERAGE(E1328:E1377)</f>
        <v>20529.6938</v>
      </c>
      <c r="K1377" s="7" t="n">
        <f aca="false">AVERAGE(E1278:E1377)</f>
        <v>20458.2094</v>
      </c>
      <c r="L1377" s="7" t="n">
        <f aca="false">AVERAGE(E1178:E1377)</f>
        <v>20537.35285</v>
      </c>
      <c r="M1377" s="7" t="n">
        <f aca="false">I1377</f>
        <v>21627.162</v>
      </c>
      <c r="N1377" s="7" t="n">
        <f aca="false">I1377+2*STDEV(E1358:E1377)</f>
        <v>22146.58250956</v>
      </c>
      <c r="O1377" s="7" t="n">
        <f aca="false">I1377-2*STDEV(E1358:E1377)</f>
        <v>21107.74149044</v>
      </c>
      <c r="P1377" s="7" t="n">
        <f aca="false">MAX(E1377-E1376,0)</f>
        <v>229.940000000002</v>
      </c>
      <c r="Q1377" s="7" t="n">
        <f aca="false">MAX(E1376-E1377,0)</f>
        <v>0</v>
      </c>
      <c r="R1377" s="7" t="n">
        <f aca="false">(R1376*13+P1377)/14</f>
        <v>101.586594047419</v>
      </c>
      <c r="S1377" s="7" t="n">
        <f aca="false">(S1376*13+Q1377)/14</f>
        <v>65.1019272314124</v>
      </c>
      <c r="T1377" s="7" t="n">
        <f aca="false">IF(S1377=0,100,100-100/(1+R1377/S1377))</f>
        <v>60.9439649881398</v>
      </c>
      <c r="U1377" s="7" t="n">
        <f aca="false">E1377*2/13+U1376*11/13</f>
        <v>21712.9000994962</v>
      </c>
      <c r="V1377" s="7" t="n">
        <f aca="false">E1377*2/27+V1376*25/27</f>
        <v>21406.2677929244</v>
      </c>
      <c r="W1377" s="7" t="n">
        <f aca="false">U1377-V1377</f>
        <v>306.632306571766</v>
      </c>
      <c r="X1377" s="7" t="n">
        <f aca="false">W1377*2/10+X1376*8/10</f>
        <v>375.269621446409</v>
      </c>
      <c r="Y1377" s="7" t="n">
        <f aca="false">W1377-X1377</f>
        <v>-68.6373148746433</v>
      </c>
      <c r="Z1377" s="8" t="s">
        <v>42</v>
      </c>
      <c r="AA1377" s="7" t="str">
        <f aca="false">IFERROR(INDEX(02_轉折點45!B:B,MATCH(A1377,02_轉折點45!A:A,0)),"")</f>
        <v/>
      </c>
      <c r="AB1377" s="7" t="n">
        <f aca="false">COUNTIFS(05_訊號明細!A:A,A1377,05_訊號明細!C:C,"TOP")</f>
        <v>0</v>
      </c>
      <c r="AC1377" s="7" t="n">
        <f aca="false">COUNTIFS(05_訊號明細!A:A,A1377,05_訊號明細!C:C,"BOTTOM")</f>
        <v>0</v>
      </c>
    </row>
    <row r="1378" customFormat="false" ht="15" hidden="false" customHeight="false" outlineLevel="0" collapsed="false">
      <c r="A1378" s="7" t="s">
        <v>1419</v>
      </c>
      <c r="B1378" s="7" t="n">
        <v>22053.33</v>
      </c>
      <c r="C1378" s="7" t="n">
        <v>22220.64</v>
      </c>
      <c r="D1378" s="7" t="n">
        <v>22045.63</v>
      </c>
      <c r="E1378" s="7" t="n">
        <v>22190.52</v>
      </c>
      <c r="F1378" s="7" t="n">
        <v>8330</v>
      </c>
      <c r="G1378" s="7" t="n">
        <f aca="false">AVERAGE(E1374:E1378)</f>
        <v>21822.402</v>
      </c>
      <c r="H1378" s="7" t="n">
        <f aca="false">AVERAGE(E1369:E1378)</f>
        <v>21839.666</v>
      </c>
      <c r="I1378" s="7" t="n">
        <f aca="false">AVERAGE(E1359:E1378)</f>
        <v>21690.905</v>
      </c>
      <c r="J1378" s="7" t="n">
        <f aca="false">AVERAGE(E1329:E1378)</f>
        <v>20606.6328</v>
      </c>
      <c r="K1378" s="7" t="n">
        <f aca="false">AVERAGE(E1279:E1378)</f>
        <v>20466</v>
      </c>
      <c r="L1378" s="7" t="n">
        <f aca="false">AVERAGE(E1179:E1378)</f>
        <v>20553.69845</v>
      </c>
      <c r="M1378" s="7" t="n">
        <f aca="false">I1378</f>
        <v>21690.905</v>
      </c>
      <c r="N1378" s="7" t="n">
        <f aca="false">I1378+2*STDEV(E1359:E1378)</f>
        <v>22152.3472816162</v>
      </c>
      <c r="O1378" s="7" t="n">
        <f aca="false">I1378-2*STDEV(E1359:E1378)</f>
        <v>21229.4627183838</v>
      </c>
      <c r="P1378" s="7" t="n">
        <f aca="false">MAX(E1378-E1377,0)</f>
        <v>334.189999999999</v>
      </c>
      <c r="Q1378" s="7" t="n">
        <f aca="false">MAX(E1377-E1378,0)</f>
        <v>0</v>
      </c>
      <c r="R1378" s="7" t="n">
        <f aca="false">(R1377*13+P1378)/14</f>
        <v>118.201123044032</v>
      </c>
      <c r="S1378" s="7" t="n">
        <f aca="false">(S1377*13+Q1378)/14</f>
        <v>60.4517895720258</v>
      </c>
      <c r="T1378" s="7" t="n">
        <f aca="false">IF(S1378=0,100,100-100/(1+R1378/S1378))</f>
        <v>66.162438279446</v>
      </c>
      <c r="U1378" s="7" t="n">
        <f aca="false">E1378*2/13+U1377*11/13</f>
        <v>21786.3800841891</v>
      </c>
      <c r="V1378" s="7" t="n">
        <f aca="false">E1378*2/27+V1377*25/27</f>
        <v>21464.3605490041</v>
      </c>
      <c r="W1378" s="7" t="n">
        <f aca="false">U1378-V1378</f>
        <v>322.019535184987</v>
      </c>
      <c r="X1378" s="7" t="n">
        <f aca="false">W1378*2/10+X1377*8/10</f>
        <v>364.619604194125</v>
      </c>
      <c r="Y1378" s="7" t="n">
        <f aca="false">W1378-X1378</f>
        <v>-42.6000690091378</v>
      </c>
      <c r="Z1378" s="8" t="s">
        <v>42</v>
      </c>
      <c r="AA1378" s="7" t="str">
        <f aca="false">IFERROR(INDEX(02_轉折點45!B:B,MATCH(A1378,02_轉折點45!A:A,0)),"")</f>
        <v/>
      </c>
      <c r="AB1378" s="7" t="n">
        <f aca="false">COUNTIFS(05_訊號明細!A:A,A1378,05_訊號明細!C:C,"TOP")</f>
        <v>1</v>
      </c>
      <c r="AC1378" s="7" t="n">
        <f aca="false">COUNTIFS(05_訊號明細!A:A,A1378,05_訊號明細!C:C,"BOTTOM")</f>
        <v>0</v>
      </c>
    </row>
    <row r="1379" customFormat="false" ht="15" hidden="false" customHeight="false" outlineLevel="0" collapsed="false">
      <c r="A1379" s="7" t="s">
        <v>1420</v>
      </c>
      <c r="B1379" s="7" t="n">
        <v>22279.69</v>
      </c>
      <c r="C1379" s="7" t="n">
        <v>22329.23</v>
      </c>
      <c r="D1379" s="7" t="n">
        <v>22175.08</v>
      </c>
      <c r="E1379" s="7" t="n">
        <v>22237.74</v>
      </c>
      <c r="F1379" s="7" t="n">
        <v>8256</v>
      </c>
      <c r="G1379" s="7" t="n">
        <f aca="false">AVERAGE(E1375:E1379)</f>
        <v>21926.134</v>
      </c>
      <c r="H1379" s="7" t="n">
        <f aca="false">AVERAGE(E1370:E1379)</f>
        <v>21869.248</v>
      </c>
      <c r="I1379" s="7" t="n">
        <f aca="false">AVERAGE(E1360:E1379)</f>
        <v>21732.0425</v>
      </c>
      <c r="J1379" s="7" t="n">
        <f aca="false">AVERAGE(E1330:E1379)</f>
        <v>20677.5866</v>
      </c>
      <c r="K1379" s="7" t="n">
        <f aca="false">AVERAGE(E1280:E1379)</f>
        <v>20473.2962</v>
      </c>
      <c r="L1379" s="7" t="n">
        <f aca="false">AVERAGE(E1180:E1379)</f>
        <v>20570.2355</v>
      </c>
      <c r="M1379" s="7" t="n">
        <f aca="false">I1379</f>
        <v>21732.0425</v>
      </c>
      <c r="N1379" s="7" t="n">
        <f aca="false">I1379+2*STDEV(E1360:E1379)</f>
        <v>22234.7648160218</v>
      </c>
      <c r="O1379" s="7" t="n">
        <f aca="false">I1379-2*STDEV(E1360:E1379)</f>
        <v>21229.3201839782</v>
      </c>
      <c r="P1379" s="7" t="n">
        <f aca="false">MAX(E1379-E1378,0)</f>
        <v>47.2200000000012</v>
      </c>
      <c r="Q1379" s="7" t="n">
        <f aca="false">MAX(E1378-E1379,0)</f>
        <v>0</v>
      </c>
      <c r="R1379" s="7" t="n">
        <f aca="false">(R1378*13+P1379)/14</f>
        <v>113.131042826601</v>
      </c>
      <c r="S1379" s="7" t="n">
        <f aca="false">(S1378*13+Q1379)/14</f>
        <v>56.1338046025954</v>
      </c>
      <c r="T1379" s="7" t="n">
        <f aca="false">IF(S1379=0,100,100-100/(1+R1379/S1379))</f>
        <v>66.8367026850769</v>
      </c>
      <c r="U1379" s="7" t="n">
        <f aca="false">E1379*2/13+U1378*11/13</f>
        <v>21855.8200712369</v>
      </c>
      <c r="V1379" s="7" t="n">
        <f aca="false">E1379*2/27+V1378*25/27</f>
        <v>21521.6479157445</v>
      </c>
      <c r="W1379" s="7" t="n">
        <f aca="false">U1379-V1379</f>
        <v>334.172155492382</v>
      </c>
      <c r="X1379" s="7" t="n">
        <f aca="false">W1379*2/10+X1378*8/10</f>
        <v>358.530114453776</v>
      </c>
      <c r="Y1379" s="7" t="n">
        <f aca="false">W1379-X1379</f>
        <v>-24.3579589613939</v>
      </c>
      <c r="Z1379" s="8" t="s">
        <v>42</v>
      </c>
      <c r="AA1379" s="7" t="str">
        <f aca="false">IFERROR(INDEX(02_轉折點45!B:B,MATCH(A1379,02_轉折點45!A:A,0)),"")</f>
        <v/>
      </c>
      <c r="AB1379" s="7" t="n">
        <f aca="false">COUNTIFS(05_訊號明細!A:A,A1379,05_訊號明細!C:C,"TOP")</f>
        <v>1</v>
      </c>
      <c r="AC1379" s="7" t="n">
        <f aca="false">COUNTIFS(05_訊號明細!A:A,A1379,05_訊號明細!C:C,"BOTTOM")</f>
        <v>0</v>
      </c>
    </row>
    <row r="1380" customFormat="false" ht="15" hidden="false" customHeight="false" outlineLevel="0" collapsed="false">
      <c r="A1380" s="7" t="s">
        <v>1421</v>
      </c>
      <c r="B1380" s="7" t="n">
        <v>22328.24</v>
      </c>
      <c r="C1380" s="7" t="n">
        <v>22466.99</v>
      </c>
      <c r="D1380" s="7" t="n">
        <v>22255.27</v>
      </c>
      <c r="E1380" s="7" t="n">
        <v>22447.29</v>
      </c>
      <c r="F1380" s="7" t="n">
        <v>8383</v>
      </c>
      <c r="G1380" s="7" t="n">
        <f aca="false">AVERAGE(E1376:E1380)</f>
        <v>22071.654</v>
      </c>
      <c r="H1380" s="7" t="n">
        <f aca="false">AVERAGE(E1371:E1380)</f>
        <v>21927.897</v>
      </c>
      <c r="I1380" s="7" t="n">
        <f aca="false">AVERAGE(E1361:E1380)</f>
        <v>21788.4985</v>
      </c>
      <c r="J1380" s="7" t="n">
        <f aca="false">AVERAGE(E1331:E1380)</f>
        <v>20750.612</v>
      </c>
      <c r="K1380" s="7" t="n">
        <f aca="false">AVERAGE(E1281:E1380)</f>
        <v>20482.9886</v>
      </c>
      <c r="L1380" s="7" t="n">
        <f aca="false">AVERAGE(E1181:E1380)</f>
        <v>20590.3654</v>
      </c>
      <c r="M1380" s="7" t="n">
        <f aca="false">I1380</f>
        <v>21788.4985</v>
      </c>
      <c r="N1380" s="7" t="n">
        <f aca="false">I1380+2*STDEV(E1361:E1380)</f>
        <v>22346.1267754771</v>
      </c>
      <c r="O1380" s="7" t="n">
        <f aca="false">I1380-2*STDEV(E1361:E1380)</f>
        <v>21230.8702245229</v>
      </c>
      <c r="P1380" s="7" t="n">
        <f aca="false">MAX(E1380-E1379,0)</f>
        <v>209.549999999999</v>
      </c>
      <c r="Q1380" s="7" t="n">
        <f aca="false">MAX(E1379-E1380,0)</f>
        <v>0</v>
      </c>
      <c r="R1380" s="7" t="n">
        <f aca="false">(R1379*13+P1380)/14</f>
        <v>120.018111196129</v>
      </c>
      <c r="S1380" s="7" t="n">
        <f aca="false">(S1379*13+Q1380)/14</f>
        <v>52.1242471309814</v>
      </c>
      <c r="T1380" s="7" t="n">
        <f aca="false">IF(S1380=0,100,100-100/(1+R1380/S1380))</f>
        <v>69.7202666226211</v>
      </c>
      <c r="U1380" s="7" t="n">
        <f aca="false">E1380*2/13+U1379*11/13</f>
        <v>21946.8154448928</v>
      </c>
      <c r="V1380" s="7" t="n">
        <f aca="false">E1380*2/27+V1379*25/27</f>
        <v>21590.2139960597</v>
      </c>
      <c r="W1380" s="7" t="n">
        <f aca="false">U1380-V1380</f>
        <v>356.601448833026</v>
      </c>
      <c r="X1380" s="7" t="n">
        <f aca="false">W1380*2/10+X1379*8/10</f>
        <v>358.144381329626</v>
      </c>
      <c r="Y1380" s="7" t="n">
        <f aca="false">W1380-X1380</f>
        <v>-1.5429324966006</v>
      </c>
      <c r="Z1380" s="8" t="s">
        <v>42</v>
      </c>
      <c r="AA1380" s="7" t="str">
        <f aca="false">IFERROR(INDEX(02_轉折點45!B:B,MATCH(A1380,02_轉折點45!A:A,0)),"")</f>
        <v/>
      </c>
      <c r="AB1380" s="7" t="n">
        <f aca="false">COUNTIFS(05_訊號明細!A:A,A1380,05_訊號明細!C:C,"TOP")</f>
        <v>0</v>
      </c>
      <c r="AC1380" s="7" t="n">
        <f aca="false">COUNTIFS(05_訊號明細!A:A,A1380,05_訊號明細!C:C,"BOTTOM")</f>
        <v>0</v>
      </c>
    </row>
    <row r="1381" customFormat="false" ht="15" hidden="false" customHeight="false" outlineLevel="0" collapsed="false">
      <c r="A1381" s="7" t="s">
        <v>1422</v>
      </c>
      <c r="B1381" s="7" t="n">
        <v>22484.87</v>
      </c>
      <c r="C1381" s="7" t="n">
        <v>22603.22</v>
      </c>
      <c r="D1381" s="7" t="n">
        <v>22382.79</v>
      </c>
      <c r="E1381" s="7" t="n">
        <v>22534.2</v>
      </c>
      <c r="F1381" s="7" t="n">
        <v>10951</v>
      </c>
      <c r="G1381" s="7" t="n">
        <f aca="false">AVERAGE(E1377:E1381)</f>
        <v>22253.216</v>
      </c>
      <c r="H1381" s="7" t="n">
        <f aca="false">AVERAGE(E1372:E1381)</f>
        <v>21989.985</v>
      </c>
      <c r="I1381" s="7" t="n">
        <f aca="false">AVERAGE(E1362:E1381)</f>
        <v>21847.011</v>
      </c>
      <c r="J1381" s="7" t="n">
        <f aca="false">AVERAGE(E1332:E1381)</f>
        <v>20824.6914</v>
      </c>
      <c r="K1381" s="7" t="n">
        <f aca="false">AVERAGE(E1282:E1381)</f>
        <v>20495.3548</v>
      </c>
      <c r="L1381" s="7" t="n">
        <f aca="false">AVERAGE(E1182:E1381)</f>
        <v>20609.7325</v>
      </c>
      <c r="M1381" s="7" t="n">
        <f aca="false">I1381</f>
        <v>21847.011</v>
      </c>
      <c r="N1381" s="7" t="n">
        <f aca="false">I1381+2*STDEV(E1362:E1381)</f>
        <v>22459.918512518</v>
      </c>
      <c r="O1381" s="7" t="n">
        <f aca="false">I1381-2*STDEV(E1362:E1381)</f>
        <v>21234.103487482</v>
      </c>
      <c r="P1381" s="7" t="n">
        <f aca="false">MAX(E1381-E1380,0)</f>
        <v>86.9099999999999</v>
      </c>
      <c r="Q1381" s="7" t="n">
        <f aca="false">MAX(E1380-E1381,0)</f>
        <v>0</v>
      </c>
      <c r="R1381" s="7" t="n">
        <f aca="false">(R1380*13+P1381)/14</f>
        <v>117.653246110692</v>
      </c>
      <c r="S1381" s="7" t="n">
        <f aca="false">(S1380*13+Q1381)/14</f>
        <v>48.4010866216256</v>
      </c>
      <c r="T1381" s="7" t="n">
        <f aca="false">IF(S1381=0,100,100-100/(1+R1381/S1381))</f>
        <v>70.852259121929</v>
      </c>
      <c r="U1381" s="7" t="n">
        <f aca="false">E1381*2/13+U1380*11/13</f>
        <v>22037.1822995246</v>
      </c>
      <c r="V1381" s="7" t="n">
        <f aca="false">E1381*2/27+V1380*25/27</f>
        <v>21660.1388852405</v>
      </c>
      <c r="W1381" s="7" t="n">
        <f aca="false">U1381-V1381</f>
        <v>377.043414284144</v>
      </c>
      <c r="X1381" s="7" t="n">
        <f aca="false">W1381*2/10+X1380*8/10</f>
        <v>361.92418792053</v>
      </c>
      <c r="Y1381" s="7" t="n">
        <f aca="false">W1381-X1381</f>
        <v>15.1192263636143</v>
      </c>
      <c r="Z1381" s="8" t="s">
        <v>42</v>
      </c>
      <c r="AA1381" s="7" t="str">
        <f aca="false">IFERROR(INDEX(02_轉折點45!B:B,MATCH(A1381,02_轉折點45!A:A,0)),"")</f>
        <v/>
      </c>
      <c r="AB1381" s="7" t="n">
        <f aca="false">COUNTIFS(05_訊號明細!A:A,A1381,05_訊號明細!C:C,"TOP")</f>
        <v>0</v>
      </c>
      <c r="AC1381" s="7" t="n">
        <f aca="false">COUNTIFS(05_訊號明細!A:A,A1381,05_訊號明細!C:C,"BOTTOM")</f>
        <v>0</v>
      </c>
    </row>
    <row r="1382" customFormat="false" ht="15" hidden="false" customHeight="false" outlineLevel="0" collapsed="false">
      <c r="A1382" s="7" t="s">
        <v>1423</v>
      </c>
      <c r="B1382" s="7" t="n">
        <v>22632.92</v>
      </c>
      <c r="C1382" s="7" t="n">
        <v>22721.5</v>
      </c>
      <c r="D1382" s="7" t="n">
        <v>22565.11</v>
      </c>
      <c r="E1382" s="7" t="n">
        <v>22679.01</v>
      </c>
      <c r="F1382" s="7" t="n">
        <v>8220</v>
      </c>
      <c r="G1382" s="7" t="n">
        <f aca="false">AVERAGE(E1378:E1382)</f>
        <v>22417.752</v>
      </c>
      <c r="H1382" s="7" t="n">
        <f aca="false">AVERAGE(E1373:E1382)</f>
        <v>22094.782</v>
      </c>
      <c r="I1382" s="7" t="n">
        <f aca="false">AVERAGE(E1363:E1382)</f>
        <v>21913.912</v>
      </c>
      <c r="J1382" s="7" t="n">
        <f aca="false">AVERAGE(E1333:E1382)</f>
        <v>20913.1188</v>
      </c>
      <c r="K1382" s="7" t="n">
        <f aca="false">AVERAGE(E1283:E1382)</f>
        <v>20506.4757</v>
      </c>
      <c r="L1382" s="7" t="n">
        <f aca="false">AVERAGE(E1183:E1382)</f>
        <v>20628.98185</v>
      </c>
      <c r="M1382" s="7" t="n">
        <f aca="false">I1382</f>
        <v>21913.912</v>
      </c>
      <c r="N1382" s="7" t="n">
        <f aca="false">I1382+2*STDEV(E1363:E1382)</f>
        <v>22583.7139184521</v>
      </c>
      <c r="O1382" s="7" t="n">
        <f aca="false">I1382-2*STDEV(E1363:E1382)</f>
        <v>21244.1100815479</v>
      </c>
      <c r="P1382" s="7" t="n">
        <f aca="false">MAX(E1382-E1381,0)</f>
        <v>144.809999999998</v>
      </c>
      <c r="Q1382" s="7" t="n">
        <f aca="false">MAX(E1381-E1382,0)</f>
        <v>0</v>
      </c>
      <c r="R1382" s="7" t="n">
        <f aca="false">(R1381*13+P1382)/14</f>
        <v>119.593014245642</v>
      </c>
      <c r="S1382" s="7" t="n">
        <f aca="false">(S1381*13+Q1382)/14</f>
        <v>44.9438661486524</v>
      </c>
      <c r="T1382" s="7" t="n">
        <f aca="false">IF(S1382=0,100,100-100/(1+R1382/S1382))</f>
        <v>72.6846248446249</v>
      </c>
      <c r="U1382" s="7" t="n">
        <f aca="false">E1382*2/13+U1381*11/13</f>
        <v>22135.9250226747</v>
      </c>
      <c r="V1382" s="7" t="n">
        <f aca="false">E1382*2/27+V1381*25/27</f>
        <v>21735.6108196671</v>
      </c>
      <c r="W1382" s="7" t="n">
        <f aca="false">U1382-V1382</f>
        <v>400.314203007572</v>
      </c>
      <c r="X1382" s="7" t="n">
        <f aca="false">W1382*2/10+X1381*8/10</f>
        <v>369.602190937938</v>
      </c>
      <c r="Y1382" s="7" t="n">
        <f aca="false">W1382-X1382</f>
        <v>30.7120120696341</v>
      </c>
      <c r="Z1382" s="8" t="s">
        <v>42</v>
      </c>
      <c r="AA1382" s="7" t="str">
        <f aca="false">IFERROR(INDEX(02_轉折點45!B:B,MATCH(A1382,02_轉折點45!A:A,0)),"")</f>
        <v/>
      </c>
      <c r="AB1382" s="7" t="n">
        <f aca="false">COUNTIFS(05_訊號明細!A:A,A1382,05_訊號明細!C:C,"TOP")</f>
        <v>0</v>
      </c>
      <c r="AC1382" s="7" t="n">
        <f aca="false">COUNTIFS(05_訊號明細!A:A,A1382,05_訊號明細!C:C,"BOTTOM")</f>
        <v>0</v>
      </c>
    </row>
    <row r="1383" customFormat="false" ht="15" hidden="false" customHeight="false" outlineLevel="0" collapsed="false">
      <c r="A1383" s="7" t="s">
        <v>1424</v>
      </c>
      <c r="B1383" s="7" t="n">
        <v>22594.48</v>
      </c>
      <c r="C1383" s="7" t="n">
        <v>22631.26</v>
      </c>
      <c r="D1383" s="7" t="n">
        <v>22388.09</v>
      </c>
      <c r="E1383" s="7" t="n">
        <v>22478.13</v>
      </c>
      <c r="F1383" s="7" t="n">
        <v>8632</v>
      </c>
      <c r="G1383" s="7" t="n">
        <f aca="false">AVERAGE(E1379:E1383)</f>
        <v>22475.274</v>
      </c>
      <c r="H1383" s="7" t="n">
        <f aca="false">AVERAGE(E1374:E1383)</f>
        <v>22148.838</v>
      </c>
      <c r="I1383" s="7" t="n">
        <f aca="false">AVERAGE(E1364:E1383)</f>
        <v>21963.231</v>
      </c>
      <c r="J1383" s="7" t="n">
        <f aca="false">AVERAGE(E1334:E1383)</f>
        <v>20997.5196</v>
      </c>
      <c r="K1383" s="7" t="n">
        <f aca="false">AVERAGE(E1284:E1383)</f>
        <v>20514.6754</v>
      </c>
      <c r="L1383" s="7" t="n">
        <f aca="false">AVERAGE(E1184:E1383)</f>
        <v>20645.186</v>
      </c>
      <c r="M1383" s="7" t="n">
        <f aca="false">I1383</f>
        <v>21963.231</v>
      </c>
      <c r="N1383" s="7" t="n">
        <f aca="false">I1383+2*STDEV(E1364:E1383)</f>
        <v>22647.2575183194</v>
      </c>
      <c r="O1383" s="7" t="n">
        <f aca="false">I1383-2*STDEV(E1364:E1383)</f>
        <v>21279.2044816806</v>
      </c>
      <c r="P1383" s="7" t="n">
        <f aca="false">MAX(E1383-E1382,0)</f>
        <v>0</v>
      </c>
      <c r="Q1383" s="7" t="n">
        <f aca="false">MAX(E1382-E1383,0)</f>
        <v>200.879999999997</v>
      </c>
      <c r="R1383" s="7" t="n">
        <f aca="false">(R1382*13+P1383)/14</f>
        <v>111.050656085239</v>
      </c>
      <c r="S1383" s="7" t="n">
        <f aca="false">(S1382*13+Q1383)/14</f>
        <v>56.0821614237484</v>
      </c>
      <c r="T1383" s="7" t="n">
        <f aca="false">IF(S1383=0,100,100-100/(1+R1383/S1383))</f>
        <v>66.4445545407426</v>
      </c>
      <c r="U1383" s="7" t="n">
        <f aca="false">E1383*2/13+U1382*11/13</f>
        <v>22188.5719422632</v>
      </c>
      <c r="V1383" s="7" t="n">
        <f aca="false">E1383*2/27+V1382*25/27</f>
        <v>21790.6122404325</v>
      </c>
      <c r="W1383" s="7" t="n">
        <f aca="false">U1383-V1383</f>
        <v>397.959701830685</v>
      </c>
      <c r="X1383" s="7" t="n">
        <f aca="false">W1383*2/10+X1382*8/10</f>
        <v>375.273693116488</v>
      </c>
      <c r="Y1383" s="7" t="n">
        <f aca="false">W1383-X1383</f>
        <v>22.6860087141973</v>
      </c>
      <c r="Z1383" s="8" t="s">
        <v>42</v>
      </c>
      <c r="AA1383" s="7" t="str">
        <f aca="false">IFERROR(INDEX(02_轉折點45!B:B,MATCH(A1383,02_轉折點45!A:A,0)),"")</f>
        <v/>
      </c>
      <c r="AB1383" s="7" t="n">
        <f aca="false">COUNTIFS(05_訊號明細!A:A,A1383,05_訊號明細!C:C,"TOP")</f>
        <v>0</v>
      </c>
      <c r="AC1383" s="7" t="n">
        <f aca="false">COUNTIFS(05_訊號明細!A:A,A1383,05_訊號明細!C:C,"BOTTOM")</f>
        <v>0</v>
      </c>
    </row>
    <row r="1384" customFormat="false" ht="15" hidden="false" customHeight="false" outlineLevel="0" collapsed="false">
      <c r="A1384" s="7" t="s">
        <v>1425</v>
      </c>
      <c r="B1384" s="7" t="n">
        <v>22451.81</v>
      </c>
      <c r="C1384" s="7" t="n">
        <v>22644.72</v>
      </c>
      <c r="D1384" s="7" t="n">
        <v>22448.07</v>
      </c>
      <c r="E1384" s="7" t="n">
        <v>22641.89</v>
      </c>
      <c r="F1384" s="7" t="n">
        <v>8379</v>
      </c>
      <c r="G1384" s="7" t="n">
        <f aca="false">AVERAGE(E1380:E1384)</f>
        <v>22556.104</v>
      </c>
      <c r="H1384" s="7" t="n">
        <f aca="false">AVERAGE(E1375:E1384)</f>
        <v>22241.119</v>
      </c>
      <c r="I1384" s="7" t="n">
        <f aca="false">AVERAGE(E1365:E1384)</f>
        <v>22012.1965</v>
      </c>
      <c r="J1384" s="7" t="n">
        <f aca="false">AVERAGE(E1335:E1384)</f>
        <v>21094.1914</v>
      </c>
      <c r="K1384" s="7" t="n">
        <f aca="false">AVERAGE(E1285:E1384)</f>
        <v>20523.3536</v>
      </c>
      <c r="L1384" s="7" t="n">
        <f aca="false">AVERAGE(E1185:E1384)</f>
        <v>20661.2801</v>
      </c>
      <c r="M1384" s="7" t="n">
        <f aca="false">I1384</f>
        <v>22012.1965</v>
      </c>
      <c r="N1384" s="7" t="n">
        <f aca="false">I1384+2*STDEV(E1365:E1384)</f>
        <v>22744.133070455</v>
      </c>
      <c r="O1384" s="7" t="n">
        <f aca="false">I1384-2*STDEV(E1365:E1384)</f>
        <v>21280.259929545</v>
      </c>
      <c r="P1384" s="7" t="n">
        <f aca="false">MAX(E1384-E1383,0)</f>
        <v>163.759999999998</v>
      </c>
      <c r="Q1384" s="7" t="n">
        <f aca="false">MAX(E1383-E1384,0)</f>
        <v>0</v>
      </c>
      <c r="R1384" s="7" t="n">
        <f aca="false">(R1383*13+P1384)/14</f>
        <v>114.815609222007</v>
      </c>
      <c r="S1384" s="7" t="n">
        <f aca="false">(S1383*13+Q1384)/14</f>
        <v>52.0762927506235</v>
      </c>
      <c r="T1384" s="7" t="n">
        <f aca="false">IF(S1384=0,100,100-100/(1+R1384/S1384))</f>
        <v>68.7963932730759</v>
      </c>
      <c r="U1384" s="7" t="n">
        <f aca="false">E1384*2/13+U1383*11/13</f>
        <v>22258.313181915</v>
      </c>
      <c r="V1384" s="7" t="n">
        <f aca="false">E1384*2/27+V1383*25/27</f>
        <v>21853.6698522523</v>
      </c>
      <c r="W1384" s="7" t="n">
        <f aca="false">U1384-V1384</f>
        <v>404.643329662686</v>
      </c>
      <c r="X1384" s="7" t="n">
        <f aca="false">W1384*2/10+X1383*8/10</f>
        <v>381.147620425727</v>
      </c>
      <c r="Y1384" s="7" t="n">
        <f aca="false">W1384-X1384</f>
        <v>23.4957092369584</v>
      </c>
      <c r="Z1384" s="8" t="s">
        <v>42</v>
      </c>
      <c r="AA1384" s="7" t="str">
        <f aca="false">IFERROR(INDEX(02_轉折點45!B:B,MATCH(A1384,02_轉折點45!A:A,0)),"")</f>
        <v/>
      </c>
      <c r="AB1384" s="7" t="n">
        <f aca="false">COUNTIFS(05_訊號明細!A:A,A1384,05_訊號明細!C:C,"TOP")</f>
        <v>0</v>
      </c>
      <c r="AC1384" s="7" t="n">
        <f aca="false">COUNTIFS(05_訊號明細!A:A,A1384,05_訊號明細!C:C,"BOTTOM")</f>
        <v>0</v>
      </c>
    </row>
    <row r="1385" customFormat="false" ht="15" hidden="false" customHeight="false" outlineLevel="0" collapsed="false">
      <c r="A1385" s="7" t="s">
        <v>1426</v>
      </c>
      <c r="B1385" s="7" t="n">
        <v>22751.64</v>
      </c>
      <c r="C1385" s="7" t="n">
        <v>22896.01</v>
      </c>
      <c r="D1385" s="7" t="n">
        <v>22736.08</v>
      </c>
      <c r="E1385" s="7" t="n">
        <v>22866.97</v>
      </c>
      <c r="F1385" s="7" t="n">
        <v>6178</v>
      </c>
      <c r="G1385" s="7" t="n">
        <f aca="false">AVERAGE(E1381:E1385)</f>
        <v>22640.04</v>
      </c>
      <c r="H1385" s="7" t="n">
        <f aca="false">AVERAGE(E1376:E1385)</f>
        <v>22355.847</v>
      </c>
      <c r="I1385" s="7" t="n">
        <f aca="false">AVERAGE(E1366:E1385)</f>
        <v>22069.449</v>
      </c>
      <c r="J1385" s="7" t="n">
        <f aca="false">AVERAGE(E1336:E1385)</f>
        <v>21186.0026</v>
      </c>
      <c r="K1385" s="7" t="n">
        <f aca="false">AVERAGE(E1286:E1385)</f>
        <v>20537.1102</v>
      </c>
      <c r="L1385" s="7" t="n">
        <f aca="false">AVERAGE(E1186:E1385)</f>
        <v>20678.042</v>
      </c>
      <c r="M1385" s="7" t="n">
        <f aca="false">I1385</f>
        <v>22069.449</v>
      </c>
      <c r="N1385" s="7" t="n">
        <f aca="false">I1385+2*STDEV(E1366:E1385)</f>
        <v>22880.6266033423</v>
      </c>
      <c r="O1385" s="7" t="n">
        <f aca="false">I1385-2*STDEV(E1366:E1385)</f>
        <v>21258.2713966577</v>
      </c>
      <c r="P1385" s="7" t="n">
        <f aca="false">MAX(E1385-E1384,0)</f>
        <v>225.080000000002</v>
      </c>
      <c r="Q1385" s="7" t="n">
        <f aca="false">MAX(E1384-E1385,0)</f>
        <v>0</v>
      </c>
      <c r="R1385" s="7" t="n">
        <f aca="false">(R1384*13+P1385)/14</f>
        <v>122.691637134721</v>
      </c>
      <c r="S1385" s="7" t="n">
        <f aca="false">(S1384*13+Q1385)/14</f>
        <v>48.3565575541504</v>
      </c>
      <c r="T1385" s="7" t="n">
        <f aca="false">IF(S1385=0,100,100-100/(1+R1385/S1385))</f>
        <v>71.7292791998719</v>
      </c>
      <c r="U1385" s="7" t="n">
        <f aca="false">E1385*2/13+U1384*11/13</f>
        <v>22351.9526923896</v>
      </c>
      <c r="V1385" s="7" t="n">
        <f aca="false">E1385*2/27+V1384*25/27</f>
        <v>21928.7291224559</v>
      </c>
      <c r="W1385" s="7" t="n">
        <f aca="false">U1385-V1385</f>
        <v>423.223569933769</v>
      </c>
      <c r="X1385" s="7" t="n">
        <f aca="false">W1385*2/10+X1384*8/10</f>
        <v>389.562810327336</v>
      </c>
      <c r="Y1385" s="7" t="n">
        <f aca="false">W1385-X1385</f>
        <v>33.6607596064333</v>
      </c>
      <c r="Z1385" s="8" t="s">
        <v>42</v>
      </c>
      <c r="AA1385" s="7" t="str">
        <f aca="false">IFERROR(INDEX(02_轉折點45!B:B,MATCH(A1385,02_轉折點45!A:A,0)),"")</f>
        <v/>
      </c>
      <c r="AB1385" s="7" t="n">
        <f aca="false">COUNTIFS(05_訊號明細!A:A,A1385,05_訊號明細!C:C,"TOP")</f>
        <v>0</v>
      </c>
      <c r="AC1385" s="7" t="n">
        <f aca="false">COUNTIFS(05_訊號明細!A:A,A1385,05_訊號明細!C:C,"BOTTOM")</f>
        <v>0</v>
      </c>
    </row>
    <row r="1386" customFormat="false" ht="15" hidden="false" customHeight="false" outlineLevel="0" collapsed="false">
      <c r="A1386" s="7" t="s">
        <v>1427</v>
      </c>
      <c r="B1386" s="7" t="n">
        <v>22754.38</v>
      </c>
      <c r="C1386" s="7" t="n">
        <v>22776.21</v>
      </c>
      <c r="D1386" s="7" t="n">
        <v>22587.47</v>
      </c>
      <c r="E1386" s="7" t="n">
        <v>22685.57</v>
      </c>
      <c r="F1386" s="7" t="n">
        <v>8346</v>
      </c>
      <c r="G1386" s="7" t="n">
        <f aca="false">AVERAGE(E1382:E1386)</f>
        <v>22670.314</v>
      </c>
      <c r="H1386" s="7" t="n">
        <f aca="false">AVERAGE(E1377:E1386)</f>
        <v>22461.765</v>
      </c>
      <c r="I1386" s="7" t="n">
        <f aca="false">AVERAGE(E1367:E1386)</f>
        <v>22126.356</v>
      </c>
      <c r="J1386" s="7" t="n">
        <f aca="false">AVERAGE(E1337:E1386)</f>
        <v>21265.8488</v>
      </c>
      <c r="K1386" s="7" t="n">
        <f aca="false">AVERAGE(E1287:E1386)</f>
        <v>20546.3986</v>
      </c>
      <c r="L1386" s="7" t="n">
        <f aca="false">AVERAGE(E1187:E1386)</f>
        <v>20694.35455</v>
      </c>
      <c r="M1386" s="7" t="n">
        <f aca="false">I1386</f>
        <v>22126.356</v>
      </c>
      <c r="N1386" s="7" t="n">
        <f aca="false">I1386+2*STDEV(E1367:E1386)</f>
        <v>22943.0085205896</v>
      </c>
      <c r="O1386" s="7" t="n">
        <f aca="false">I1386-2*STDEV(E1367:E1386)</f>
        <v>21309.7034794105</v>
      </c>
      <c r="P1386" s="7" t="n">
        <f aca="false">MAX(E1386-E1385,0)</f>
        <v>0</v>
      </c>
      <c r="Q1386" s="7" t="n">
        <f aca="false">MAX(E1385-E1386,0)</f>
        <v>181.400000000001</v>
      </c>
      <c r="R1386" s="7" t="n">
        <f aca="false">(R1385*13+P1386)/14</f>
        <v>113.927948767956</v>
      </c>
      <c r="S1386" s="7" t="n">
        <f aca="false">(S1385*13+Q1386)/14</f>
        <v>57.8596605859969</v>
      </c>
      <c r="T1386" s="7" t="n">
        <f aca="false">IF(S1386=0,100,100-100/(1+R1386/S1386))</f>
        <v>66.3190722523052</v>
      </c>
      <c r="U1386" s="7" t="n">
        <f aca="false">E1386*2/13+U1385*11/13</f>
        <v>22403.278432022</v>
      </c>
      <c r="V1386" s="7" t="n">
        <f aca="false">E1386*2/27+V1385*25/27</f>
        <v>21984.7914096814</v>
      </c>
      <c r="W1386" s="7" t="n">
        <f aca="false">U1386-V1386</f>
        <v>418.487022340643</v>
      </c>
      <c r="X1386" s="7" t="n">
        <f aca="false">W1386*2/10+X1385*8/10</f>
        <v>395.347652729997</v>
      </c>
      <c r="Y1386" s="7" t="n">
        <f aca="false">W1386-X1386</f>
        <v>23.1393696106462</v>
      </c>
      <c r="Z1386" s="8" t="s">
        <v>42</v>
      </c>
      <c r="AA1386" s="7" t="str">
        <f aca="false">IFERROR(INDEX(02_轉折點45!B:B,MATCH(A1386,02_轉折點45!A:A,0)),"")</f>
        <v/>
      </c>
      <c r="AB1386" s="7" t="n">
        <f aca="false">COUNTIFS(05_訊號明細!A:A,A1386,05_訊號明細!C:C,"TOP")</f>
        <v>0</v>
      </c>
      <c r="AC1386" s="7" t="n">
        <f aca="false">COUNTIFS(05_訊號明細!A:A,A1386,05_訊號明細!C:C,"BOTTOM")</f>
        <v>0</v>
      </c>
    </row>
    <row r="1387" customFormat="false" ht="15" hidden="false" customHeight="false" outlineLevel="0" collapsed="false">
      <c r="A1387" s="7" t="s">
        <v>1428</v>
      </c>
      <c r="B1387" s="7" t="n">
        <v>22735.26</v>
      </c>
      <c r="C1387" s="7" t="n">
        <v>22761.8</v>
      </c>
      <c r="D1387" s="7" t="n">
        <v>22652.44</v>
      </c>
      <c r="E1387" s="7" t="n">
        <v>22702.25</v>
      </c>
      <c r="F1387" s="7" t="n">
        <v>8437</v>
      </c>
      <c r="G1387" s="7" t="n">
        <f aca="false">AVERAGE(E1383:E1387)</f>
        <v>22674.962</v>
      </c>
      <c r="H1387" s="7" t="n">
        <f aca="false">AVERAGE(E1378:E1387)</f>
        <v>22546.357</v>
      </c>
      <c r="I1387" s="7" t="n">
        <f aca="false">AVERAGE(E1368:E1387)</f>
        <v>22173.379</v>
      </c>
      <c r="J1387" s="7" t="n">
        <f aca="false">AVERAGE(E1338:E1387)</f>
        <v>21335.6058</v>
      </c>
      <c r="K1387" s="7" t="n">
        <f aca="false">AVERAGE(E1288:E1387)</f>
        <v>20556.4859</v>
      </c>
      <c r="L1387" s="7" t="n">
        <f aca="false">AVERAGE(E1188:E1387)</f>
        <v>20710.7038</v>
      </c>
      <c r="M1387" s="7" t="n">
        <f aca="false">I1387</f>
        <v>22173.379</v>
      </c>
      <c r="N1387" s="7" t="n">
        <f aca="false">I1387+2*STDEV(E1368:E1387)</f>
        <v>23009.7116764896</v>
      </c>
      <c r="O1387" s="7" t="n">
        <f aca="false">I1387-2*STDEV(E1368:E1387)</f>
        <v>21337.0463235104</v>
      </c>
      <c r="P1387" s="7" t="n">
        <f aca="false">MAX(E1387-E1386,0)</f>
        <v>16.6800000000003</v>
      </c>
      <c r="Q1387" s="7" t="n">
        <f aca="false">MAX(E1386-E1387,0)</f>
        <v>0</v>
      </c>
      <c r="R1387" s="7" t="n">
        <f aca="false">(R1386*13+P1387)/14</f>
        <v>106.981666713102</v>
      </c>
      <c r="S1387" s="7" t="n">
        <f aca="false">(S1386*13+Q1387)/14</f>
        <v>53.7268276869972</v>
      </c>
      <c r="T1387" s="7" t="n">
        <f aca="false">IF(S1387=0,100,100-100/(1+R1387/S1387))</f>
        <v>66.5687691944651</v>
      </c>
      <c r="U1387" s="7" t="n">
        <f aca="false">E1387*2/13+U1386*11/13</f>
        <v>22449.2740578648</v>
      </c>
      <c r="V1387" s="7" t="n">
        <f aca="false">E1387*2/27+V1386*25/27</f>
        <v>22037.9364904457</v>
      </c>
      <c r="W1387" s="7" t="n">
        <f aca="false">U1387-V1387</f>
        <v>411.337567419068</v>
      </c>
      <c r="X1387" s="7" t="n">
        <f aca="false">W1387*2/10+X1386*8/10</f>
        <v>398.545635667811</v>
      </c>
      <c r="Y1387" s="7" t="n">
        <f aca="false">W1387-X1387</f>
        <v>12.791931751257</v>
      </c>
      <c r="Z1387" s="8" t="s">
        <v>42</v>
      </c>
      <c r="AA1387" s="7" t="str">
        <f aca="false">IFERROR(INDEX(02_轉折點45!B:B,MATCH(A1387,02_轉折點45!A:A,0)),"")</f>
        <v/>
      </c>
      <c r="AB1387" s="7" t="n">
        <f aca="false">COUNTIFS(05_訊號明細!A:A,A1387,05_訊號明細!C:C,"TOP")</f>
        <v>0</v>
      </c>
      <c r="AC1387" s="7" t="n">
        <f aca="false">COUNTIFS(05_訊號明細!A:A,A1387,05_訊號明細!C:C,"BOTTOM")</f>
        <v>0</v>
      </c>
    </row>
    <row r="1388" customFormat="false" ht="15" hidden="false" customHeight="false" outlineLevel="0" collapsed="false">
      <c r="A1388" s="7" t="s">
        <v>1429</v>
      </c>
      <c r="B1388" s="7" t="n">
        <v>22800.36</v>
      </c>
      <c r="C1388" s="7" t="n">
        <v>22915.33</v>
      </c>
      <c r="D1388" s="7" t="n">
        <v>22733.65</v>
      </c>
      <c r="E1388" s="7" t="n">
        <v>22864.91</v>
      </c>
      <c r="F1388" s="7" t="n">
        <v>9978</v>
      </c>
      <c r="G1388" s="7" t="n">
        <f aca="false">AVERAGE(E1384:E1388)</f>
        <v>22752.318</v>
      </c>
      <c r="H1388" s="7" t="n">
        <f aca="false">AVERAGE(E1379:E1388)</f>
        <v>22613.796</v>
      </c>
      <c r="I1388" s="7" t="n">
        <f aca="false">AVERAGE(E1369:E1388)</f>
        <v>22226.731</v>
      </c>
      <c r="J1388" s="7" t="n">
        <f aca="false">AVERAGE(E1339:E1388)</f>
        <v>21404.2528</v>
      </c>
      <c r="K1388" s="7" t="n">
        <f aca="false">AVERAGE(E1289:E1388)</f>
        <v>20567.9424</v>
      </c>
      <c r="L1388" s="7" t="n">
        <f aca="false">AVERAGE(E1189:E1388)</f>
        <v>20728.3059</v>
      </c>
      <c r="M1388" s="7" t="n">
        <f aca="false">I1388</f>
        <v>22226.731</v>
      </c>
      <c r="N1388" s="7" t="n">
        <f aca="false">I1388+2*STDEV(E1369:E1388)</f>
        <v>23097.6262489044</v>
      </c>
      <c r="O1388" s="7" t="n">
        <f aca="false">I1388-2*STDEV(E1369:E1388)</f>
        <v>21355.8357510956</v>
      </c>
      <c r="P1388" s="7" t="n">
        <f aca="false">MAX(E1388-E1387,0)</f>
        <v>162.66</v>
      </c>
      <c r="Q1388" s="7" t="n">
        <f aca="false">MAX(E1387-E1388,0)</f>
        <v>0</v>
      </c>
      <c r="R1388" s="7" t="n">
        <f aca="false">(R1387*13+P1388)/14</f>
        <v>110.958690519309</v>
      </c>
      <c r="S1388" s="7" t="n">
        <f aca="false">(S1387*13+Q1388)/14</f>
        <v>49.8891971379259</v>
      </c>
      <c r="T1388" s="7" t="n">
        <f aca="false">IF(S1388=0,100,100-100/(1+R1388/S1388))</f>
        <v>68.9836168416216</v>
      </c>
      <c r="U1388" s="7" t="n">
        <f aca="false">E1388*2/13+U1387*11/13</f>
        <v>22513.2180489625</v>
      </c>
      <c r="V1388" s="7" t="n">
        <f aca="false">E1388*2/27+V1387*25/27</f>
        <v>22099.1937874497</v>
      </c>
      <c r="W1388" s="7" t="n">
        <f aca="false">U1388-V1388</f>
        <v>414.024261512775</v>
      </c>
      <c r="X1388" s="7" t="n">
        <f aca="false">W1388*2/10+X1387*8/10</f>
        <v>401.641360836804</v>
      </c>
      <c r="Y1388" s="7" t="n">
        <f aca="false">W1388-X1388</f>
        <v>12.3829006759713</v>
      </c>
      <c r="Z1388" s="8" t="s">
        <v>42</v>
      </c>
      <c r="AA1388" s="7" t="str">
        <f aca="false">IFERROR(INDEX(02_轉折點45!B:B,MATCH(A1388,02_轉折點45!A:A,0)),"")</f>
        <v/>
      </c>
      <c r="AB1388" s="7" t="n">
        <f aca="false">COUNTIFS(05_訊號明細!A:A,A1388,05_訊號明細!C:C,"TOP")</f>
        <v>0</v>
      </c>
      <c r="AC1388" s="7" t="n">
        <f aca="false">COUNTIFS(05_訊號明細!A:A,A1388,05_訊號明細!C:C,"BOTTOM")</f>
        <v>0</v>
      </c>
    </row>
    <row r="1389" customFormat="false" ht="15" hidden="false" customHeight="false" outlineLevel="0" collapsed="false">
      <c r="A1389" s="7" t="s">
        <v>1430</v>
      </c>
      <c r="B1389" s="7" t="n">
        <v>22890.43</v>
      </c>
      <c r="C1389" s="7" t="n">
        <v>22907.04</v>
      </c>
      <c r="D1389" s="7" t="n">
        <v>22716.41</v>
      </c>
      <c r="E1389" s="7" t="n">
        <v>22829.26</v>
      </c>
      <c r="F1389" s="7" t="n">
        <v>9781</v>
      </c>
      <c r="G1389" s="7" t="n">
        <f aca="false">AVERAGE(E1385:E1389)</f>
        <v>22789.792</v>
      </c>
      <c r="H1389" s="7" t="n">
        <f aca="false">AVERAGE(E1380:E1389)</f>
        <v>22672.948</v>
      </c>
      <c r="I1389" s="7" t="n">
        <f aca="false">AVERAGE(E1370:E1389)</f>
        <v>22271.098</v>
      </c>
      <c r="J1389" s="7" t="n">
        <f aca="false">AVERAGE(E1340:E1389)</f>
        <v>21472.2922</v>
      </c>
      <c r="K1389" s="7" t="n">
        <f aca="false">AVERAGE(E1290:E1389)</f>
        <v>20575.9279</v>
      </c>
      <c r="L1389" s="7" t="n">
        <f aca="false">AVERAGE(E1190:E1389)</f>
        <v>20743.25305</v>
      </c>
      <c r="M1389" s="7" t="n">
        <f aca="false">I1389</f>
        <v>22271.098</v>
      </c>
      <c r="N1389" s="7" t="n">
        <f aca="false">I1389+2*STDEV(E1370:E1389)</f>
        <v>23170.8328516465</v>
      </c>
      <c r="O1389" s="7" t="n">
        <f aca="false">I1389-2*STDEV(E1370:E1389)</f>
        <v>21371.3631483535</v>
      </c>
      <c r="P1389" s="7" t="n">
        <f aca="false">MAX(E1389-E1388,0)</f>
        <v>0</v>
      </c>
      <c r="Q1389" s="7" t="n">
        <f aca="false">MAX(E1388-E1389,0)</f>
        <v>35.6500000000015</v>
      </c>
      <c r="R1389" s="7" t="n">
        <f aca="false">(R1388*13+P1389)/14</f>
        <v>103.033069767929</v>
      </c>
      <c r="S1389" s="7" t="n">
        <f aca="false">(S1388*13+Q1389)/14</f>
        <v>48.8721116280742</v>
      </c>
      <c r="T1389" s="7" t="n">
        <f aca="false">IF(S1389=0,100,100-100/(1+R1389/S1389))</f>
        <v>67.8272253922209</v>
      </c>
      <c r="U1389" s="7" t="n">
        <f aca="false">E1389*2/13+U1388*11/13</f>
        <v>22561.8398875836</v>
      </c>
      <c r="V1389" s="7" t="n">
        <f aca="false">E1389*2/27+V1388*25/27</f>
        <v>22153.2727661571</v>
      </c>
      <c r="W1389" s="7" t="n">
        <f aca="false">U1389-V1389</f>
        <v>408.567121426502</v>
      </c>
      <c r="X1389" s="7" t="n">
        <f aca="false">W1389*2/10+X1388*8/10</f>
        <v>403.026512954744</v>
      </c>
      <c r="Y1389" s="7" t="n">
        <f aca="false">W1389-X1389</f>
        <v>5.54060847175845</v>
      </c>
      <c r="Z1389" s="8" t="s">
        <v>42</v>
      </c>
      <c r="AA1389" s="7" t="str">
        <f aca="false">IFERROR(INDEX(02_轉折點45!B:B,MATCH(A1389,02_轉折點45!A:A,0)),"")</f>
        <v/>
      </c>
      <c r="AB1389" s="7" t="n">
        <f aca="false">COUNTIFS(05_訊號明細!A:A,A1389,05_訊號明細!C:C,"TOP")</f>
        <v>0</v>
      </c>
      <c r="AC1389" s="7" t="n">
        <f aca="false">COUNTIFS(05_訊號明細!A:A,A1389,05_訊號明細!C:C,"BOTTOM")</f>
        <v>0</v>
      </c>
    </row>
    <row r="1390" customFormat="false" ht="15" hidden="false" customHeight="false" outlineLevel="0" collapsed="false">
      <c r="A1390" s="7" t="s">
        <v>1431</v>
      </c>
      <c r="B1390" s="7" t="n">
        <v>22757.99</v>
      </c>
      <c r="C1390" s="7" t="n">
        <v>22837.38</v>
      </c>
      <c r="D1390" s="7" t="n">
        <v>22692.8</v>
      </c>
      <c r="E1390" s="7" t="n">
        <v>22780.6</v>
      </c>
      <c r="F1390" s="7" t="n">
        <v>8136</v>
      </c>
      <c r="G1390" s="7" t="n">
        <f aca="false">AVERAGE(E1386:E1390)</f>
        <v>22772.518</v>
      </c>
      <c r="H1390" s="7" t="n">
        <f aca="false">AVERAGE(E1381:E1390)</f>
        <v>22706.279</v>
      </c>
      <c r="I1390" s="7" t="n">
        <f aca="false">AVERAGE(E1371:E1390)</f>
        <v>22317.088</v>
      </c>
      <c r="J1390" s="7" t="n">
        <f aca="false">AVERAGE(E1341:E1390)</f>
        <v>21537.0052</v>
      </c>
      <c r="K1390" s="7" t="n">
        <f aca="false">AVERAGE(E1291:E1390)</f>
        <v>20582.587</v>
      </c>
      <c r="L1390" s="7" t="n">
        <f aca="false">AVERAGE(E1191:E1390)</f>
        <v>20758.1986</v>
      </c>
      <c r="M1390" s="7" t="n">
        <f aca="false">I1390</f>
        <v>22317.088</v>
      </c>
      <c r="N1390" s="7" t="n">
        <f aca="false">I1390+2*STDEV(E1371:E1390)</f>
        <v>23222.5311369539</v>
      </c>
      <c r="O1390" s="7" t="n">
        <f aca="false">I1390-2*STDEV(E1371:E1390)</f>
        <v>21411.6448630461</v>
      </c>
      <c r="P1390" s="7" t="n">
        <f aca="false">MAX(E1390-E1389,0)</f>
        <v>0</v>
      </c>
      <c r="Q1390" s="7" t="n">
        <f aca="false">MAX(E1389-E1390,0)</f>
        <v>48.6599999999999</v>
      </c>
      <c r="R1390" s="7" t="n">
        <f aca="false">(R1389*13+P1390)/14</f>
        <v>95.6735647845059</v>
      </c>
      <c r="S1390" s="7" t="n">
        <f aca="false">(S1389*13+Q1390)/14</f>
        <v>48.8569607974974</v>
      </c>
      <c r="T1390" s="7" t="n">
        <f aca="false">IF(S1390=0,100,100-100/(1+R1390/S1390))</f>
        <v>66.1960955301604</v>
      </c>
      <c r="U1390" s="7" t="n">
        <f aca="false">E1390*2/13+U1389*11/13</f>
        <v>22595.4952894939</v>
      </c>
      <c r="V1390" s="7" t="n">
        <f aca="false">E1390*2/27+V1389*25/27</f>
        <v>22199.7414501455</v>
      </c>
      <c r="W1390" s="7" t="n">
        <f aca="false">U1390-V1390</f>
        <v>395.753839348348</v>
      </c>
      <c r="X1390" s="7" t="n">
        <f aca="false">W1390*2/10+X1389*8/10</f>
        <v>401.571978233465</v>
      </c>
      <c r="Y1390" s="7" t="n">
        <f aca="false">W1390-X1390</f>
        <v>-5.81813888511636</v>
      </c>
      <c r="Z1390" s="8" t="s">
        <v>42</v>
      </c>
      <c r="AA1390" s="7" t="str">
        <f aca="false">IFERROR(INDEX(02_轉折點45!B:B,MATCH(A1390,02_轉折點45!A:A,0)),"")</f>
        <v/>
      </c>
      <c r="AB1390" s="7" t="n">
        <f aca="false">COUNTIFS(05_訊號明細!A:A,A1390,05_訊號明細!C:C,"TOP")</f>
        <v>0</v>
      </c>
      <c r="AC1390" s="7" t="n">
        <f aca="false">COUNTIFS(05_訊號明細!A:A,A1390,05_訊號明細!C:C,"BOTTOM")</f>
        <v>0</v>
      </c>
    </row>
    <row r="1391" customFormat="false" ht="15" hidden="false" customHeight="false" outlineLevel="0" collapsed="false">
      <c r="A1391" s="7" t="s">
        <v>1432</v>
      </c>
      <c r="B1391" s="7" t="n">
        <v>22780.19</v>
      </c>
      <c r="C1391" s="7" t="n">
        <v>22886.94</v>
      </c>
      <c r="D1391" s="7" t="n">
        <v>22675.28</v>
      </c>
      <c r="E1391" s="7" t="n">
        <v>22855.63</v>
      </c>
      <c r="F1391" s="7" t="n">
        <v>8010</v>
      </c>
      <c r="G1391" s="7" t="n">
        <f aca="false">AVERAGE(E1387:E1391)</f>
        <v>22806.53</v>
      </c>
      <c r="H1391" s="7" t="n">
        <f aca="false">AVERAGE(E1382:E1391)</f>
        <v>22738.422</v>
      </c>
      <c r="I1391" s="7" t="n">
        <f aca="false">AVERAGE(E1372:E1391)</f>
        <v>22364.2035</v>
      </c>
      <c r="J1391" s="7" t="n">
        <f aca="false">AVERAGE(E1342:E1391)</f>
        <v>21602.6974</v>
      </c>
      <c r="K1391" s="7" t="n">
        <f aca="false">AVERAGE(E1292:E1391)</f>
        <v>20589.4972</v>
      </c>
      <c r="L1391" s="7" t="n">
        <f aca="false">AVERAGE(E1192:E1391)</f>
        <v>20773.21575</v>
      </c>
      <c r="M1391" s="7" t="n">
        <f aca="false">I1391</f>
        <v>22364.2035</v>
      </c>
      <c r="N1391" s="7" t="n">
        <f aca="false">I1391+2*STDEV(E1372:E1391)</f>
        <v>23279.1991610602</v>
      </c>
      <c r="O1391" s="7" t="n">
        <f aca="false">I1391-2*STDEV(E1372:E1391)</f>
        <v>21449.2078389398</v>
      </c>
      <c r="P1391" s="7" t="n">
        <f aca="false">MAX(E1391-E1390,0)</f>
        <v>75.0300000000025</v>
      </c>
      <c r="Q1391" s="7" t="n">
        <f aca="false">MAX(E1390-E1391,0)</f>
        <v>0</v>
      </c>
      <c r="R1391" s="7" t="n">
        <f aca="false">(R1390*13+P1391)/14</f>
        <v>94.1990244427556</v>
      </c>
      <c r="S1391" s="7" t="n">
        <f aca="false">(S1390*13+Q1391)/14</f>
        <v>45.3671778833905</v>
      </c>
      <c r="T1391" s="7" t="n">
        <f aca="false">IF(S1391=0,100,100-100/(1+R1391/S1391))</f>
        <v>67.4941517879996</v>
      </c>
      <c r="U1391" s="7" t="n">
        <f aca="false">E1391*2/13+U1390*11/13</f>
        <v>22635.5160141871</v>
      </c>
      <c r="V1391" s="7" t="n">
        <f aca="false">E1391*2/27+V1390*25/27</f>
        <v>22248.3257871718</v>
      </c>
      <c r="W1391" s="7" t="n">
        <f aca="false">U1391-V1391</f>
        <v>387.190227015344</v>
      </c>
      <c r="X1391" s="7" t="n">
        <f aca="false">W1391*2/10+X1390*8/10</f>
        <v>398.695627989841</v>
      </c>
      <c r="Y1391" s="7" t="n">
        <f aca="false">W1391-X1391</f>
        <v>-11.5054009744964</v>
      </c>
      <c r="Z1391" s="8" t="s">
        <v>42</v>
      </c>
      <c r="AA1391" s="7" t="str">
        <f aca="false">IFERROR(INDEX(02_轉折點45!B:B,MATCH(A1391,02_轉折點45!A:A,0)),"")</f>
        <v/>
      </c>
      <c r="AB1391" s="7" t="n">
        <f aca="false">COUNTIFS(05_訊號明細!A:A,A1391,05_訊號明細!C:C,"TOP")</f>
        <v>0</v>
      </c>
      <c r="AC1391" s="7" t="n">
        <f aca="false">COUNTIFS(05_訊號明細!A:A,A1391,05_訊號明細!C:C,"BOTTOM")</f>
        <v>0</v>
      </c>
    </row>
    <row r="1392" customFormat="false" ht="15" hidden="false" customHeight="false" outlineLevel="0" collapsed="false">
      <c r="A1392" s="7" t="s">
        <v>1433</v>
      </c>
      <c r="B1392" s="7" t="n">
        <v>23036.86</v>
      </c>
      <c r="C1392" s="7" t="n">
        <v>23051.87</v>
      </c>
      <c r="D1392" s="7" t="n">
        <v>22876.47</v>
      </c>
      <c r="E1392" s="7" t="n">
        <v>22884.59</v>
      </c>
      <c r="F1392" s="7" t="n">
        <v>8399</v>
      </c>
      <c r="G1392" s="7" t="n">
        <f aca="false">AVERAGE(E1388:E1392)</f>
        <v>22842.998</v>
      </c>
      <c r="H1392" s="7" t="n">
        <f aca="false">AVERAGE(E1383:E1392)</f>
        <v>22758.98</v>
      </c>
      <c r="I1392" s="7" t="n">
        <f aca="false">AVERAGE(E1373:E1392)</f>
        <v>22426.881</v>
      </c>
      <c r="J1392" s="7" t="n">
        <f aca="false">AVERAGE(E1343:E1392)</f>
        <v>21664.655</v>
      </c>
      <c r="K1392" s="7" t="n">
        <f aca="false">AVERAGE(E1293:E1392)</f>
        <v>20596.5871</v>
      </c>
      <c r="L1392" s="7" t="n">
        <f aca="false">AVERAGE(E1193:E1392)</f>
        <v>20787.9145</v>
      </c>
      <c r="M1392" s="7" t="n">
        <f aca="false">I1392</f>
        <v>22426.881</v>
      </c>
      <c r="N1392" s="7" t="n">
        <f aca="false">I1392+2*STDEV(E1373:E1392)</f>
        <v>23301.2511547105</v>
      </c>
      <c r="O1392" s="7" t="n">
        <f aca="false">I1392-2*STDEV(E1373:E1392)</f>
        <v>21552.5108452895</v>
      </c>
      <c r="P1392" s="7" t="n">
        <f aca="false">MAX(E1392-E1391,0)</f>
        <v>28.9599999999991</v>
      </c>
      <c r="Q1392" s="7" t="n">
        <f aca="false">MAX(E1391-E1392,0)</f>
        <v>0</v>
      </c>
      <c r="R1392" s="7" t="n">
        <f aca="false">(R1391*13+P1392)/14</f>
        <v>89.5390941254159</v>
      </c>
      <c r="S1392" s="7" t="n">
        <f aca="false">(S1391*13+Q1392)/14</f>
        <v>42.126665177434</v>
      </c>
      <c r="T1392" s="7" t="n">
        <f aca="false">IF(S1392=0,100,100-100/(1+R1392/S1392))</f>
        <v>68.004843931719</v>
      </c>
      <c r="U1392" s="7" t="n">
        <f aca="false">E1392*2/13+U1391*11/13</f>
        <v>22673.8350889276</v>
      </c>
      <c r="V1392" s="7" t="n">
        <f aca="false">E1392*2/27+V1391*25/27</f>
        <v>22295.4564696035</v>
      </c>
      <c r="W1392" s="7" t="n">
        <f aca="false">U1392-V1392</f>
        <v>378.37861932407</v>
      </c>
      <c r="X1392" s="7" t="n">
        <f aca="false">W1392*2/10+X1391*8/10</f>
        <v>394.632226256687</v>
      </c>
      <c r="Y1392" s="7" t="n">
        <f aca="false">W1392-X1392</f>
        <v>-16.2536069326162</v>
      </c>
      <c r="Z1392" s="8" t="s">
        <v>42</v>
      </c>
      <c r="AA1392" s="7" t="str">
        <f aca="false">IFERROR(INDEX(02_轉折點45!B:B,MATCH(A1392,02_轉折點45!A:A,0)),"")</f>
        <v/>
      </c>
      <c r="AB1392" s="7" t="n">
        <f aca="false">COUNTIFS(05_訊號明細!A:A,A1392,05_訊號明細!C:C,"TOP")</f>
        <v>2</v>
      </c>
      <c r="AC1392" s="7" t="n">
        <f aca="false">COUNTIFS(05_訊號明細!A:A,A1392,05_訊號明細!C:C,"BOTTOM")</f>
        <v>0</v>
      </c>
    </row>
    <row r="1393" customFormat="false" ht="15" hidden="false" customHeight="false" outlineLevel="0" collapsed="false">
      <c r="A1393" s="7" t="s">
        <v>1434</v>
      </c>
      <c r="B1393" s="7" t="n">
        <v>22895.3</v>
      </c>
      <c r="C1393" s="7" t="n">
        <v>22928.55</v>
      </c>
      <c r="D1393" s="7" t="n">
        <v>22669.37</v>
      </c>
      <c r="E1393" s="7" t="n">
        <v>22907.97</v>
      </c>
      <c r="F1393" s="7" t="n">
        <v>9057</v>
      </c>
      <c r="G1393" s="7" t="n">
        <f aca="false">AVERAGE(E1389:E1393)</f>
        <v>22851.61</v>
      </c>
      <c r="H1393" s="7" t="n">
        <f aca="false">AVERAGE(E1384:E1393)</f>
        <v>22801.964</v>
      </c>
      <c r="I1393" s="7" t="n">
        <f aca="false">AVERAGE(E1374:E1393)</f>
        <v>22475.401</v>
      </c>
      <c r="J1393" s="7" t="n">
        <f aca="false">AVERAGE(E1344:E1393)</f>
        <v>21720.7622</v>
      </c>
      <c r="K1393" s="7" t="n">
        <f aca="false">AVERAGE(E1294:E1393)</f>
        <v>20604.9862</v>
      </c>
      <c r="L1393" s="7" t="n">
        <f aca="false">AVERAGE(E1194:E1393)</f>
        <v>20802.5913</v>
      </c>
      <c r="M1393" s="7" t="n">
        <f aca="false">I1393</f>
        <v>22475.401</v>
      </c>
      <c r="N1393" s="7" t="n">
        <f aca="false">I1393+2*STDEV(E1374:E1393)</f>
        <v>23343.1170108529</v>
      </c>
      <c r="O1393" s="7" t="n">
        <f aca="false">I1393-2*STDEV(E1374:E1393)</f>
        <v>21607.6849891471</v>
      </c>
      <c r="P1393" s="7" t="n">
        <f aca="false">MAX(E1393-E1392,0)</f>
        <v>23.380000000001</v>
      </c>
      <c r="Q1393" s="7" t="n">
        <f aca="false">MAX(E1392-E1393,0)</f>
        <v>0</v>
      </c>
      <c r="R1393" s="7" t="n">
        <f aca="false">(R1392*13+P1393)/14</f>
        <v>84.8134445450291</v>
      </c>
      <c r="S1393" s="7" t="n">
        <f aca="false">(S1392*13+Q1393)/14</f>
        <v>39.1176176647602</v>
      </c>
      <c r="T1393" s="7" t="n">
        <f aca="false">IF(S1393=0,100,100-100/(1+R1393/S1393))</f>
        <v>68.4359861303034</v>
      </c>
      <c r="U1393" s="7" t="n">
        <f aca="false">E1393*2/13+U1392*11/13</f>
        <v>22709.8558444772</v>
      </c>
      <c r="V1393" s="7" t="n">
        <f aca="false">E1393*2/27+V1392*25/27</f>
        <v>22340.8278422254</v>
      </c>
      <c r="W1393" s="7" t="n">
        <f aca="false">U1393-V1393</f>
        <v>369.028002251715</v>
      </c>
      <c r="X1393" s="7" t="n">
        <f aca="false">W1393*2/10+X1392*8/10</f>
        <v>389.511381455692</v>
      </c>
      <c r="Y1393" s="7" t="n">
        <f aca="false">W1393-X1393</f>
        <v>-20.4833792039776</v>
      </c>
      <c r="Z1393" s="8" t="s">
        <v>42</v>
      </c>
      <c r="AA1393" s="7" t="str">
        <f aca="false">IFERROR(INDEX(02_轉折點45!B:B,MATCH(A1393,02_轉折點45!A:A,0)),"")</f>
        <v/>
      </c>
      <c r="AB1393" s="7" t="n">
        <f aca="false">COUNTIFS(05_訊號明細!A:A,A1393,05_訊號明細!C:C,"TOP")</f>
        <v>1</v>
      </c>
      <c r="AC1393" s="7" t="n">
        <f aca="false">COUNTIFS(05_訊號明細!A:A,A1393,05_訊號明細!C:C,"BOTTOM")</f>
        <v>0</v>
      </c>
    </row>
    <row r="1394" customFormat="false" ht="15" hidden="false" customHeight="false" outlineLevel="0" collapsed="false">
      <c r="A1394" s="7" t="s">
        <v>1435</v>
      </c>
      <c r="B1394" s="7" t="n">
        <v>22931.02</v>
      </c>
      <c r="C1394" s="7" t="n">
        <v>23104.72</v>
      </c>
      <c r="D1394" s="7" t="n">
        <v>22905.51</v>
      </c>
      <c r="E1394" s="7" t="n">
        <v>23081.05</v>
      </c>
      <c r="F1394" s="7" t="n">
        <v>9995</v>
      </c>
      <c r="G1394" s="7" t="n">
        <f aca="false">AVERAGE(E1390:E1394)</f>
        <v>22901.968</v>
      </c>
      <c r="H1394" s="7" t="n">
        <f aca="false">AVERAGE(E1385:E1394)</f>
        <v>22845.88</v>
      </c>
      <c r="I1394" s="7" t="n">
        <f aca="false">AVERAGE(E1375:E1394)</f>
        <v>22543.4995</v>
      </c>
      <c r="J1394" s="7" t="n">
        <f aca="false">AVERAGE(E1345:E1394)</f>
        <v>21783.0244</v>
      </c>
      <c r="K1394" s="7" t="n">
        <f aca="false">AVERAGE(E1295:E1394)</f>
        <v>20619.6559</v>
      </c>
      <c r="L1394" s="7" t="n">
        <f aca="false">AVERAGE(E1195:E1394)</f>
        <v>20817.41885</v>
      </c>
      <c r="M1394" s="7" t="n">
        <f aca="false">I1394</f>
        <v>22543.4995</v>
      </c>
      <c r="N1394" s="7" t="n">
        <f aca="false">I1394+2*STDEV(E1375:E1394)</f>
        <v>23374.2840056831</v>
      </c>
      <c r="O1394" s="7" t="n">
        <f aca="false">I1394-2*STDEV(E1375:E1394)</f>
        <v>21712.7149943169</v>
      </c>
      <c r="P1394" s="7" t="n">
        <f aca="false">MAX(E1394-E1393,0)</f>
        <v>173.079999999998</v>
      </c>
      <c r="Q1394" s="7" t="n">
        <f aca="false">MAX(E1393-E1394,0)</f>
        <v>0</v>
      </c>
      <c r="R1394" s="7" t="n">
        <f aca="false">(R1393*13+P1394)/14</f>
        <v>91.1181985060983</v>
      </c>
      <c r="S1394" s="7" t="n">
        <f aca="false">(S1393*13+Q1394)/14</f>
        <v>36.3235021172773</v>
      </c>
      <c r="T1394" s="7" t="n">
        <f aca="false">IF(S1394=0,100,100-100/(1+R1394/S1394))</f>
        <v>71.497946167069</v>
      </c>
      <c r="U1394" s="7" t="n">
        <f aca="false">E1394*2/13+U1393*11/13</f>
        <v>22766.9626376345</v>
      </c>
      <c r="V1394" s="7" t="n">
        <f aca="false">E1394*2/27+V1393*25/27</f>
        <v>22395.6591131717</v>
      </c>
      <c r="W1394" s="7" t="n">
        <f aca="false">U1394-V1394</f>
        <v>371.303524462812</v>
      </c>
      <c r="X1394" s="7" t="n">
        <f aca="false">W1394*2/10+X1393*8/10</f>
        <v>385.869810057116</v>
      </c>
      <c r="Y1394" s="7" t="n">
        <f aca="false">W1394-X1394</f>
        <v>-14.5662855943043</v>
      </c>
      <c r="Z1394" s="8" t="s">
        <v>42</v>
      </c>
      <c r="AA1394" s="7" t="str">
        <f aca="false">IFERROR(INDEX(02_轉折點45!B:B,MATCH(A1394,02_轉折點45!A:A,0)),"")</f>
        <v/>
      </c>
      <c r="AB1394" s="7" t="n">
        <f aca="false">COUNTIFS(05_訊號明細!A:A,A1394,05_訊號明細!C:C,"TOP")</f>
        <v>0</v>
      </c>
      <c r="AC1394" s="7" t="n">
        <f aca="false">COUNTIFS(05_訊號明細!A:A,A1394,05_訊號明細!C:C,"BOTTOM")</f>
        <v>0</v>
      </c>
    </row>
    <row r="1395" customFormat="false" ht="15" hidden="false" customHeight="false" outlineLevel="0" collapsed="false">
      <c r="A1395" s="7" t="s">
        <v>1436</v>
      </c>
      <c r="B1395" s="7" t="n">
        <v>23135.09</v>
      </c>
      <c r="C1395" s="7" t="n">
        <v>23153.21</v>
      </c>
      <c r="D1395" s="7" t="n">
        <v>23018.36</v>
      </c>
      <c r="E1395" s="7" t="n">
        <v>23065.47</v>
      </c>
      <c r="F1395" s="7" t="n">
        <v>9355</v>
      </c>
      <c r="G1395" s="7" t="n">
        <f aca="false">AVERAGE(E1391:E1395)</f>
        <v>22958.942</v>
      </c>
      <c r="H1395" s="7" t="n">
        <f aca="false">AVERAGE(E1386:E1395)</f>
        <v>22865.73</v>
      </c>
      <c r="I1395" s="7" t="n">
        <f aca="false">AVERAGE(E1376:E1395)</f>
        <v>22610.7885</v>
      </c>
      <c r="J1395" s="7" t="n">
        <f aca="false">AVERAGE(E1346:E1395)</f>
        <v>21848.5068</v>
      </c>
      <c r="K1395" s="7" t="n">
        <f aca="false">AVERAGE(E1296:E1395)</f>
        <v>20636.7898</v>
      </c>
      <c r="L1395" s="7" t="n">
        <f aca="false">AVERAGE(E1196:E1395)</f>
        <v>20832.7031</v>
      </c>
      <c r="M1395" s="7" t="n">
        <f aca="false">I1395</f>
        <v>22610.7885</v>
      </c>
      <c r="N1395" s="7" t="n">
        <f aca="false">I1395+2*STDEV(E1376:E1395)</f>
        <v>23376.0471313212</v>
      </c>
      <c r="O1395" s="7" t="n">
        <f aca="false">I1395-2*STDEV(E1376:E1395)</f>
        <v>21845.5298686788</v>
      </c>
      <c r="P1395" s="7" t="n">
        <f aca="false">MAX(E1395-E1394,0)</f>
        <v>0</v>
      </c>
      <c r="Q1395" s="7" t="n">
        <f aca="false">MAX(E1394-E1395,0)</f>
        <v>15.5799999999981</v>
      </c>
      <c r="R1395" s="7" t="n">
        <f aca="false">(R1394*13+P1395)/14</f>
        <v>84.6097557556627</v>
      </c>
      <c r="S1395" s="7" t="n">
        <f aca="false">(S1394*13+Q1395)/14</f>
        <v>34.8418233946145</v>
      </c>
      <c r="T1395" s="7" t="n">
        <f aca="false">IF(S1395=0,100,100-100/(1+R1395/S1395))</f>
        <v>70.8318436286377</v>
      </c>
      <c r="U1395" s="7" t="n">
        <f aca="false">E1395*2/13+U1394*11/13</f>
        <v>22812.8868472292</v>
      </c>
      <c r="V1395" s="7" t="n">
        <f aca="false">E1395*2/27+V1394*25/27</f>
        <v>22445.2747344183</v>
      </c>
      <c r="W1395" s="7" t="n">
        <f aca="false">U1395-V1395</f>
        <v>367.612112810959</v>
      </c>
      <c r="X1395" s="7" t="n">
        <f aca="false">W1395*2/10+X1394*8/10</f>
        <v>382.218270607885</v>
      </c>
      <c r="Y1395" s="7" t="n">
        <f aca="false">W1395-X1395</f>
        <v>-14.6061577969257</v>
      </c>
      <c r="Z1395" s="8" t="s">
        <v>42</v>
      </c>
      <c r="AA1395" s="7" t="str">
        <f aca="false">IFERROR(INDEX(02_轉折點45!B:B,MATCH(A1395,02_轉折點45!A:A,0)),"")</f>
        <v/>
      </c>
      <c r="AB1395" s="7" t="n">
        <f aca="false">COUNTIFS(05_訊號明細!A:A,A1395,05_訊號明細!C:C,"TOP")</f>
        <v>0</v>
      </c>
      <c r="AC1395" s="7" t="n">
        <f aca="false">COUNTIFS(05_訊號明細!A:A,A1395,05_訊號明細!C:C,"BOTTOM")</f>
        <v>0</v>
      </c>
    </row>
    <row r="1396" customFormat="false" ht="15" hidden="false" customHeight="false" outlineLevel="0" collapsed="false">
      <c r="A1396" s="7" t="s">
        <v>1437</v>
      </c>
      <c r="B1396" s="7" t="n">
        <v>23124.97</v>
      </c>
      <c r="C1396" s="7" t="n">
        <v>23264.45</v>
      </c>
      <c r="D1396" s="7" t="n">
        <v>23122.93</v>
      </c>
      <c r="E1396" s="7" t="n">
        <v>23180.06</v>
      </c>
      <c r="F1396" s="7" t="n">
        <v>12047</v>
      </c>
      <c r="G1396" s="7" t="n">
        <f aca="false">AVERAGE(E1392:E1396)</f>
        <v>23023.828</v>
      </c>
      <c r="H1396" s="7" t="n">
        <f aca="false">AVERAGE(E1387:E1396)</f>
        <v>22915.179</v>
      </c>
      <c r="I1396" s="7" t="n">
        <f aca="false">AVERAGE(E1377:E1396)</f>
        <v>22688.472</v>
      </c>
      <c r="J1396" s="7" t="n">
        <f aca="false">AVERAGE(E1347:E1396)</f>
        <v>21914.7486</v>
      </c>
      <c r="K1396" s="7" t="n">
        <f aca="false">AVERAGE(E1297:E1396)</f>
        <v>20657.7179</v>
      </c>
      <c r="L1396" s="7" t="n">
        <f aca="false">AVERAGE(E1197:E1396)</f>
        <v>20848.29995</v>
      </c>
      <c r="M1396" s="7" t="n">
        <f aca="false">I1396</f>
        <v>22688.472</v>
      </c>
      <c r="N1396" s="7" t="n">
        <f aca="false">I1396+2*STDEV(E1377:E1396)</f>
        <v>23339.9535150781</v>
      </c>
      <c r="O1396" s="7" t="n">
        <f aca="false">I1396-2*STDEV(E1377:E1396)</f>
        <v>22036.9904849219</v>
      </c>
      <c r="P1396" s="7" t="n">
        <f aca="false">MAX(E1396-E1395,0)</f>
        <v>114.59</v>
      </c>
      <c r="Q1396" s="7" t="n">
        <f aca="false">MAX(E1395-E1396,0)</f>
        <v>0</v>
      </c>
      <c r="R1396" s="7" t="n">
        <f aca="false">(R1395*13+P1396)/14</f>
        <v>86.7512017731154</v>
      </c>
      <c r="S1396" s="7" t="n">
        <f aca="false">(S1395*13+Q1396)/14</f>
        <v>32.3531217235706</v>
      </c>
      <c r="T1396" s="7" t="n">
        <f aca="false">IF(S1396=0,100,100-100/(1+R1396/S1396))</f>
        <v>72.8363162866453</v>
      </c>
      <c r="U1396" s="7" t="n">
        <f aca="false">E1396*2/13+U1395*11/13</f>
        <v>22869.3750245786</v>
      </c>
      <c r="V1396" s="7" t="n">
        <f aca="false">E1396*2/27+V1395*25/27</f>
        <v>22499.7032726095</v>
      </c>
      <c r="W1396" s="7" t="n">
        <f aca="false">U1396-V1396</f>
        <v>369.671751969068</v>
      </c>
      <c r="X1396" s="7" t="n">
        <f aca="false">W1396*2/10+X1395*8/10</f>
        <v>379.708966880121</v>
      </c>
      <c r="Y1396" s="7" t="n">
        <f aca="false">W1396-X1396</f>
        <v>-10.0372149110531</v>
      </c>
      <c r="Z1396" s="8" t="s">
        <v>42</v>
      </c>
      <c r="AA1396" s="7" t="str">
        <f aca="false">IFERROR(INDEX(02_轉折點45!B:B,MATCH(A1396,02_轉折點45!A:A,0)),"")</f>
        <v/>
      </c>
      <c r="AB1396" s="7" t="n">
        <f aca="false">COUNTIFS(05_訊號明細!A:A,A1396,05_訊號明細!C:C,"TOP")</f>
        <v>0</v>
      </c>
      <c r="AC1396" s="7" t="n">
        <f aca="false">COUNTIFS(05_訊號明細!A:A,A1396,05_訊號明細!C:C,"BOTTOM")</f>
        <v>0</v>
      </c>
    </row>
    <row r="1397" customFormat="false" ht="15" hidden="false" customHeight="false" outlineLevel="0" collapsed="false">
      <c r="A1397" s="7" t="s">
        <v>1438</v>
      </c>
      <c r="B1397" s="7" t="n">
        <v>23182.02</v>
      </c>
      <c r="C1397" s="7" t="n">
        <v>23186.36</v>
      </c>
      <c r="D1397" s="7" t="n">
        <v>22953.85</v>
      </c>
      <c r="E1397" s="7" t="n">
        <v>23063.58</v>
      </c>
      <c r="F1397" s="7" t="n">
        <v>10584</v>
      </c>
      <c r="G1397" s="7" t="n">
        <f aca="false">AVERAGE(E1393:E1397)</f>
        <v>23059.626</v>
      </c>
      <c r="H1397" s="7" t="n">
        <f aca="false">AVERAGE(E1388:E1397)</f>
        <v>22951.312</v>
      </c>
      <c r="I1397" s="7" t="n">
        <f aca="false">AVERAGE(E1378:E1397)</f>
        <v>22748.8345</v>
      </c>
      <c r="J1397" s="7" t="n">
        <f aca="false">AVERAGE(E1348:E1397)</f>
        <v>21974.749</v>
      </c>
      <c r="K1397" s="7" t="n">
        <f aca="false">AVERAGE(E1298:E1397)</f>
        <v>20677.0245</v>
      </c>
      <c r="L1397" s="7" t="n">
        <f aca="false">AVERAGE(E1198:E1397)</f>
        <v>20864.75135</v>
      </c>
      <c r="M1397" s="7" t="n">
        <f aca="false">I1397</f>
        <v>22748.8345</v>
      </c>
      <c r="N1397" s="7" t="n">
        <f aca="false">I1397+2*STDEV(E1378:E1397)</f>
        <v>23290.0625104579</v>
      </c>
      <c r="O1397" s="7" t="n">
        <f aca="false">I1397-2*STDEV(E1378:E1397)</f>
        <v>22207.6064895421</v>
      </c>
      <c r="P1397" s="7" t="n">
        <f aca="false">MAX(E1397-E1396,0)</f>
        <v>0</v>
      </c>
      <c r="Q1397" s="7" t="n">
        <f aca="false">MAX(E1396-E1397,0)</f>
        <v>116.48</v>
      </c>
      <c r="R1397" s="7" t="n">
        <f aca="false">(R1396*13+P1397)/14</f>
        <v>80.55468736075</v>
      </c>
      <c r="S1397" s="7" t="n">
        <f aca="false">(S1396*13+Q1397)/14</f>
        <v>38.3621844576012</v>
      </c>
      <c r="T1397" s="7" t="n">
        <f aca="false">IF(S1397=0,100,100-100/(1+R1397/S1397))</f>
        <v>67.7403350163798</v>
      </c>
      <c r="U1397" s="7" t="n">
        <f aca="false">E1397*2/13+U1396*11/13</f>
        <v>22899.2527131049</v>
      </c>
      <c r="V1397" s="7" t="n">
        <f aca="false">E1397*2/27+V1396*25/27</f>
        <v>22541.4719190829</v>
      </c>
      <c r="W1397" s="7" t="n">
        <f aca="false">U1397-V1397</f>
        <v>357.780794022074</v>
      </c>
      <c r="X1397" s="7" t="n">
        <f aca="false">W1397*2/10+X1396*8/10</f>
        <v>375.323332308512</v>
      </c>
      <c r="Y1397" s="7" t="n">
        <f aca="false">W1397-X1397</f>
        <v>-17.5425382864381</v>
      </c>
      <c r="Z1397" s="8" t="s">
        <v>42</v>
      </c>
      <c r="AA1397" s="7" t="str">
        <f aca="false">IFERROR(INDEX(02_轉折點45!B:B,MATCH(A1397,02_轉折點45!A:A,0)),"")</f>
        <v/>
      </c>
      <c r="AB1397" s="7" t="n">
        <f aca="false">COUNTIFS(05_訊號明細!A:A,A1397,05_訊號明細!C:C,"TOP")</f>
        <v>0</v>
      </c>
      <c r="AC1397" s="7" t="n">
        <f aca="false">COUNTIFS(05_訊號明細!A:A,A1397,05_訊號明細!C:C,"BOTTOM")</f>
        <v>0</v>
      </c>
    </row>
    <row r="1398" customFormat="false" ht="15" hidden="false" customHeight="false" outlineLevel="0" collapsed="false">
      <c r="A1398" s="7" t="s">
        <v>1439</v>
      </c>
      <c r="B1398" s="7" t="n">
        <v>23100.25</v>
      </c>
      <c r="C1398" s="7" t="n">
        <v>23168.49</v>
      </c>
      <c r="D1398" s="7" t="n">
        <v>23000.46</v>
      </c>
      <c r="E1398" s="7" t="n">
        <v>23162.41</v>
      </c>
      <c r="F1398" s="7" t="n">
        <v>10973</v>
      </c>
      <c r="G1398" s="7" t="n">
        <f aca="false">AVERAGE(E1394:E1398)</f>
        <v>23110.514</v>
      </c>
      <c r="H1398" s="7" t="n">
        <f aca="false">AVERAGE(E1389:E1398)</f>
        <v>22981.062</v>
      </c>
      <c r="I1398" s="7" t="n">
        <f aca="false">AVERAGE(E1379:E1398)</f>
        <v>22797.429</v>
      </c>
      <c r="J1398" s="7" t="n">
        <f aca="false">AVERAGE(E1349:E1398)</f>
        <v>22036.7682</v>
      </c>
      <c r="K1398" s="7" t="n">
        <f aca="false">AVERAGE(E1299:E1398)</f>
        <v>20703.1391</v>
      </c>
      <c r="L1398" s="7" t="n">
        <f aca="false">AVERAGE(E1199:E1398)</f>
        <v>20881.55045</v>
      </c>
      <c r="M1398" s="7" t="n">
        <f aca="false">I1398</f>
        <v>22797.429</v>
      </c>
      <c r="N1398" s="7" t="n">
        <f aca="false">I1398+2*STDEV(E1379:E1398)</f>
        <v>23300.7878154911</v>
      </c>
      <c r="O1398" s="7" t="n">
        <f aca="false">I1398-2*STDEV(E1379:E1398)</f>
        <v>22294.0701845089</v>
      </c>
      <c r="P1398" s="7" t="n">
        <f aca="false">MAX(E1398-E1397,0)</f>
        <v>98.8299999999981</v>
      </c>
      <c r="Q1398" s="7" t="n">
        <f aca="false">MAX(E1397-E1398,0)</f>
        <v>0</v>
      </c>
      <c r="R1398" s="7" t="n">
        <f aca="false">(R1397*13+P1398)/14</f>
        <v>81.860066834982</v>
      </c>
      <c r="S1398" s="7" t="n">
        <f aca="false">(S1397*13+Q1398)/14</f>
        <v>35.6220284249154</v>
      </c>
      <c r="T1398" s="7" t="n">
        <f aca="false">IF(S1398=0,100,100-100/(1+R1398/S1398))</f>
        <v>69.6787596900521</v>
      </c>
      <c r="U1398" s="7" t="n">
        <f aca="false">E1398*2/13+U1397*11/13</f>
        <v>22939.7384495503</v>
      </c>
      <c r="V1398" s="7" t="n">
        <f aca="false">E1398*2/27+V1397*25/27</f>
        <v>22587.4673324841</v>
      </c>
      <c r="W1398" s="7" t="n">
        <f aca="false">U1398-V1398</f>
        <v>352.271117066201</v>
      </c>
      <c r="X1398" s="7" t="n">
        <f aca="false">W1398*2/10+X1397*8/10</f>
        <v>370.71288926005</v>
      </c>
      <c r="Y1398" s="7" t="n">
        <f aca="false">W1398-X1398</f>
        <v>-18.441772193849</v>
      </c>
      <c r="Z1398" s="8" t="s">
        <v>42</v>
      </c>
      <c r="AA1398" s="7" t="str">
        <f aca="false">IFERROR(INDEX(02_轉折點45!B:B,MATCH(A1398,02_轉折點45!A:A,0)),"")</f>
        <v/>
      </c>
      <c r="AB1398" s="7" t="n">
        <f aca="false">COUNTIFS(05_訊號明細!A:A,A1398,05_訊號明細!C:C,"TOP")</f>
        <v>0</v>
      </c>
      <c r="AC1398" s="7" t="n">
        <f aca="false">COUNTIFS(05_訊號明細!A:A,A1398,05_訊號明細!C:C,"BOTTOM")</f>
        <v>0</v>
      </c>
    </row>
    <row r="1399" customFormat="false" ht="15" hidden="false" customHeight="false" outlineLevel="0" collapsed="false">
      <c r="A1399" s="7" t="s">
        <v>1440</v>
      </c>
      <c r="B1399" s="7" t="n">
        <v>23228.79</v>
      </c>
      <c r="C1399" s="7" t="n">
        <v>23268.49</v>
      </c>
      <c r="D1399" s="7" t="n">
        <v>23150.27</v>
      </c>
      <c r="E1399" s="7" t="n">
        <v>23219.87</v>
      </c>
      <c r="F1399" s="7" t="n">
        <v>12741</v>
      </c>
      <c r="G1399" s="7" t="n">
        <f aca="false">AVERAGE(E1395:E1399)</f>
        <v>23138.278</v>
      </c>
      <c r="H1399" s="7" t="n">
        <f aca="false">AVERAGE(E1390:E1399)</f>
        <v>23020.123</v>
      </c>
      <c r="I1399" s="7" t="n">
        <f aca="false">AVERAGE(E1380:E1399)</f>
        <v>22846.5355</v>
      </c>
      <c r="J1399" s="7" t="n">
        <f aca="false">AVERAGE(E1350:E1399)</f>
        <v>22083.8026</v>
      </c>
      <c r="K1399" s="7" t="n">
        <f aca="false">AVERAGE(E1300:E1399)</f>
        <v>20726.4937</v>
      </c>
      <c r="L1399" s="7" t="n">
        <f aca="false">AVERAGE(E1200:E1399)</f>
        <v>20898.6831</v>
      </c>
      <c r="M1399" s="7" t="n">
        <f aca="false">I1399</f>
        <v>22846.5355</v>
      </c>
      <c r="N1399" s="7" t="n">
        <f aca="false">I1399+2*STDEV(E1380:E1399)</f>
        <v>23310.0424104793</v>
      </c>
      <c r="O1399" s="7" t="n">
        <f aca="false">I1399-2*STDEV(E1380:E1399)</f>
        <v>22383.0285895207</v>
      </c>
      <c r="P1399" s="7" t="n">
        <f aca="false">MAX(E1399-E1398,0)</f>
        <v>57.4599999999991</v>
      </c>
      <c r="Q1399" s="7" t="n">
        <f aca="false">MAX(E1398-E1399,0)</f>
        <v>0</v>
      </c>
      <c r="R1399" s="7" t="n">
        <f aca="false">(R1398*13+P1399)/14</f>
        <v>80.1172049181975</v>
      </c>
      <c r="S1399" s="7" t="n">
        <f aca="false">(S1398*13+Q1399)/14</f>
        <v>33.0775978231358</v>
      </c>
      <c r="T1399" s="7" t="n">
        <f aca="false">IF(S1399=0,100,100-100/(1+R1399/S1399))</f>
        <v>70.7781655852849</v>
      </c>
      <c r="U1399" s="7" t="n">
        <f aca="false">E1399*2/13+U1398*11/13</f>
        <v>22982.835611158</v>
      </c>
      <c r="V1399" s="7" t="n">
        <f aca="false">E1399*2/27+V1398*25/27</f>
        <v>22634.3119745223</v>
      </c>
      <c r="W1399" s="7" t="n">
        <f aca="false">U1399-V1399</f>
        <v>348.523636635629</v>
      </c>
      <c r="X1399" s="7" t="n">
        <f aca="false">W1399*2/10+X1398*8/10</f>
        <v>366.275038735166</v>
      </c>
      <c r="Y1399" s="7" t="n">
        <f aca="false">W1399-X1399</f>
        <v>-17.7514020995361</v>
      </c>
      <c r="Z1399" s="8" t="s">
        <v>42</v>
      </c>
      <c r="AA1399" s="7" t="str">
        <f aca="false">IFERROR(INDEX(02_轉折點45!B:B,MATCH(A1399,02_轉折點45!A:A,0)),"")</f>
        <v/>
      </c>
      <c r="AB1399" s="7" t="n">
        <f aca="false">COUNTIFS(05_訊號明細!A:A,A1399,05_訊號明細!C:C,"TOP")</f>
        <v>0</v>
      </c>
      <c r="AC1399" s="7" t="n">
        <f aca="false">COUNTIFS(05_訊號明細!A:A,A1399,05_訊號明細!C:C,"BOTTOM")</f>
        <v>0</v>
      </c>
    </row>
    <row r="1400" customFormat="false" ht="15" hidden="false" customHeight="false" outlineLevel="0" collapsed="false">
      <c r="A1400" s="7" t="s">
        <v>1441</v>
      </c>
      <c r="B1400" s="7" t="n">
        <v>23204.66</v>
      </c>
      <c r="C1400" s="7" t="n">
        <v>23326.3</v>
      </c>
      <c r="D1400" s="7" t="n">
        <v>23193.99</v>
      </c>
      <c r="E1400" s="7" t="n">
        <v>23272.25</v>
      </c>
      <c r="F1400" s="7" t="n">
        <v>11028</v>
      </c>
      <c r="G1400" s="7" t="n">
        <f aca="false">AVERAGE(E1396:E1400)</f>
        <v>23179.634</v>
      </c>
      <c r="H1400" s="7" t="n">
        <f aca="false">AVERAGE(E1391:E1400)</f>
        <v>23069.288</v>
      </c>
      <c r="I1400" s="7" t="n">
        <f aca="false">AVERAGE(E1381:E1400)</f>
        <v>22887.7835</v>
      </c>
      <c r="J1400" s="7" t="n">
        <f aca="false">AVERAGE(E1351:E1400)</f>
        <v>22125.2936</v>
      </c>
      <c r="K1400" s="7" t="n">
        <f aca="false">AVERAGE(E1301:E1400)</f>
        <v>20754.9604</v>
      </c>
      <c r="L1400" s="7" t="n">
        <f aca="false">AVERAGE(E1201:E1400)</f>
        <v>20914.86925</v>
      </c>
      <c r="M1400" s="7" t="n">
        <f aca="false">I1400</f>
        <v>22887.7835</v>
      </c>
      <c r="N1400" s="7" t="n">
        <f aca="false">I1400+2*STDEV(E1381:E1400)</f>
        <v>23348.5132489521</v>
      </c>
      <c r="O1400" s="7" t="n">
        <f aca="false">I1400-2*STDEV(E1381:E1400)</f>
        <v>22427.0537510479</v>
      </c>
      <c r="P1400" s="7" t="n">
        <f aca="false">MAX(E1400-E1399,0)</f>
        <v>52.380000000001</v>
      </c>
      <c r="Q1400" s="7" t="n">
        <f aca="false">MAX(E1399-E1400,0)</f>
        <v>0</v>
      </c>
      <c r="R1400" s="7" t="n">
        <f aca="false">(R1399*13+P1400)/14</f>
        <v>78.1359759954692</v>
      </c>
      <c r="S1400" s="7" t="n">
        <f aca="false">(S1399*13+Q1400)/14</f>
        <v>30.7149122643404</v>
      </c>
      <c r="T1400" s="7" t="n">
        <f aca="false">IF(S1400=0,100,100-100/(1+R1400/S1400))</f>
        <v>71.7825800456228</v>
      </c>
      <c r="U1400" s="7" t="n">
        <f aca="false">E1400*2/13+U1399*11/13</f>
        <v>23027.3609017491</v>
      </c>
      <c r="V1400" s="7" t="n">
        <f aca="false">E1400*2/27+V1399*25/27</f>
        <v>22681.5666430762</v>
      </c>
      <c r="W1400" s="7" t="n">
        <f aca="false">U1400-V1400</f>
        <v>345.79425867281</v>
      </c>
      <c r="X1400" s="7" t="n">
        <f aca="false">W1400*2/10+X1399*8/10</f>
        <v>362.178882722694</v>
      </c>
      <c r="Y1400" s="7" t="n">
        <f aca="false">W1400-X1400</f>
        <v>-16.3846240498847</v>
      </c>
      <c r="Z1400" s="8" t="s">
        <v>42</v>
      </c>
      <c r="AA1400" s="7" t="str">
        <f aca="false">IFERROR(INDEX(02_轉折點45!B:B,MATCH(A1400,02_轉折點45!A:A,0)),"")</f>
        <v/>
      </c>
      <c r="AB1400" s="7" t="n">
        <f aca="false">COUNTIFS(05_訊號明細!A:A,A1400,05_訊號明細!C:C,"TOP")</f>
        <v>0</v>
      </c>
      <c r="AC1400" s="7" t="n">
        <f aca="false">COUNTIFS(05_訊號明細!A:A,A1400,05_訊號明細!C:C,"BOTTOM")</f>
        <v>0</v>
      </c>
    </row>
    <row r="1401" customFormat="false" ht="15" hidden="false" customHeight="false" outlineLevel="0" collapsed="false">
      <c r="A1401" s="7" t="s">
        <v>1442</v>
      </c>
      <c r="B1401" s="7" t="n">
        <v>23343.13</v>
      </c>
      <c r="C1401" s="7" t="n">
        <v>23386.76</v>
      </c>
      <c r="D1401" s="7" t="n">
        <v>23299.81</v>
      </c>
      <c r="E1401" s="7" t="n">
        <v>23356.27</v>
      </c>
      <c r="F1401" s="7" t="n">
        <v>10613</v>
      </c>
      <c r="G1401" s="7" t="n">
        <f aca="false">AVERAGE(E1397:E1401)</f>
        <v>23214.876</v>
      </c>
      <c r="H1401" s="7" t="n">
        <f aca="false">AVERAGE(E1392:E1401)</f>
        <v>23119.352</v>
      </c>
      <c r="I1401" s="7" t="n">
        <f aca="false">AVERAGE(E1382:E1401)</f>
        <v>22928.887</v>
      </c>
      <c r="J1401" s="7" t="n">
        <f aca="false">AVERAGE(E1352:E1401)</f>
        <v>22166.0348</v>
      </c>
      <c r="K1401" s="7" t="n">
        <f aca="false">AVERAGE(E1302:E1401)</f>
        <v>20784.9978</v>
      </c>
      <c r="L1401" s="7" t="n">
        <f aca="false">AVERAGE(E1202:E1401)</f>
        <v>20932.6469</v>
      </c>
      <c r="M1401" s="7" t="n">
        <f aca="false">I1401</f>
        <v>22928.887</v>
      </c>
      <c r="N1401" s="7" t="n">
        <f aca="false">I1401+2*STDEV(E1382:E1401)</f>
        <v>23403.2752237422</v>
      </c>
      <c r="O1401" s="7" t="n">
        <f aca="false">I1401-2*STDEV(E1382:E1401)</f>
        <v>22454.4987762578</v>
      </c>
      <c r="P1401" s="7" t="n">
        <f aca="false">MAX(E1401-E1400,0)</f>
        <v>84.0200000000004</v>
      </c>
      <c r="Q1401" s="7" t="n">
        <f aca="false">MAX(E1400-E1401,0)</f>
        <v>0</v>
      </c>
      <c r="R1401" s="7" t="n">
        <f aca="false">(R1400*13+P1401)/14</f>
        <v>78.5562634243643</v>
      </c>
      <c r="S1401" s="7" t="n">
        <f aca="false">(S1400*13+Q1401)/14</f>
        <v>28.5209899597446</v>
      </c>
      <c r="T1401" s="7" t="n">
        <f aca="false">IF(S1401=0,100,100-100/(1+R1401/S1401))</f>
        <v>73.3641001628668</v>
      </c>
      <c r="U1401" s="7" t="n">
        <f aca="false">E1401*2/13+U1400*11/13</f>
        <v>23077.96230148</v>
      </c>
      <c r="V1401" s="7" t="n">
        <f aca="false">E1401*2/27+V1400*25/27</f>
        <v>22731.544669515</v>
      </c>
      <c r="W1401" s="7" t="n">
        <f aca="false">U1401-V1401</f>
        <v>346.417631964927</v>
      </c>
      <c r="X1401" s="7" t="n">
        <f aca="false">W1401*2/10+X1400*8/10</f>
        <v>359.026632571141</v>
      </c>
      <c r="Y1401" s="7" t="n">
        <f aca="false">W1401-X1401</f>
        <v>-12.609000606214</v>
      </c>
      <c r="Z1401" s="8" t="s">
        <v>42</v>
      </c>
      <c r="AA1401" s="7" t="str">
        <f aca="false">IFERROR(INDEX(02_轉折點45!B:B,MATCH(A1401,02_轉折點45!A:A,0)),"")</f>
        <v/>
      </c>
      <c r="AB1401" s="7" t="n">
        <f aca="false">COUNTIFS(05_訊號明細!A:A,A1401,05_訊號明細!C:C,"TOP")</f>
        <v>0</v>
      </c>
      <c r="AC1401" s="7" t="n">
        <f aca="false">COUNTIFS(05_訊號明細!A:A,A1401,05_訊號明細!C:C,"BOTTOM")</f>
        <v>0</v>
      </c>
    </row>
    <row r="1402" customFormat="false" ht="15" hidden="false" customHeight="false" outlineLevel="0" collapsed="false">
      <c r="A1402" s="7" t="s">
        <v>1443</v>
      </c>
      <c r="B1402" s="7" t="n">
        <v>23477.84</v>
      </c>
      <c r="C1402" s="7" t="n">
        <v>23510.92</v>
      </c>
      <c r="D1402" s="7" t="n">
        <v>23283.4</v>
      </c>
      <c r="E1402" s="7" t="n">
        <v>23308.3</v>
      </c>
      <c r="F1402" s="7" t="n">
        <v>10041</v>
      </c>
      <c r="G1402" s="7" t="n">
        <f aca="false">AVERAGE(E1398:E1402)</f>
        <v>23263.82</v>
      </c>
      <c r="H1402" s="7" t="n">
        <f aca="false">AVERAGE(E1393:E1402)</f>
        <v>23161.723</v>
      </c>
      <c r="I1402" s="7" t="n">
        <f aca="false">AVERAGE(E1383:E1402)</f>
        <v>22960.3515</v>
      </c>
      <c r="J1402" s="7" t="n">
        <f aca="false">AVERAGE(E1353:E1402)</f>
        <v>22205.4844</v>
      </c>
      <c r="K1402" s="7" t="n">
        <f aca="false">AVERAGE(E1303:E1402)</f>
        <v>20811.7962</v>
      </c>
      <c r="L1402" s="7" t="n">
        <f aca="false">AVERAGE(E1203:E1402)</f>
        <v>20948.6495</v>
      </c>
      <c r="M1402" s="7" t="n">
        <f aca="false">I1402</f>
        <v>22960.3515</v>
      </c>
      <c r="N1402" s="7" t="n">
        <f aca="false">I1402+2*STDEV(E1383:E1402)</f>
        <v>23448.241759804</v>
      </c>
      <c r="O1402" s="7" t="n">
        <f aca="false">I1402-2*STDEV(E1383:E1402)</f>
        <v>22472.461240196</v>
      </c>
      <c r="P1402" s="7" t="n">
        <f aca="false">MAX(E1402-E1401,0)</f>
        <v>0</v>
      </c>
      <c r="Q1402" s="7" t="n">
        <f aca="false">MAX(E1401-E1402,0)</f>
        <v>47.9700000000012</v>
      </c>
      <c r="R1402" s="7" t="n">
        <f aca="false">(R1401*13+P1402)/14</f>
        <v>72.9451017511954</v>
      </c>
      <c r="S1402" s="7" t="n">
        <f aca="false">(S1401*13+Q1402)/14</f>
        <v>29.9102049626201</v>
      </c>
      <c r="T1402" s="7" t="n">
        <f aca="false">IF(S1402=0,100,100-100/(1+R1402/S1402))</f>
        <v>70.9201149476495</v>
      </c>
      <c r="U1402" s="7" t="n">
        <f aca="false">E1402*2/13+U1401*11/13</f>
        <v>23113.398870483</v>
      </c>
      <c r="V1402" s="7" t="n">
        <f aca="false">E1402*2/27+V1401*25/27</f>
        <v>22774.267286588</v>
      </c>
      <c r="W1402" s="7" t="n">
        <f aca="false">U1402-V1402</f>
        <v>339.13158389505</v>
      </c>
      <c r="X1402" s="7" t="n">
        <f aca="false">W1402*2/10+X1401*8/10</f>
        <v>355.047622835923</v>
      </c>
      <c r="Y1402" s="7" t="n">
        <f aca="false">W1402-X1402</f>
        <v>-15.9160389408723</v>
      </c>
      <c r="Z1402" s="8" t="s">
        <v>42</v>
      </c>
      <c r="AA1402" s="7" t="str">
        <f aca="false">IFERROR(INDEX(02_轉折點45!B:B,MATCH(A1402,02_轉折點45!A:A,0)),"")</f>
        <v/>
      </c>
      <c r="AB1402" s="7" t="n">
        <f aca="false">COUNTIFS(05_訊號明細!A:A,A1402,05_訊號明細!C:C,"TOP")</f>
        <v>0</v>
      </c>
      <c r="AC1402" s="7" t="n">
        <f aca="false">COUNTIFS(05_訊號明細!A:A,A1402,05_訊號明細!C:C,"BOTTOM")</f>
        <v>0</v>
      </c>
    </row>
    <row r="1403" customFormat="false" ht="15" hidden="false" customHeight="false" outlineLevel="0" collapsed="false">
      <c r="A1403" s="7" t="s">
        <v>1444</v>
      </c>
      <c r="B1403" s="7" t="n">
        <v>23337.33</v>
      </c>
      <c r="C1403" s="7" t="n">
        <v>23447.15</v>
      </c>
      <c r="D1403" s="7" t="n">
        <v>23226.92</v>
      </c>
      <c r="E1403" s="7" t="n">
        <v>23345.41</v>
      </c>
      <c r="F1403" s="7" t="n">
        <v>9312</v>
      </c>
      <c r="G1403" s="7" t="n">
        <f aca="false">AVERAGE(E1399:E1403)</f>
        <v>23300.42</v>
      </c>
      <c r="H1403" s="7" t="n">
        <f aca="false">AVERAGE(E1394:E1403)</f>
        <v>23205.467</v>
      </c>
      <c r="I1403" s="7" t="n">
        <f aca="false">AVERAGE(E1384:E1403)</f>
        <v>23003.7155</v>
      </c>
      <c r="J1403" s="7" t="n">
        <f aca="false">AVERAGE(E1354:E1403)</f>
        <v>22243.8338</v>
      </c>
      <c r="K1403" s="7" t="n">
        <f aca="false">AVERAGE(E1304:E1403)</f>
        <v>20844.724</v>
      </c>
      <c r="L1403" s="7" t="n">
        <f aca="false">AVERAGE(E1204:E1403)</f>
        <v>20964.03225</v>
      </c>
      <c r="M1403" s="7" t="n">
        <f aca="false">I1403</f>
        <v>23003.7155</v>
      </c>
      <c r="N1403" s="7" t="n">
        <f aca="false">I1403+2*STDEV(E1384:E1403)</f>
        <v>23464.5611860336</v>
      </c>
      <c r="O1403" s="7" t="n">
        <f aca="false">I1403-2*STDEV(E1384:E1403)</f>
        <v>22542.8698139664</v>
      </c>
      <c r="P1403" s="7" t="n">
        <f aca="false">MAX(E1403-E1402,0)</f>
        <v>37.1100000000006</v>
      </c>
      <c r="Q1403" s="7" t="n">
        <f aca="false">MAX(E1402-E1403,0)</f>
        <v>0</v>
      </c>
      <c r="R1403" s="7" t="n">
        <f aca="false">(R1402*13+P1403)/14</f>
        <v>70.3854516261101</v>
      </c>
      <c r="S1403" s="7" t="n">
        <f aca="false">(S1402*13+Q1403)/14</f>
        <v>27.7737617510044</v>
      </c>
      <c r="T1403" s="7" t="n">
        <f aca="false">IF(S1403=0,100,100-100/(1+R1403/S1403))</f>
        <v>71.7053949441289</v>
      </c>
      <c r="U1403" s="7" t="n">
        <f aca="false">E1403*2/13+U1402*11/13</f>
        <v>23149.0928904087</v>
      </c>
      <c r="V1403" s="7" t="n">
        <f aca="false">E1403*2/27+V1402*25/27</f>
        <v>22816.5741542481</v>
      </c>
      <c r="W1403" s="7" t="n">
        <f aca="false">U1403-V1403</f>
        <v>332.518736160589</v>
      </c>
      <c r="X1403" s="7" t="n">
        <f aca="false">W1403*2/10+X1402*8/10</f>
        <v>350.541845500856</v>
      </c>
      <c r="Y1403" s="7" t="n">
        <f aca="false">W1403-X1403</f>
        <v>-18.0231093402666</v>
      </c>
      <c r="Z1403" s="8" t="s">
        <v>42</v>
      </c>
      <c r="AA1403" s="7" t="str">
        <f aca="false">IFERROR(INDEX(02_轉折點45!B:B,MATCH(A1403,02_轉折點45!A:A,0)),"")</f>
        <v/>
      </c>
      <c r="AB1403" s="7" t="n">
        <f aca="false">COUNTIFS(05_訊號明細!A:A,A1403,05_訊號明細!C:C,"TOP")</f>
        <v>0</v>
      </c>
      <c r="AC1403" s="7" t="n">
        <f aca="false">COUNTIFS(05_訊號明細!A:A,A1403,05_訊號明細!C:C,"BOTTOM")</f>
        <v>0</v>
      </c>
    </row>
    <row r="1404" customFormat="false" ht="15" hidden="false" customHeight="false" outlineLevel="0" collapsed="false">
      <c r="A1404" s="7" t="s">
        <v>1445</v>
      </c>
      <c r="B1404" s="7" t="n">
        <v>23589.37</v>
      </c>
      <c r="C1404" s="7" t="n">
        <v>23589.37</v>
      </c>
      <c r="D1404" s="7" t="n">
        <v>23176.12</v>
      </c>
      <c r="E1404" s="7" t="n">
        <v>23218.12</v>
      </c>
      <c r="F1404" s="7" t="n">
        <v>9917</v>
      </c>
      <c r="G1404" s="7" t="n">
        <f aca="false">AVERAGE(E1400:E1404)</f>
        <v>23300.07</v>
      </c>
      <c r="H1404" s="7" t="n">
        <f aca="false">AVERAGE(E1395:E1404)</f>
        <v>23219.174</v>
      </c>
      <c r="I1404" s="7" t="n">
        <f aca="false">AVERAGE(E1385:E1404)</f>
        <v>23032.527</v>
      </c>
      <c r="J1404" s="7" t="n">
        <f aca="false">AVERAGE(E1355:E1404)</f>
        <v>22279.2552</v>
      </c>
      <c r="K1404" s="7" t="n">
        <f aca="false">AVERAGE(E1305:E1404)</f>
        <v>20874.8915</v>
      </c>
      <c r="L1404" s="7" t="n">
        <f aca="false">AVERAGE(E1205:E1404)</f>
        <v>20978.91405</v>
      </c>
      <c r="M1404" s="7" t="n">
        <f aca="false">I1404</f>
        <v>23032.527</v>
      </c>
      <c r="N1404" s="7" t="n">
        <f aca="false">I1404+2*STDEV(E1385:E1404)</f>
        <v>23469.5621284496</v>
      </c>
      <c r="O1404" s="7" t="n">
        <f aca="false">I1404-2*STDEV(E1385:E1404)</f>
        <v>22595.4918715504</v>
      </c>
      <c r="P1404" s="7" t="n">
        <f aca="false">MAX(E1404-E1403,0)</f>
        <v>0</v>
      </c>
      <c r="Q1404" s="7" t="n">
        <f aca="false">MAX(E1403-E1404,0)</f>
        <v>127.290000000001</v>
      </c>
      <c r="R1404" s="7" t="n">
        <f aca="false">(R1403*13+P1404)/14</f>
        <v>65.3579193671022</v>
      </c>
      <c r="S1404" s="7" t="n">
        <f aca="false">(S1403*13+Q1404)/14</f>
        <v>34.8820644830755</v>
      </c>
      <c r="T1404" s="7" t="n">
        <f aca="false">IF(S1404=0,100,100-100/(1+R1404/S1404))</f>
        <v>65.2014464255985</v>
      </c>
      <c r="U1404" s="7" t="n">
        <f aca="false">E1404*2/13+U1403*11/13</f>
        <v>23159.7124457305</v>
      </c>
      <c r="V1404" s="7" t="n">
        <f aca="false">E1404*2/27+V1403*25/27</f>
        <v>22846.3182909705</v>
      </c>
      <c r="W1404" s="7" t="n">
        <f aca="false">U1404-V1404</f>
        <v>313.394154759964</v>
      </c>
      <c r="X1404" s="7" t="n">
        <f aca="false">W1404*2/10+X1403*8/10</f>
        <v>343.112307352678</v>
      </c>
      <c r="Y1404" s="7" t="n">
        <f aca="false">W1404-X1404</f>
        <v>-29.7181525927134</v>
      </c>
      <c r="Z1404" s="8" t="s">
        <v>42</v>
      </c>
      <c r="AA1404" s="7" t="str">
        <f aca="false">IFERROR(INDEX(02_轉折點45!B:B,MATCH(A1404,02_轉折點45!A:A,0)),"")</f>
        <v/>
      </c>
      <c r="AB1404" s="7" t="n">
        <f aca="false">COUNTIFS(05_訊號明細!A:A,A1404,05_訊號明細!C:C,"TOP")</f>
        <v>1</v>
      </c>
      <c r="AC1404" s="7" t="n">
        <f aca="false">COUNTIFS(05_訊號明細!A:A,A1404,05_訊號明細!C:C,"BOTTOM")</f>
        <v>0</v>
      </c>
    </row>
    <row r="1405" customFormat="false" ht="15" hidden="false" customHeight="false" outlineLevel="0" collapsed="false">
      <c r="A1405" s="7" t="s">
        <v>1446</v>
      </c>
      <c r="B1405" s="7" t="n">
        <v>22941.06</v>
      </c>
      <c r="C1405" s="7" t="n">
        <v>22972.47</v>
      </c>
      <c r="D1405" s="7" t="n">
        <v>22673.88</v>
      </c>
      <c r="E1405" s="7" t="n">
        <v>22763.31</v>
      </c>
      <c r="F1405" s="7" t="n">
        <v>9667</v>
      </c>
      <c r="G1405" s="7" t="n">
        <f aca="false">AVERAGE(E1401:E1405)</f>
        <v>23198.282</v>
      </c>
      <c r="H1405" s="7" t="n">
        <f aca="false">AVERAGE(E1396:E1405)</f>
        <v>23188.958</v>
      </c>
      <c r="I1405" s="7" t="n">
        <f aca="false">AVERAGE(E1386:E1405)</f>
        <v>23027.344</v>
      </c>
      <c r="J1405" s="7" t="n">
        <f aca="false">AVERAGE(E1356:E1405)</f>
        <v>22307.174</v>
      </c>
      <c r="K1405" s="7" t="n">
        <f aca="false">AVERAGE(E1306:E1405)</f>
        <v>20908.2151</v>
      </c>
      <c r="L1405" s="7" t="n">
        <f aca="false">AVERAGE(E1206:E1405)</f>
        <v>20991.37075</v>
      </c>
      <c r="M1405" s="7" t="n">
        <f aca="false">I1405</f>
        <v>23027.344</v>
      </c>
      <c r="N1405" s="7" t="n">
        <f aca="false">I1405+2*STDEV(E1386:E1405)</f>
        <v>23474.9763667052</v>
      </c>
      <c r="O1405" s="7" t="n">
        <f aca="false">I1405-2*STDEV(E1386:E1405)</f>
        <v>22579.7116332948</v>
      </c>
      <c r="P1405" s="7" t="n">
        <f aca="false">MAX(E1405-E1404,0)</f>
        <v>0</v>
      </c>
      <c r="Q1405" s="7" t="n">
        <f aca="false">MAX(E1404-E1405,0)</f>
        <v>454.809999999998</v>
      </c>
      <c r="R1405" s="7" t="n">
        <f aca="false">(R1404*13+P1405)/14</f>
        <v>60.6894965551663</v>
      </c>
      <c r="S1405" s="7" t="n">
        <f aca="false">(S1404*13+Q1405)/14</f>
        <v>64.8769170199986</v>
      </c>
      <c r="T1405" s="7" t="n">
        <f aca="false">IF(S1405=0,100,100-100/(1+R1405/S1405))</f>
        <v>48.3325873752357</v>
      </c>
      <c r="U1405" s="7" t="n">
        <f aca="false">E1405*2/13+U1404*11/13</f>
        <v>23098.7274540796</v>
      </c>
      <c r="V1405" s="7" t="n">
        <f aca="false">E1405*2/27+V1404*25/27</f>
        <v>22840.1695286764</v>
      </c>
      <c r="W1405" s="7" t="n">
        <f aca="false">U1405-V1405</f>
        <v>258.557925403238</v>
      </c>
      <c r="X1405" s="7" t="n">
        <f aca="false">W1405*2/10+X1404*8/10</f>
        <v>326.20143096279</v>
      </c>
      <c r="Y1405" s="7" t="n">
        <f aca="false">W1405-X1405</f>
        <v>-67.6435055595516</v>
      </c>
      <c r="Z1405" s="8" t="s">
        <v>42</v>
      </c>
      <c r="AA1405" s="7" t="str">
        <f aca="false">IFERROR(INDEX(02_轉折點45!B:B,MATCH(A1405,02_轉折點45!A:A,0)),"")</f>
        <v/>
      </c>
      <c r="AB1405" s="7" t="n">
        <f aca="false">COUNTIFS(05_訊號明細!A:A,A1405,05_訊號明細!C:C,"TOP")</f>
        <v>2</v>
      </c>
      <c r="AC1405" s="7" t="n">
        <f aca="false">COUNTIFS(05_訊號明細!A:A,A1405,05_訊號明細!C:C,"BOTTOM")</f>
        <v>0</v>
      </c>
    </row>
    <row r="1406" customFormat="false" ht="15" hidden="false" customHeight="false" outlineLevel="0" collapsed="false">
      <c r="A1406" s="7" t="s">
        <v>1447</v>
      </c>
      <c r="B1406" s="7" t="n">
        <v>22986.77</v>
      </c>
      <c r="C1406" s="7" t="n">
        <v>23191.04</v>
      </c>
      <c r="D1406" s="7" t="n">
        <v>22973.6</v>
      </c>
      <c r="E1406" s="7" t="n">
        <v>23188.61</v>
      </c>
      <c r="F1406" s="7" t="n">
        <v>7356</v>
      </c>
      <c r="G1406" s="7" t="n">
        <f aca="false">AVERAGE(E1402:E1406)</f>
        <v>23164.75</v>
      </c>
      <c r="H1406" s="7" t="n">
        <f aca="false">AVERAGE(E1397:E1406)</f>
        <v>23189.813</v>
      </c>
      <c r="I1406" s="7" t="n">
        <f aca="false">AVERAGE(E1387:E1406)</f>
        <v>23052.496</v>
      </c>
      <c r="J1406" s="7" t="n">
        <f aca="false">AVERAGE(E1357:E1406)</f>
        <v>22349.339</v>
      </c>
      <c r="K1406" s="7" t="n">
        <f aca="false">AVERAGE(E1307:E1406)</f>
        <v>20946.3316</v>
      </c>
      <c r="L1406" s="7" t="n">
        <f aca="false">AVERAGE(E1207:E1406)</f>
        <v>21005.11855</v>
      </c>
      <c r="M1406" s="7" t="n">
        <f aca="false">I1406</f>
        <v>23052.496</v>
      </c>
      <c r="N1406" s="7" t="n">
        <f aca="false">I1406+2*STDEV(E1387:E1406)</f>
        <v>23475.1006524466</v>
      </c>
      <c r="O1406" s="7" t="n">
        <f aca="false">I1406-2*STDEV(E1387:E1406)</f>
        <v>22629.8913475534</v>
      </c>
      <c r="P1406" s="7" t="n">
        <f aca="false">MAX(E1406-E1405,0)</f>
        <v>425.299999999999</v>
      </c>
      <c r="Q1406" s="7" t="n">
        <f aca="false">MAX(E1405-E1406,0)</f>
        <v>0</v>
      </c>
      <c r="R1406" s="7" t="n">
        <f aca="false">(R1405*13+P1406)/14</f>
        <v>86.733103944083</v>
      </c>
      <c r="S1406" s="7" t="n">
        <f aca="false">(S1405*13+Q1406)/14</f>
        <v>60.2428515185701</v>
      </c>
      <c r="T1406" s="7" t="n">
        <f aca="false">IF(S1406=0,100,100-100/(1+R1406/S1406))</f>
        <v>59.011763979396</v>
      </c>
      <c r="U1406" s="7" t="n">
        <f aca="false">E1406*2/13+U1405*11/13</f>
        <v>23112.5555380674</v>
      </c>
      <c r="V1406" s="7" t="n">
        <f aca="false">E1406*2/27+V1405*25/27</f>
        <v>22865.9799339596</v>
      </c>
      <c r="W1406" s="7" t="n">
        <f aca="false">U1406-V1406</f>
        <v>246.575604107758</v>
      </c>
      <c r="X1406" s="7" t="n">
        <f aca="false">W1406*2/10+X1405*8/10</f>
        <v>310.276265591784</v>
      </c>
      <c r="Y1406" s="7" t="n">
        <f aca="false">W1406-X1406</f>
        <v>-63.7006614840251</v>
      </c>
      <c r="Z1406" s="8" t="s">
        <v>42</v>
      </c>
      <c r="AA1406" s="7" t="str">
        <f aca="false">IFERROR(INDEX(02_轉折點45!B:B,MATCH(A1406,02_轉折點45!A:A,0)),"")</f>
        <v/>
      </c>
      <c r="AB1406" s="7" t="n">
        <f aca="false">COUNTIFS(05_訊號明細!A:A,A1406,05_訊號明細!C:C,"TOP")</f>
        <v>1</v>
      </c>
      <c r="AC1406" s="7" t="n">
        <f aca="false">COUNTIFS(05_訊號明細!A:A,A1406,05_訊號明細!C:C,"BOTTOM")</f>
        <v>0</v>
      </c>
    </row>
    <row r="1407" customFormat="false" ht="15" hidden="false" customHeight="false" outlineLevel="0" collapsed="false">
      <c r="A1407" s="7" t="s">
        <v>1448</v>
      </c>
      <c r="B1407" s="7" t="n">
        <v>23235.31</v>
      </c>
      <c r="C1407" s="7" t="n">
        <v>23286.05</v>
      </c>
      <c r="D1407" s="7" t="n">
        <v>23008.14</v>
      </c>
      <c r="E1407" s="7" t="n">
        <v>23018.56</v>
      </c>
      <c r="F1407" s="7" t="n">
        <v>7983</v>
      </c>
      <c r="G1407" s="7" t="n">
        <f aca="false">AVERAGE(E1403:E1407)</f>
        <v>23106.802</v>
      </c>
      <c r="H1407" s="7" t="n">
        <f aca="false">AVERAGE(E1398:E1407)</f>
        <v>23185.311</v>
      </c>
      <c r="I1407" s="7" t="n">
        <f aca="false">AVERAGE(E1388:E1407)</f>
        <v>23068.3115</v>
      </c>
      <c r="J1407" s="7" t="n">
        <f aca="false">AVERAGE(E1358:E1407)</f>
        <v>22387.4608</v>
      </c>
      <c r="K1407" s="7" t="n">
        <f aca="false">AVERAGE(E1308:E1407)</f>
        <v>20980.557</v>
      </c>
      <c r="L1407" s="7" t="n">
        <f aca="false">AVERAGE(E1208:E1407)</f>
        <v>21019.4122</v>
      </c>
      <c r="M1407" s="7" t="n">
        <f aca="false">I1407</f>
        <v>23068.3115</v>
      </c>
      <c r="N1407" s="7" t="n">
        <f aca="false">I1407+2*STDEV(E1388:E1407)</f>
        <v>23458.1296975864</v>
      </c>
      <c r="O1407" s="7" t="n">
        <f aca="false">I1407-2*STDEV(E1388:E1407)</f>
        <v>22678.4933024136</v>
      </c>
      <c r="P1407" s="7" t="n">
        <f aca="false">MAX(E1407-E1406,0)</f>
        <v>0</v>
      </c>
      <c r="Q1407" s="7" t="n">
        <f aca="false">MAX(E1406-E1407,0)</f>
        <v>170.049999999999</v>
      </c>
      <c r="R1407" s="7" t="n">
        <f aca="false">(R1406*13+P1407)/14</f>
        <v>80.5378822337913</v>
      </c>
      <c r="S1407" s="7" t="n">
        <f aca="false">(S1406*13+Q1407)/14</f>
        <v>68.0862192672436</v>
      </c>
      <c r="T1407" s="7" t="n">
        <f aca="false">IF(S1407=0,100,100-100/(1+R1407/S1407))</f>
        <v>54.1889783826417</v>
      </c>
      <c r="U1407" s="7" t="n">
        <f aca="false">E1407*2/13+U1406*11/13</f>
        <v>23098.094686057</v>
      </c>
      <c r="V1407" s="7" t="n">
        <f aca="false">E1407*2/27+V1406*25/27</f>
        <v>22877.2821610737</v>
      </c>
      <c r="W1407" s="7" t="n">
        <f aca="false">U1407-V1407</f>
        <v>220.812524983288</v>
      </c>
      <c r="X1407" s="7" t="n">
        <f aca="false">W1407*2/10+X1406*8/10</f>
        <v>292.383517470085</v>
      </c>
      <c r="Y1407" s="7" t="n">
        <f aca="false">W1407-X1407</f>
        <v>-71.5709924867962</v>
      </c>
      <c r="Z1407" s="8" t="s">
        <v>42</v>
      </c>
      <c r="AA1407" s="7" t="str">
        <f aca="false">IFERROR(INDEX(02_轉折點45!B:B,MATCH(A1407,02_轉折點45!A:A,0)),"")</f>
        <v/>
      </c>
      <c r="AB1407" s="7" t="n">
        <f aca="false">COUNTIFS(05_訊號明細!A:A,A1407,05_訊號明細!C:C,"TOP")</f>
        <v>0</v>
      </c>
      <c r="AC1407" s="7" t="n">
        <f aca="false">COUNTIFS(05_訊號明細!A:A,A1407,05_訊號明細!C:C,"BOTTOM")</f>
        <v>0</v>
      </c>
    </row>
    <row r="1408" customFormat="false" ht="15" hidden="false" customHeight="false" outlineLevel="0" collapsed="false">
      <c r="A1408" s="7" t="s">
        <v>1449</v>
      </c>
      <c r="B1408" s="7" t="n">
        <v>23070.95</v>
      </c>
      <c r="C1408" s="7" t="n">
        <v>23330.49</v>
      </c>
      <c r="D1408" s="7" t="n">
        <v>23042.27</v>
      </c>
      <c r="E1408" s="7" t="n">
        <v>23315.04</v>
      </c>
      <c r="F1408" s="7" t="n">
        <v>8580</v>
      </c>
      <c r="G1408" s="7" t="n">
        <f aca="false">AVERAGE(E1404:E1408)</f>
        <v>23100.728</v>
      </c>
      <c r="H1408" s="7" t="n">
        <f aca="false">AVERAGE(E1399:E1408)</f>
        <v>23200.574</v>
      </c>
      <c r="I1408" s="7" t="n">
        <f aca="false">AVERAGE(E1389:E1408)</f>
        <v>23090.818</v>
      </c>
      <c r="J1408" s="7" t="n">
        <f aca="false">AVERAGE(E1359:E1408)</f>
        <v>22435.4484</v>
      </c>
      <c r="K1408" s="7" t="n">
        <f aca="false">AVERAGE(E1309:E1408)</f>
        <v>21021.4526</v>
      </c>
      <c r="L1408" s="7" t="n">
        <f aca="false">AVERAGE(E1209:E1408)</f>
        <v>21035.11715</v>
      </c>
      <c r="M1408" s="7" t="n">
        <f aca="false">I1408</f>
        <v>23090.818</v>
      </c>
      <c r="N1408" s="7" t="n">
        <f aca="false">I1408+2*STDEV(E1389:E1408)</f>
        <v>23483.158751662</v>
      </c>
      <c r="O1408" s="7" t="n">
        <f aca="false">I1408-2*STDEV(E1389:E1408)</f>
        <v>22698.477248338</v>
      </c>
      <c r="P1408" s="7" t="n">
        <f aca="false">MAX(E1408-E1407,0)</f>
        <v>296.48</v>
      </c>
      <c r="Q1408" s="7" t="n">
        <f aca="false">MAX(E1407-E1408,0)</f>
        <v>0</v>
      </c>
      <c r="R1408" s="7" t="n">
        <f aca="false">(R1407*13+P1408)/14</f>
        <v>95.9623192170919</v>
      </c>
      <c r="S1408" s="7" t="n">
        <f aca="false">(S1407*13+Q1408)/14</f>
        <v>63.2229178910119</v>
      </c>
      <c r="T1408" s="7" t="n">
        <f aca="false">IF(S1408=0,100,100-100/(1+R1408/S1408))</f>
        <v>60.2834288910367</v>
      </c>
      <c r="U1408" s="7" t="n">
        <f aca="false">E1408*2/13+U1407*11/13</f>
        <v>23131.4708882021</v>
      </c>
      <c r="V1408" s="7" t="n">
        <f aca="false">E1408*2/27+V1407*25/27</f>
        <v>22909.7086676609</v>
      </c>
      <c r="W1408" s="7" t="n">
        <f aca="false">U1408-V1408</f>
        <v>221.76222054123</v>
      </c>
      <c r="X1408" s="7" t="n">
        <f aca="false">W1408*2/10+X1407*8/10</f>
        <v>278.259258084314</v>
      </c>
      <c r="Y1408" s="7" t="n">
        <f aca="false">W1408-X1408</f>
        <v>-56.4970375430837</v>
      </c>
      <c r="Z1408" s="8" t="s">
        <v>42</v>
      </c>
      <c r="AA1408" s="7" t="str">
        <f aca="false">IFERROR(INDEX(02_轉折點45!B:B,MATCH(A1408,02_轉折點45!A:A,0)),"")</f>
        <v/>
      </c>
      <c r="AB1408" s="7" t="n">
        <f aca="false">COUNTIFS(05_訊號明細!A:A,A1408,05_訊號明細!C:C,"TOP")</f>
        <v>0</v>
      </c>
      <c r="AC1408" s="7" t="n">
        <f aca="false">COUNTIFS(05_訊號明細!A:A,A1408,05_訊號明細!C:C,"BOTTOM")</f>
        <v>0</v>
      </c>
    </row>
    <row r="1409" customFormat="false" ht="15" hidden="false" customHeight="false" outlineLevel="0" collapsed="false">
      <c r="A1409" s="7" t="s">
        <v>1450</v>
      </c>
      <c r="B1409" s="7" t="n">
        <v>23483.42</v>
      </c>
      <c r="C1409" s="7" t="n">
        <v>23560.73</v>
      </c>
      <c r="D1409" s="7" t="n">
        <v>23225.72</v>
      </c>
      <c r="E1409" s="7" t="n">
        <v>23389.53</v>
      </c>
      <c r="F1409" s="7" t="n">
        <v>8979</v>
      </c>
      <c r="G1409" s="7" t="n">
        <f aca="false">AVERAGE(E1405:E1409)</f>
        <v>23135.01</v>
      </c>
      <c r="H1409" s="7" t="n">
        <f aca="false">AVERAGE(E1400:E1409)</f>
        <v>23217.54</v>
      </c>
      <c r="I1409" s="7" t="n">
        <f aca="false">AVERAGE(E1390:E1409)</f>
        <v>23118.8315</v>
      </c>
      <c r="J1409" s="7" t="n">
        <f aca="false">AVERAGE(E1360:E1409)</f>
        <v>22474.9392</v>
      </c>
      <c r="K1409" s="7" t="n">
        <f aca="false">AVERAGE(E1310:E1409)</f>
        <v>21058.3015</v>
      </c>
      <c r="L1409" s="7" t="n">
        <f aca="false">AVERAGE(E1210:E1409)</f>
        <v>21051.1127</v>
      </c>
      <c r="M1409" s="7" t="n">
        <f aca="false">I1409</f>
        <v>23118.8315</v>
      </c>
      <c r="N1409" s="7" t="n">
        <f aca="false">I1409+2*STDEV(E1390:E1409)</f>
        <v>23512.5438338455</v>
      </c>
      <c r="O1409" s="7" t="n">
        <f aca="false">I1409-2*STDEV(E1390:E1409)</f>
        <v>22725.1191661545</v>
      </c>
      <c r="P1409" s="7" t="n">
        <f aca="false">MAX(E1409-E1408,0)</f>
        <v>74.489999999998</v>
      </c>
      <c r="Q1409" s="7" t="n">
        <f aca="false">MAX(E1408-E1409,0)</f>
        <v>0</v>
      </c>
      <c r="R1409" s="7" t="n">
        <f aca="false">(R1408*13+P1409)/14</f>
        <v>94.4285821301567</v>
      </c>
      <c r="S1409" s="7" t="n">
        <f aca="false">(S1408*13+Q1409)/14</f>
        <v>58.7069951845111</v>
      </c>
      <c r="T1409" s="7" t="n">
        <f aca="false">IF(S1409=0,100,100-100/(1+R1409/S1409))</f>
        <v>61.6633859916967</v>
      </c>
      <c r="U1409" s="7" t="n">
        <f aca="false">E1409*2/13+U1408*11/13</f>
        <v>23171.1722900171</v>
      </c>
      <c r="V1409" s="7" t="n">
        <f aca="false">E1409*2/27+V1408*25/27</f>
        <v>22945.2509885749</v>
      </c>
      <c r="W1409" s="7" t="n">
        <f aca="false">U1409-V1409</f>
        <v>225.921301442286</v>
      </c>
      <c r="X1409" s="7" t="n">
        <f aca="false">W1409*2/10+X1408*8/10</f>
        <v>267.791666755908</v>
      </c>
      <c r="Y1409" s="7" t="n">
        <f aca="false">W1409-X1409</f>
        <v>-41.8703653136222</v>
      </c>
      <c r="Z1409" s="8" t="s">
        <v>42</v>
      </c>
      <c r="AA1409" s="7" t="str">
        <f aca="false">IFERROR(INDEX(02_轉折點45!B:B,MATCH(A1409,02_轉折點45!A:A,0)),"")</f>
        <v/>
      </c>
      <c r="AB1409" s="7" t="n">
        <f aca="false">COUNTIFS(05_訊號明細!A:A,A1409,05_訊號明細!C:C,"TOP")</f>
        <v>2</v>
      </c>
      <c r="AC1409" s="7" t="n">
        <f aca="false">COUNTIFS(05_訊號明細!A:A,A1409,05_訊號明細!C:C,"BOTTOM")</f>
        <v>0</v>
      </c>
    </row>
    <row r="1410" customFormat="false" ht="15" hidden="false" customHeight="false" outlineLevel="0" collapsed="false">
      <c r="A1410" s="7" t="s">
        <v>1451</v>
      </c>
      <c r="B1410" s="7" t="n">
        <v>23458.13</v>
      </c>
      <c r="C1410" s="7" t="n">
        <v>23619.24</v>
      </c>
      <c r="D1410" s="7" t="n">
        <v>23437.61</v>
      </c>
      <c r="E1410" s="7" t="n">
        <v>23611.27</v>
      </c>
      <c r="F1410" s="7" t="n">
        <v>8669</v>
      </c>
      <c r="G1410" s="7" t="n">
        <f aca="false">AVERAGE(E1406:E1410)</f>
        <v>23304.602</v>
      </c>
      <c r="H1410" s="7" t="n">
        <f aca="false">AVERAGE(E1401:E1410)</f>
        <v>23251.442</v>
      </c>
      <c r="I1410" s="7" t="n">
        <f aca="false">AVERAGE(E1391:E1410)</f>
        <v>23160.365</v>
      </c>
      <c r="J1410" s="7" t="n">
        <f aca="false">AVERAGE(E1361:E1410)</f>
        <v>22520.8012</v>
      </c>
      <c r="K1410" s="7" t="n">
        <f aca="false">AVERAGE(E1311:E1410)</f>
        <v>21096.2918</v>
      </c>
      <c r="L1410" s="7" t="n">
        <f aca="false">AVERAGE(E1211:E1410)</f>
        <v>21067.54885</v>
      </c>
      <c r="M1410" s="7" t="n">
        <f aca="false">I1410</f>
        <v>23160.365</v>
      </c>
      <c r="N1410" s="7" t="n">
        <f aca="false">I1410+2*STDEV(E1391:E1410)</f>
        <v>23578.3524475325</v>
      </c>
      <c r="O1410" s="7" t="n">
        <f aca="false">I1410-2*STDEV(E1391:E1410)</f>
        <v>22742.3775524675</v>
      </c>
      <c r="P1410" s="7" t="n">
        <f aca="false">MAX(E1410-E1409,0)</f>
        <v>221.740000000002</v>
      </c>
      <c r="Q1410" s="7" t="n">
        <f aca="false">MAX(E1409-E1410,0)</f>
        <v>0</v>
      </c>
      <c r="R1410" s="7" t="n">
        <f aca="false">(R1409*13+P1410)/14</f>
        <v>103.522254835146</v>
      </c>
      <c r="S1410" s="7" t="n">
        <f aca="false">(S1409*13+Q1410)/14</f>
        <v>54.5136383856174</v>
      </c>
      <c r="T1410" s="7" t="n">
        <f aca="false">IF(S1410=0,100,100-100/(1+R1410/S1410))</f>
        <v>65.5055334110294</v>
      </c>
      <c r="U1410" s="7" t="n">
        <f aca="false">E1410*2/13+U1409*11/13</f>
        <v>23238.8796300145</v>
      </c>
      <c r="V1410" s="7" t="n">
        <f aca="false">E1410*2/27+V1409*25/27</f>
        <v>22994.5857301619</v>
      </c>
      <c r="W1410" s="7" t="n">
        <f aca="false">U1410-V1410</f>
        <v>244.293899852597</v>
      </c>
      <c r="X1410" s="7" t="n">
        <f aca="false">W1410*2/10+X1409*8/10</f>
        <v>263.092113375246</v>
      </c>
      <c r="Y1410" s="7" t="n">
        <f aca="false">W1410-X1410</f>
        <v>-18.7982135226488</v>
      </c>
      <c r="Z1410" s="8" t="s">
        <v>42</v>
      </c>
      <c r="AA1410" s="7" t="str">
        <f aca="false">IFERROR(INDEX(02_轉折點45!B:B,MATCH(A1410,02_轉折點45!A:A,0)),"")</f>
        <v/>
      </c>
      <c r="AB1410" s="7" t="n">
        <f aca="false">COUNTIFS(05_訊號明細!A:A,A1410,05_訊號明細!C:C,"TOP")</f>
        <v>1</v>
      </c>
      <c r="AC1410" s="7" t="n">
        <f aca="false">COUNTIFS(05_訊號明細!A:A,A1410,05_訊號明細!C:C,"BOTTOM")</f>
        <v>0</v>
      </c>
    </row>
    <row r="1411" customFormat="false" ht="15" hidden="false" customHeight="false" outlineLevel="0" collapsed="false">
      <c r="A1411" s="7" t="s">
        <v>1452</v>
      </c>
      <c r="B1411" s="7" t="n">
        <v>23629.02</v>
      </c>
      <c r="C1411" s="7" t="n">
        <v>23698</v>
      </c>
      <c r="D1411" s="7" t="n">
        <v>23484.25</v>
      </c>
      <c r="E1411" s="7" t="n">
        <v>23526.63</v>
      </c>
      <c r="F1411" s="7" t="n">
        <v>9100</v>
      </c>
      <c r="G1411" s="7" t="n">
        <f aca="false">AVERAGE(E1407:E1411)</f>
        <v>23372.206</v>
      </c>
      <c r="H1411" s="7" t="n">
        <f aca="false">AVERAGE(E1402:E1411)</f>
        <v>23268.478</v>
      </c>
      <c r="I1411" s="7" t="n">
        <f aca="false">AVERAGE(E1392:E1411)</f>
        <v>23193.915</v>
      </c>
      <c r="J1411" s="7" t="n">
        <f aca="false">AVERAGE(E1362:E1411)</f>
        <v>22564.0548</v>
      </c>
      <c r="K1411" s="7" t="n">
        <f aca="false">AVERAGE(E1312:E1411)</f>
        <v>21136.7245</v>
      </c>
      <c r="L1411" s="7" t="n">
        <f aca="false">AVERAGE(E1212:E1411)</f>
        <v>21083.37465</v>
      </c>
      <c r="M1411" s="7" t="n">
        <f aca="false">I1411</f>
        <v>23193.915</v>
      </c>
      <c r="N1411" s="7" t="n">
        <f aca="false">I1411+2*STDEV(E1392:E1411)</f>
        <v>23616.6040694738</v>
      </c>
      <c r="O1411" s="7" t="n">
        <f aca="false">I1411-2*STDEV(E1392:E1411)</f>
        <v>22771.2259305262</v>
      </c>
      <c r="P1411" s="7" t="n">
        <f aca="false">MAX(E1411-E1410,0)</f>
        <v>0</v>
      </c>
      <c r="Q1411" s="7" t="n">
        <f aca="false">MAX(E1410-E1411,0)</f>
        <v>84.6399999999994</v>
      </c>
      <c r="R1411" s="7" t="n">
        <f aca="false">(R1410*13+P1411)/14</f>
        <v>96.1278080612066</v>
      </c>
      <c r="S1411" s="7" t="n">
        <f aca="false">(S1410*13+Q1411)/14</f>
        <v>56.6655213580733</v>
      </c>
      <c r="T1411" s="7" t="n">
        <f aca="false">IF(S1411=0,100,100-100/(1+R1411/S1411))</f>
        <v>62.9136156837204</v>
      </c>
      <c r="U1411" s="7" t="n">
        <f aca="false">E1411*2/13+U1410*11/13</f>
        <v>23283.1489177046</v>
      </c>
      <c r="V1411" s="7" t="n">
        <f aca="false">E1411*2/27+V1410*25/27</f>
        <v>23033.9964168166</v>
      </c>
      <c r="W1411" s="7" t="n">
        <f aca="false">U1411-V1411</f>
        <v>249.152500888002</v>
      </c>
      <c r="X1411" s="7" t="n">
        <f aca="false">W1411*2/10+X1410*8/10</f>
        <v>260.304190877797</v>
      </c>
      <c r="Y1411" s="7" t="n">
        <f aca="false">W1411-X1411</f>
        <v>-11.1516899897953</v>
      </c>
      <c r="Z1411" s="8" t="s">
        <v>42</v>
      </c>
      <c r="AA1411" s="7" t="str">
        <f aca="false">IFERROR(INDEX(02_轉折點45!B:B,MATCH(A1411,02_轉折點45!A:A,0)),"")</f>
        <v/>
      </c>
      <c r="AB1411" s="7" t="n">
        <f aca="false">COUNTIFS(05_訊號明細!A:A,A1411,05_訊號明細!C:C,"TOP")</f>
        <v>0</v>
      </c>
      <c r="AC1411" s="7" t="n">
        <f aca="false">COUNTIFS(05_訊號明細!A:A,A1411,05_訊號明細!C:C,"BOTTOM")</f>
        <v>0</v>
      </c>
    </row>
    <row r="1412" customFormat="false" ht="15" hidden="false" customHeight="false" outlineLevel="0" collapsed="false">
      <c r="A1412" s="7" t="s">
        <v>1453</v>
      </c>
      <c r="B1412" s="7" t="n">
        <v>23651.61</v>
      </c>
      <c r="C1412" s="7" t="n">
        <v>23849.5</v>
      </c>
      <c r="D1412" s="7" t="n">
        <v>23524.28</v>
      </c>
      <c r="E1412" s="7" t="n">
        <v>23839.2</v>
      </c>
      <c r="F1412" s="7" t="n">
        <v>8383</v>
      </c>
      <c r="G1412" s="7" t="n">
        <f aca="false">AVERAGE(E1408:E1412)</f>
        <v>23536.334</v>
      </c>
      <c r="H1412" s="7" t="n">
        <f aca="false">AVERAGE(E1403:E1412)</f>
        <v>23321.568</v>
      </c>
      <c r="I1412" s="7" t="n">
        <f aca="false">AVERAGE(E1393:E1412)</f>
        <v>23241.6455</v>
      </c>
      <c r="J1412" s="7" t="n">
        <f aca="false">AVERAGE(E1363:E1412)</f>
        <v>22614.019</v>
      </c>
      <c r="K1412" s="7" t="n">
        <f aca="false">AVERAGE(E1313:E1412)</f>
        <v>21177.7499</v>
      </c>
      <c r="L1412" s="7" t="n">
        <f aca="false">AVERAGE(E1213:E1412)</f>
        <v>21100.61835</v>
      </c>
      <c r="M1412" s="7" t="n">
        <f aca="false">I1412</f>
        <v>23241.6455</v>
      </c>
      <c r="N1412" s="7" t="n">
        <f aca="false">I1412+2*STDEV(E1393:E1412)</f>
        <v>23728.0524117183</v>
      </c>
      <c r="O1412" s="7" t="n">
        <f aca="false">I1412-2*STDEV(E1393:E1412)</f>
        <v>22755.2385882817</v>
      </c>
      <c r="P1412" s="7" t="n">
        <f aca="false">MAX(E1412-E1411,0)</f>
        <v>312.57</v>
      </c>
      <c r="Q1412" s="7" t="n">
        <f aca="false">MAX(E1411-E1412,0)</f>
        <v>0</v>
      </c>
      <c r="R1412" s="7" t="n">
        <f aca="false">(R1411*13+P1412)/14</f>
        <v>111.587964628263</v>
      </c>
      <c r="S1412" s="7" t="n">
        <f aca="false">(S1411*13+Q1412)/14</f>
        <v>52.6179841182109</v>
      </c>
      <c r="T1412" s="7" t="n">
        <f aca="false">IF(S1412=0,100,100-100/(1+R1412/S1412))</f>
        <v>67.9561035882747</v>
      </c>
      <c r="U1412" s="7" t="n">
        <f aca="false">E1412*2/13+U1411*11/13</f>
        <v>23368.6952380577</v>
      </c>
      <c r="V1412" s="7" t="n">
        <f aca="false">E1412*2/27+V1411*25/27</f>
        <v>23093.641126682</v>
      </c>
      <c r="W1412" s="7" t="n">
        <f aca="false">U1412-V1412</f>
        <v>275.054111375703</v>
      </c>
      <c r="X1412" s="7" t="n">
        <f aca="false">W1412*2/10+X1411*8/10</f>
        <v>263.254174977378</v>
      </c>
      <c r="Y1412" s="7" t="n">
        <f aca="false">W1412-X1412</f>
        <v>11.7999363983245</v>
      </c>
      <c r="Z1412" s="8" t="s">
        <v>42</v>
      </c>
      <c r="AA1412" s="7" t="str">
        <f aca="false">IFERROR(INDEX(02_轉折點45!B:B,MATCH(A1412,02_轉折點45!A:A,0)),"")</f>
        <v/>
      </c>
      <c r="AB1412" s="7" t="n">
        <f aca="false">COUNTIFS(05_訊號明細!A:A,A1412,05_訊號明細!C:C,"TOP")</f>
        <v>1</v>
      </c>
      <c r="AC1412" s="7" t="n">
        <f aca="false">COUNTIFS(05_訊號明細!A:A,A1412,05_訊號明細!C:C,"BOTTOM")</f>
        <v>0</v>
      </c>
    </row>
    <row r="1413" customFormat="false" ht="15" hidden="false" customHeight="false" outlineLevel="0" collapsed="false">
      <c r="A1413" s="7" t="s">
        <v>1454</v>
      </c>
      <c r="B1413" s="7" t="n">
        <v>23935.06</v>
      </c>
      <c r="C1413" s="7" t="n">
        <v>23969.28</v>
      </c>
      <c r="D1413" s="7" t="n">
        <v>23789.12</v>
      </c>
      <c r="E1413" s="7" t="n">
        <v>23849.04</v>
      </c>
      <c r="F1413" s="7" t="n">
        <v>8763</v>
      </c>
      <c r="G1413" s="7" t="n">
        <f aca="false">AVERAGE(E1409:E1413)</f>
        <v>23643.134</v>
      </c>
      <c r="H1413" s="7" t="n">
        <f aca="false">AVERAGE(E1404:E1413)</f>
        <v>23371.931</v>
      </c>
      <c r="I1413" s="7" t="n">
        <f aca="false">AVERAGE(E1394:E1413)</f>
        <v>23288.699</v>
      </c>
      <c r="J1413" s="7" t="n">
        <f aca="false">AVERAGE(E1364:E1413)</f>
        <v>22661.1648</v>
      </c>
      <c r="K1413" s="7" t="n">
        <f aca="false">AVERAGE(E1314:E1413)</f>
        <v>21219.4642</v>
      </c>
      <c r="L1413" s="7" t="n">
        <f aca="false">AVERAGE(E1214:E1413)</f>
        <v>21119.52875</v>
      </c>
      <c r="M1413" s="7" t="n">
        <f aca="false">I1413</f>
        <v>23288.699</v>
      </c>
      <c r="N1413" s="7" t="n">
        <f aca="false">I1413+2*STDEV(E1394:E1413)</f>
        <v>23819.2634660429</v>
      </c>
      <c r="O1413" s="7" t="n">
        <f aca="false">I1413-2*STDEV(E1394:E1413)</f>
        <v>22758.1345339571</v>
      </c>
      <c r="P1413" s="7" t="n">
        <f aca="false">MAX(E1413-E1412,0)</f>
        <v>9.84000000000015</v>
      </c>
      <c r="Q1413" s="7" t="n">
        <f aca="false">MAX(E1412-E1413,0)</f>
        <v>0</v>
      </c>
      <c r="R1413" s="7" t="n">
        <f aca="false">(R1412*13+P1413)/14</f>
        <v>104.320252869102</v>
      </c>
      <c r="S1413" s="7" t="n">
        <f aca="false">(S1412*13+Q1413)/14</f>
        <v>48.8595566811958</v>
      </c>
      <c r="T1413" s="7" t="n">
        <f aca="false">IF(S1413=0,100,100-100/(1+R1413/S1413))</f>
        <v>68.1031352469775</v>
      </c>
      <c r="U1413" s="7" t="n">
        <f aca="false">E1413*2/13+U1412*11/13</f>
        <v>23442.5944322027</v>
      </c>
      <c r="V1413" s="7" t="n">
        <f aca="false">E1413*2/27+V1412*25/27</f>
        <v>23149.5965987797</v>
      </c>
      <c r="W1413" s="7" t="n">
        <f aca="false">U1413-V1413</f>
        <v>292.99783342304</v>
      </c>
      <c r="X1413" s="7" t="n">
        <f aca="false">W1413*2/10+X1412*8/10</f>
        <v>269.202906666511</v>
      </c>
      <c r="Y1413" s="7" t="n">
        <f aca="false">W1413-X1413</f>
        <v>23.7949267565295</v>
      </c>
      <c r="Z1413" s="8" t="s">
        <v>42</v>
      </c>
      <c r="AA1413" s="7" t="str">
        <f aca="false">IFERROR(INDEX(02_轉折點45!B:B,MATCH(A1413,02_轉折點45!A:A,0)),"")</f>
        <v/>
      </c>
      <c r="AB1413" s="7" t="n">
        <f aca="false">COUNTIFS(05_訊號明細!A:A,A1413,05_訊號明細!C:C,"TOP")</f>
        <v>1</v>
      </c>
      <c r="AC1413" s="7" t="n">
        <f aca="false">COUNTIFS(05_訊號明細!A:A,A1413,05_訊號明細!C:C,"BOTTOM")</f>
        <v>0</v>
      </c>
    </row>
    <row r="1414" customFormat="false" ht="15" hidden="false" customHeight="false" outlineLevel="0" collapsed="false">
      <c r="A1414" s="7" t="s">
        <v>1455</v>
      </c>
      <c r="B1414" s="7" t="n">
        <v>23775.01</v>
      </c>
      <c r="C1414" s="7" t="n">
        <v>23908.26</v>
      </c>
      <c r="D1414" s="7" t="n">
        <v>23748.98</v>
      </c>
      <c r="E1414" s="7" t="n">
        <v>23832.44</v>
      </c>
      <c r="F1414" s="7" t="n">
        <v>9111</v>
      </c>
      <c r="G1414" s="7" t="n">
        <f aca="false">AVERAGE(E1410:E1414)</f>
        <v>23731.716</v>
      </c>
      <c r="H1414" s="7" t="n">
        <f aca="false">AVERAGE(E1405:E1414)</f>
        <v>23433.363</v>
      </c>
      <c r="I1414" s="7" t="n">
        <f aca="false">AVERAGE(E1395:E1414)</f>
        <v>23326.2685</v>
      </c>
      <c r="J1414" s="7" t="n">
        <f aca="false">AVERAGE(E1365:E1414)</f>
        <v>22704.562</v>
      </c>
      <c r="K1414" s="7" t="n">
        <f aca="false">AVERAGE(E1315:E1414)</f>
        <v>21260.2489</v>
      </c>
      <c r="L1414" s="7" t="n">
        <f aca="false">AVERAGE(E1215:E1414)</f>
        <v>21137.5266</v>
      </c>
      <c r="M1414" s="7" t="n">
        <f aca="false">I1414</f>
        <v>23326.2685</v>
      </c>
      <c r="N1414" s="7" t="n">
        <f aca="false">I1414+2*STDEV(E1395:E1414)</f>
        <v>23899.610580539</v>
      </c>
      <c r="O1414" s="7" t="n">
        <f aca="false">I1414-2*STDEV(E1395:E1414)</f>
        <v>22752.926419461</v>
      </c>
      <c r="P1414" s="7" t="n">
        <f aca="false">MAX(E1414-E1413,0)</f>
        <v>0</v>
      </c>
      <c r="Q1414" s="7" t="n">
        <f aca="false">MAX(E1413-E1414,0)</f>
        <v>16.6000000000022</v>
      </c>
      <c r="R1414" s="7" t="n">
        <f aca="false">(R1413*13+P1414)/14</f>
        <v>96.8688062355943</v>
      </c>
      <c r="S1414" s="7" t="n">
        <f aca="false">(S1413*13+Q1414)/14</f>
        <v>46.5553026325391</v>
      </c>
      <c r="T1414" s="7" t="n">
        <f aca="false">IF(S1414=0,100,100-100/(1+R1414/S1414))</f>
        <v>67.5401137229008</v>
      </c>
      <c r="U1414" s="7" t="n">
        <f aca="false">E1414*2/13+U1413*11/13</f>
        <v>23502.5706734023</v>
      </c>
      <c r="V1414" s="7" t="n">
        <f aca="false">E1414*2/27+V1413*25/27</f>
        <v>23200.1775914626</v>
      </c>
      <c r="W1414" s="7" t="n">
        <f aca="false">U1414-V1414</f>
        <v>302.393081939634</v>
      </c>
      <c r="X1414" s="7" t="n">
        <f aca="false">W1414*2/10+X1413*8/10</f>
        <v>275.840941721135</v>
      </c>
      <c r="Y1414" s="7" t="n">
        <f aca="false">W1414-X1414</f>
        <v>26.5521402184986</v>
      </c>
      <c r="Z1414" s="8" t="s">
        <v>42</v>
      </c>
      <c r="AA1414" s="7" t="str">
        <f aca="false">IFERROR(INDEX(02_轉折點45!B:B,MATCH(A1414,02_轉折點45!A:A,0)),"")</f>
        <v/>
      </c>
      <c r="AB1414" s="7" t="n">
        <f aca="false">COUNTIFS(05_訊號明細!A:A,A1414,05_訊號明細!C:C,"TOP")</f>
        <v>0</v>
      </c>
      <c r="AC1414" s="7" t="n">
        <f aca="false">COUNTIFS(05_訊號明細!A:A,A1414,05_訊號明細!C:C,"BOTTOM")</f>
        <v>0</v>
      </c>
    </row>
    <row r="1415" customFormat="false" ht="15" hidden="false" customHeight="false" outlineLevel="0" collapsed="false">
      <c r="A1415" s="7" t="s">
        <v>1456</v>
      </c>
      <c r="B1415" s="7" t="n">
        <v>23809</v>
      </c>
      <c r="C1415" s="7" t="n">
        <v>23813.99</v>
      </c>
      <c r="D1415" s="7" t="n">
        <v>23651.21</v>
      </c>
      <c r="E1415" s="7" t="n">
        <v>23712.07</v>
      </c>
      <c r="F1415" s="7" t="n">
        <v>8159</v>
      </c>
      <c r="G1415" s="7" t="n">
        <f aca="false">AVERAGE(E1411:E1415)</f>
        <v>23751.876</v>
      </c>
      <c r="H1415" s="7" t="n">
        <f aca="false">AVERAGE(E1406:E1415)</f>
        <v>23528.239</v>
      </c>
      <c r="I1415" s="7" t="n">
        <f aca="false">AVERAGE(E1396:E1415)</f>
        <v>23358.5985</v>
      </c>
      <c r="J1415" s="7" t="n">
        <f aca="false">AVERAGE(E1366:E1415)</f>
        <v>22744.365</v>
      </c>
      <c r="K1415" s="7" t="n">
        <f aca="false">AVERAGE(E1316:E1415)</f>
        <v>21295.5651</v>
      </c>
      <c r="L1415" s="7" t="n">
        <f aca="false">AVERAGE(E1216:E1415)</f>
        <v>21154.32685</v>
      </c>
      <c r="M1415" s="7" t="n">
        <f aca="false">I1415</f>
        <v>23358.5985</v>
      </c>
      <c r="N1415" s="7" t="n">
        <f aca="false">I1415+2*STDEV(E1396:E1415)</f>
        <v>23942.8384981001</v>
      </c>
      <c r="O1415" s="7" t="n">
        <f aca="false">I1415-2*STDEV(E1396:E1415)</f>
        <v>22774.3585018999</v>
      </c>
      <c r="P1415" s="7" t="n">
        <f aca="false">MAX(E1415-E1414,0)</f>
        <v>0</v>
      </c>
      <c r="Q1415" s="7" t="n">
        <f aca="false">MAX(E1414-E1415,0)</f>
        <v>120.369999999999</v>
      </c>
      <c r="R1415" s="7" t="n">
        <f aca="false">(R1414*13+P1415)/14</f>
        <v>89.9496057901947</v>
      </c>
      <c r="S1415" s="7" t="n">
        <f aca="false">(S1414*13+Q1415)/14</f>
        <v>51.8277810159291</v>
      </c>
      <c r="T1415" s="7" t="n">
        <f aca="false">IF(S1415=0,100,100-100/(1+R1415/S1415))</f>
        <v>63.4442542753295</v>
      </c>
      <c r="U1415" s="7" t="n">
        <f aca="false">E1415*2/13+U1414*11/13</f>
        <v>23534.8013390327</v>
      </c>
      <c r="V1415" s="7" t="n">
        <f aca="false">E1415*2/27+V1414*25/27</f>
        <v>23238.0955476506</v>
      </c>
      <c r="W1415" s="7" t="n">
        <f aca="false">U1415-V1415</f>
        <v>296.705791382097</v>
      </c>
      <c r="X1415" s="7" t="n">
        <f aca="false">W1415*2/10+X1414*8/10</f>
        <v>280.013911653328</v>
      </c>
      <c r="Y1415" s="7" t="n">
        <f aca="false">W1415-X1415</f>
        <v>16.6918797287697</v>
      </c>
      <c r="Z1415" s="8" t="s">
        <v>42</v>
      </c>
      <c r="AA1415" s="7" t="str">
        <f aca="false">IFERROR(INDEX(02_轉折點45!B:B,MATCH(A1415,02_轉折點45!A:A,0)),"")</f>
        <v/>
      </c>
      <c r="AB1415" s="7" t="n">
        <f aca="false">COUNTIFS(05_訊號明細!A:A,A1415,05_訊號明細!C:C,"TOP")</f>
        <v>0</v>
      </c>
      <c r="AC1415" s="7" t="n">
        <f aca="false">COUNTIFS(05_訊號明細!A:A,A1415,05_訊號明細!C:C,"BOTTOM")</f>
        <v>0</v>
      </c>
    </row>
    <row r="1416" customFormat="false" ht="15" hidden="false" customHeight="false" outlineLevel="0" collapsed="false">
      <c r="A1416" s="7" t="s">
        <v>1457</v>
      </c>
      <c r="B1416" s="7" t="n">
        <v>23692.13</v>
      </c>
      <c r="C1416" s="7" t="n">
        <v>23733.5</v>
      </c>
      <c r="D1416" s="7" t="n">
        <v>23637.41</v>
      </c>
      <c r="E1416" s="7" t="n">
        <v>23713.76</v>
      </c>
      <c r="F1416" s="7" t="n">
        <v>8261</v>
      </c>
      <c r="G1416" s="7" t="n">
        <f aca="false">AVERAGE(E1412:E1416)</f>
        <v>23789.302</v>
      </c>
      <c r="H1416" s="7" t="n">
        <f aca="false">AVERAGE(E1407:E1416)</f>
        <v>23580.754</v>
      </c>
      <c r="I1416" s="7" t="n">
        <f aca="false">AVERAGE(E1397:E1416)</f>
        <v>23385.2835</v>
      </c>
      <c r="J1416" s="7" t="n">
        <f aca="false">AVERAGE(E1367:E1416)</f>
        <v>22787.6916</v>
      </c>
      <c r="K1416" s="7" t="n">
        <f aca="false">AVERAGE(E1317:E1416)</f>
        <v>21329.8244</v>
      </c>
      <c r="L1416" s="7" t="n">
        <f aca="false">AVERAGE(E1217:E1416)</f>
        <v>21171.1403</v>
      </c>
      <c r="M1416" s="7" t="n">
        <f aca="false">I1416</f>
        <v>23385.2835</v>
      </c>
      <c r="N1416" s="7" t="n">
        <f aca="false">I1416+2*STDEV(E1397:E1416)</f>
        <v>23983.767495944</v>
      </c>
      <c r="O1416" s="7" t="n">
        <f aca="false">I1416-2*STDEV(E1397:E1416)</f>
        <v>22786.799504056</v>
      </c>
      <c r="P1416" s="7" t="n">
        <f aca="false">MAX(E1416-E1415,0)</f>
        <v>1.68999999999869</v>
      </c>
      <c r="Q1416" s="7" t="n">
        <f aca="false">MAX(E1415-E1416,0)</f>
        <v>0</v>
      </c>
      <c r="R1416" s="7" t="n">
        <f aca="false">(R1415*13+P1416)/14</f>
        <v>83.6453482337522</v>
      </c>
      <c r="S1416" s="7" t="n">
        <f aca="false">(S1415*13+Q1416)/14</f>
        <v>48.1257966576485</v>
      </c>
      <c r="T1416" s="7" t="n">
        <f aca="false">IF(S1416=0,100,100-100/(1+R1416/S1416))</f>
        <v>63.4777426444072</v>
      </c>
      <c r="U1416" s="7" t="n">
        <f aca="false">E1416*2/13+U1415*11/13</f>
        <v>23562.33344072</v>
      </c>
      <c r="V1416" s="7" t="n">
        <f aca="false">E1416*2/27+V1415*25/27</f>
        <v>23273.3299515283</v>
      </c>
      <c r="W1416" s="7" t="n">
        <f aca="false">U1416-V1416</f>
        <v>289.00348919164</v>
      </c>
      <c r="X1416" s="7" t="n">
        <f aca="false">W1416*2/10+X1415*8/10</f>
        <v>281.81182716099</v>
      </c>
      <c r="Y1416" s="7" t="n">
        <f aca="false">W1416-X1416</f>
        <v>7.19166203065015</v>
      </c>
      <c r="Z1416" s="8" t="s">
        <v>42</v>
      </c>
      <c r="AA1416" s="7" t="str">
        <f aca="false">IFERROR(INDEX(02_轉折點45!B:B,MATCH(A1416,02_轉折點45!A:A,0)),"")</f>
        <v/>
      </c>
      <c r="AB1416" s="7" t="n">
        <f aca="false">COUNTIFS(05_訊號明細!A:A,A1416,05_訊號明細!C:C,"TOP")</f>
        <v>0</v>
      </c>
      <c r="AC1416" s="7" t="n">
        <f aca="false">COUNTIFS(05_訊號明細!A:A,A1416,05_訊號明細!C:C,"BOTTOM")</f>
        <v>0</v>
      </c>
    </row>
    <row r="1417" customFormat="false" ht="15" hidden="false" customHeight="false" outlineLevel="0" collapsed="false">
      <c r="A1417" s="7" t="s">
        <v>1458</v>
      </c>
      <c r="B1417" s="7" t="n">
        <v>23689.02</v>
      </c>
      <c r="C1417" s="7" t="n">
        <v>23695.64</v>
      </c>
      <c r="D1417" s="7" t="n">
        <v>23346.34</v>
      </c>
      <c r="E1417" s="7" t="n">
        <v>23384.77</v>
      </c>
      <c r="F1417" s="7" t="n">
        <v>8462</v>
      </c>
      <c r="G1417" s="7" t="n">
        <f aca="false">AVERAGE(E1413:E1417)</f>
        <v>23698.416</v>
      </c>
      <c r="H1417" s="7" t="n">
        <f aca="false">AVERAGE(E1408:E1417)</f>
        <v>23617.375</v>
      </c>
      <c r="I1417" s="7" t="n">
        <f aca="false">AVERAGE(E1398:E1417)</f>
        <v>23401.343</v>
      </c>
      <c r="J1417" s="7" t="n">
        <f aca="false">AVERAGE(E1368:E1417)</f>
        <v>22820.1512</v>
      </c>
      <c r="K1417" s="7" t="n">
        <f aca="false">AVERAGE(E1318:E1417)</f>
        <v>21364.5022</v>
      </c>
      <c r="L1417" s="7" t="n">
        <f aca="false">AVERAGE(E1218:E1417)</f>
        <v>21185.3109</v>
      </c>
      <c r="M1417" s="7" t="n">
        <f aca="false">I1417</f>
        <v>23401.343</v>
      </c>
      <c r="N1417" s="7" t="n">
        <f aca="false">I1417+2*STDEV(E1398:E1417)</f>
        <v>23980.4018852194</v>
      </c>
      <c r="O1417" s="7" t="n">
        <f aca="false">I1417-2*STDEV(E1398:E1417)</f>
        <v>22822.2841147806</v>
      </c>
      <c r="P1417" s="7" t="n">
        <f aca="false">MAX(E1417-E1416,0)</f>
        <v>0</v>
      </c>
      <c r="Q1417" s="7" t="n">
        <f aca="false">MAX(E1416-E1417,0)</f>
        <v>328.989999999998</v>
      </c>
      <c r="R1417" s="7" t="n">
        <f aca="false">(R1416*13+P1417)/14</f>
        <v>77.6706805027699</v>
      </c>
      <c r="S1417" s="7" t="n">
        <f aca="false">(S1416*13+Q1417)/14</f>
        <v>68.1875254678163</v>
      </c>
      <c r="T1417" s="7" t="n">
        <f aca="false">IF(S1417=0,100,100-100/(1+R1417/S1417))</f>
        <v>53.2508129974072</v>
      </c>
      <c r="U1417" s="7" t="n">
        <f aca="false">E1417*2/13+U1416*11/13</f>
        <v>23535.0159883015</v>
      </c>
      <c r="V1417" s="7" t="n">
        <f aca="false">E1417*2/27+V1416*25/27</f>
        <v>23281.5847699336</v>
      </c>
      <c r="W1417" s="7" t="n">
        <f aca="false">U1417-V1417</f>
        <v>253.43121836787</v>
      </c>
      <c r="X1417" s="7" t="n">
        <f aca="false">W1417*2/10+X1416*8/10</f>
        <v>276.135705402366</v>
      </c>
      <c r="Y1417" s="7" t="n">
        <f aca="false">W1417-X1417</f>
        <v>-22.7044870344958</v>
      </c>
      <c r="Z1417" s="8" t="s">
        <v>42</v>
      </c>
      <c r="AA1417" s="7" t="str">
        <f aca="false">IFERROR(INDEX(02_轉折點45!B:B,MATCH(A1417,02_轉折點45!A:A,0)),"")</f>
        <v/>
      </c>
      <c r="AB1417" s="7" t="n">
        <f aca="false">COUNTIFS(05_訊號明細!A:A,A1417,05_訊號明細!C:C,"TOP")</f>
        <v>0</v>
      </c>
      <c r="AC1417" s="7" t="n">
        <f aca="false">COUNTIFS(05_訊號明細!A:A,A1417,05_訊號明細!C:C,"BOTTOM")</f>
        <v>0</v>
      </c>
    </row>
    <row r="1418" customFormat="false" ht="15" hidden="false" customHeight="false" outlineLevel="0" collapsed="false">
      <c r="A1418" s="7" t="s">
        <v>1459</v>
      </c>
      <c r="B1418" s="7" t="n">
        <v>23343.41</v>
      </c>
      <c r="C1418" s="7" t="n">
        <v>23343.41</v>
      </c>
      <c r="D1418" s="7" t="n">
        <v>22959.7</v>
      </c>
      <c r="E1418" s="7" t="n">
        <v>23249.57</v>
      </c>
      <c r="F1418" s="7" t="n">
        <v>7810</v>
      </c>
      <c r="G1418" s="7" t="n">
        <f aca="false">AVERAGE(E1414:E1418)</f>
        <v>23578.522</v>
      </c>
      <c r="H1418" s="7" t="n">
        <f aca="false">AVERAGE(E1409:E1418)</f>
        <v>23610.828</v>
      </c>
      <c r="I1418" s="7" t="n">
        <f aca="false">AVERAGE(E1399:E1418)</f>
        <v>23405.701</v>
      </c>
      <c r="J1418" s="7" t="n">
        <f aca="false">AVERAGE(E1369:E1418)</f>
        <v>22849.1852</v>
      </c>
      <c r="K1418" s="7" t="n">
        <f aca="false">AVERAGE(E1319:E1418)</f>
        <v>21399.0117</v>
      </c>
      <c r="L1418" s="7" t="n">
        <f aca="false">AVERAGE(E1219:E1418)</f>
        <v>21199.62025</v>
      </c>
      <c r="M1418" s="7" t="n">
        <f aca="false">I1418</f>
        <v>23405.701</v>
      </c>
      <c r="N1418" s="7" t="n">
        <f aca="false">I1418+2*STDEV(E1399:E1418)</f>
        <v>23978.4662015268</v>
      </c>
      <c r="O1418" s="7" t="n">
        <f aca="false">I1418-2*STDEV(E1399:E1418)</f>
        <v>22832.9357984732</v>
      </c>
      <c r="P1418" s="7" t="n">
        <f aca="false">MAX(E1418-E1417,0)</f>
        <v>0</v>
      </c>
      <c r="Q1418" s="7" t="n">
        <f aca="false">MAX(E1417-E1418,0)</f>
        <v>135.200000000001</v>
      </c>
      <c r="R1418" s="7" t="n">
        <f aca="false">(R1417*13+P1418)/14</f>
        <v>72.122774752572</v>
      </c>
      <c r="S1418" s="7" t="n">
        <f aca="false">(S1417*13+Q1418)/14</f>
        <v>72.9741307915438</v>
      </c>
      <c r="T1418" s="7" t="n">
        <f aca="false">IF(S1418=0,100,100-100/(1+R1418/S1418))</f>
        <v>49.7066250187145</v>
      </c>
      <c r="U1418" s="7" t="n">
        <f aca="false">E1418*2/13+U1417*11/13</f>
        <v>23491.1012208705</v>
      </c>
      <c r="V1418" s="7" t="n">
        <f aca="false">E1418*2/27+V1417*25/27</f>
        <v>23279.2133054941</v>
      </c>
      <c r="W1418" s="7" t="n">
        <f aca="false">U1418-V1418</f>
        <v>211.887915376399</v>
      </c>
      <c r="X1418" s="7" t="n">
        <f aca="false">W1418*2/10+X1417*8/10</f>
        <v>263.286147397173</v>
      </c>
      <c r="Y1418" s="7" t="n">
        <f aca="false">W1418-X1418</f>
        <v>-51.3982320207736</v>
      </c>
      <c r="Z1418" s="8" t="s">
        <v>42</v>
      </c>
      <c r="AA1418" s="7" t="str">
        <f aca="false">IFERROR(INDEX(02_轉折點45!B:B,MATCH(A1418,02_轉折點45!A:A,0)),"")</f>
        <v/>
      </c>
      <c r="AB1418" s="7" t="n">
        <f aca="false">COUNTIFS(05_訊號明細!A:A,A1418,05_訊號明細!C:C,"TOP")</f>
        <v>1</v>
      </c>
      <c r="AC1418" s="7" t="n">
        <f aca="false">COUNTIFS(05_訊號明細!A:A,A1418,05_訊號明細!C:C,"BOTTOM")</f>
        <v>0</v>
      </c>
    </row>
    <row r="1419" customFormat="false" ht="15" hidden="false" customHeight="false" outlineLevel="0" collapsed="false">
      <c r="A1419" s="7" t="s">
        <v>1460</v>
      </c>
      <c r="B1419" s="7" t="n">
        <v>23182.76</v>
      </c>
      <c r="C1419" s="7" t="n">
        <v>23264.27</v>
      </c>
      <c r="D1419" s="7" t="n">
        <v>23046.39</v>
      </c>
      <c r="E1419" s="7" t="n">
        <v>23142.58</v>
      </c>
      <c r="F1419" s="7" t="n">
        <v>6531</v>
      </c>
      <c r="G1419" s="7" t="n">
        <f aca="false">AVERAGE(E1415:E1419)</f>
        <v>23440.55</v>
      </c>
      <c r="H1419" s="7" t="n">
        <f aca="false">AVERAGE(E1410:E1419)</f>
        <v>23586.133</v>
      </c>
      <c r="I1419" s="7" t="n">
        <f aca="false">AVERAGE(E1400:E1419)</f>
        <v>23401.8365</v>
      </c>
      <c r="J1419" s="7" t="n">
        <f aca="false">AVERAGE(E1370:E1419)</f>
        <v>22873.1984</v>
      </c>
      <c r="K1419" s="7" t="n">
        <f aca="false">AVERAGE(E1320:E1419)</f>
        <v>21437.6235</v>
      </c>
      <c r="L1419" s="7" t="n">
        <f aca="false">AVERAGE(E1220:E1419)</f>
        <v>21215.88105</v>
      </c>
      <c r="M1419" s="7" t="n">
        <f aca="false">I1419</f>
        <v>23401.8365</v>
      </c>
      <c r="N1419" s="7" t="n">
        <f aca="false">I1419+2*STDEV(E1400:E1419)</f>
        <v>23980.88939264</v>
      </c>
      <c r="O1419" s="7" t="n">
        <f aca="false">I1419-2*STDEV(E1400:E1419)</f>
        <v>22822.78360736</v>
      </c>
      <c r="P1419" s="7" t="n">
        <f aca="false">MAX(E1419-E1418,0)</f>
        <v>0</v>
      </c>
      <c r="Q1419" s="7" t="n">
        <f aca="false">MAX(E1418-E1419,0)</f>
        <v>106.989999999998</v>
      </c>
      <c r="R1419" s="7" t="n">
        <f aca="false">(R1418*13+P1419)/14</f>
        <v>66.9711479845312</v>
      </c>
      <c r="S1419" s="7" t="n">
        <f aca="false">(S1418*13+Q1419)/14</f>
        <v>75.4038357350048</v>
      </c>
      <c r="T1419" s="7" t="n">
        <f aca="false">IF(S1419=0,100,100-100/(1+R1419/S1419))</f>
        <v>47.0385641036893</v>
      </c>
      <c r="U1419" s="7" t="n">
        <f aca="false">E1419*2/13+U1418*11/13</f>
        <v>23437.4825715058</v>
      </c>
      <c r="V1419" s="7" t="n">
        <f aca="false">E1419*2/27+V1418*25/27</f>
        <v>23269.092319902</v>
      </c>
      <c r="W1419" s="7" t="n">
        <f aca="false">U1419-V1419</f>
        <v>168.390251603862</v>
      </c>
      <c r="X1419" s="7" t="n">
        <f aca="false">W1419*2/10+X1418*8/10</f>
        <v>244.306968238511</v>
      </c>
      <c r="Y1419" s="7" t="n">
        <f aca="false">W1419-X1419</f>
        <v>-75.916716634649</v>
      </c>
      <c r="Z1419" s="8" t="s">
        <v>42</v>
      </c>
      <c r="AA1419" s="7" t="str">
        <f aca="false">IFERROR(INDEX(02_轉折點45!B:B,MATCH(A1419,02_轉折點45!A:A,0)),"")</f>
        <v/>
      </c>
      <c r="AB1419" s="7" t="n">
        <f aca="false">COUNTIFS(05_訊號明細!A:A,A1419,05_訊號明細!C:C,"TOP")</f>
        <v>0</v>
      </c>
      <c r="AC1419" s="7" t="n">
        <f aca="false">COUNTIFS(05_訊號明細!A:A,A1419,05_訊號明細!C:C,"BOTTOM")</f>
        <v>0</v>
      </c>
    </row>
    <row r="1420" customFormat="false" ht="15" hidden="false" customHeight="false" outlineLevel="0" collapsed="false">
      <c r="A1420" s="7" t="s">
        <v>1461</v>
      </c>
      <c r="B1420" s="7" t="n">
        <v>23184.99</v>
      </c>
      <c r="C1420" s="7" t="n">
        <v>23575.36</v>
      </c>
      <c r="D1420" s="7" t="n">
        <v>23140.04</v>
      </c>
      <c r="E1420" s="7" t="n">
        <v>23498.12</v>
      </c>
      <c r="F1420" s="7" t="n">
        <v>9401</v>
      </c>
      <c r="G1420" s="7" t="n">
        <f aca="false">AVERAGE(E1416:E1420)</f>
        <v>23397.76</v>
      </c>
      <c r="H1420" s="7" t="n">
        <f aca="false">AVERAGE(E1411:E1420)</f>
        <v>23574.818</v>
      </c>
      <c r="I1420" s="7" t="n">
        <f aca="false">AVERAGE(E1401:E1420)</f>
        <v>23413.13</v>
      </c>
      <c r="J1420" s="7" t="n">
        <f aca="false">AVERAGE(E1371:E1420)</f>
        <v>22905.9448</v>
      </c>
      <c r="K1420" s="7" t="n">
        <f aca="false">AVERAGE(E1321:E1420)</f>
        <v>21479.8202</v>
      </c>
      <c r="L1420" s="7" t="n">
        <f aca="false">AVERAGE(E1221:E1420)</f>
        <v>21233.20595</v>
      </c>
      <c r="M1420" s="7" t="n">
        <f aca="false">I1420</f>
        <v>23413.13</v>
      </c>
      <c r="N1420" s="7" t="n">
        <f aca="false">I1420+2*STDEV(E1401:E1420)</f>
        <v>23990.3488653225</v>
      </c>
      <c r="O1420" s="7" t="n">
        <f aca="false">I1420-2*STDEV(E1401:E1420)</f>
        <v>22835.9111346775</v>
      </c>
      <c r="P1420" s="7" t="n">
        <f aca="false">MAX(E1420-E1419,0)</f>
        <v>355.539999999997</v>
      </c>
      <c r="Q1420" s="7" t="n">
        <f aca="false">MAX(E1419-E1420,0)</f>
        <v>0</v>
      </c>
      <c r="R1420" s="7" t="n">
        <f aca="false">(R1419*13+P1420)/14</f>
        <v>87.5832088427788</v>
      </c>
      <c r="S1420" s="7" t="n">
        <f aca="false">(S1419*13+Q1420)/14</f>
        <v>70.0178474682187</v>
      </c>
      <c r="T1420" s="7" t="n">
        <f aca="false">IF(S1420=0,100,100-100/(1+R1420/S1420))</f>
        <v>55.5727295824395</v>
      </c>
      <c r="U1420" s="7" t="n">
        <f aca="false">E1420*2/13+U1419*11/13</f>
        <v>23446.8114066588</v>
      </c>
      <c r="V1420" s="7" t="n">
        <f aca="false">E1420*2/27+V1419*25/27</f>
        <v>23286.0573332426</v>
      </c>
      <c r="W1420" s="7" t="n">
        <f aca="false">U1420-V1420</f>
        <v>160.754073416214</v>
      </c>
      <c r="X1420" s="7" t="n">
        <f aca="false">W1420*2/10+X1419*8/10</f>
        <v>227.596389274051</v>
      </c>
      <c r="Y1420" s="7" t="n">
        <f aca="false">W1420-X1420</f>
        <v>-66.8423158578373</v>
      </c>
      <c r="Z1420" s="8" t="s">
        <v>42</v>
      </c>
      <c r="AA1420" s="7" t="str">
        <f aca="false">IFERROR(INDEX(02_轉折點45!B:B,MATCH(A1420,02_轉折點45!A:A,0)),"")</f>
        <v/>
      </c>
      <c r="AB1420" s="7" t="n">
        <f aca="false">COUNTIFS(05_訊號明細!A:A,A1420,05_訊號明細!C:C,"TOP")</f>
        <v>0</v>
      </c>
      <c r="AC1420" s="7" t="n">
        <f aca="false">COUNTIFS(05_訊號明細!A:A,A1420,05_訊號明細!C:C,"BOTTOM")</f>
        <v>0</v>
      </c>
    </row>
    <row r="1421" customFormat="false" ht="15" hidden="false" customHeight="false" outlineLevel="0" collapsed="false">
      <c r="A1421" s="7" t="s">
        <v>1462</v>
      </c>
      <c r="B1421" s="7" t="n">
        <v>23454.28</v>
      </c>
      <c r="C1421" s="7" t="n">
        <v>23546.45</v>
      </c>
      <c r="D1421" s="7" t="n">
        <v>23382.19</v>
      </c>
      <c r="E1421" s="7" t="n">
        <v>23425.61</v>
      </c>
      <c r="F1421" s="7" t="n">
        <v>8443</v>
      </c>
      <c r="G1421" s="7" t="n">
        <f aca="false">AVERAGE(E1417:E1421)</f>
        <v>23340.13</v>
      </c>
      <c r="H1421" s="7" t="n">
        <f aca="false">AVERAGE(E1412:E1421)</f>
        <v>23564.716</v>
      </c>
      <c r="I1421" s="7" t="n">
        <f aca="false">AVERAGE(E1402:E1421)</f>
        <v>23416.597</v>
      </c>
      <c r="J1421" s="7" t="n">
        <f aca="false">AVERAGE(E1372:E1421)</f>
        <v>22936.1906</v>
      </c>
      <c r="K1421" s="7" t="n">
        <f aca="false">AVERAGE(E1322:E1421)</f>
        <v>21519.7121</v>
      </c>
      <c r="L1421" s="7" t="n">
        <f aca="false">AVERAGE(E1222:E1421)</f>
        <v>21250.516</v>
      </c>
      <c r="M1421" s="7" t="n">
        <f aca="false">I1421</f>
        <v>23416.597</v>
      </c>
      <c r="N1421" s="7" t="n">
        <f aca="false">I1421+2*STDEV(E1402:E1421)</f>
        <v>23993.2105213596</v>
      </c>
      <c r="O1421" s="7" t="n">
        <f aca="false">I1421-2*STDEV(E1402:E1421)</f>
        <v>22839.9834786404</v>
      </c>
      <c r="P1421" s="7" t="n">
        <f aca="false">MAX(E1421-E1420,0)</f>
        <v>0</v>
      </c>
      <c r="Q1421" s="7" t="n">
        <f aca="false">MAX(E1420-E1421,0)</f>
        <v>72.5099999999984</v>
      </c>
      <c r="R1421" s="7" t="n">
        <f aca="false">(R1420*13+P1421)/14</f>
        <v>81.3272653540088</v>
      </c>
      <c r="S1421" s="7" t="n">
        <f aca="false">(S1420*13+Q1421)/14</f>
        <v>70.1958583633458</v>
      </c>
      <c r="T1421" s="7" t="n">
        <f aca="false">IF(S1421=0,100,100-100/(1+R1421/S1421))</f>
        <v>53.673171037388</v>
      </c>
      <c r="U1421" s="7" t="n">
        <f aca="false">E1421*2/13+U1420*11/13</f>
        <v>23443.5496517882</v>
      </c>
      <c r="V1421" s="7" t="n">
        <f aca="false">E1421*2/27+V1420*25/27</f>
        <v>23296.3945678172</v>
      </c>
      <c r="W1421" s="7" t="n">
        <f aca="false">U1421-V1421</f>
        <v>147.155083971011</v>
      </c>
      <c r="X1421" s="7" t="n">
        <f aca="false">W1421*2/10+X1420*8/10</f>
        <v>211.508128213443</v>
      </c>
      <c r="Y1421" s="7" t="n">
        <f aca="false">W1421-X1421</f>
        <v>-64.3530442424324</v>
      </c>
      <c r="Z1421" s="8" t="s">
        <v>42</v>
      </c>
      <c r="AA1421" s="7" t="str">
        <f aca="false">IFERROR(INDEX(02_轉折點45!B:B,MATCH(A1421,02_轉折點45!A:A,0)),"")</f>
        <v/>
      </c>
      <c r="AB1421" s="7" t="n">
        <f aca="false">COUNTIFS(05_訊號明細!A:A,A1421,05_訊號明細!C:C,"TOP")</f>
        <v>0</v>
      </c>
      <c r="AC1421" s="7" t="n">
        <f aca="false">COUNTIFS(05_訊號明細!A:A,A1421,05_訊號明細!C:C,"BOTTOM")</f>
        <v>0</v>
      </c>
    </row>
    <row r="1422" customFormat="false" ht="15" hidden="false" customHeight="false" outlineLevel="0" collapsed="false">
      <c r="A1422" s="7" t="s">
        <v>1463</v>
      </c>
      <c r="B1422" s="7" t="n">
        <v>23420.85</v>
      </c>
      <c r="C1422" s="7" t="n">
        <v>23532.51</v>
      </c>
      <c r="D1422" s="7" t="n">
        <v>23369.04</v>
      </c>
      <c r="E1422" s="7" t="n">
        <v>23525.29</v>
      </c>
      <c r="F1422" s="7" t="n">
        <v>9088</v>
      </c>
      <c r="G1422" s="7" t="n">
        <f aca="false">AVERAGE(E1418:E1422)</f>
        <v>23368.234</v>
      </c>
      <c r="H1422" s="7" t="n">
        <f aca="false">AVERAGE(E1413:E1422)</f>
        <v>23533.325</v>
      </c>
      <c r="I1422" s="7" t="n">
        <f aca="false">AVERAGE(E1403:E1422)</f>
        <v>23427.4465</v>
      </c>
      <c r="J1422" s="7" t="n">
        <f aca="false">AVERAGE(E1373:E1422)</f>
        <v>22974.0756</v>
      </c>
      <c r="K1422" s="7" t="n">
        <f aca="false">AVERAGE(E1323:E1422)</f>
        <v>21559.1472</v>
      </c>
      <c r="L1422" s="7" t="n">
        <f aca="false">AVERAGE(E1223:E1422)</f>
        <v>21267.00515</v>
      </c>
      <c r="M1422" s="7" t="n">
        <f aca="false">I1422</f>
        <v>23427.4465</v>
      </c>
      <c r="N1422" s="7" t="n">
        <f aca="false">I1422+2*STDEV(E1403:E1422)</f>
        <v>24003.6457842128</v>
      </c>
      <c r="O1422" s="7" t="n">
        <f aca="false">I1422-2*STDEV(E1403:E1422)</f>
        <v>22851.2472157872</v>
      </c>
      <c r="P1422" s="7" t="n">
        <f aca="false">MAX(E1422-E1421,0)</f>
        <v>99.6800000000003</v>
      </c>
      <c r="Q1422" s="7" t="n">
        <f aca="false">MAX(E1421-E1422,0)</f>
        <v>0</v>
      </c>
      <c r="R1422" s="7" t="n">
        <f aca="false">(R1421*13+P1422)/14</f>
        <v>82.6381749715797</v>
      </c>
      <c r="S1422" s="7" t="n">
        <f aca="false">(S1421*13+Q1422)/14</f>
        <v>65.1818684802497</v>
      </c>
      <c r="T1422" s="7" t="n">
        <f aca="false">IF(S1422=0,100,100-100/(1+R1422/S1422))</f>
        <v>55.9045803544966</v>
      </c>
      <c r="U1422" s="7" t="n">
        <f aca="false">E1422*2/13+U1421*11/13</f>
        <v>23456.1250899746</v>
      </c>
      <c r="V1422" s="7" t="n">
        <f aca="false">E1422*2/27+V1421*25/27</f>
        <v>23313.3497850159</v>
      </c>
      <c r="W1422" s="7" t="n">
        <f aca="false">U1422-V1422</f>
        <v>142.775304958719</v>
      </c>
      <c r="X1422" s="7" t="n">
        <f aca="false">W1422*2/10+X1421*8/10</f>
        <v>197.761563562498</v>
      </c>
      <c r="Y1422" s="7" t="n">
        <f aca="false">W1422-X1422</f>
        <v>-54.9862586037792</v>
      </c>
      <c r="Z1422" s="8" t="s">
        <v>42</v>
      </c>
      <c r="AA1422" s="7" t="str">
        <f aca="false">IFERROR(INDEX(02_轉折點45!B:B,MATCH(A1422,02_轉折點45!A:A,0)),"")</f>
        <v/>
      </c>
      <c r="AB1422" s="7" t="n">
        <f aca="false">COUNTIFS(05_訊號明細!A:A,A1422,05_訊號明細!C:C,"TOP")</f>
        <v>0</v>
      </c>
      <c r="AC1422" s="7" t="n">
        <f aca="false">COUNTIFS(05_訊號明細!A:A,A1422,05_訊號明細!C:C,"BOTTOM")</f>
        <v>0</v>
      </c>
    </row>
    <row r="1423" customFormat="false" ht="15" hidden="false" customHeight="false" outlineLevel="0" collapsed="false">
      <c r="A1423" s="7" t="s">
        <v>1464</v>
      </c>
      <c r="B1423" s="7" t="n">
        <v>23499.67</v>
      </c>
      <c r="C1423" s="7" t="n">
        <v>23591.05</v>
      </c>
      <c r="D1423" s="7" t="n">
        <v>23434.31</v>
      </c>
      <c r="E1423" s="7" t="n">
        <v>23565.85</v>
      </c>
      <c r="F1423" s="7" t="n">
        <v>8041</v>
      </c>
      <c r="G1423" s="7" t="n">
        <f aca="false">AVERAGE(E1419:E1423)</f>
        <v>23431.49</v>
      </c>
      <c r="H1423" s="7" t="n">
        <f aca="false">AVERAGE(E1414:E1423)</f>
        <v>23505.006</v>
      </c>
      <c r="I1423" s="7" t="n">
        <f aca="false">AVERAGE(E1404:E1423)</f>
        <v>23438.4685</v>
      </c>
      <c r="J1423" s="7" t="n">
        <f aca="false">AVERAGE(E1374:E1423)</f>
        <v>23006.6412</v>
      </c>
      <c r="K1423" s="7" t="n">
        <f aca="false">AVERAGE(E1324:E1423)</f>
        <v>21609.591</v>
      </c>
      <c r="L1423" s="7" t="n">
        <f aca="false">AVERAGE(E1224:E1423)</f>
        <v>21280.92775</v>
      </c>
      <c r="M1423" s="7" t="n">
        <f aca="false">I1423</f>
        <v>23438.4685</v>
      </c>
      <c r="N1423" s="7" t="n">
        <f aca="false">I1423+2*STDEV(E1404:E1423)</f>
        <v>24016.4909952197</v>
      </c>
      <c r="O1423" s="7" t="n">
        <f aca="false">I1423-2*STDEV(E1404:E1423)</f>
        <v>22860.4460047803</v>
      </c>
      <c r="P1423" s="7" t="n">
        <f aca="false">MAX(E1423-E1422,0)</f>
        <v>40.5599999999977</v>
      </c>
      <c r="Q1423" s="7" t="n">
        <f aca="false">MAX(E1422-E1423,0)</f>
        <v>0</v>
      </c>
      <c r="R1423" s="7" t="n">
        <f aca="false">(R1422*13+P1423)/14</f>
        <v>79.6325910450381</v>
      </c>
      <c r="S1423" s="7" t="n">
        <f aca="false">(S1422*13+Q1423)/14</f>
        <v>60.5260207316604</v>
      </c>
      <c r="T1423" s="7" t="n">
        <f aca="false">IF(S1423=0,100,100-100/(1+R1423/S1423))</f>
        <v>56.8160529243178</v>
      </c>
      <c r="U1423" s="7" t="n">
        <f aca="false">E1423*2/13+U1422*11/13</f>
        <v>23473.0058453631</v>
      </c>
      <c r="V1423" s="7" t="n">
        <f aca="false">E1423*2/27+V1422*25/27</f>
        <v>23332.0535046444</v>
      </c>
      <c r="W1423" s="7" t="n">
        <f aca="false">U1423-V1423</f>
        <v>140.952340718788</v>
      </c>
      <c r="X1423" s="7" t="n">
        <f aca="false">W1423*2/10+X1422*8/10</f>
        <v>186.399718993756</v>
      </c>
      <c r="Y1423" s="7" t="n">
        <f aca="false">W1423-X1423</f>
        <v>-45.4473782749682</v>
      </c>
      <c r="Z1423" s="8" t="s">
        <v>42</v>
      </c>
      <c r="AA1423" s="7" t="str">
        <f aca="false">IFERROR(INDEX(02_轉折點45!B:B,MATCH(A1423,02_轉折點45!A:A,0)),"")</f>
        <v/>
      </c>
      <c r="AB1423" s="7" t="n">
        <f aca="false">COUNTIFS(05_訊號明細!A:A,A1423,05_訊號明細!C:C,"TOP")</f>
        <v>0</v>
      </c>
      <c r="AC1423" s="7" t="n">
        <f aca="false">COUNTIFS(05_訊號明細!A:A,A1423,05_訊號明細!C:C,"BOTTOM")</f>
        <v>0</v>
      </c>
    </row>
    <row r="1424" customFormat="false" ht="15" hidden="false" customHeight="false" outlineLevel="0" collapsed="false">
      <c r="A1424" s="7" t="s">
        <v>1465</v>
      </c>
      <c r="B1424" s="7" t="n">
        <v>23601.35</v>
      </c>
      <c r="C1424" s="7" t="n">
        <v>23741.23</v>
      </c>
      <c r="D1424" s="7" t="n">
        <v>23514.7</v>
      </c>
      <c r="E1424" s="7" t="n">
        <v>23703.45</v>
      </c>
      <c r="F1424" s="7" t="n">
        <v>7807</v>
      </c>
      <c r="G1424" s="7" t="n">
        <f aca="false">AVERAGE(E1420:E1424)</f>
        <v>23543.664</v>
      </c>
      <c r="H1424" s="7" t="n">
        <f aca="false">AVERAGE(E1415:E1424)</f>
        <v>23492.107</v>
      </c>
      <c r="I1424" s="7" t="n">
        <f aca="false">AVERAGE(E1405:E1424)</f>
        <v>23462.735</v>
      </c>
      <c r="J1424" s="7" t="n">
        <f aca="false">AVERAGE(E1375:E1424)</f>
        <v>23046.3286</v>
      </c>
      <c r="K1424" s="7" t="n">
        <f aca="false">AVERAGE(E1325:E1424)</f>
        <v>21672.6485</v>
      </c>
      <c r="L1424" s="7" t="n">
        <f aca="false">AVERAGE(E1225:E1424)</f>
        <v>21293.93715</v>
      </c>
      <c r="M1424" s="7" t="n">
        <f aca="false">I1424</f>
        <v>23462.735</v>
      </c>
      <c r="N1424" s="7" t="n">
        <f aca="false">I1424+2*STDEV(E1405:E1424)</f>
        <v>24042.5547536803</v>
      </c>
      <c r="O1424" s="7" t="n">
        <f aca="false">I1424-2*STDEV(E1405:E1424)</f>
        <v>22882.9152463197</v>
      </c>
      <c r="P1424" s="7" t="n">
        <f aca="false">MAX(E1424-E1423,0)</f>
        <v>137.600000000002</v>
      </c>
      <c r="Q1424" s="7" t="n">
        <f aca="false">MAX(E1423-E1424,0)</f>
        <v>0</v>
      </c>
      <c r="R1424" s="7" t="n">
        <f aca="false">(R1423*13+P1424)/14</f>
        <v>83.773120256107</v>
      </c>
      <c r="S1424" s="7" t="n">
        <f aca="false">(S1423*13+Q1424)/14</f>
        <v>56.2027335365418</v>
      </c>
      <c r="T1424" s="7" t="n">
        <f aca="false">IF(S1424=0,100,100-100/(1+R1424/S1424))</f>
        <v>59.8482652445207</v>
      </c>
      <c r="U1424" s="7" t="n">
        <f aca="false">E1424*2/13+U1423*11/13</f>
        <v>23508.4587922304</v>
      </c>
      <c r="V1424" s="7" t="n">
        <f aca="false">E1424*2/27+V1423*25/27</f>
        <v>23359.5643561522</v>
      </c>
      <c r="W1424" s="7" t="n">
        <f aca="false">U1424-V1424</f>
        <v>148.894436078175</v>
      </c>
      <c r="X1424" s="7" t="n">
        <f aca="false">W1424*2/10+X1423*8/10</f>
        <v>178.89866241064</v>
      </c>
      <c r="Y1424" s="7" t="n">
        <f aca="false">W1424-X1424</f>
        <v>-30.0042263324648</v>
      </c>
      <c r="Z1424" s="8" t="s">
        <v>42</v>
      </c>
      <c r="AA1424" s="7" t="str">
        <f aca="false">IFERROR(INDEX(02_轉折點45!B:B,MATCH(A1424,02_轉折點45!A:A,0)),"")</f>
        <v/>
      </c>
      <c r="AB1424" s="7" t="n">
        <f aca="false">COUNTIFS(05_訊號明細!A:A,A1424,05_訊號明細!C:C,"TOP")</f>
        <v>0</v>
      </c>
      <c r="AC1424" s="7" t="n">
        <f aca="false">COUNTIFS(05_訊號明細!A:A,A1424,05_訊號明細!C:C,"BOTTOM")</f>
        <v>0</v>
      </c>
    </row>
    <row r="1425" customFormat="false" ht="15" hidden="false" customHeight="false" outlineLevel="0" collapsed="false">
      <c r="A1425" s="7" t="s">
        <v>1466</v>
      </c>
      <c r="B1425" s="7" t="n">
        <v>23607.54</v>
      </c>
      <c r="C1425" s="7" t="n">
        <v>23607.54</v>
      </c>
      <c r="D1425" s="7" t="n">
        <v>23353.96</v>
      </c>
      <c r="E1425" s="7" t="n">
        <v>23415.42</v>
      </c>
      <c r="F1425" s="7" t="n">
        <v>7715</v>
      </c>
      <c r="G1425" s="7" t="n">
        <f aca="false">AVERAGE(E1421:E1425)</f>
        <v>23527.124</v>
      </c>
      <c r="H1425" s="7" t="n">
        <f aca="false">AVERAGE(E1416:E1425)</f>
        <v>23462.442</v>
      </c>
      <c r="I1425" s="7" t="n">
        <f aca="false">AVERAGE(E1406:E1425)</f>
        <v>23495.3405</v>
      </c>
      <c r="J1425" s="7" t="n">
        <f aca="false">AVERAGE(E1376:E1425)</f>
        <v>23080.2432</v>
      </c>
      <c r="K1425" s="7" t="n">
        <f aca="false">AVERAGE(E1326:E1425)</f>
        <v>21732.4959</v>
      </c>
      <c r="L1425" s="7" t="n">
        <f aca="false">AVERAGE(E1226:E1425)</f>
        <v>21305.42835</v>
      </c>
      <c r="M1425" s="7" t="n">
        <f aca="false">I1425</f>
        <v>23495.3405</v>
      </c>
      <c r="N1425" s="7" t="n">
        <f aca="false">I1425+2*STDEV(E1406:E1425)</f>
        <v>23974.0862303578</v>
      </c>
      <c r="O1425" s="7" t="n">
        <f aca="false">I1425-2*STDEV(E1406:E1425)</f>
        <v>23016.5947696422</v>
      </c>
      <c r="P1425" s="7" t="n">
        <f aca="false">MAX(E1425-E1424,0)</f>
        <v>0</v>
      </c>
      <c r="Q1425" s="7" t="n">
        <f aca="false">MAX(E1424-E1425,0)</f>
        <v>288.030000000003</v>
      </c>
      <c r="R1425" s="7" t="n">
        <f aca="false">(R1424*13+P1425)/14</f>
        <v>77.7893259520993</v>
      </c>
      <c r="S1425" s="7" t="n">
        <f aca="false">(S1424*13+Q1425)/14</f>
        <v>72.7618239982176</v>
      </c>
      <c r="T1425" s="7" t="n">
        <f aca="false">IF(S1425=0,100,100-100/(1+R1425/S1425))</f>
        <v>51.6696989546546</v>
      </c>
      <c r="U1425" s="7" t="n">
        <f aca="false">E1425*2/13+U1424*11/13</f>
        <v>23494.1451318872</v>
      </c>
      <c r="V1425" s="7" t="n">
        <f aca="false">E1425*2/27+V1424*25/27</f>
        <v>23363.701811252</v>
      </c>
      <c r="W1425" s="7" t="n">
        <f aca="false">U1425-V1425</f>
        <v>130.443320635208</v>
      </c>
      <c r="X1425" s="7" t="n">
        <f aca="false">W1425*2/10+X1424*8/10</f>
        <v>169.207594055554</v>
      </c>
      <c r="Y1425" s="7" t="n">
        <f aca="false">W1425-X1425</f>
        <v>-38.7642734203458</v>
      </c>
      <c r="Z1425" s="8" t="s">
        <v>42</v>
      </c>
      <c r="AA1425" s="7" t="str">
        <f aca="false">IFERROR(INDEX(02_轉折點45!B:B,MATCH(A1425,02_轉折點45!A:A,0)),"")</f>
        <v/>
      </c>
      <c r="AB1425" s="7" t="n">
        <f aca="false">COUNTIFS(05_訊號明細!A:A,A1425,05_訊號明細!C:C,"TOP")</f>
        <v>0</v>
      </c>
      <c r="AC1425" s="7" t="n">
        <f aca="false">COUNTIFS(05_訊號明細!A:A,A1425,05_訊號明細!C:C,"BOTTOM")</f>
        <v>0</v>
      </c>
    </row>
    <row r="1426" customFormat="false" ht="15" hidden="false" customHeight="false" outlineLevel="0" collapsed="false">
      <c r="A1426" s="7" t="s">
        <v>1467</v>
      </c>
      <c r="B1426" s="7" t="n">
        <v>23020.47</v>
      </c>
      <c r="C1426" s="7" t="n">
        <v>23242.28</v>
      </c>
      <c r="D1426" s="7" t="n">
        <v>22977.88</v>
      </c>
      <c r="E1426" s="7" t="n">
        <v>23231.11</v>
      </c>
      <c r="F1426" s="7" t="n">
        <v>8183</v>
      </c>
      <c r="G1426" s="7" t="n">
        <f aca="false">AVERAGE(E1422:E1426)</f>
        <v>23488.224</v>
      </c>
      <c r="H1426" s="7" t="n">
        <f aca="false">AVERAGE(E1417:E1426)</f>
        <v>23414.177</v>
      </c>
      <c r="I1426" s="7" t="n">
        <f aca="false">AVERAGE(E1407:E1426)</f>
        <v>23497.4655</v>
      </c>
      <c r="J1426" s="7" t="n">
        <f aca="false">AVERAGE(E1377:E1426)</f>
        <v>23112.3376</v>
      </c>
      <c r="K1426" s="7" t="n">
        <f aca="false">AVERAGE(E1327:E1426)</f>
        <v>21793.903</v>
      </c>
      <c r="L1426" s="7" t="n">
        <f aca="false">AVERAGE(E1227:E1426)</f>
        <v>21316.05095</v>
      </c>
      <c r="M1426" s="7" t="n">
        <f aca="false">I1426</f>
        <v>23497.4655</v>
      </c>
      <c r="N1426" s="7" t="n">
        <f aca="false">I1426+2*STDEV(E1407:E1426)</f>
        <v>23970.8256829018</v>
      </c>
      <c r="O1426" s="7" t="n">
        <f aca="false">I1426-2*STDEV(E1407:E1426)</f>
        <v>23024.1053170982</v>
      </c>
      <c r="P1426" s="7" t="n">
        <f aca="false">MAX(E1426-E1425,0)</f>
        <v>0</v>
      </c>
      <c r="Q1426" s="7" t="n">
        <f aca="false">MAX(E1425-E1426,0)</f>
        <v>184.309999999998</v>
      </c>
      <c r="R1426" s="7" t="n">
        <f aca="false">(R1425*13+P1426)/14</f>
        <v>72.2329455269494</v>
      </c>
      <c r="S1426" s="7" t="n">
        <f aca="false">(S1425*13+Q1426)/14</f>
        <v>80.7295508554876</v>
      </c>
      <c r="T1426" s="7" t="n">
        <f aca="false">IF(S1426=0,100,100-100/(1+R1426/S1426))</f>
        <v>47.2226508034705</v>
      </c>
      <c r="U1426" s="7" t="n">
        <f aca="false">E1426*2/13+U1425*11/13</f>
        <v>23453.67818852</v>
      </c>
      <c r="V1426" s="7" t="n">
        <f aca="false">E1426*2/27+V1425*25/27</f>
        <v>23353.8801956037</v>
      </c>
      <c r="W1426" s="7" t="n">
        <f aca="false">U1426-V1426</f>
        <v>99.7979929162393</v>
      </c>
      <c r="X1426" s="7" t="n">
        <f aca="false">W1426*2/10+X1425*8/10</f>
        <v>155.325673827691</v>
      </c>
      <c r="Y1426" s="7" t="n">
        <f aca="false">W1426-X1426</f>
        <v>-55.5276809114515</v>
      </c>
      <c r="Z1426" s="8" t="s">
        <v>42</v>
      </c>
      <c r="AA1426" s="7" t="str">
        <f aca="false">IFERROR(INDEX(02_轉折點45!B:B,MATCH(A1426,02_轉折點45!A:A,0)),"")</f>
        <v/>
      </c>
      <c r="AB1426" s="7" t="n">
        <f aca="false">COUNTIFS(05_訊號明細!A:A,A1426,05_訊號明細!C:C,"TOP")</f>
        <v>0</v>
      </c>
      <c r="AC1426" s="7" t="n">
        <f aca="false">COUNTIFS(05_訊號明細!A:A,A1426,05_訊號明細!C:C,"BOTTOM")</f>
        <v>0</v>
      </c>
    </row>
    <row r="1427" customFormat="false" ht="15" hidden="false" customHeight="false" outlineLevel="0" collapsed="false">
      <c r="A1427" s="7" t="s">
        <v>1468</v>
      </c>
      <c r="B1427" s="7" t="n">
        <v>23388.28</v>
      </c>
      <c r="C1427" s="7" t="n">
        <v>23478.01</v>
      </c>
      <c r="D1427" s="7" t="n">
        <v>23279.12</v>
      </c>
      <c r="E1427" s="7" t="n">
        <v>23414.84</v>
      </c>
      <c r="F1427" s="7" t="n">
        <v>7488</v>
      </c>
      <c r="G1427" s="7" t="n">
        <f aca="false">AVERAGE(E1423:E1427)</f>
        <v>23466.134</v>
      </c>
      <c r="H1427" s="7" t="n">
        <f aca="false">AVERAGE(E1418:E1427)</f>
        <v>23417.184</v>
      </c>
      <c r="I1427" s="7" t="n">
        <f aca="false">AVERAGE(E1408:E1427)</f>
        <v>23517.2795</v>
      </c>
      <c r="J1427" s="7" t="n">
        <f aca="false">AVERAGE(E1378:E1427)</f>
        <v>23143.5078</v>
      </c>
      <c r="K1427" s="7" t="n">
        <f aca="false">AVERAGE(E1328:E1427)</f>
        <v>21836.6008</v>
      </c>
      <c r="L1427" s="7" t="n">
        <f aca="false">AVERAGE(E1228:E1427)</f>
        <v>21327.7712</v>
      </c>
      <c r="M1427" s="7" t="n">
        <f aca="false">I1427</f>
        <v>23517.2795</v>
      </c>
      <c r="N1427" s="7" t="n">
        <f aca="false">I1427+2*STDEV(E1408:E1427)</f>
        <v>23936.2899763155</v>
      </c>
      <c r="O1427" s="7" t="n">
        <f aca="false">I1427-2*STDEV(E1408:E1427)</f>
        <v>23098.2690236845</v>
      </c>
      <c r="P1427" s="7" t="n">
        <f aca="false">MAX(E1427-E1426,0)</f>
        <v>183.73</v>
      </c>
      <c r="Q1427" s="7" t="n">
        <f aca="false">MAX(E1426-E1427,0)</f>
        <v>0</v>
      </c>
      <c r="R1427" s="7" t="n">
        <f aca="false">(R1426*13+P1427)/14</f>
        <v>80.197020846453</v>
      </c>
      <c r="S1427" s="7" t="n">
        <f aca="false">(S1426*13+Q1427)/14</f>
        <v>74.9631543658099</v>
      </c>
      <c r="T1427" s="7" t="n">
        <f aca="false">IF(S1427=0,100,100-100/(1+R1427/S1427))</f>
        <v>51.6866011118778</v>
      </c>
      <c r="U1427" s="7" t="n">
        <f aca="false">E1427*2/13+U1426*11/13</f>
        <v>23447.7030825938</v>
      </c>
      <c r="V1427" s="7" t="n">
        <f aca="false">E1427*2/27+V1426*25/27</f>
        <v>23358.3957366701</v>
      </c>
      <c r="W1427" s="7" t="n">
        <f aca="false">U1427-V1427</f>
        <v>89.3073459237021</v>
      </c>
      <c r="X1427" s="7" t="n">
        <f aca="false">W1427*2/10+X1426*8/10</f>
        <v>142.122008246893</v>
      </c>
      <c r="Y1427" s="7" t="n">
        <f aca="false">W1427-X1427</f>
        <v>-52.814662323191</v>
      </c>
      <c r="Z1427" s="8" t="s">
        <v>42</v>
      </c>
      <c r="AA1427" s="7" t="str">
        <f aca="false">IFERROR(INDEX(02_轉折點45!B:B,MATCH(A1427,02_轉折點45!A:A,0)),"")</f>
        <v/>
      </c>
      <c r="AB1427" s="7" t="n">
        <f aca="false">COUNTIFS(05_訊號明細!A:A,A1427,05_訊號明細!C:C,"TOP")</f>
        <v>0</v>
      </c>
      <c r="AC1427" s="7" t="n">
        <f aca="false">COUNTIFS(05_訊號明細!A:A,A1427,05_訊號明細!C:C,"BOTTOM")</f>
        <v>0</v>
      </c>
    </row>
    <row r="1428" customFormat="false" ht="15" hidden="false" customHeight="false" outlineLevel="0" collapsed="false">
      <c r="A1428" s="7" t="s">
        <v>1469</v>
      </c>
      <c r="B1428" s="7" t="n">
        <v>23442.19</v>
      </c>
      <c r="C1428" s="7" t="n">
        <v>23639.04</v>
      </c>
      <c r="D1428" s="7" t="n">
        <v>23371.33</v>
      </c>
      <c r="E1428" s="7" t="n">
        <v>23633.01</v>
      </c>
      <c r="F1428" s="7" t="n">
        <v>7282</v>
      </c>
      <c r="G1428" s="7" t="n">
        <f aca="false">AVERAGE(E1424:E1428)</f>
        <v>23479.566</v>
      </c>
      <c r="H1428" s="7" t="n">
        <f aca="false">AVERAGE(E1419:E1428)</f>
        <v>23455.528</v>
      </c>
      <c r="I1428" s="7" t="n">
        <f aca="false">AVERAGE(E1409:E1428)</f>
        <v>23533.178</v>
      </c>
      <c r="J1428" s="7" t="n">
        <f aca="false">AVERAGE(E1379:E1428)</f>
        <v>23172.3576</v>
      </c>
      <c r="K1428" s="7" t="n">
        <f aca="false">AVERAGE(E1329:E1428)</f>
        <v>21889.4952</v>
      </c>
      <c r="L1428" s="7" t="n">
        <f aca="false">AVERAGE(E1229:E1428)</f>
        <v>21340.75545</v>
      </c>
      <c r="M1428" s="7" t="n">
        <f aca="false">I1428</f>
        <v>23533.178</v>
      </c>
      <c r="N1428" s="7" t="n">
        <f aca="false">I1428+2*STDEV(E1409:E1428)</f>
        <v>23943.9267229618</v>
      </c>
      <c r="O1428" s="7" t="n">
        <f aca="false">I1428-2*STDEV(E1409:E1428)</f>
        <v>23122.4292770382</v>
      </c>
      <c r="P1428" s="7" t="n">
        <f aca="false">MAX(E1428-E1427,0)</f>
        <v>218.169999999998</v>
      </c>
      <c r="Q1428" s="7" t="n">
        <f aca="false">MAX(E1427-E1428,0)</f>
        <v>0</v>
      </c>
      <c r="R1428" s="7" t="n">
        <f aca="false">(R1427*13+P1428)/14</f>
        <v>90.0522336431348</v>
      </c>
      <c r="S1428" s="7" t="n">
        <f aca="false">(S1427*13+Q1428)/14</f>
        <v>69.6086433396806</v>
      </c>
      <c r="T1428" s="7" t="n">
        <f aca="false">IF(S1428=0,100,100-100/(1+R1428/S1428))</f>
        <v>56.4021915355177</v>
      </c>
      <c r="U1428" s="7" t="n">
        <f aca="false">E1428*2/13+U1427*11/13</f>
        <v>23476.2118391178</v>
      </c>
      <c r="V1428" s="7" t="n">
        <f aca="false">E1428*2/27+V1427*25/27</f>
        <v>23378.7375339538</v>
      </c>
      <c r="W1428" s="7" t="n">
        <f aca="false">U1428-V1428</f>
        <v>97.4743051640326</v>
      </c>
      <c r="X1428" s="7" t="n">
        <f aca="false">W1428*2/10+X1427*8/10</f>
        <v>133.192467630321</v>
      </c>
      <c r="Y1428" s="7" t="n">
        <f aca="false">W1428-X1428</f>
        <v>-35.7181624662884</v>
      </c>
      <c r="Z1428" s="8" t="s">
        <v>42</v>
      </c>
      <c r="AA1428" s="7" t="str">
        <f aca="false">IFERROR(INDEX(02_轉折點45!B:B,MATCH(A1428,02_轉折點45!A:A,0)),"")</f>
        <v/>
      </c>
      <c r="AB1428" s="7" t="n">
        <f aca="false">COUNTIFS(05_訊號明細!A:A,A1428,05_訊號明細!C:C,"TOP")</f>
        <v>0</v>
      </c>
      <c r="AC1428" s="7" t="n">
        <f aca="false">COUNTIFS(05_訊號明細!A:A,A1428,05_訊號明細!C:C,"BOTTOM")</f>
        <v>0</v>
      </c>
    </row>
    <row r="1429" customFormat="false" ht="15" hidden="false" customHeight="false" outlineLevel="0" collapsed="false">
      <c r="A1429" s="7" t="s">
        <v>1470</v>
      </c>
      <c r="B1429" s="7" t="n">
        <v>23841.98</v>
      </c>
      <c r="C1429" s="7" t="n">
        <v>23860.25</v>
      </c>
      <c r="D1429" s="7" t="n">
        <v>23475.33</v>
      </c>
      <c r="E1429" s="7" t="n">
        <v>23652.44</v>
      </c>
      <c r="F1429" s="7" t="n">
        <v>8414</v>
      </c>
      <c r="G1429" s="7" t="n">
        <f aca="false">AVERAGE(E1425:E1429)</f>
        <v>23469.364</v>
      </c>
      <c r="H1429" s="7" t="n">
        <f aca="false">AVERAGE(E1420:E1429)</f>
        <v>23506.514</v>
      </c>
      <c r="I1429" s="7" t="n">
        <f aca="false">AVERAGE(E1410:E1429)</f>
        <v>23546.3235</v>
      </c>
      <c r="J1429" s="7" t="n">
        <f aca="false">AVERAGE(E1380:E1429)</f>
        <v>23200.6516</v>
      </c>
      <c r="K1429" s="7" t="n">
        <f aca="false">AVERAGE(E1330:E1429)</f>
        <v>21939.1191</v>
      </c>
      <c r="L1429" s="7" t="n">
        <f aca="false">AVERAGE(E1230:E1429)</f>
        <v>21354.5343</v>
      </c>
      <c r="M1429" s="7" t="n">
        <f aca="false">I1429</f>
        <v>23546.3235</v>
      </c>
      <c r="N1429" s="7" t="n">
        <f aca="false">I1429+2*STDEV(E1410:E1429)</f>
        <v>23954.5356564128</v>
      </c>
      <c r="O1429" s="7" t="n">
        <f aca="false">I1429-2*STDEV(E1410:E1429)</f>
        <v>23138.1113435872</v>
      </c>
      <c r="P1429" s="7" t="n">
        <f aca="false">MAX(E1429-E1428,0)</f>
        <v>19.4300000000003</v>
      </c>
      <c r="Q1429" s="7" t="n">
        <f aca="false">MAX(E1428-E1429,0)</f>
        <v>0</v>
      </c>
      <c r="R1429" s="7" t="n">
        <f aca="false">(R1428*13+P1429)/14</f>
        <v>85.0077883829109</v>
      </c>
      <c r="S1429" s="7" t="n">
        <f aca="false">(S1428*13+Q1429)/14</f>
        <v>64.6365973868463</v>
      </c>
      <c r="T1429" s="7" t="n">
        <f aca="false">IF(S1429=0,100,100-100/(1+R1429/S1429))</f>
        <v>56.806533666892</v>
      </c>
      <c r="U1429" s="7" t="n">
        <f aca="false">E1429*2/13+U1428*11/13</f>
        <v>23503.3238638689</v>
      </c>
      <c r="V1429" s="7" t="n">
        <f aca="false">E1429*2/27+V1428*25/27</f>
        <v>23399.011790698</v>
      </c>
      <c r="W1429" s="7" t="n">
        <f aca="false">U1429-V1429</f>
        <v>104.312073170971</v>
      </c>
      <c r="X1429" s="7" t="n">
        <f aca="false">W1429*2/10+X1428*8/10</f>
        <v>127.416388738451</v>
      </c>
      <c r="Y1429" s="7" t="n">
        <f aca="false">W1429-X1429</f>
        <v>-23.1043155674796</v>
      </c>
      <c r="Z1429" s="8" t="s">
        <v>42</v>
      </c>
      <c r="AA1429" s="7" t="str">
        <f aca="false">IFERROR(INDEX(02_轉折點45!B:B,MATCH(A1429,02_轉折點45!A:A,0)),"")</f>
        <v/>
      </c>
      <c r="AB1429" s="7" t="n">
        <f aca="false">COUNTIFS(05_訊號明細!A:A,A1429,05_訊號明細!C:C,"TOP")</f>
        <v>1</v>
      </c>
      <c r="AC1429" s="7" t="n">
        <f aca="false">COUNTIFS(05_訊號明細!A:A,A1429,05_訊號明細!C:C,"BOTTOM")</f>
        <v>0</v>
      </c>
    </row>
    <row r="1430" customFormat="false" ht="15" hidden="false" customHeight="false" outlineLevel="0" collapsed="false">
      <c r="A1430" s="7" t="s">
        <v>1471</v>
      </c>
      <c r="B1430" s="7" t="n">
        <v>23759.62</v>
      </c>
      <c r="C1430" s="7" t="n">
        <v>23851.81</v>
      </c>
      <c r="D1430" s="7" t="n">
        <v>23725.04</v>
      </c>
      <c r="E1430" s="7" t="n">
        <v>23762.3</v>
      </c>
      <c r="F1430" s="7" t="n">
        <v>8436</v>
      </c>
      <c r="G1430" s="7" t="n">
        <f aca="false">AVERAGE(E1426:E1430)</f>
        <v>23538.74</v>
      </c>
      <c r="H1430" s="7" t="n">
        <f aca="false">AVERAGE(E1421:E1430)</f>
        <v>23532.932</v>
      </c>
      <c r="I1430" s="7" t="n">
        <f aca="false">AVERAGE(E1411:E1430)</f>
        <v>23553.875</v>
      </c>
      <c r="J1430" s="7" t="n">
        <f aca="false">AVERAGE(E1381:E1430)</f>
        <v>23226.9518</v>
      </c>
      <c r="K1430" s="7" t="n">
        <f aca="false">AVERAGE(E1331:E1430)</f>
        <v>21988.7819</v>
      </c>
      <c r="L1430" s="7" t="n">
        <f aca="false">AVERAGE(E1231:E1430)</f>
        <v>21371.37515</v>
      </c>
      <c r="M1430" s="7" t="n">
        <f aca="false">I1430</f>
        <v>23553.875</v>
      </c>
      <c r="N1430" s="7" t="n">
        <f aca="false">I1430+2*STDEV(E1411:E1430)</f>
        <v>23972.5983302615</v>
      </c>
      <c r="O1430" s="7" t="n">
        <f aca="false">I1430-2*STDEV(E1411:E1430)</f>
        <v>23135.1516697385</v>
      </c>
      <c r="P1430" s="7" t="n">
        <f aca="false">MAX(E1430-E1429,0)</f>
        <v>109.860000000001</v>
      </c>
      <c r="Q1430" s="7" t="n">
        <f aca="false">MAX(E1429-E1430,0)</f>
        <v>0</v>
      </c>
      <c r="R1430" s="7" t="n">
        <f aca="false">(R1429*13+P1430)/14</f>
        <v>86.7829463555601</v>
      </c>
      <c r="S1430" s="7" t="n">
        <f aca="false">(S1429*13+Q1430)/14</f>
        <v>60.0196975735001</v>
      </c>
      <c r="T1430" s="7" t="n">
        <f aca="false">IF(S1430=0,100,100-100/(1+R1430/S1430))</f>
        <v>59.1153837784396</v>
      </c>
      <c r="U1430" s="7" t="n">
        <f aca="false">E1430*2/13+U1429*11/13</f>
        <v>23543.1663463506</v>
      </c>
      <c r="V1430" s="7" t="n">
        <f aca="false">E1430*2/27+V1429*25/27</f>
        <v>23425.922028424</v>
      </c>
      <c r="W1430" s="7" t="n">
        <f aca="false">U1430-V1430</f>
        <v>117.244317926597</v>
      </c>
      <c r="X1430" s="7" t="n">
        <f aca="false">W1430*2/10+X1429*8/10</f>
        <v>125.38197457608</v>
      </c>
      <c r="Y1430" s="7" t="n">
        <f aca="false">W1430-X1430</f>
        <v>-8.13765664948288</v>
      </c>
      <c r="Z1430" s="8" t="s">
        <v>42</v>
      </c>
      <c r="AA1430" s="7" t="str">
        <f aca="false">IFERROR(INDEX(02_轉折點45!B:B,MATCH(A1430,02_轉折點45!A:A,0)),"")</f>
        <v/>
      </c>
      <c r="AB1430" s="7" t="n">
        <f aca="false">COUNTIFS(05_訊號明細!A:A,A1430,05_訊號明細!C:C,"TOP")</f>
        <v>0</v>
      </c>
      <c r="AC1430" s="7" t="n">
        <f aca="false">COUNTIFS(05_訊號明細!A:A,A1430,05_訊號明細!C:C,"BOTTOM")</f>
        <v>0</v>
      </c>
    </row>
    <row r="1431" customFormat="false" ht="15" hidden="false" customHeight="false" outlineLevel="0" collapsed="false">
      <c r="A1431" s="7" t="s">
        <v>1472</v>
      </c>
      <c r="B1431" s="7" t="n">
        <v>23824.33</v>
      </c>
      <c r="C1431" s="7" t="n">
        <v>23852.42</v>
      </c>
      <c r="D1431" s="7" t="n">
        <v>23698</v>
      </c>
      <c r="E1431" s="7" t="n">
        <v>23839.8</v>
      </c>
      <c r="F1431" s="7" t="n">
        <v>7877</v>
      </c>
      <c r="G1431" s="7" t="n">
        <f aca="false">AVERAGE(E1427:E1431)</f>
        <v>23660.478</v>
      </c>
      <c r="H1431" s="7" t="n">
        <f aca="false">AVERAGE(E1422:E1431)</f>
        <v>23574.351</v>
      </c>
      <c r="I1431" s="7" t="n">
        <f aca="false">AVERAGE(E1412:E1431)</f>
        <v>23569.5335</v>
      </c>
      <c r="J1431" s="7" t="n">
        <f aca="false">AVERAGE(E1382:E1431)</f>
        <v>23253.0638</v>
      </c>
      <c r="K1431" s="7" t="n">
        <f aca="false">AVERAGE(E1332:E1431)</f>
        <v>22038.8776</v>
      </c>
      <c r="L1431" s="7" t="n">
        <f aca="false">AVERAGE(E1232:E1431)</f>
        <v>21387.8782</v>
      </c>
      <c r="M1431" s="7" t="n">
        <f aca="false">I1431</f>
        <v>23569.5335</v>
      </c>
      <c r="N1431" s="7" t="n">
        <f aca="false">I1431+2*STDEV(E1412:E1431)</f>
        <v>24006.9712243749</v>
      </c>
      <c r="O1431" s="7" t="n">
        <f aca="false">I1431-2*STDEV(E1412:E1431)</f>
        <v>23132.0957756251</v>
      </c>
      <c r="P1431" s="7" t="n">
        <f aca="false">MAX(E1431-E1430,0)</f>
        <v>77.5</v>
      </c>
      <c r="Q1431" s="7" t="n">
        <f aca="false">MAX(E1430-E1431,0)</f>
        <v>0</v>
      </c>
      <c r="R1431" s="7" t="n">
        <f aca="false">(R1430*13+P1431)/14</f>
        <v>86.1198787587344</v>
      </c>
      <c r="S1431" s="7" t="n">
        <f aca="false">(S1430*13+Q1431)/14</f>
        <v>55.7325763182501</v>
      </c>
      <c r="T1431" s="7" t="n">
        <f aca="false">IF(S1431=0,100,100-100/(1+R1431/S1431))</f>
        <v>60.7108835106142</v>
      </c>
      <c r="U1431" s="7" t="n">
        <f aca="false">E1431*2/13+U1430*11/13</f>
        <v>23588.8022930659</v>
      </c>
      <c r="V1431" s="7" t="n">
        <f aca="false">E1431*2/27+V1430*25/27</f>
        <v>23456.5796559482</v>
      </c>
      <c r="W1431" s="7" t="n">
        <f aca="false">U1431-V1431</f>
        <v>132.222637117739</v>
      </c>
      <c r="X1431" s="7" t="n">
        <f aca="false">W1431*2/10+X1430*8/10</f>
        <v>126.750107084412</v>
      </c>
      <c r="Y1431" s="7" t="n">
        <f aca="false">W1431-X1431</f>
        <v>5.47253003332654</v>
      </c>
      <c r="Z1431" s="8" t="s">
        <v>42</v>
      </c>
      <c r="AA1431" s="7" t="str">
        <f aca="false">IFERROR(INDEX(02_轉折點45!B:B,MATCH(A1431,02_轉折點45!A:A,0)),"")</f>
        <v/>
      </c>
      <c r="AB1431" s="7" t="n">
        <f aca="false">COUNTIFS(05_訊號明細!A:A,A1431,05_訊號明細!C:C,"TOP")</f>
        <v>0</v>
      </c>
      <c r="AC1431" s="7" t="n">
        <f aca="false">COUNTIFS(05_訊號明細!A:A,A1431,05_訊號明細!C:C,"BOTTOM")</f>
        <v>0</v>
      </c>
    </row>
    <row r="1432" customFormat="false" ht="15" hidden="false" customHeight="false" outlineLevel="0" collapsed="false">
      <c r="A1432" s="7" t="s">
        <v>1473</v>
      </c>
      <c r="B1432" s="7" t="n">
        <v>23931.32</v>
      </c>
      <c r="C1432" s="7" t="n">
        <v>23958.54</v>
      </c>
      <c r="D1432" s="7" t="n">
        <v>23760.1</v>
      </c>
      <c r="E1432" s="7" t="n">
        <v>23849.27</v>
      </c>
      <c r="F1432" s="7" t="n">
        <v>9091</v>
      </c>
      <c r="G1432" s="7" t="n">
        <f aca="false">AVERAGE(E1428:E1432)</f>
        <v>23747.364</v>
      </c>
      <c r="H1432" s="7" t="n">
        <f aca="false">AVERAGE(E1423:E1432)</f>
        <v>23606.749</v>
      </c>
      <c r="I1432" s="7" t="n">
        <f aca="false">AVERAGE(E1413:E1432)</f>
        <v>23570.037</v>
      </c>
      <c r="J1432" s="7" t="n">
        <f aca="false">AVERAGE(E1383:E1432)</f>
        <v>23276.469</v>
      </c>
      <c r="K1432" s="7" t="n">
        <f aca="false">AVERAGE(E1333:E1432)</f>
        <v>22094.7939</v>
      </c>
      <c r="L1432" s="7" t="n">
        <f aca="false">AVERAGE(E1233:E1432)</f>
        <v>21403.7016</v>
      </c>
      <c r="M1432" s="7" t="n">
        <f aca="false">I1432</f>
        <v>23570.037</v>
      </c>
      <c r="N1432" s="7" t="n">
        <f aca="false">I1432+2*STDEV(E1413:E1432)</f>
        <v>24008.8028027312</v>
      </c>
      <c r="O1432" s="7" t="n">
        <f aca="false">I1432-2*STDEV(E1413:E1432)</f>
        <v>23131.2711972688</v>
      </c>
      <c r="P1432" s="7" t="n">
        <f aca="false">MAX(E1432-E1431,0)</f>
        <v>9.47000000000116</v>
      </c>
      <c r="Q1432" s="7" t="n">
        <f aca="false">MAX(E1431-E1432,0)</f>
        <v>0</v>
      </c>
      <c r="R1432" s="7" t="n">
        <f aca="false">(R1431*13+P1432)/14</f>
        <v>80.6448874188249</v>
      </c>
      <c r="S1432" s="7" t="n">
        <f aca="false">(S1431*13+Q1432)/14</f>
        <v>51.7516780098037</v>
      </c>
      <c r="T1432" s="7" t="n">
        <f aca="false">IF(S1432=0,100,100-100/(1+R1432/S1432))</f>
        <v>60.9116159152168</v>
      </c>
      <c r="U1432" s="7" t="n">
        <f aca="false">E1432*2/13+U1431*11/13</f>
        <v>23628.8742479789</v>
      </c>
      <c r="V1432" s="7" t="n">
        <f aca="false">E1432*2/27+V1431*25/27</f>
        <v>23485.6678295817</v>
      </c>
      <c r="W1432" s="7" t="n">
        <f aca="false">U1432-V1432</f>
        <v>143.206418397207</v>
      </c>
      <c r="X1432" s="7" t="n">
        <f aca="false">W1432*2/10+X1431*8/10</f>
        <v>130.041369346971</v>
      </c>
      <c r="Y1432" s="7" t="n">
        <f aca="false">W1432-X1432</f>
        <v>13.165049050236</v>
      </c>
      <c r="Z1432" s="8" t="s">
        <v>42</v>
      </c>
      <c r="AA1432" s="7" t="str">
        <f aca="false">IFERROR(INDEX(02_轉折點45!B:B,MATCH(A1432,02_轉折點45!A:A,0)),"")</f>
        <v/>
      </c>
      <c r="AB1432" s="7" t="n">
        <f aca="false">COUNTIFS(05_訊號明細!A:A,A1432,05_訊號明細!C:C,"TOP")</f>
        <v>3</v>
      </c>
      <c r="AC1432" s="7" t="n">
        <f aca="false">COUNTIFS(05_訊號明細!A:A,A1432,05_訊號明細!C:C,"BOTTOM")</f>
        <v>0</v>
      </c>
    </row>
    <row r="1433" customFormat="false" ht="15" hidden="false" customHeight="false" outlineLevel="0" collapsed="false">
      <c r="A1433" s="7" t="s">
        <v>1474</v>
      </c>
      <c r="B1433" s="7" t="n">
        <v>23956.57</v>
      </c>
      <c r="C1433" s="7" t="n">
        <v>24016.53</v>
      </c>
      <c r="D1433" s="7" t="n">
        <v>23883.01</v>
      </c>
      <c r="E1433" s="7" t="n">
        <v>23992.56</v>
      </c>
      <c r="F1433" s="7" t="n">
        <v>10025</v>
      </c>
      <c r="G1433" s="7" t="n">
        <f aca="false">AVERAGE(E1429:E1433)</f>
        <v>23819.274</v>
      </c>
      <c r="H1433" s="7" t="n">
        <f aca="false">AVERAGE(E1424:E1433)</f>
        <v>23649.42</v>
      </c>
      <c r="I1433" s="7" t="n">
        <f aca="false">AVERAGE(E1414:E1433)</f>
        <v>23577.213</v>
      </c>
      <c r="J1433" s="7" t="n">
        <f aca="false">AVERAGE(E1384:E1433)</f>
        <v>23306.7576</v>
      </c>
      <c r="K1433" s="7" t="n">
        <f aca="false">AVERAGE(E1334:E1433)</f>
        <v>22152.1386</v>
      </c>
      <c r="L1433" s="7" t="n">
        <f aca="false">AVERAGE(E1234:E1433)</f>
        <v>21420.3289</v>
      </c>
      <c r="M1433" s="7" t="n">
        <f aca="false">I1433</f>
        <v>23577.213</v>
      </c>
      <c r="N1433" s="7" t="n">
        <f aca="false">I1433+2*STDEV(E1414:E1433)</f>
        <v>24039.2682263233</v>
      </c>
      <c r="O1433" s="7" t="n">
        <f aca="false">I1433-2*STDEV(E1414:E1433)</f>
        <v>23115.1577736767</v>
      </c>
      <c r="P1433" s="7" t="n">
        <f aca="false">MAX(E1433-E1432,0)</f>
        <v>143.290000000001</v>
      </c>
      <c r="Q1433" s="7" t="n">
        <f aca="false">MAX(E1432-E1433,0)</f>
        <v>0</v>
      </c>
      <c r="R1433" s="7" t="n">
        <f aca="false">(R1432*13+P1433)/14</f>
        <v>85.1195383174803</v>
      </c>
      <c r="S1433" s="7" t="n">
        <f aca="false">(S1432*13+Q1433)/14</f>
        <v>48.055129580532</v>
      </c>
      <c r="T1433" s="7" t="n">
        <f aca="false">IF(S1433=0,100,100-100/(1+R1433/S1433))</f>
        <v>63.9157128461296</v>
      </c>
      <c r="U1433" s="7" t="n">
        <f aca="false">E1433*2/13+U1432*11/13</f>
        <v>23684.825902136</v>
      </c>
      <c r="V1433" s="7" t="n">
        <f aca="false">E1433*2/27+V1432*25/27</f>
        <v>23523.2153977608</v>
      </c>
      <c r="W1433" s="7" t="n">
        <f aca="false">U1433-V1433</f>
        <v>161.610504375167</v>
      </c>
      <c r="X1433" s="7" t="n">
        <f aca="false">W1433*2/10+X1432*8/10</f>
        <v>136.35519635261</v>
      </c>
      <c r="Y1433" s="7" t="n">
        <f aca="false">W1433-X1433</f>
        <v>25.2553080225566</v>
      </c>
      <c r="Z1433" s="8" t="s">
        <v>42</v>
      </c>
      <c r="AA1433" s="7" t="str">
        <f aca="false">IFERROR(INDEX(02_轉折點45!B:B,MATCH(A1433,02_轉折點45!A:A,0)),"")</f>
        <v/>
      </c>
      <c r="AB1433" s="7" t="n">
        <f aca="false">COUNTIFS(05_訊號明細!A:A,A1433,05_訊號明細!C:C,"TOP")</f>
        <v>1</v>
      </c>
      <c r="AC1433" s="7" t="n">
        <f aca="false">COUNTIFS(05_訊號明細!A:A,A1433,05_訊號明細!C:C,"BOTTOM")</f>
        <v>0</v>
      </c>
    </row>
    <row r="1434" customFormat="false" ht="15" hidden="false" customHeight="false" outlineLevel="0" collapsed="false">
      <c r="A1434" s="7" t="s">
        <v>1475</v>
      </c>
      <c r="B1434" s="7" t="n">
        <v>24030.77</v>
      </c>
      <c r="C1434" s="7" t="n">
        <v>24137.06</v>
      </c>
      <c r="D1434" s="7" t="n">
        <v>23983.63</v>
      </c>
      <c r="E1434" s="7" t="n">
        <v>24092.19</v>
      </c>
      <c r="F1434" s="7" t="n">
        <v>9023</v>
      </c>
      <c r="G1434" s="7" t="n">
        <f aca="false">AVERAGE(E1430:E1434)</f>
        <v>23907.224</v>
      </c>
      <c r="H1434" s="7" t="n">
        <f aca="false">AVERAGE(E1425:E1434)</f>
        <v>23688.294</v>
      </c>
      <c r="I1434" s="7" t="n">
        <f aca="false">AVERAGE(E1415:E1434)</f>
        <v>23590.2005</v>
      </c>
      <c r="J1434" s="7" t="n">
        <f aca="false">AVERAGE(E1385:E1434)</f>
        <v>23335.7636</v>
      </c>
      <c r="K1434" s="7" t="n">
        <f aca="false">AVERAGE(E1335:E1434)</f>
        <v>22214.9775</v>
      </c>
      <c r="L1434" s="7" t="n">
        <f aca="false">AVERAGE(E1235:E1434)</f>
        <v>21437.08595</v>
      </c>
      <c r="M1434" s="7" t="n">
        <f aca="false">I1434</f>
        <v>23590.2005</v>
      </c>
      <c r="N1434" s="7" t="n">
        <f aca="false">I1434+2*STDEV(E1415:E1434)</f>
        <v>24095.079513896</v>
      </c>
      <c r="O1434" s="7" t="n">
        <f aca="false">I1434-2*STDEV(E1415:E1434)</f>
        <v>23085.321486104</v>
      </c>
      <c r="P1434" s="7" t="n">
        <f aca="false">MAX(E1434-E1433,0)</f>
        <v>99.6299999999974</v>
      </c>
      <c r="Q1434" s="7" t="n">
        <f aca="false">MAX(E1433-E1434,0)</f>
        <v>0</v>
      </c>
      <c r="R1434" s="7" t="n">
        <f aca="false">(R1433*13+P1434)/14</f>
        <v>86.1559998662315</v>
      </c>
      <c r="S1434" s="7" t="n">
        <f aca="false">(S1433*13+Q1434)/14</f>
        <v>44.6226203247797</v>
      </c>
      <c r="T1434" s="7" t="n">
        <f aca="false">IF(S1434=0,100,100-100/(1+R1434/S1434))</f>
        <v>65.879269669916</v>
      </c>
      <c r="U1434" s="7" t="n">
        <f aca="false">E1434*2/13+U1433*11/13</f>
        <v>23747.4973018074</v>
      </c>
      <c r="V1434" s="7" t="n">
        <f aca="false">E1434*2/27+V1433*25/27</f>
        <v>23565.3616645933</v>
      </c>
      <c r="W1434" s="7" t="n">
        <f aca="false">U1434-V1434</f>
        <v>182.135637214022</v>
      </c>
      <c r="X1434" s="7" t="n">
        <f aca="false">W1434*2/10+X1433*8/10</f>
        <v>145.511284524892</v>
      </c>
      <c r="Y1434" s="7" t="n">
        <f aca="false">W1434-X1434</f>
        <v>36.6243526891292</v>
      </c>
      <c r="Z1434" s="8" t="s">
        <v>42</v>
      </c>
      <c r="AA1434" s="7" t="str">
        <f aca="false">IFERROR(INDEX(02_轉折點45!B:B,MATCH(A1434,02_轉折點45!A:A,0)),"")</f>
        <v/>
      </c>
      <c r="AB1434" s="7" t="n">
        <f aca="false">COUNTIFS(05_訊號明細!A:A,A1434,05_訊號明細!C:C,"TOP")</f>
        <v>1</v>
      </c>
      <c r="AC1434" s="7" t="n">
        <f aca="false">COUNTIFS(05_訊號明細!A:A,A1434,05_訊號明細!C:C,"BOTTOM")</f>
        <v>0</v>
      </c>
    </row>
    <row r="1435" customFormat="false" ht="15" hidden="false" customHeight="false" outlineLevel="0" collapsed="false">
      <c r="A1435" s="7" t="s">
        <v>1476</v>
      </c>
      <c r="B1435" s="7" t="n">
        <v>24178.6</v>
      </c>
      <c r="C1435" s="7" t="n">
        <v>24297.34</v>
      </c>
      <c r="D1435" s="7" t="n">
        <v>24173.14</v>
      </c>
      <c r="E1435" s="7" t="n">
        <v>24293.78</v>
      </c>
      <c r="F1435" s="7" t="n">
        <v>8904</v>
      </c>
      <c r="G1435" s="7" t="n">
        <f aca="false">AVERAGE(E1431:E1435)</f>
        <v>24013.52</v>
      </c>
      <c r="H1435" s="7" t="n">
        <f aca="false">AVERAGE(E1426:E1435)</f>
        <v>23776.13</v>
      </c>
      <c r="I1435" s="7" t="n">
        <f aca="false">AVERAGE(E1416:E1435)</f>
        <v>23619.286</v>
      </c>
      <c r="J1435" s="7" t="n">
        <f aca="false">AVERAGE(E1386:E1435)</f>
        <v>23364.2998</v>
      </c>
      <c r="K1435" s="7" t="n">
        <f aca="false">AVERAGE(E1336:E1435)</f>
        <v>22275.1512</v>
      </c>
      <c r="L1435" s="7" t="n">
        <f aca="false">AVERAGE(E1236:E1435)</f>
        <v>21454.6737</v>
      </c>
      <c r="M1435" s="7" t="n">
        <f aca="false">I1435</f>
        <v>23619.286</v>
      </c>
      <c r="N1435" s="7" t="n">
        <f aca="false">I1435+2*STDEV(E1416:E1435)</f>
        <v>24212.943884871</v>
      </c>
      <c r="O1435" s="7" t="n">
        <f aca="false">I1435-2*STDEV(E1416:E1435)</f>
        <v>23025.628115129</v>
      </c>
      <c r="P1435" s="7" t="n">
        <f aca="false">MAX(E1435-E1434,0)</f>
        <v>201.59</v>
      </c>
      <c r="Q1435" s="7" t="n">
        <f aca="false">MAX(E1434-E1435,0)</f>
        <v>0</v>
      </c>
      <c r="R1435" s="7" t="n">
        <f aca="false">(R1434*13+P1435)/14</f>
        <v>94.4012855900722</v>
      </c>
      <c r="S1435" s="7" t="n">
        <f aca="false">(S1434*13+Q1435)/14</f>
        <v>41.4352903015812</v>
      </c>
      <c r="T1435" s="7" t="n">
        <f aca="false">IF(S1435=0,100,100-100/(1+R1435/S1435))</f>
        <v>69.4962199763994</v>
      </c>
      <c r="U1435" s="7" t="n">
        <f aca="false">E1435*2/13+U1434*11/13</f>
        <v>23831.540793837</v>
      </c>
      <c r="V1435" s="7" t="n">
        <f aca="false">E1435*2/27+V1434*25/27</f>
        <v>23619.3185783272</v>
      </c>
      <c r="W1435" s="7" t="n">
        <f aca="false">U1435-V1435</f>
        <v>212.222215509835</v>
      </c>
      <c r="X1435" s="7" t="n">
        <f aca="false">W1435*2/10+X1434*8/10</f>
        <v>158.853470721881</v>
      </c>
      <c r="Y1435" s="7" t="n">
        <f aca="false">W1435-X1435</f>
        <v>53.3687447879542</v>
      </c>
      <c r="Z1435" s="8" t="s">
        <v>42</v>
      </c>
      <c r="AA1435" s="7" t="str">
        <f aca="false">IFERROR(INDEX(02_轉折點45!B:B,MATCH(A1435,02_轉折點45!A:A,0)),"")</f>
        <v/>
      </c>
      <c r="AB1435" s="7" t="n">
        <f aca="false">COUNTIFS(05_訊號明細!A:A,A1435,05_訊號明細!C:C,"TOP")</f>
        <v>1</v>
      </c>
      <c r="AC1435" s="7" t="n">
        <f aca="false">COUNTIFS(05_訊號明細!A:A,A1435,05_訊號明細!C:C,"BOTTOM")</f>
        <v>0</v>
      </c>
    </row>
    <row r="1436" customFormat="false" ht="15" hidden="false" customHeight="false" outlineLevel="0" collapsed="false">
      <c r="A1436" s="7" t="s">
        <v>1477</v>
      </c>
      <c r="B1436" s="7" t="n">
        <v>24342.75</v>
      </c>
      <c r="C1436" s="7" t="n">
        <v>24343.35</v>
      </c>
      <c r="D1436" s="7" t="n">
        <v>24244.21</v>
      </c>
      <c r="E1436" s="7" t="n">
        <v>24274.25</v>
      </c>
      <c r="F1436" s="7" t="n">
        <v>8592</v>
      </c>
      <c r="G1436" s="7" t="n">
        <f aca="false">AVERAGE(E1432:E1436)</f>
        <v>24100.41</v>
      </c>
      <c r="H1436" s="7" t="n">
        <f aca="false">AVERAGE(E1427:E1436)</f>
        <v>23880.444</v>
      </c>
      <c r="I1436" s="7" t="n">
        <f aca="false">AVERAGE(E1417:E1436)</f>
        <v>23647.3105</v>
      </c>
      <c r="J1436" s="7" t="n">
        <f aca="false">AVERAGE(E1387:E1436)</f>
        <v>23396.0734</v>
      </c>
      <c r="K1436" s="7" t="n">
        <f aca="false">AVERAGE(E1337:E1436)</f>
        <v>22330.9611</v>
      </c>
      <c r="L1436" s="7" t="n">
        <f aca="false">AVERAGE(E1237:E1436)</f>
        <v>21472.0205</v>
      </c>
      <c r="M1436" s="7" t="n">
        <f aca="false">I1436</f>
        <v>23647.3105</v>
      </c>
      <c r="N1436" s="7" t="n">
        <f aca="false">I1436+2*STDEV(E1417:E1436)</f>
        <v>24308.7898711857</v>
      </c>
      <c r="O1436" s="7" t="n">
        <f aca="false">I1436-2*STDEV(E1417:E1436)</f>
        <v>22985.8311288143</v>
      </c>
      <c r="P1436" s="7" t="n">
        <f aca="false">MAX(E1436-E1435,0)</f>
        <v>0</v>
      </c>
      <c r="Q1436" s="7" t="n">
        <f aca="false">MAX(E1435-E1436,0)</f>
        <v>19.5299999999988</v>
      </c>
      <c r="R1436" s="7" t="n">
        <f aca="false">(R1435*13+P1436)/14</f>
        <v>87.6583366193527</v>
      </c>
      <c r="S1436" s="7" t="n">
        <f aca="false">(S1435*13+Q1436)/14</f>
        <v>39.870626708611</v>
      </c>
      <c r="T1436" s="7" t="n">
        <f aca="false">IF(S1436=0,100,100-100/(1+R1436/S1436))</f>
        <v>68.7360222586641</v>
      </c>
      <c r="U1436" s="7" t="n">
        <f aca="false">E1436*2/13+U1435*11/13</f>
        <v>23899.6499024775</v>
      </c>
      <c r="V1436" s="7" t="n">
        <f aca="false">E1436*2/27+V1435*25/27</f>
        <v>23667.8320169696</v>
      </c>
      <c r="W1436" s="7" t="n">
        <f aca="false">U1436-V1436</f>
        <v>231.817885507866</v>
      </c>
      <c r="X1436" s="7" t="n">
        <f aca="false">W1436*2/10+X1435*8/10</f>
        <v>173.446353679078</v>
      </c>
      <c r="Y1436" s="7" t="n">
        <f aca="false">W1436-X1436</f>
        <v>58.3715318287879</v>
      </c>
      <c r="Z1436" s="8" t="s">
        <v>42</v>
      </c>
      <c r="AA1436" s="7" t="str">
        <f aca="false">IFERROR(INDEX(02_轉折點45!B:B,MATCH(A1436,02_轉折點45!A:A,0)),"")</f>
        <v/>
      </c>
      <c r="AB1436" s="7" t="n">
        <f aca="false">COUNTIFS(05_訊號明細!A:A,A1436,05_訊號明細!C:C,"TOP")</f>
        <v>0</v>
      </c>
      <c r="AC1436" s="7" t="n">
        <f aca="false">COUNTIFS(05_訊號明細!A:A,A1436,05_訊號明細!C:C,"BOTTOM")</f>
        <v>0</v>
      </c>
    </row>
    <row r="1437" customFormat="false" ht="15" hidden="false" customHeight="false" outlineLevel="0" collapsed="false">
      <c r="A1437" s="7" t="s">
        <v>1478</v>
      </c>
      <c r="B1437" s="7" t="n">
        <v>24286.43</v>
      </c>
      <c r="C1437" s="7" t="n">
        <v>24292.06</v>
      </c>
      <c r="D1437" s="7" t="n">
        <v>23999.75</v>
      </c>
      <c r="E1437" s="7" t="n">
        <v>24223.69</v>
      </c>
      <c r="F1437" s="7" t="n">
        <v>9326</v>
      </c>
      <c r="G1437" s="7" t="n">
        <f aca="false">AVERAGE(E1433:E1437)</f>
        <v>24175.294</v>
      </c>
      <c r="H1437" s="7" t="n">
        <f aca="false">AVERAGE(E1428:E1437)</f>
        <v>23961.329</v>
      </c>
      <c r="I1437" s="7" t="n">
        <f aca="false">AVERAGE(E1418:E1437)</f>
        <v>23689.2565</v>
      </c>
      <c r="J1437" s="7" t="n">
        <f aca="false">AVERAGE(E1388:E1437)</f>
        <v>23426.5022</v>
      </c>
      <c r="K1437" s="7" t="n">
        <f aca="false">AVERAGE(E1338:E1437)</f>
        <v>22381.054</v>
      </c>
      <c r="L1437" s="7" t="n">
        <f aca="false">AVERAGE(E1238:E1437)</f>
        <v>21488.52445</v>
      </c>
      <c r="M1437" s="7" t="n">
        <f aca="false">I1437</f>
        <v>23689.2565</v>
      </c>
      <c r="N1437" s="7" t="n">
        <f aca="false">I1437+2*STDEV(E1418:E1437)</f>
        <v>24386.0888106375</v>
      </c>
      <c r="O1437" s="7" t="n">
        <f aca="false">I1437-2*STDEV(E1418:E1437)</f>
        <v>22992.4241893625</v>
      </c>
      <c r="P1437" s="7" t="n">
        <f aca="false">MAX(E1437-E1436,0)</f>
        <v>0</v>
      </c>
      <c r="Q1437" s="7" t="n">
        <f aca="false">MAX(E1436-E1437,0)</f>
        <v>50.5600000000013</v>
      </c>
      <c r="R1437" s="7" t="n">
        <f aca="false">(R1436*13+P1437)/14</f>
        <v>81.3970268608275</v>
      </c>
      <c r="S1437" s="7" t="n">
        <f aca="false">(S1436*13+Q1437)/14</f>
        <v>40.6341533722817</v>
      </c>
      <c r="T1437" s="7" t="n">
        <f aca="false">IF(S1437=0,100,100-100/(1+R1437/S1437))</f>
        <v>66.7018271111853</v>
      </c>
      <c r="U1437" s="7" t="n">
        <f aca="false">E1437*2/13+U1436*11/13</f>
        <v>23949.5022251732</v>
      </c>
      <c r="V1437" s="7" t="n">
        <f aca="false">E1437*2/27+V1436*25/27</f>
        <v>23709.0066823792</v>
      </c>
      <c r="W1437" s="7" t="n">
        <f aca="false">U1437-V1437</f>
        <v>240.495542793982</v>
      </c>
      <c r="X1437" s="7" t="n">
        <f aca="false">W1437*2/10+X1436*8/10</f>
        <v>186.856191502059</v>
      </c>
      <c r="Y1437" s="7" t="n">
        <f aca="false">W1437-X1437</f>
        <v>53.6393512919233</v>
      </c>
      <c r="Z1437" s="8" t="s">
        <v>42</v>
      </c>
      <c r="AA1437" s="7" t="str">
        <f aca="false">IFERROR(INDEX(02_轉折點45!B:B,MATCH(A1437,02_轉折點45!A:A,0)),"")</f>
        <v/>
      </c>
      <c r="AB1437" s="7" t="n">
        <f aca="false">COUNTIFS(05_訊號明細!A:A,A1437,05_訊號明細!C:C,"TOP")</f>
        <v>0</v>
      </c>
      <c r="AC1437" s="7" t="n">
        <f aca="false">COUNTIFS(05_訊號明細!A:A,A1437,05_訊號明細!C:C,"BOTTOM")</f>
        <v>0</v>
      </c>
    </row>
    <row r="1438" customFormat="false" ht="15" hidden="false" customHeight="false" outlineLevel="0" collapsed="false">
      <c r="A1438" s="7" t="s">
        <v>1479</v>
      </c>
      <c r="B1438" s="7" t="n">
        <v>24421.21</v>
      </c>
      <c r="C1438" s="7" t="n">
        <v>24554.52</v>
      </c>
      <c r="D1438" s="7" t="n">
        <v>24347.54</v>
      </c>
      <c r="E1438" s="7" t="n">
        <v>24454.89</v>
      </c>
      <c r="F1438" s="7" t="n">
        <v>10478</v>
      </c>
      <c r="G1438" s="7" t="n">
        <f aca="false">AVERAGE(E1434:E1438)</f>
        <v>24267.76</v>
      </c>
      <c r="H1438" s="7" t="n">
        <f aca="false">AVERAGE(E1429:E1438)</f>
        <v>24043.517</v>
      </c>
      <c r="I1438" s="7" t="n">
        <f aca="false">AVERAGE(E1419:E1438)</f>
        <v>23749.5225</v>
      </c>
      <c r="J1438" s="7" t="n">
        <f aca="false">AVERAGE(E1389:E1438)</f>
        <v>23458.3018</v>
      </c>
      <c r="K1438" s="7" t="n">
        <f aca="false">AVERAGE(E1339:E1438)</f>
        <v>22431.2773</v>
      </c>
      <c r="L1438" s="7" t="n">
        <f aca="false">AVERAGE(E1239:E1438)</f>
        <v>21507.07645</v>
      </c>
      <c r="M1438" s="7" t="n">
        <f aca="false">I1438</f>
        <v>23749.5225</v>
      </c>
      <c r="N1438" s="7" t="n">
        <f aca="false">I1438+2*STDEV(E1419:E1438)</f>
        <v>24493.1569817145</v>
      </c>
      <c r="O1438" s="7" t="n">
        <f aca="false">I1438-2*STDEV(E1419:E1438)</f>
        <v>23005.8880182855</v>
      </c>
      <c r="P1438" s="7" t="n">
        <f aca="false">MAX(E1438-E1437,0)</f>
        <v>231.200000000001</v>
      </c>
      <c r="Q1438" s="7" t="n">
        <f aca="false">MAX(E1437-E1438,0)</f>
        <v>0</v>
      </c>
      <c r="R1438" s="7" t="n">
        <f aca="false">(R1437*13+P1438)/14</f>
        <v>92.0972392279113</v>
      </c>
      <c r="S1438" s="7" t="n">
        <f aca="false">(S1437*13+Q1438)/14</f>
        <v>37.7317138456902</v>
      </c>
      <c r="T1438" s="7" t="n">
        <f aca="false">IF(S1438=0,100,100-100/(1+R1438/S1438))</f>
        <v>70.9373657012395</v>
      </c>
      <c r="U1438" s="7" t="n">
        <f aca="false">E1438*2/13+U1437*11/13</f>
        <v>24027.2541905312</v>
      </c>
      <c r="V1438" s="7" t="n">
        <f aca="false">E1438*2/27+V1437*25/27</f>
        <v>23764.2572984993</v>
      </c>
      <c r="W1438" s="7" t="n">
        <f aca="false">U1438-V1438</f>
        <v>262.996892031893</v>
      </c>
      <c r="X1438" s="7" t="n">
        <f aca="false">W1438*2/10+X1437*8/10</f>
        <v>202.084331608026</v>
      </c>
      <c r="Y1438" s="7" t="n">
        <f aca="false">W1438-X1438</f>
        <v>60.9125604238676</v>
      </c>
      <c r="Z1438" s="8" t="s">
        <v>42</v>
      </c>
      <c r="AA1438" s="7" t="str">
        <f aca="false">IFERROR(INDEX(02_轉折點45!B:B,MATCH(A1438,02_轉折點45!A:A,0)),"")</f>
        <v/>
      </c>
      <c r="AB1438" s="7" t="n">
        <f aca="false">COUNTIFS(05_訊號明細!A:A,A1438,05_訊號明細!C:C,"TOP")</f>
        <v>1</v>
      </c>
      <c r="AC1438" s="7" t="n">
        <f aca="false">COUNTIFS(05_訊號明細!A:A,A1438,05_訊號明細!C:C,"BOTTOM")</f>
        <v>0</v>
      </c>
    </row>
    <row r="1439" customFormat="false" ht="15" hidden="false" customHeight="false" outlineLevel="0" collapsed="false">
      <c r="A1439" s="7" t="s">
        <v>1480</v>
      </c>
      <c r="B1439" s="7" t="n">
        <v>24528.44</v>
      </c>
      <c r="C1439" s="7" t="n">
        <v>24641.93</v>
      </c>
      <c r="D1439" s="7" t="n">
        <v>24469.28</v>
      </c>
      <c r="E1439" s="7" t="n">
        <v>24626.25</v>
      </c>
      <c r="F1439" s="7" t="n">
        <v>14632</v>
      </c>
      <c r="G1439" s="7" t="n">
        <f aca="false">AVERAGE(E1435:E1439)</f>
        <v>24374.572</v>
      </c>
      <c r="H1439" s="7" t="n">
        <f aca="false">AVERAGE(E1430:E1439)</f>
        <v>24140.898</v>
      </c>
      <c r="I1439" s="7" t="n">
        <f aca="false">AVERAGE(E1420:E1439)</f>
        <v>23823.706</v>
      </c>
      <c r="J1439" s="7" t="n">
        <f aca="false">AVERAGE(E1390:E1439)</f>
        <v>23494.2416</v>
      </c>
      <c r="K1439" s="7" t="n">
        <f aca="false">AVERAGE(E1340:E1439)</f>
        <v>22483.2669</v>
      </c>
      <c r="L1439" s="7" t="n">
        <f aca="false">AVERAGE(E1240:E1439)</f>
        <v>21525.55585</v>
      </c>
      <c r="M1439" s="7" t="n">
        <f aca="false">I1439</f>
        <v>23823.706</v>
      </c>
      <c r="N1439" s="7" t="n">
        <f aca="false">I1439+2*STDEV(E1420:E1439)</f>
        <v>24607.3441050997</v>
      </c>
      <c r="O1439" s="7" t="n">
        <f aca="false">I1439-2*STDEV(E1420:E1439)</f>
        <v>23040.0678949003</v>
      </c>
      <c r="P1439" s="7" t="n">
        <f aca="false">MAX(E1439-E1438,0)</f>
        <v>171.360000000001</v>
      </c>
      <c r="Q1439" s="7" t="n">
        <f aca="false">MAX(E1438-E1439,0)</f>
        <v>0</v>
      </c>
      <c r="R1439" s="7" t="n">
        <f aca="false">(R1438*13+P1439)/14</f>
        <v>97.7588649973463</v>
      </c>
      <c r="S1439" s="7" t="n">
        <f aca="false">(S1438*13+Q1439)/14</f>
        <v>35.0365914281409</v>
      </c>
      <c r="T1439" s="7" t="n">
        <f aca="false">IF(S1439=0,100,100-100/(1+R1439/S1439))</f>
        <v>73.6161218378731</v>
      </c>
      <c r="U1439" s="7" t="n">
        <f aca="false">E1439*2/13+U1438*11/13</f>
        <v>24119.4073919879</v>
      </c>
      <c r="V1439" s="7" t="n">
        <f aca="false">E1439*2/27+V1438*25/27</f>
        <v>23828.1086097216</v>
      </c>
      <c r="W1439" s="7" t="n">
        <f aca="false">U1439-V1439</f>
        <v>291.298782266356</v>
      </c>
      <c r="X1439" s="7" t="n">
        <f aca="false">W1439*2/10+X1438*8/10</f>
        <v>219.927221739692</v>
      </c>
      <c r="Y1439" s="7" t="n">
        <f aca="false">W1439-X1439</f>
        <v>71.3715605266644</v>
      </c>
      <c r="Z1439" s="8" t="s">
        <v>42</v>
      </c>
      <c r="AA1439" s="7" t="str">
        <f aca="false">IFERROR(INDEX(02_轉折點45!B:B,MATCH(A1439,02_轉折點45!A:A,0)),"")</f>
        <v/>
      </c>
      <c r="AB1439" s="7" t="n">
        <f aca="false">COUNTIFS(05_訊號明細!A:A,A1439,05_訊號明細!C:C,"TOP")</f>
        <v>0</v>
      </c>
      <c r="AC1439" s="7" t="n">
        <f aca="false">COUNTIFS(05_訊號明細!A:A,A1439,05_訊號明細!C:C,"BOTTOM")</f>
        <v>0</v>
      </c>
    </row>
    <row r="1440" customFormat="false" ht="15" hidden="false" customHeight="false" outlineLevel="0" collapsed="false">
      <c r="A1440" s="7" t="s">
        <v>1481</v>
      </c>
      <c r="B1440" s="7" t="n">
        <v>24588.18</v>
      </c>
      <c r="C1440" s="7" t="n">
        <v>24781.73</v>
      </c>
      <c r="D1440" s="7" t="n">
        <v>24578.09</v>
      </c>
      <c r="E1440" s="7" t="n">
        <v>24761.07</v>
      </c>
      <c r="F1440" s="7" t="n">
        <v>9736</v>
      </c>
      <c r="G1440" s="7" t="n">
        <f aca="false">AVERAGE(E1436:E1440)</f>
        <v>24468.03</v>
      </c>
      <c r="H1440" s="7" t="n">
        <f aca="false">AVERAGE(E1431:E1440)</f>
        <v>24240.775</v>
      </c>
      <c r="I1440" s="7" t="n">
        <f aca="false">AVERAGE(E1421:E1440)</f>
        <v>23886.8535</v>
      </c>
      <c r="J1440" s="7" t="n">
        <f aca="false">AVERAGE(E1391:E1440)</f>
        <v>23533.851</v>
      </c>
      <c r="K1440" s="7" t="n">
        <f aca="false">AVERAGE(E1341:E1440)</f>
        <v>22535.4281</v>
      </c>
      <c r="L1440" s="7" t="n">
        <f aca="false">AVERAGE(E1241:E1440)</f>
        <v>21543.5382</v>
      </c>
      <c r="M1440" s="7" t="n">
        <f aca="false">I1440</f>
        <v>23886.8535</v>
      </c>
      <c r="N1440" s="7" t="n">
        <f aca="false">I1440+2*STDEV(E1421:E1440)</f>
        <v>24758.6108441775</v>
      </c>
      <c r="O1440" s="7" t="n">
        <f aca="false">I1440-2*STDEV(E1421:E1440)</f>
        <v>23015.0961558225</v>
      </c>
      <c r="P1440" s="7" t="n">
        <f aca="false">MAX(E1440-E1439,0)</f>
        <v>134.82</v>
      </c>
      <c r="Q1440" s="7" t="n">
        <f aca="false">MAX(E1439-E1440,0)</f>
        <v>0</v>
      </c>
      <c r="R1440" s="7" t="n">
        <f aca="false">(R1439*13+P1440)/14</f>
        <v>100.406088926107</v>
      </c>
      <c r="S1440" s="7" t="n">
        <f aca="false">(S1439*13+Q1440)/14</f>
        <v>32.5339777547023</v>
      </c>
      <c r="T1440" s="7" t="n">
        <f aca="false">IF(S1440=0,100,100-100/(1+R1440/S1440))</f>
        <v>75.5273345598534</v>
      </c>
      <c r="U1440" s="7" t="n">
        <f aca="false">E1440*2/13+U1439*11/13</f>
        <v>24218.1247162975</v>
      </c>
      <c r="V1440" s="7" t="n">
        <f aca="false">E1440*2/27+V1439*25/27</f>
        <v>23897.2168608533</v>
      </c>
      <c r="W1440" s="7" t="n">
        <f aca="false">U1440-V1440</f>
        <v>320.907855444169</v>
      </c>
      <c r="X1440" s="7" t="n">
        <f aca="false">W1440*2/10+X1439*8/10</f>
        <v>240.123348480587</v>
      </c>
      <c r="Y1440" s="7" t="n">
        <f aca="false">W1440-X1440</f>
        <v>80.784506963582</v>
      </c>
      <c r="Z1440" s="8" t="s">
        <v>42</v>
      </c>
      <c r="AA1440" s="7" t="str">
        <f aca="false">IFERROR(INDEX(02_轉折點45!B:B,MATCH(A1440,02_轉折點45!A:A,0)),"")</f>
        <v/>
      </c>
      <c r="AB1440" s="7" t="n">
        <f aca="false">COUNTIFS(05_訊號明細!A:A,A1440,05_訊號明細!C:C,"TOP")</f>
        <v>0</v>
      </c>
      <c r="AC1440" s="7" t="n">
        <f aca="false">COUNTIFS(05_訊號明細!A:A,A1440,05_訊號明細!C:C,"BOTTOM")</f>
        <v>0</v>
      </c>
    </row>
    <row r="1441" customFormat="false" ht="15" hidden="false" customHeight="false" outlineLevel="0" collapsed="false">
      <c r="A1441" s="7" t="s">
        <v>1482</v>
      </c>
      <c r="B1441" s="7" t="n">
        <v>24752.74</v>
      </c>
      <c r="C1441" s="7" t="n">
        <v>24764.3</v>
      </c>
      <c r="D1441" s="7" t="n">
        <v>24536.5</v>
      </c>
      <c r="E1441" s="7" t="n">
        <v>24580.17</v>
      </c>
      <c r="F1441" s="7" t="n">
        <v>9823</v>
      </c>
      <c r="G1441" s="7" t="n">
        <f aca="false">AVERAGE(E1437:E1441)</f>
        <v>24529.214</v>
      </c>
      <c r="H1441" s="7" t="n">
        <f aca="false">AVERAGE(E1432:E1441)</f>
        <v>24314.812</v>
      </c>
      <c r="I1441" s="7" t="n">
        <f aca="false">AVERAGE(E1422:E1441)</f>
        <v>23944.5815</v>
      </c>
      <c r="J1441" s="7" t="n">
        <f aca="false">AVERAGE(E1392:E1441)</f>
        <v>23568.3418</v>
      </c>
      <c r="K1441" s="7" t="n">
        <f aca="false">AVERAGE(E1342:E1441)</f>
        <v>22585.5196</v>
      </c>
      <c r="L1441" s="7" t="n">
        <f aca="false">AVERAGE(E1242:E1441)</f>
        <v>21560.29245</v>
      </c>
      <c r="M1441" s="7" t="n">
        <f aca="false">I1441</f>
        <v>23944.5815</v>
      </c>
      <c r="N1441" s="7" t="n">
        <f aca="false">I1441+2*STDEV(E1422:E1441)</f>
        <v>24840.3147641097</v>
      </c>
      <c r="O1441" s="7" t="n">
        <f aca="false">I1441-2*STDEV(E1422:E1441)</f>
        <v>23048.8482358903</v>
      </c>
      <c r="P1441" s="7" t="n">
        <f aca="false">MAX(E1441-E1440,0)</f>
        <v>0</v>
      </c>
      <c r="Q1441" s="7" t="n">
        <f aca="false">MAX(E1440-E1441,0)</f>
        <v>180.900000000001</v>
      </c>
      <c r="R1441" s="7" t="n">
        <f aca="false">(R1440*13+P1441)/14</f>
        <v>93.2342254313853</v>
      </c>
      <c r="S1441" s="7" t="n">
        <f aca="false">(S1440*13+Q1441)/14</f>
        <v>43.1315507722236</v>
      </c>
      <c r="T1441" s="7" t="n">
        <f aca="false">IF(S1441=0,100,100-100/(1+R1441/S1441))</f>
        <v>68.370692432518</v>
      </c>
      <c r="U1441" s="7" t="n">
        <f aca="false">E1441*2/13+U1440*11/13</f>
        <v>24273.8239907133</v>
      </c>
      <c r="V1441" s="7" t="n">
        <f aca="false">E1441*2/27+V1440*25/27</f>
        <v>23947.8059822716</v>
      </c>
      <c r="W1441" s="7" t="n">
        <f aca="false">U1441-V1441</f>
        <v>326.018008441664</v>
      </c>
      <c r="X1441" s="7" t="n">
        <f aca="false">W1441*2/10+X1440*8/10</f>
        <v>257.302280472803</v>
      </c>
      <c r="Y1441" s="7" t="n">
        <f aca="false">W1441-X1441</f>
        <v>68.7157279688615</v>
      </c>
      <c r="Z1441" s="8" t="s">
        <v>42</v>
      </c>
      <c r="AA1441" s="7" t="str">
        <f aca="false">IFERROR(INDEX(02_轉折點45!B:B,MATCH(A1441,02_轉折點45!A:A,0)),"")</f>
        <v/>
      </c>
      <c r="AB1441" s="7" t="n">
        <f aca="false">COUNTIFS(05_訊號明細!A:A,A1441,05_訊號明細!C:C,"TOP")</f>
        <v>1</v>
      </c>
      <c r="AC1441" s="7" t="n">
        <f aca="false">COUNTIFS(05_訊號明細!A:A,A1441,05_訊號明細!C:C,"BOTTOM")</f>
        <v>0</v>
      </c>
    </row>
    <row r="1442" customFormat="false" ht="15" hidden="false" customHeight="false" outlineLevel="0" collapsed="false">
      <c r="A1442" s="7" t="s">
        <v>1483</v>
      </c>
      <c r="B1442" s="7" t="n">
        <v>24648.97</v>
      </c>
      <c r="C1442" s="7" t="n">
        <v>24650.42</v>
      </c>
      <c r="D1442" s="7" t="n">
        <v>24388.59</v>
      </c>
      <c r="E1442" s="7" t="n">
        <v>24503.57</v>
      </c>
      <c r="F1442" s="7" t="n">
        <v>9184</v>
      </c>
      <c r="G1442" s="7" t="n">
        <f aca="false">AVERAGE(E1438:E1442)</f>
        <v>24585.19</v>
      </c>
      <c r="H1442" s="7" t="n">
        <f aca="false">AVERAGE(E1433:E1442)</f>
        <v>24380.242</v>
      </c>
      <c r="I1442" s="7" t="n">
        <f aca="false">AVERAGE(E1423:E1442)</f>
        <v>23993.4955</v>
      </c>
      <c r="J1442" s="7" t="n">
        <f aca="false">AVERAGE(E1393:E1442)</f>
        <v>23600.7214</v>
      </c>
      <c r="K1442" s="7" t="n">
        <f aca="false">AVERAGE(E1343:E1442)</f>
        <v>22632.6882</v>
      </c>
      <c r="L1442" s="7" t="n">
        <f aca="false">AVERAGE(E1243:E1442)</f>
        <v>21575.3485</v>
      </c>
      <c r="M1442" s="7" t="n">
        <f aca="false">I1442</f>
        <v>23993.4955</v>
      </c>
      <c r="N1442" s="7" t="n">
        <f aca="false">I1442+2*STDEV(E1423:E1442)</f>
        <v>24899.6054126189</v>
      </c>
      <c r="O1442" s="7" t="n">
        <f aca="false">I1442-2*STDEV(E1423:E1442)</f>
        <v>23087.3855873811</v>
      </c>
      <c r="P1442" s="7" t="n">
        <f aca="false">MAX(E1442-E1441,0)</f>
        <v>0</v>
      </c>
      <c r="Q1442" s="7" t="n">
        <f aca="false">MAX(E1441-E1442,0)</f>
        <v>76.5999999999985</v>
      </c>
      <c r="R1442" s="7" t="n">
        <f aca="false">(R1441*13+P1442)/14</f>
        <v>86.574637900572</v>
      </c>
      <c r="S1442" s="7" t="n">
        <f aca="false">(S1441*13+Q1442)/14</f>
        <v>45.5221542884933</v>
      </c>
      <c r="T1442" s="7" t="n">
        <f aca="false">IF(S1442=0,100,100-100/(1+R1442/S1442))</f>
        <v>65.538788993953</v>
      </c>
      <c r="U1442" s="7" t="n">
        <f aca="false">E1442*2/13+U1441*11/13</f>
        <v>24309.1695306035</v>
      </c>
      <c r="V1442" s="7" t="n">
        <f aca="false">E1442*2/27+V1441*25/27</f>
        <v>23988.9736872885</v>
      </c>
      <c r="W1442" s="7" t="n">
        <f aca="false">U1442-V1442</f>
        <v>320.195843315018</v>
      </c>
      <c r="X1442" s="7" t="n">
        <f aca="false">W1442*2/10+X1441*8/10</f>
        <v>269.880993041246</v>
      </c>
      <c r="Y1442" s="7" t="n">
        <f aca="false">W1442-X1442</f>
        <v>50.3148502737719</v>
      </c>
      <c r="Z1442" s="8" t="s">
        <v>42</v>
      </c>
      <c r="AA1442" s="7" t="str">
        <f aca="false">IFERROR(INDEX(02_轉折點45!B:B,MATCH(A1442,02_轉折點45!A:A,0)),"")</f>
        <v/>
      </c>
      <c r="AB1442" s="7" t="n">
        <f aca="false">COUNTIFS(05_訊號明細!A:A,A1442,05_訊號明細!C:C,"TOP")</f>
        <v>0</v>
      </c>
      <c r="AC1442" s="7" t="n">
        <f aca="false">COUNTIFS(05_訊號明細!A:A,A1442,05_訊號明細!C:C,"BOTTOM")</f>
        <v>0</v>
      </c>
    </row>
    <row r="1443" customFormat="false" ht="15" hidden="false" customHeight="false" outlineLevel="0" collapsed="false">
      <c r="A1443" s="7" t="s">
        <v>1484</v>
      </c>
      <c r="B1443" s="7" t="n">
        <v>24321.73</v>
      </c>
      <c r="C1443" s="7" t="n">
        <v>24460.66</v>
      </c>
      <c r="D1443" s="7" t="n">
        <v>24186.37</v>
      </c>
      <c r="E1443" s="7" t="n">
        <v>24397.31</v>
      </c>
      <c r="F1443" s="7" t="n">
        <v>9960</v>
      </c>
      <c r="G1443" s="7" t="n">
        <f aca="false">AVERAGE(E1439:E1443)</f>
        <v>24573.674</v>
      </c>
      <c r="H1443" s="7" t="n">
        <f aca="false">AVERAGE(E1434:E1443)</f>
        <v>24420.717</v>
      </c>
      <c r="I1443" s="7" t="n">
        <f aca="false">AVERAGE(E1424:E1443)</f>
        <v>24035.0685</v>
      </c>
      <c r="J1443" s="7" t="n">
        <f aca="false">AVERAGE(E1394:E1443)</f>
        <v>23630.5082</v>
      </c>
      <c r="K1443" s="7" t="n">
        <f aca="false">AVERAGE(E1344:E1443)</f>
        <v>22675.6352</v>
      </c>
      <c r="L1443" s="7" t="n">
        <f aca="false">AVERAGE(E1244:E1443)</f>
        <v>21590.20895</v>
      </c>
      <c r="M1443" s="7" t="n">
        <f aca="false">I1443</f>
        <v>24035.0685</v>
      </c>
      <c r="N1443" s="7" t="n">
        <f aca="false">I1443+2*STDEV(E1424:E1443)</f>
        <v>24934.8387941313</v>
      </c>
      <c r="O1443" s="7" t="n">
        <f aca="false">I1443-2*STDEV(E1424:E1443)</f>
        <v>23135.2982058687</v>
      </c>
      <c r="P1443" s="7" t="n">
        <f aca="false">MAX(E1443-E1442,0)</f>
        <v>0</v>
      </c>
      <c r="Q1443" s="7" t="n">
        <f aca="false">MAX(E1442-E1443,0)</f>
        <v>106.259999999998</v>
      </c>
      <c r="R1443" s="7" t="n">
        <f aca="false">(R1442*13+P1443)/14</f>
        <v>80.3907351933883</v>
      </c>
      <c r="S1443" s="7" t="n">
        <f aca="false">(S1442*13+Q1443)/14</f>
        <v>49.8605718393151</v>
      </c>
      <c r="T1443" s="7" t="n">
        <f aca="false">IF(S1443=0,100,100-100/(1+R1443/S1443))</f>
        <v>61.7197147766079</v>
      </c>
      <c r="U1443" s="7" t="n">
        <f aca="false">E1443*2/13+U1442*11/13</f>
        <v>24322.7296028184</v>
      </c>
      <c r="V1443" s="7" t="n">
        <f aca="false">E1443*2/27+V1442*25/27</f>
        <v>24019.2208215634</v>
      </c>
      <c r="W1443" s="7" t="n">
        <f aca="false">U1443-V1443</f>
        <v>303.508781254932</v>
      </c>
      <c r="X1443" s="7" t="n">
        <f aca="false">W1443*2/10+X1442*8/10</f>
        <v>276.606550683983</v>
      </c>
      <c r="Y1443" s="7" t="n">
        <f aca="false">W1443-X1443</f>
        <v>26.9022305709489</v>
      </c>
      <c r="Z1443" s="8" t="s">
        <v>42</v>
      </c>
      <c r="AA1443" s="7" t="str">
        <f aca="false">IFERROR(INDEX(02_轉折點45!B:B,MATCH(A1443,02_轉折點45!A:A,0)),"")</f>
        <v/>
      </c>
      <c r="AB1443" s="7" t="n">
        <f aca="false">COUNTIFS(05_訊號明細!A:A,A1443,05_訊號明細!C:C,"TOP")</f>
        <v>0</v>
      </c>
      <c r="AC1443" s="7" t="n">
        <f aca="false">COUNTIFS(05_訊號明細!A:A,A1443,05_訊號明細!C:C,"BOTTOM")</f>
        <v>0</v>
      </c>
    </row>
    <row r="1444" customFormat="false" ht="15" hidden="false" customHeight="false" outlineLevel="0" collapsed="false">
      <c r="A1444" s="7" t="s">
        <v>1485</v>
      </c>
      <c r="B1444" s="7" t="n">
        <v>24410.95</v>
      </c>
      <c r="C1444" s="7" t="n">
        <v>24510.37</v>
      </c>
      <c r="D1444" s="7" t="n">
        <v>24297.7</v>
      </c>
      <c r="E1444" s="7" t="n">
        <v>24503.85</v>
      </c>
      <c r="F1444" s="7" t="n">
        <v>8488</v>
      </c>
      <c r="G1444" s="7" t="n">
        <f aca="false">AVERAGE(E1440:E1444)</f>
        <v>24549.194</v>
      </c>
      <c r="H1444" s="7" t="n">
        <f aca="false">AVERAGE(E1435:E1444)</f>
        <v>24461.883</v>
      </c>
      <c r="I1444" s="7" t="n">
        <f aca="false">AVERAGE(E1425:E1444)</f>
        <v>24075.0885</v>
      </c>
      <c r="J1444" s="7" t="n">
        <f aca="false">AVERAGE(E1395:E1444)</f>
        <v>23658.9642</v>
      </c>
      <c r="K1444" s="7" t="n">
        <f aca="false">AVERAGE(E1345:E1444)</f>
        <v>22720.9943</v>
      </c>
      <c r="L1444" s="7" t="n">
        <f aca="false">AVERAGE(E1245:E1444)</f>
        <v>21604.61695</v>
      </c>
      <c r="M1444" s="7" t="n">
        <f aca="false">I1444</f>
        <v>24075.0885</v>
      </c>
      <c r="N1444" s="7" t="n">
        <f aca="false">I1444+2*STDEV(E1425:E1444)</f>
        <v>24983.9095434293</v>
      </c>
      <c r="O1444" s="7" t="n">
        <f aca="false">I1444-2*STDEV(E1425:E1444)</f>
        <v>23166.2674565707</v>
      </c>
      <c r="P1444" s="7" t="n">
        <f aca="false">MAX(E1444-E1443,0)</f>
        <v>106.539999999997</v>
      </c>
      <c r="Q1444" s="7" t="n">
        <f aca="false">MAX(E1443-E1444,0)</f>
        <v>0</v>
      </c>
      <c r="R1444" s="7" t="n">
        <f aca="false">(R1443*13+P1444)/14</f>
        <v>82.2585398224318</v>
      </c>
      <c r="S1444" s="7" t="n">
        <f aca="false">(S1443*13+Q1444)/14</f>
        <v>46.2991024222211</v>
      </c>
      <c r="T1444" s="7" t="n">
        <f aca="false">IF(S1444=0,100,100-100/(1+R1444/S1444))</f>
        <v>63.9857253028092</v>
      </c>
      <c r="U1444" s="7" t="n">
        <f aca="false">E1444*2/13+U1443*11/13</f>
        <v>24350.5942793078</v>
      </c>
      <c r="V1444" s="7" t="n">
        <f aca="false">E1444*2/27+V1443*25/27</f>
        <v>24055.1192792254</v>
      </c>
      <c r="W1444" s="7" t="n">
        <f aca="false">U1444-V1444</f>
        <v>295.475000082446</v>
      </c>
      <c r="X1444" s="7" t="n">
        <f aca="false">W1444*2/10+X1443*8/10</f>
        <v>280.380240563676</v>
      </c>
      <c r="Y1444" s="7" t="n">
        <f aca="false">W1444-X1444</f>
        <v>15.0947595187705</v>
      </c>
      <c r="Z1444" s="8" t="s">
        <v>42</v>
      </c>
      <c r="AA1444" s="7" t="str">
        <f aca="false">IFERROR(INDEX(02_轉折點45!B:B,MATCH(A1444,02_轉折點45!A:A,0)),"")</f>
        <v/>
      </c>
      <c r="AB1444" s="7" t="n">
        <f aca="false">COUNTIFS(05_訊號明細!A:A,A1444,05_訊號明細!C:C,"TOP")</f>
        <v>0</v>
      </c>
      <c r="AC1444" s="7" t="n">
        <f aca="false">COUNTIFS(05_訊號明細!A:A,A1444,05_訊號明細!C:C,"BOTTOM")</f>
        <v>0</v>
      </c>
    </row>
    <row r="1445" customFormat="false" ht="15" hidden="false" customHeight="false" outlineLevel="0" collapsed="false">
      <c r="A1445" s="7" t="s">
        <v>1486</v>
      </c>
      <c r="B1445" s="7" t="n">
        <v>24629.02</v>
      </c>
      <c r="C1445" s="7" t="n">
        <v>24741.77</v>
      </c>
      <c r="D1445" s="7" t="n">
        <v>24560.22</v>
      </c>
      <c r="E1445" s="7" t="n">
        <v>24611.35</v>
      </c>
      <c r="F1445" s="7" t="n">
        <v>9047</v>
      </c>
      <c r="G1445" s="7" t="n">
        <f aca="false">AVERAGE(E1441:E1445)</f>
        <v>24519.25</v>
      </c>
      <c r="H1445" s="7" t="n">
        <f aca="false">AVERAGE(E1436:E1445)</f>
        <v>24493.64</v>
      </c>
      <c r="I1445" s="7" t="n">
        <f aca="false">AVERAGE(E1426:E1445)</f>
        <v>24134.885</v>
      </c>
      <c r="J1445" s="7" t="n">
        <f aca="false">AVERAGE(E1396:E1445)</f>
        <v>23689.8818</v>
      </c>
      <c r="K1445" s="7" t="n">
        <f aca="false">AVERAGE(E1346:E1445)</f>
        <v>22769.1943</v>
      </c>
      <c r="L1445" s="7" t="n">
        <f aca="false">AVERAGE(E1246:E1445)</f>
        <v>21620.4696</v>
      </c>
      <c r="M1445" s="7" t="n">
        <f aca="false">I1445</f>
        <v>24134.885</v>
      </c>
      <c r="N1445" s="7" t="n">
        <f aca="false">I1445+2*STDEV(E1426:E1445)</f>
        <v>25017.9646543795</v>
      </c>
      <c r="O1445" s="7" t="n">
        <f aca="false">I1445-2*STDEV(E1426:E1445)</f>
        <v>23251.8053456205</v>
      </c>
      <c r="P1445" s="7" t="n">
        <f aca="false">MAX(E1445-E1444,0)</f>
        <v>107.5</v>
      </c>
      <c r="Q1445" s="7" t="n">
        <f aca="false">MAX(E1444-E1445,0)</f>
        <v>0</v>
      </c>
      <c r="R1445" s="7" t="n">
        <f aca="false">(R1444*13+P1445)/14</f>
        <v>84.0615012636867</v>
      </c>
      <c r="S1445" s="7" t="n">
        <f aca="false">(S1444*13+Q1445)/14</f>
        <v>42.9920236777768</v>
      </c>
      <c r="T1445" s="7" t="n">
        <f aca="false">IF(S1445=0,100,100-100/(1+R1445/S1445))</f>
        <v>66.1622739726551</v>
      </c>
      <c r="U1445" s="7" t="n">
        <f aca="false">E1445*2/13+U1444*11/13</f>
        <v>24390.7105440297</v>
      </c>
      <c r="V1445" s="7" t="n">
        <f aca="false">E1445*2/27+V1444*25/27</f>
        <v>24096.3215548383</v>
      </c>
      <c r="W1445" s="7" t="n">
        <f aca="false">U1445-V1445</f>
        <v>294.388989191379</v>
      </c>
      <c r="X1445" s="7" t="n">
        <f aca="false">W1445*2/10+X1444*8/10</f>
        <v>283.181990289216</v>
      </c>
      <c r="Y1445" s="7" t="n">
        <f aca="false">W1445-X1445</f>
        <v>11.2069989021625</v>
      </c>
      <c r="Z1445" s="8" t="s">
        <v>42</v>
      </c>
      <c r="AA1445" s="7" t="str">
        <f aca="false">IFERROR(INDEX(02_轉折點45!B:B,MATCH(A1445,02_轉折點45!A:A,0)),"")</f>
        <v/>
      </c>
      <c r="AB1445" s="7" t="n">
        <f aca="false">COUNTIFS(05_訊號明細!A:A,A1445,05_訊號明細!C:C,"TOP")</f>
        <v>0</v>
      </c>
      <c r="AC1445" s="7" t="n">
        <f aca="false">COUNTIFS(05_訊號明細!A:A,A1445,05_訊號明細!C:C,"BOTTOM")</f>
        <v>0</v>
      </c>
    </row>
    <row r="1446" customFormat="false" ht="15" hidden="false" customHeight="false" outlineLevel="0" collapsed="false">
      <c r="A1446" s="7" t="s">
        <v>1487</v>
      </c>
      <c r="B1446" s="7" t="n">
        <v>24597.4</v>
      </c>
      <c r="C1446" s="7" t="n">
        <v>24691.23</v>
      </c>
      <c r="D1446" s="7" t="n">
        <v>24505.14</v>
      </c>
      <c r="E1446" s="7" t="n">
        <v>24679.99</v>
      </c>
      <c r="F1446" s="7" t="n">
        <v>8928</v>
      </c>
      <c r="G1446" s="7" t="n">
        <f aca="false">AVERAGE(E1442:E1446)</f>
        <v>24539.214</v>
      </c>
      <c r="H1446" s="7" t="n">
        <f aca="false">AVERAGE(E1437:E1446)</f>
        <v>24534.214</v>
      </c>
      <c r="I1446" s="7" t="n">
        <f aca="false">AVERAGE(E1427:E1446)</f>
        <v>24207.329</v>
      </c>
      <c r="J1446" s="7" t="n">
        <f aca="false">AVERAGE(E1397:E1446)</f>
        <v>23719.8804</v>
      </c>
      <c r="K1446" s="7" t="n">
        <f aca="false">AVERAGE(E1347:E1446)</f>
        <v>22817.3145</v>
      </c>
      <c r="L1446" s="7" t="n">
        <f aca="false">AVERAGE(E1247:E1446)</f>
        <v>21637.02865</v>
      </c>
      <c r="M1446" s="7" t="n">
        <f aca="false">I1446</f>
        <v>24207.329</v>
      </c>
      <c r="N1446" s="7" t="n">
        <f aca="false">I1446+2*STDEV(E1427:E1446)</f>
        <v>25012.5172432509</v>
      </c>
      <c r="O1446" s="7" t="n">
        <f aca="false">I1446-2*STDEV(E1427:E1446)</f>
        <v>23402.1407567491</v>
      </c>
      <c r="P1446" s="7" t="n">
        <f aca="false">MAX(E1446-E1445,0)</f>
        <v>68.6400000000031</v>
      </c>
      <c r="Q1446" s="7" t="n">
        <f aca="false">MAX(E1445-E1446,0)</f>
        <v>0</v>
      </c>
      <c r="R1446" s="7" t="n">
        <f aca="false">(R1445*13+P1446)/14</f>
        <v>82.9599654591379</v>
      </c>
      <c r="S1446" s="7" t="n">
        <f aca="false">(S1445*13+Q1446)/14</f>
        <v>39.9211648436498</v>
      </c>
      <c r="T1446" s="7" t="n">
        <f aca="false">IF(S1446=0,100,100-100/(1+R1446/S1446))</f>
        <v>67.5123717162421</v>
      </c>
      <c r="U1446" s="7" t="n">
        <f aca="false">E1446*2/13+U1445*11/13</f>
        <v>24435.2150757174</v>
      </c>
      <c r="V1446" s="7" t="n">
        <f aca="false">E1446*2/27+V1445*25/27</f>
        <v>24139.5562544799</v>
      </c>
      <c r="W1446" s="7" t="n">
        <f aca="false">U1446-V1446</f>
        <v>295.65882123751</v>
      </c>
      <c r="X1446" s="7" t="n">
        <f aca="false">W1446*2/10+X1445*8/10</f>
        <v>285.677356478875</v>
      </c>
      <c r="Y1446" s="7" t="n">
        <f aca="false">W1446-X1446</f>
        <v>9.98146475863501</v>
      </c>
      <c r="Z1446" s="8" t="s">
        <v>42</v>
      </c>
      <c r="AA1446" s="7" t="str">
        <f aca="false">IFERROR(INDEX(02_轉折點45!B:B,MATCH(A1446,02_轉折點45!A:A,0)),"")</f>
        <v/>
      </c>
      <c r="AB1446" s="7" t="n">
        <f aca="false">COUNTIFS(05_訊號明細!A:A,A1446,05_訊號明細!C:C,"TOP")</f>
        <v>1</v>
      </c>
      <c r="AC1446" s="7" t="n">
        <f aca="false">COUNTIFS(05_訊號明細!A:A,A1446,05_訊號明細!C:C,"BOTTOM")</f>
        <v>1</v>
      </c>
    </row>
    <row r="1447" customFormat="false" ht="15" hidden="false" customHeight="false" outlineLevel="0" collapsed="false">
      <c r="A1447" s="7" t="s">
        <v>1488</v>
      </c>
      <c r="B1447" s="7" t="n">
        <v>24539.25</v>
      </c>
      <c r="C1447" s="7" t="n">
        <v>24816.67</v>
      </c>
      <c r="D1447" s="7" t="n">
        <v>24517.76</v>
      </c>
      <c r="E1447" s="7" t="n">
        <v>24800.86</v>
      </c>
      <c r="F1447" s="7" t="n">
        <v>10044</v>
      </c>
      <c r="G1447" s="7" t="n">
        <f aca="false">AVERAGE(E1443:E1447)</f>
        <v>24598.672</v>
      </c>
      <c r="H1447" s="7" t="n">
        <f aca="false">AVERAGE(E1438:E1447)</f>
        <v>24591.931</v>
      </c>
      <c r="I1447" s="7" t="n">
        <f aca="false">AVERAGE(E1428:E1447)</f>
        <v>24276.63</v>
      </c>
      <c r="J1447" s="7" t="n">
        <f aca="false">AVERAGE(E1398:E1447)</f>
        <v>23754.626</v>
      </c>
      <c r="K1447" s="7" t="n">
        <f aca="false">AVERAGE(E1348:E1447)</f>
        <v>22864.6875</v>
      </c>
      <c r="L1447" s="7" t="n">
        <f aca="false">AVERAGE(E1248:E1447)</f>
        <v>21652.21305</v>
      </c>
      <c r="M1447" s="7" t="n">
        <f aca="false">I1447</f>
        <v>24276.63</v>
      </c>
      <c r="N1447" s="7" t="n">
        <f aca="false">I1447+2*STDEV(E1428:E1447)</f>
        <v>25031.6477647823</v>
      </c>
      <c r="O1447" s="7" t="n">
        <f aca="false">I1447-2*STDEV(E1428:E1447)</f>
        <v>23521.6122352177</v>
      </c>
      <c r="P1447" s="7" t="n">
        <f aca="false">MAX(E1447-E1446,0)</f>
        <v>120.869999999999</v>
      </c>
      <c r="Q1447" s="7" t="n">
        <f aca="false">MAX(E1446-E1447,0)</f>
        <v>0</v>
      </c>
      <c r="R1447" s="7" t="n">
        <f aca="false">(R1446*13+P1447)/14</f>
        <v>85.6678250691994</v>
      </c>
      <c r="S1447" s="7" t="n">
        <f aca="false">(S1446*13+Q1447)/14</f>
        <v>37.0696530691034</v>
      </c>
      <c r="T1447" s="7" t="n">
        <f aca="false">IF(S1447=0,100,100-100/(1+R1447/S1447))</f>
        <v>69.7976089851442</v>
      </c>
      <c r="U1447" s="7" t="n">
        <f aca="false">E1447*2/13+U1446*11/13</f>
        <v>24491.4681409917</v>
      </c>
      <c r="V1447" s="7" t="n">
        <f aca="false">E1447*2/27+V1446*25/27</f>
        <v>24188.5417171111</v>
      </c>
      <c r="W1447" s="7" t="n">
        <f aca="false">U1447-V1447</f>
        <v>302.926423880632</v>
      </c>
      <c r="X1447" s="7" t="n">
        <f aca="false">W1447*2/10+X1446*8/10</f>
        <v>289.127169959226</v>
      </c>
      <c r="Y1447" s="7" t="n">
        <f aca="false">W1447-X1447</f>
        <v>13.7992539214055</v>
      </c>
      <c r="Z1447" s="8" t="s">
        <v>42</v>
      </c>
      <c r="AA1447" s="7" t="str">
        <f aca="false">IFERROR(INDEX(02_轉折點45!B:B,MATCH(A1447,02_轉折點45!A:A,0)),"")</f>
        <v/>
      </c>
      <c r="AB1447" s="7" t="n">
        <f aca="false">COUNTIFS(05_訊號明細!A:A,A1447,05_訊號明細!C:C,"TOP")</f>
        <v>0</v>
      </c>
      <c r="AC1447" s="7" t="n">
        <f aca="false">COUNTIFS(05_訊號明細!A:A,A1447,05_訊號明細!C:C,"BOTTOM")</f>
        <v>0</v>
      </c>
    </row>
    <row r="1448" customFormat="false" ht="15" hidden="false" customHeight="false" outlineLevel="0" collapsed="false">
      <c r="A1448" s="7" t="s">
        <v>1489</v>
      </c>
      <c r="B1448" s="7" t="n">
        <v>24933.49</v>
      </c>
      <c r="C1448" s="7" t="n">
        <v>24944.75</v>
      </c>
      <c r="D1448" s="7" t="n">
        <v>24780.11</v>
      </c>
      <c r="E1448" s="7" t="n">
        <v>24892.76</v>
      </c>
      <c r="F1448" s="7" t="n">
        <v>9633</v>
      </c>
      <c r="G1448" s="7" t="n">
        <f aca="false">AVERAGE(E1444:E1448)</f>
        <v>24697.762</v>
      </c>
      <c r="H1448" s="7" t="n">
        <f aca="false">AVERAGE(E1439:E1448)</f>
        <v>24635.718</v>
      </c>
      <c r="I1448" s="7" t="n">
        <f aca="false">AVERAGE(E1429:E1448)</f>
        <v>24339.6175</v>
      </c>
      <c r="J1448" s="7" t="n">
        <f aca="false">AVERAGE(E1399:E1448)</f>
        <v>23789.233</v>
      </c>
      <c r="K1448" s="7" t="n">
        <f aca="false">AVERAGE(E1349:E1448)</f>
        <v>22913.0006</v>
      </c>
      <c r="L1448" s="7" t="n">
        <f aca="false">AVERAGE(E1249:E1448)</f>
        <v>21668.6005</v>
      </c>
      <c r="M1448" s="7" t="n">
        <f aca="false">I1448</f>
        <v>24339.6175</v>
      </c>
      <c r="N1448" s="7" t="n">
        <f aca="false">I1448+2*STDEV(E1429:E1448)</f>
        <v>25078.573682559</v>
      </c>
      <c r="O1448" s="7" t="n">
        <f aca="false">I1448-2*STDEV(E1429:E1448)</f>
        <v>23600.661317441</v>
      </c>
      <c r="P1448" s="7" t="n">
        <f aca="false">MAX(E1448-E1447,0)</f>
        <v>91.8999999999978</v>
      </c>
      <c r="Q1448" s="7" t="n">
        <f aca="false">MAX(E1447-E1448,0)</f>
        <v>0</v>
      </c>
      <c r="R1448" s="7" t="n">
        <f aca="false">(R1447*13+P1448)/14</f>
        <v>86.1129804213992</v>
      </c>
      <c r="S1448" s="7" t="n">
        <f aca="false">(S1447*13+Q1448)/14</f>
        <v>34.4218207070246</v>
      </c>
      <c r="T1448" s="7" t="n">
        <f aca="false">IF(S1448=0,100,100-100/(1+R1448/S1448))</f>
        <v>71.4424212884793</v>
      </c>
      <c r="U1448" s="7" t="n">
        <f aca="false">E1448*2/13+U1447*11/13</f>
        <v>24553.2053500699</v>
      </c>
      <c r="V1448" s="7" t="n">
        <f aca="false">E1448*2/27+V1447*25/27</f>
        <v>24240.7060343621</v>
      </c>
      <c r="W1448" s="7" t="n">
        <f aca="false">U1448-V1448</f>
        <v>312.499315707799</v>
      </c>
      <c r="X1448" s="7" t="n">
        <f aca="false">W1448*2/10+X1447*8/10</f>
        <v>293.801599108941</v>
      </c>
      <c r="Y1448" s="7" t="n">
        <f aca="false">W1448-X1448</f>
        <v>18.697716598858</v>
      </c>
      <c r="Z1448" s="8" t="s">
        <v>42</v>
      </c>
      <c r="AA1448" s="7" t="str">
        <f aca="false">IFERROR(INDEX(02_轉折點45!B:B,MATCH(A1448,02_轉折點45!A:A,0)),"")</f>
        <v/>
      </c>
      <c r="AB1448" s="7" t="n">
        <f aca="false">COUNTIFS(05_訊號明細!A:A,A1448,05_訊號明細!C:C,"TOP")</f>
        <v>0</v>
      </c>
      <c r="AC1448" s="7" t="n">
        <f aca="false">COUNTIFS(05_訊號明細!A:A,A1448,05_訊號明細!C:C,"BOTTOM")</f>
        <v>0</v>
      </c>
    </row>
    <row r="1449" customFormat="false" ht="15" hidden="false" customHeight="false" outlineLevel="0" collapsed="false">
      <c r="A1449" s="7" t="s">
        <v>1490</v>
      </c>
      <c r="B1449" s="7" t="n">
        <v>24931.42</v>
      </c>
      <c r="C1449" s="7" t="n">
        <v>24958.26</v>
      </c>
      <c r="D1449" s="7" t="n">
        <v>24713.58</v>
      </c>
      <c r="E1449" s="7" t="n">
        <v>24785.52</v>
      </c>
      <c r="F1449" s="7" t="n">
        <v>10516</v>
      </c>
      <c r="G1449" s="7" t="n">
        <f aca="false">AVERAGE(E1445:E1449)</f>
        <v>24754.096</v>
      </c>
      <c r="H1449" s="7" t="n">
        <f aca="false">AVERAGE(E1440:E1449)</f>
        <v>24651.645</v>
      </c>
      <c r="I1449" s="7" t="n">
        <f aca="false">AVERAGE(E1430:E1449)</f>
        <v>24396.2715</v>
      </c>
      <c r="J1449" s="7" t="n">
        <f aca="false">AVERAGE(E1400:E1449)</f>
        <v>23820.546</v>
      </c>
      <c r="K1449" s="7" t="n">
        <f aca="false">AVERAGE(E1350:E1449)</f>
        <v>22952.1743</v>
      </c>
      <c r="L1449" s="7" t="n">
        <f aca="false">AVERAGE(E1250:E1449)</f>
        <v>21683.62685</v>
      </c>
      <c r="M1449" s="7" t="n">
        <f aca="false">I1449</f>
        <v>24396.2715</v>
      </c>
      <c r="N1449" s="7" t="n">
        <f aca="false">I1449+2*STDEV(E1430:E1449)</f>
        <v>25085.4647350609</v>
      </c>
      <c r="O1449" s="7" t="n">
        <f aca="false">I1449-2*STDEV(E1430:E1449)</f>
        <v>23707.0782649391</v>
      </c>
      <c r="P1449" s="7" t="n">
        <f aca="false">MAX(E1449-E1448,0)</f>
        <v>0</v>
      </c>
      <c r="Q1449" s="7" t="n">
        <f aca="false">MAX(E1448-E1449,0)</f>
        <v>107.239999999998</v>
      </c>
      <c r="R1449" s="7" t="n">
        <f aca="false">(R1448*13+P1449)/14</f>
        <v>79.9620532484422</v>
      </c>
      <c r="S1449" s="7" t="n">
        <f aca="false">(S1448*13+Q1449)/14</f>
        <v>39.6231192279513</v>
      </c>
      <c r="T1449" s="7" t="n">
        <f aca="false">IF(S1449=0,100,100-100/(1+R1449/S1449))</f>
        <v>66.8661938537798</v>
      </c>
      <c r="U1449" s="7" t="n">
        <f aca="false">E1449*2/13+U1448*11/13</f>
        <v>24588.9460654438</v>
      </c>
      <c r="V1449" s="7" t="n">
        <f aca="false">E1449*2/27+V1448*25/27</f>
        <v>24281.0626244093</v>
      </c>
      <c r="W1449" s="7" t="n">
        <f aca="false">U1449-V1449</f>
        <v>307.883441034406</v>
      </c>
      <c r="X1449" s="7" t="n">
        <f aca="false">W1449*2/10+X1448*8/10</f>
        <v>296.617967494034</v>
      </c>
      <c r="Y1449" s="7" t="n">
        <f aca="false">W1449-X1449</f>
        <v>11.2654735403722</v>
      </c>
      <c r="Z1449" s="8" t="s">
        <v>42</v>
      </c>
      <c r="AA1449" s="7" t="str">
        <f aca="false">IFERROR(INDEX(02_轉折點45!B:B,MATCH(A1449,02_轉折點45!A:A,0)),"")</f>
        <v/>
      </c>
      <c r="AB1449" s="7" t="n">
        <f aca="false">COUNTIFS(05_訊號明細!A:A,A1449,05_訊號明細!C:C,"TOP")</f>
        <v>1</v>
      </c>
      <c r="AC1449" s="7" t="n">
        <f aca="false">COUNTIFS(05_訊號明細!A:A,A1449,05_訊號明細!C:C,"BOTTOM")</f>
        <v>0</v>
      </c>
    </row>
    <row r="1450" customFormat="false" ht="15" hidden="false" customHeight="false" outlineLevel="0" collapsed="false">
      <c r="A1450" s="7" t="s">
        <v>1491</v>
      </c>
      <c r="B1450" s="7" t="n">
        <v>24986.26</v>
      </c>
      <c r="C1450" s="7" t="n">
        <v>25044.26</v>
      </c>
      <c r="D1450" s="7" t="n">
        <v>24907.6</v>
      </c>
      <c r="E1450" s="7" t="n">
        <v>24978.56</v>
      </c>
      <c r="F1450" s="7" t="n">
        <v>10469</v>
      </c>
      <c r="G1450" s="7" t="n">
        <f aca="false">AVERAGE(E1446:E1450)</f>
        <v>24827.538</v>
      </c>
      <c r="H1450" s="7" t="n">
        <f aca="false">AVERAGE(E1441:E1450)</f>
        <v>24673.394</v>
      </c>
      <c r="I1450" s="7" t="n">
        <f aca="false">AVERAGE(E1431:E1450)</f>
        <v>24457.0845</v>
      </c>
      <c r="J1450" s="7" t="n">
        <f aca="false">AVERAGE(E1401:E1450)</f>
        <v>23854.6722</v>
      </c>
      <c r="K1450" s="7" t="n">
        <f aca="false">AVERAGE(E1351:E1450)</f>
        <v>22989.9829</v>
      </c>
      <c r="L1450" s="7" t="n">
        <f aca="false">AVERAGE(E1251:E1450)</f>
        <v>21698.03635</v>
      </c>
      <c r="M1450" s="7" t="n">
        <f aca="false">I1450</f>
        <v>24457.0845</v>
      </c>
      <c r="N1450" s="7" t="n">
        <f aca="false">I1450+2*STDEV(E1431:E1450)</f>
        <v>25125.0531980525</v>
      </c>
      <c r="O1450" s="7" t="n">
        <f aca="false">I1450-2*STDEV(E1431:E1450)</f>
        <v>23789.1158019475</v>
      </c>
      <c r="P1450" s="7" t="n">
        <f aca="false">MAX(E1450-E1449,0)</f>
        <v>193.040000000001</v>
      </c>
      <c r="Q1450" s="7" t="n">
        <f aca="false">MAX(E1449-E1450,0)</f>
        <v>0</v>
      </c>
      <c r="R1450" s="7" t="n">
        <f aca="false">(R1449*13+P1450)/14</f>
        <v>88.0390494449821</v>
      </c>
      <c r="S1450" s="7" t="n">
        <f aca="false">(S1449*13+Q1450)/14</f>
        <v>36.7928964259548</v>
      </c>
      <c r="T1450" s="7" t="n">
        <f aca="false">IF(S1450=0,100,100-100/(1+R1450/S1450))</f>
        <v>70.5260571168259</v>
      </c>
      <c r="U1450" s="7" t="n">
        <f aca="false">E1450*2/13+U1449*11/13</f>
        <v>24648.8866707601</v>
      </c>
      <c r="V1450" s="7" t="n">
        <f aca="false">E1450*2/27+V1449*25/27</f>
        <v>24332.7290966753</v>
      </c>
      <c r="W1450" s="7" t="n">
        <f aca="false">U1450-V1450</f>
        <v>316.157574084773</v>
      </c>
      <c r="X1450" s="7" t="n">
        <f aca="false">W1450*2/10+X1449*8/10</f>
        <v>300.525888812182</v>
      </c>
      <c r="Y1450" s="7" t="n">
        <f aca="false">W1450-X1450</f>
        <v>15.6316852725912</v>
      </c>
      <c r="Z1450" s="8" t="s">
        <v>42</v>
      </c>
      <c r="AA1450" s="7" t="str">
        <f aca="false">IFERROR(INDEX(02_轉折點45!B:B,MATCH(A1450,02_轉折點45!A:A,0)),"")</f>
        <v/>
      </c>
      <c r="AB1450" s="7" t="n">
        <f aca="false">COUNTIFS(05_訊號明細!A:A,A1450,05_訊號明細!C:C,"TOP")</f>
        <v>2</v>
      </c>
      <c r="AC1450" s="7" t="n">
        <f aca="false">COUNTIFS(05_訊號明細!A:A,A1450,05_訊號明細!C:C,"BOTTOM")</f>
        <v>0</v>
      </c>
    </row>
    <row r="1451" customFormat="false" ht="15" hidden="false" customHeight="false" outlineLevel="0" collapsed="false">
      <c r="A1451" s="7" t="s">
        <v>1492</v>
      </c>
      <c r="B1451" s="7" t="n">
        <v>25031.78</v>
      </c>
      <c r="C1451" s="7" t="n">
        <v>25062.96</v>
      </c>
      <c r="D1451" s="7" t="n">
        <v>24783.95</v>
      </c>
      <c r="E1451" s="7" t="n">
        <v>24840.23</v>
      </c>
      <c r="F1451" s="7" t="n">
        <v>10376</v>
      </c>
      <c r="G1451" s="7" t="n">
        <f aca="false">AVERAGE(E1447:E1451)</f>
        <v>24859.586</v>
      </c>
      <c r="H1451" s="7" t="n">
        <f aca="false">AVERAGE(E1442:E1451)</f>
        <v>24699.4</v>
      </c>
      <c r="I1451" s="7" t="n">
        <f aca="false">AVERAGE(E1432:E1451)</f>
        <v>24507.106</v>
      </c>
      <c r="J1451" s="7" t="n">
        <f aca="false">AVERAGE(E1402:E1451)</f>
        <v>23884.3514</v>
      </c>
      <c r="K1451" s="7" t="n">
        <f aca="false">AVERAGE(E1352:E1451)</f>
        <v>23025.1931</v>
      </c>
      <c r="L1451" s="7" t="n">
        <f aca="false">AVERAGE(E1252:E1451)</f>
        <v>21712.2321</v>
      </c>
      <c r="M1451" s="7" t="n">
        <f aca="false">I1451</f>
        <v>24507.106</v>
      </c>
      <c r="N1451" s="7" t="n">
        <f aca="false">I1451+2*STDEV(E1432:E1451)</f>
        <v>25128.6630725338</v>
      </c>
      <c r="O1451" s="7" t="n">
        <f aca="false">I1451-2*STDEV(E1432:E1451)</f>
        <v>23885.5489274662</v>
      </c>
      <c r="P1451" s="7" t="n">
        <f aca="false">MAX(E1451-E1450,0)</f>
        <v>0</v>
      </c>
      <c r="Q1451" s="7" t="n">
        <f aca="false">MAX(E1450-E1451,0)</f>
        <v>138.330000000002</v>
      </c>
      <c r="R1451" s="7" t="n">
        <f aca="false">(R1450*13+P1451)/14</f>
        <v>81.7505459131976</v>
      </c>
      <c r="S1451" s="7" t="n">
        <f aca="false">(S1450*13+Q1451)/14</f>
        <v>44.0455466812438</v>
      </c>
      <c r="T1451" s="7" t="n">
        <f aca="false">IF(S1451=0,100,100-100/(1+R1451/S1451))</f>
        <v>64.9865542141727</v>
      </c>
      <c r="U1451" s="7" t="n">
        <f aca="false">E1451*2/13+U1450*11/13</f>
        <v>24678.3241060278</v>
      </c>
      <c r="V1451" s="7" t="n">
        <f aca="false">E1451*2/27+V1450*25/27</f>
        <v>24370.3217561809</v>
      </c>
      <c r="W1451" s="7" t="n">
        <f aca="false">U1451-V1451</f>
        <v>308.002349846924</v>
      </c>
      <c r="X1451" s="7" t="n">
        <f aca="false">W1451*2/10+X1450*8/10</f>
        <v>302.02118101913</v>
      </c>
      <c r="Y1451" s="7" t="n">
        <f aca="false">W1451-X1451</f>
        <v>5.98116882779351</v>
      </c>
      <c r="Z1451" s="8" t="s">
        <v>42</v>
      </c>
      <c r="AA1451" s="7" t="str">
        <f aca="false">IFERROR(INDEX(02_轉折點45!B:B,MATCH(A1451,02_轉折點45!A:A,0)),"")</f>
        <v/>
      </c>
      <c r="AB1451" s="7" t="n">
        <f aca="false">COUNTIFS(05_訊號明細!A:A,A1451,05_訊號明細!C:C,"TOP")</f>
        <v>0</v>
      </c>
      <c r="AC1451" s="7" t="n">
        <f aca="false">COUNTIFS(05_訊號明細!A:A,A1451,05_訊號明細!C:C,"BOTTOM")</f>
        <v>0</v>
      </c>
    </row>
    <row r="1452" customFormat="false" ht="15" hidden="false" customHeight="false" outlineLevel="0" collapsed="false">
      <c r="A1452" s="7" t="s">
        <v>1493</v>
      </c>
      <c r="B1452" s="7" t="n">
        <v>24887.32</v>
      </c>
      <c r="C1452" s="7" t="n">
        <v>25142.19</v>
      </c>
      <c r="D1452" s="7" t="n">
        <v>24882.35</v>
      </c>
      <c r="E1452" s="7" t="n">
        <v>25136.62</v>
      </c>
      <c r="F1452" s="7" t="n">
        <v>10926</v>
      </c>
      <c r="G1452" s="7" t="n">
        <f aca="false">AVERAGE(E1448:E1452)</f>
        <v>24926.738</v>
      </c>
      <c r="H1452" s="7" t="n">
        <f aca="false">AVERAGE(E1443:E1452)</f>
        <v>24762.705</v>
      </c>
      <c r="I1452" s="7" t="n">
        <f aca="false">AVERAGE(E1433:E1452)</f>
        <v>24571.4735</v>
      </c>
      <c r="J1452" s="7" t="n">
        <f aca="false">AVERAGE(E1403:E1452)</f>
        <v>23920.9178</v>
      </c>
      <c r="K1452" s="7" t="n">
        <f aca="false">AVERAGE(E1353:E1452)</f>
        <v>23063.2011</v>
      </c>
      <c r="L1452" s="7" t="n">
        <f aca="false">AVERAGE(E1253:E1452)</f>
        <v>21731.8686</v>
      </c>
      <c r="M1452" s="7" t="n">
        <f aca="false">I1452</f>
        <v>24571.4735</v>
      </c>
      <c r="N1452" s="7" t="n">
        <f aca="false">I1452+2*STDEV(E1433:E1452)</f>
        <v>25172.4829746</v>
      </c>
      <c r="O1452" s="7" t="n">
        <f aca="false">I1452-2*STDEV(E1433:E1452)</f>
        <v>23970.4640254</v>
      </c>
      <c r="P1452" s="7" t="n">
        <f aca="false">MAX(E1452-E1451,0)</f>
        <v>296.389999999999</v>
      </c>
      <c r="Q1452" s="7" t="n">
        <f aca="false">MAX(E1451-E1452,0)</f>
        <v>0</v>
      </c>
      <c r="R1452" s="7" t="n">
        <f aca="false">(R1451*13+P1452)/14</f>
        <v>97.0819354908263</v>
      </c>
      <c r="S1452" s="7" t="n">
        <f aca="false">(S1451*13+Q1452)/14</f>
        <v>40.8994362040121</v>
      </c>
      <c r="T1452" s="7" t="n">
        <f aca="false">IF(S1452=0,100,100-100/(1+R1452/S1452))</f>
        <v>70.3587261804688</v>
      </c>
      <c r="U1452" s="7" t="n">
        <f aca="false">E1452*2/13+U1451*11/13</f>
        <v>24748.8311666389</v>
      </c>
      <c r="V1452" s="7" t="n">
        <f aca="false">E1452*2/27+V1451*25/27</f>
        <v>24427.0845890563</v>
      </c>
      <c r="W1452" s="7" t="n">
        <f aca="false">U1452-V1452</f>
        <v>321.746577582544</v>
      </c>
      <c r="X1452" s="7" t="n">
        <f aca="false">W1452*2/10+X1451*8/10</f>
        <v>305.966260331813</v>
      </c>
      <c r="Y1452" s="7" t="n">
        <f aca="false">W1452-X1452</f>
        <v>15.7803172507311</v>
      </c>
      <c r="Z1452" s="8" t="s">
        <v>42</v>
      </c>
      <c r="AA1452" s="7" t="str">
        <f aca="false">IFERROR(INDEX(02_轉折點45!B:B,MATCH(A1452,02_轉折點45!A:A,0)),"")</f>
        <v/>
      </c>
      <c r="AB1452" s="7" t="n">
        <f aca="false">COUNTIFS(05_訊號明細!A:A,A1452,05_訊號明細!C:C,"TOP")</f>
        <v>2</v>
      </c>
      <c r="AC1452" s="7" t="n">
        <f aca="false">COUNTIFS(05_訊號明細!A:A,A1452,05_訊號明細!C:C,"BOTTOM")</f>
        <v>0</v>
      </c>
    </row>
    <row r="1453" customFormat="false" ht="15" hidden="false" customHeight="false" outlineLevel="0" collapsed="false">
      <c r="A1453" s="7" t="s">
        <v>1494</v>
      </c>
      <c r="B1453" s="7" t="n">
        <v>25124.79</v>
      </c>
      <c r="C1453" s="7" t="n">
        <v>25139.35</v>
      </c>
      <c r="D1453" s="7" t="n">
        <v>24966.81</v>
      </c>
      <c r="E1453" s="7" t="n">
        <v>25098.18</v>
      </c>
      <c r="F1453" s="7" t="n">
        <v>10713</v>
      </c>
      <c r="G1453" s="7" t="n">
        <f aca="false">AVERAGE(E1449:E1453)</f>
        <v>24967.822</v>
      </c>
      <c r="H1453" s="7" t="n">
        <f aca="false">AVERAGE(E1444:E1453)</f>
        <v>24832.792</v>
      </c>
      <c r="I1453" s="7" t="n">
        <f aca="false">AVERAGE(E1434:E1453)</f>
        <v>24626.7545</v>
      </c>
      <c r="J1453" s="7" t="n">
        <f aca="false">AVERAGE(E1404:E1453)</f>
        <v>23955.9732</v>
      </c>
      <c r="K1453" s="7" t="n">
        <f aca="false">AVERAGE(E1354:E1453)</f>
        <v>23099.9035</v>
      </c>
      <c r="L1453" s="7" t="n">
        <f aca="false">AVERAGE(E1254:E1453)</f>
        <v>21751.80695</v>
      </c>
      <c r="M1453" s="7" t="n">
        <f aca="false">I1453</f>
        <v>24626.7545</v>
      </c>
      <c r="N1453" s="7" t="n">
        <f aca="false">I1453+2*STDEV(E1434:E1453)</f>
        <v>25206.5762444943</v>
      </c>
      <c r="O1453" s="7" t="n">
        <f aca="false">I1453-2*STDEV(E1434:E1453)</f>
        <v>24046.9327555057</v>
      </c>
      <c r="P1453" s="7" t="n">
        <f aca="false">MAX(E1453-E1452,0)</f>
        <v>0</v>
      </c>
      <c r="Q1453" s="7" t="n">
        <f aca="false">MAX(E1452-E1453,0)</f>
        <v>38.4399999999987</v>
      </c>
      <c r="R1453" s="7" t="n">
        <f aca="false">(R1452*13+P1453)/14</f>
        <v>90.1475115271959</v>
      </c>
      <c r="S1453" s="7" t="n">
        <f aca="false">(S1452*13+Q1453)/14</f>
        <v>40.7237621894397</v>
      </c>
      <c r="T1453" s="7" t="n">
        <f aca="false">IF(S1453=0,100,100-100/(1+R1453/S1453))</f>
        <v>68.8825813083967</v>
      </c>
      <c r="U1453" s="7" t="n">
        <f aca="false">E1453*2/13+U1452*11/13</f>
        <v>24802.5771410021</v>
      </c>
      <c r="V1453" s="7" t="n">
        <f aca="false">E1453*2/27+V1452*25/27</f>
        <v>24476.7953602374</v>
      </c>
      <c r="W1453" s="7" t="n">
        <f aca="false">U1453-V1453</f>
        <v>325.781780764781</v>
      </c>
      <c r="X1453" s="7" t="n">
        <f aca="false">W1453*2/10+X1452*8/10</f>
        <v>309.929364418406</v>
      </c>
      <c r="Y1453" s="7" t="n">
        <f aca="false">W1453-X1453</f>
        <v>15.8524163463743</v>
      </c>
      <c r="Z1453" s="8" t="s">
        <v>42</v>
      </c>
      <c r="AA1453" s="7" t="str">
        <f aca="false">IFERROR(INDEX(02_轉折點45!B:B,MATCH(A1453,02_轉折點45!A:A,0)),"")</f>
        <v/>
      </c>
      <c r="AB1453" s="7" t="n">
        <f aca="false">COUNTIFS(05_訊號明細!A:A,A1453,05_訊號明細!C:C,"TOP")</f>
        <v>0</v>
      </c>
      <c r="AC1453" s="7" t="n">
        <f aca="false">COUNTIFS(05_訊號明細!A:A,A1453,05_訊號明細!C:C,"BOTTOM")</f>
        <v>0</v>
      </c>
    </row>
    <row r="1454" customFormat="false" ht="15" hidden="false" customHeight="false" outlineLevel="0" collapsed="false">
      <c r="A1454" s="7" t="s">
        <v>1495</v>
      </c>
      <c r="B1454" s="7" t="n">
        <v>25116.83</v>
      </c>
      <c r="C1454" s="7" t="n">
        <v>25195.28</v>
      </c>
      <c r="D1454" s="7" t="n">
        <v>24207.15</v>
      </c>
      <c r="E1454" s="7" t="n">
        <v>24221.74</v>
      </c>
      <c r="F1454" s="7" t="n">
        <v>10713</v>
      </c>
      <c r="G1454" s="7" t="n">
        <f aca="false">AVERAGE(E1450:E1454)</f>
        <v>24855.066</v>
      </c>
      <c r="H1454" s="7" t="n">
        <f aca="false">AVERAGE(E1445:E1454)</f>
        <v>24804.581</v>
      </c>
      <c r="I1454" s="7" t="n">
        <f aca="false">AVERAGE(E1435:E1454)</f>
        <v>24633.232</v>
      </c>
      <c r="J1454" s="7" t="n">
        <f aca="false">AVERAGE(E1405:E1454)</f>
        <v>23976.0456</v>
      </c>
      <c r="K1454" s="7" t="n">
        <f aca="false">AVERAGE(E1355:E1454)</f>
        <v>23127.6504</v>
      </c>
      <c r="L1454" s="7" t="n">
        <f aca="false">AVERAGE(E1255:E1454)</f>
        <v>21766.4699</v>
      </c>
      <c r="M1454" s="7" t="n">
        <f aca="false">I1454</f>
        <v>24633.232</v>
      </c>
      <c r="N1454" s="7" t="n">
        <f aca="false">I1454+2*STDEV(E1435:E1454)</f>
        <v>25190.35928273</v>
      </c>
      <c r="O1454" s="7" t="n">
        <f aca="false">I1454-2*STDEV(E1435:E1454)</f>
        <v>24076.10471727</v>
      </c>
      <c r="P1454" s="7" t="n">
        <f aca="false">MAX(E1454-E1453,0)</f>
        <v>0</v>
      </c>
      <c r="Q1454" s="7" t="n">
        <f aca="false">MAX(E1453-E1454,0)</f>
        <v>876.439999999999</v>
      </c>
      <c r="R1454" s="7" t="n">
        <f aca="false">(R1453*13+P1454)/14</f>
        <v>83.7084035609676</v>
      </c>
      <c r="S1454" s="7" t="n">
        <f aca="false">(S1453*13+Q1454)/14</f>
        <v>100.417779175908</v>
      </c>
      <c r="T1454" s="7" t="n">
        <f aca="false">IF(S1454=0,100,100-100/(1+R1454/S1454))</f>
        <v>45.4625204936717</v>
      </c>
      <c r="U1454" s="7" t="n">
        <f aca="false">E1454*2/13+U1453*11/13</f>
        <v>24713.217580848</v>
      </c>
      <c r="V1454" s="7" t="n">
        <f aca="false">E1454*2/27+V1453*25/27</f>
        <v>24457.9023705901</v>
      </c>
      <c r="W1454" s="7" t="n">
        <f aca="false">U1454-V1454</f>
        <v>255.315210257821</v>
      </c>
      <c r="X1454" s="7" t="n">
        <f aca="false">W1454*2/10+X1453*8/10</f>
        <v>299.006533586289</v>
      </c>
      <c r="Y1454" s="7" t="n">
        <f aca="false">W1454-X1454</f>
        <v>-43.6913233284687</v>
      </c>
      <c r="Z1454" s="8" t="s">
        <v>42</v>
      </c>
      <c r="AA1454" s="7" t="str">
        <f aca="false">IFERROR(INDEX(02_轉折點45!B:B,MATCH(A1454,02_轉折點45!A:A,0)),"")</f>
        <v/>
      </c>
      <c r="AB1454" s="7" t="n">
        <f aca="false">COUNTIFS(05_訊號明細!A:A,A1454,05_訊號明細!C:C,"TOP")</f>
        <v>2</v>
      </c>
      <c r="AC1454" s="7" t="n">
        <f aca="false">COUNTIFS(05_訊號明細!A:A,A1454,05_訊號明細!C:C,"BOTTOM")</f>
        <v>0</v>
      </c>
    </row>
    <row r="1455" customFormat="false" ht="15" hidden="false" customHeight="false" outlineLevel="0" collapsed="false">
      <c r="A1455" s="7" t="s">
        <v>1496</v>
      </c>
      <c r="B1455" s="7" t="n">
        <v>24625.74</v>
      </c>
      <c r="C1455" s="7" t="n">
        <v>24779.65</v>
      </c>
      <c r="D1455" s="7" t="n">
        <v>24540.42</v>
      </c>
      <c r="E1455" s="7" t="n">
        <v>24750.25</v>
      </c>
      <c r="F1455" s="7" t="n">
        <v>9019</v>
      </c>
      <c r="G1455" s="7" t="n">
        <f aca="false">AVERAGE(E1451:E1455)</f>
        <v>24809.404</v>
      </c>
      <c r="H1455" s="7" t="n">
        <f aca="false">AVERAGE(E1446:E1455)</f>
        <v>24818.471</v>
      </c>
      <c r="I1455" s="7" t="n">
        <f aca="false">AVERAGE(E1436:E1455)</f>
        <v>24656.0555</v>
      </c>
      <c r="J1455" s="7" t="n">
        <f aca="false">AVERAGE(E1406:E1455)</f>
        <v>24015.7844</v>
      </c>
      <c r="K1455" s="7" t="n">
        <f aca="false">AVERAGE(E1356:E1455)</f>
        <v>23161.4792</v>
      </c>
      <c r="L1455" s="7" t="n">
        <f aca="false">AVERAGE(E1256:E1455)</f>
        <v>21782.7053</v>
      </c>
      <c r="M1455" s="7" t="n">
        <f aca="false">I1455</f>
        <v>24656.0555</v>
      </c>
      <c r="N1455" s="7" t="n">
        <f aca="false">I1455+2*STDEV(E1436:E1455)</f>
        <v>25191.6129867163</v>
      </c>
      <c r="O1455" s="7" t="n">
        <f aca="false">I1455-2*STDEV(E1436:E1455)</f>
        <v>24120.4980132837</v>
      </c>
      <c r="P1455" s="7" t="n">
        <f aca="false">MAX(E1455-E1454,0)</f>
        <v>528.509999999998</v>
      </c>
      <c r="Q1455" s="7" t="n">
        <f aca="false">MAX(E1454-E1455,0)</f>
        <v>0</v>
      </c>
      <c r="R1455" s="7" t="n">
        <f aca="false">(R1454*13+P1455)/14</f>
        <v>115.479946163756</v>
      </c>
      <c r="S1455" s="7" t="n">
        <f aca="false">(S1454*13+Q1455)/14</f>
        <v>93.2450806633434</v>
      </c>
      <c r="T1455" s="7" t="n">
        <f aca="false">IF(S1455=0,100,100-100/(1+R1455/S1455))</f>
        <v>55.3263534896634</v>
      </c>
      <c r="U1455" s="7" t="n">
        <f aca="false">E1455*2/13+U1454*11/13</f>
        <v>24718.9148761021</v>
      </c>
      <c r="V1455" s="7" t="n">
        <f aca="false">E1455*2/27+V1454*25/27</f>
        <v>24479.5577505464</v>
      </c>
      <c r="W1455" s="7" t="n">
        <f aca="false">U1455-V1455</f>
        <v>239.357125555693</v>
      </c>
      <c r="X1455" s="7" t="n">
        <f aca="false">W1455*2/10+X1454*8/10</f>
        <v>287.07665198017</v>
      </c>
      <c r="Y1455" s="7" t="n">
        <f aca="false">W1455-X1455</f>
        <v>-47.7195264244773</v>
      </c>
      <c r="Z1455" s="8" t="s">
        <v>42</v>
      </c>
      <c r="AA1455" s="7" t="str">
        <f aca="false">IFERROR(INDEX(02_轉折點45!B:B,MATCH(A1455,02_轉折點45!A:A,0)),"")</f>
        <v/>
      </c>
      <c r="AB1455" s="7" t="n">
        <f aca="false">COUNTIFS(05_訊號明細!A:A,A1455,05_訊號明細!C:C,"TOP")</f>
        <v>1</v>
      </c>
      <c r="AC1455" s="7" t="n">
        <f aca="false">COUNTIFS(05_訊號明細!A:A,A1455,05_訊號明細!C:C,"BOTTOM")</f>
        <v>0</v>
      </c>
    </row>
    <row r="1456" customFormat="false" ht="15" hidden="false" customHeight="false" outlineLevel="0" collapsed="false">
      <c r="A1456" s="7" t="s">
        <v>1497</v>
      </c>
      <c r="B1456" s="7" t="n">
        <v>24442.93</v>
      </c>
      <c r="C1456" s="7" t="n">
        <v>24766.37</v>
      </c>
      <c r="D1456" s="7" t="n">
        <v>24256.28</v>
      </c>
      <c r="E1456" s="7" t="n">
        <v>24579.32</v>
      </c>
      <c r="F1456" s="7" t="n">
        <v>9777</v>
      </c>
      <c r="G1456" s="7" t="n">
        <f aca="false">AVERAGE(E1452:E1456)</f>
        <v>24757.222</v>
      </c>
      <c r="H1456" s="7" t="n">
        <f aca="false">AVERAGE(E1447:E1456)</f>
        <v>24808.404</v>
      </c>
      <c r="I1456" s="7" t="n">
        <f aca="false">AVERAGE(E1437:E1456)</f>
        <v>24671.309</v>
      </c>
      <c r="J1456" s="7" t="n">
        <f aca="false">AVERAGE(E1407:E1456)</f>
        <v>24043.5986</v>
      </c>
      <c r="K1456" s="7" t="n">
        <f aca="false">AVERAGE(E1357:E1456)</f>
        <v>23196.4688</v>
      </c>
      <c r="L1456" s="7" t="n">
        <f aca="false">AVERAGE(E1257:E1456)</f>
        <v>21796.61365</v>
      </c>
      <c r="M1456" s="7" t="n">
        <f aca="false">I1456</f>
        <v>24671.309</v>
      </c>
      <c r="N1456" s="7" t="n">
        <f aca="false">I1456+2*STDEV(E1437:E1456)</f>
        <v>25177.6608985179</v>
      </c>
      <c r="O1456" s="7" t="n">
        <f aca="false">I1456-2*STDEV(E1437:E1456)</f>
        <v>24164.9571014822</v>
      </c>
      <c r="P1456" s="7" t="n">
        <f aca="false">MAX(E1456-E1455,0)</f>
        <v>0</v>
      </c>
      <c r="Q1456" s="7" t="n">
        <f aca="false">MAX(E1455-E1456,0)</f>
        <v>170.93</v>
      </c>
      <c r="R1456" s="7" t="n">
        <f aca="false">(R1455*13+P1456)/14</f>
        <v>107.23137858063</v>
      </c>
      <c r="S1456" s="7" t="n">
        <f aca="false">(S1455*13+Q1456)/14</f>
        <v>98.7940034731046</v>
      </c>
      <c r="T1456" s="7" t="n">
        <f aca="false">IF(S1456=0,100,100-100/(1+R1456/S1456))</f>
        <v>52.0476542801229</v>
      </c>
      <c r="U1456" s="7" t="n">
        <f aca="false">E1456*2/13+U1455*11/13</f>
        <v>24697.4387413172</v>
      </c>
      <c r="V1456" s="7" t="n">
        <f aca="false">E1456*2/27+V1455*25/27</f>
        <v>24486.9475468023</v>
      </c>
      <c r="W1456" s="7" t="n">
        <f aca="false">U1456-V1456</f>
        <v>210.491194514929</v>
      </c>
      <c r="X1456" s="7" t="n">
        <f aca="false">W1456*2/10+X1455*8/10</f>
        <v>271.759560487122</v>
      </c>
      <c r="Y1456" s="7" t="n">
        <f aca="false">W1456-X1456</f>
        <v>-61.2683659721929</v>
      </c>
      <c r="Z1456" s="8" t="s">
        <v>42</v>
      </c>
      <c r="AA1456" s="7" t="str">
        <f aca="false">IFERROR(INDEX(02_轉折點45!B:B,MATCH(A1456,02_轉折點45!A:A,0)),"")</f>
        <v/>
      </c>
      <c r="AB1456" s="7" t="n">
        <f aca="false">COUNTIFS(05_訊號明細!A:A,A1456,05_訊號明細!C:C,"TOP")</f>
        <v>0</v>
      </c>
      <c r="AC1456" s="7" t="n">
        <f aca="false">COUNTIFS(05_訊號明細!A:A,A1456,05_訊號明細!C:C,"BOTTOM")</f>
        <v>0</v>
      </c>
    </row>
    <row r="1457" customFormat="false" ht="15" hidden="false" customHeight="false" outlineLevel="0" collapsed="false">
      <c r="A1457" s="7" t="s">
        <v>1498</v>
      </c>
      <c r="B1457" s="7" t="n">
        <v>24807.34</v>
      </c>
      <c r="C1457" s="7" t="n">
        <v>24933.23</v>
      </c>
      <c r="D1457" s="7" t="n">
        <v>24496.07</v>
      </c>
      <c r="E1457" s="7" t="n">
        <v>24745.36</v>
      </c>
      <c r="F1457" s="7" t="n">
        <v>11375</v>
      </c>
      <c r="G1457" s="7" t="n">
        <f aca="false">AVERAGE(E1453:E1457)</f>
        <v>24678.97</v>
      </c>
      <c r="H1457" s="7" t="n">
        <f aca="false">AVERAGE(E1448:E1457)</f>
        <v>24802.854</v>
      </c>
      <c r="I1457" s="7" t="n">
        <f aca="false">AVERAGE(E1438:E1457)</f>
        <v>24697.3925</v>
      </c>
      <c r="J1457" s="7" t="n">
        <f aca="false">AVERAGE(E1408:E1457)</f>
        <v>24078.1346</v>
      </c>
      <c r="K1457" s="7" t="n">
        <f aca="false">AVERAGE(E1358:E1457)</f>
        <v>23232.7977</v>
      </c>
      <c r="L1457" s="7" t="n">
        <f aca="false">AVERAGE(E1258:E1457)</f>
        <v>21811.4989</v>
      </c>
      <c r="M1457" s="7" t="n">
        <f aca="false">I1457</f>
        <v>24697.3925</v>
      </c>
      <c r="N1457" s="7" t="n">
        <f aca="false">I1457+2*STDEV(E1438:E1457)</f>
        <v>25158.3701718819</v>
      </c>
      <c r="O1457" s="7" t="n">
        <f aca="false">I1457-2*STDEV(E1438:E1457)</f>
        <v>24236.4148281181</v>
      </c>
      <c r="P1457" s="7" t="n">
        <f aca="false">MAX(E1457-E1456,0)</f>
        <v>166.040000000001</v>
      </c>
      <c r="Q1457" s="7" t="n">
        <f aca="false">MAX(E1456-E1457,0)</f>
        <v>0</v>
      </c>
      <c r="R1457" s="7" t="n">
        <f aca="false">(R1456*13+P1457)/14</f>
        <v>111.431994396299</v>
      </c>
      <c r="S1457" s="7" t="n">
        <f aca="false">(S1456*13+Q1457)/14</f>
        <v>91.7372889393114</v>
      </c>
      <c r="T1457" s="7" t="n">
        <f aca="false">IF(S1457=0,100,100-100/(1+R1457/S1457))</f>
        <v>54.8468708294981</v>
      </c>
      <c r="U1457" s="7" t="n">
        <f aca="false">E1457*2/13+U1456*11/13</f>
        <v>24704.811242653</v>
      </c>
      <c r="V1457" s="7" t="n">
        <f aca="false">E1457*2/27+V1456*25/27</f>
        <v>24506.0892100021</v>
      </c>
      <c r="W1457" s="7" t="n">
        <f aca="false">U1457-V1457</f>
        <v>198.722032650916</v>
      </c>
      <c r="X1457" s="7" t="n">
        <f aca="false">W1457*2/10+X1456*8/10</f>
        <v>257.152054919881</v>
      </c>
      <c r="Y1457" s="7" t="n">
        <f aca="false">W1457-X1457</f>
        <v>-58.4300222689646</v>
      </c>
      <c r="Z1457" s="8" t="s">
        <v>42</v>
      </c>
      <c r="AA1457" s="7" t="str">
        <f aca="false">IFERROR(INDEX(02_轉折點45!B:B,MATCH(A1457,02_轉折點45!A:A,0)),"")</f>
        <v/>
      </c>
      <c r="AB1457" s="7" t="n">
        <f aca="false">COUNTIFS(05_訊號明細!A:A,A1457,05_訊號明細!C:C,"TOP")</f>
        <v>0</v>
      </c>
      <c r="AC1457" s="7" t="n">
        <f aca="false">COUNTIFS(05_訊號明細!A:A,A1457,05_訊號明細!C:C,"BOTTOM")</f>
        <v>0</v>
      </c>
    </row>
    <row r="1458" customFormat="false" ht="15" hidden="false" customHeight="false" outlineLevel="0" collapsed="false">
      <c r="A1458" s="7" t="s">
        <v>1499</v>
      </c>
      <c r="B1458" s="7" t="n">
        <v>24882.22</v>
      </c>
      <c r="C1458" s="7" t="n">
        <v>24998.3</v>
      </c>
      <c r="D1458" s="7" t="n">
        <v>24481.17</v>
      </c>
      <c r="E1458" s="7" t="n">
        <v>24657.24</v>
      </c>
      <c r="F1458" s="7" t="n">
        <v>11344</v>
      </c>
      <c r="G1458" s="7" t="n">
        <f aca="false">AVERAGE(E1454:E1458)</f>
        <v>24590.782</v>
      </c>
      <c r="H1458" s="7" t="n">
        <f aca="false">AVERAGE(E1449:E1458)</f>
        <v>24779.302</v>
      </c>
      <c r="I1458" s="7" t="n">
        <f aca="false">AVERAGE(E1439:E1458)</f>
        <v>24707.51</v>
      </c>
      <c r="J1458" s="7" t="n">
        <f aca="false">AVERAGE(E1409:E1458)</f>
        <v>24104.9786</v>
      </c>
      <c r="K1458" s="7" t="n">
        <f aca="false">AVERAGE(E1359:E1458)</f>
        <v>23270.2135</v>
      </c>
      <c r="L1458" s="7" t="n">
        <f aca="false">AVERAGE(E1259:E1458)</f>
        <v>21827.42</v>
      </c>
      <c r="M1458" s="7" t="n">
        <f aca="false">I1458</f>
        <v>24707.51</v>
      </c>
      <c r="N1458" s="7" t="n">
        <f aca="false">I1458+2*STDEV(E1439:E1458)</f>
        <v>25154.755240862</v>
      </c>
      <c r="O1458" s="7" t="n">
        <f aca="false">I1458-2*STDEV(E1439:E1458)</f>
        <v>24260.264759138</v>
      </c>
      <c r="P1458" s="7" t="n">
        <f aca="false">MAX(E1458-E1457,0)</f>
        <v>0</v>
      </c>
      <c r="Q1458" s="7" t="n">
        <f aca="false">MAX(E1457-E1458,0)</f>
        <v>88.119999999999</v>
      </c>
      <c r="R1458" s="7" t="n">
        <f aca="false">(R1457*13+P1458)/14</f>
        <v>103.472566225135</v>
      </c>
      <c r="S1458" s="7" t="n">
        <f aca="false">(S1457*13+Q1458)/14</f>
        <v>91.478911157932</v>
      </c>
      <c r="T1458" s="7" t="n">
        <f aca="false">IF(S1458=0,100,100-100/(1+R1458/S1458))</f>
        <v>53.0760615995837</v>
      </c>
      <c r="U1458" s="7" t="n">
        <f aca="false">E1458*2/13+U1457*11/13</f>
        <v>24697.4925899372</v>
      </c>
      <c r="V1458" s="7" t="n">
        <f aca="false">E1458*2/27+V1457*25/27</f>
        <v>24517.2855648167</v>
      </c>
      <c r="W1458" s="7" t="n">
        <f aca="false">U1458-V1458</f>
        <v>180.207025120406</v>
      </c>
      <c r="X1458" s="7" t="n">
        <f aca="false">W1458*2/10+X1457*8/10</f>
        <v>241.763048959986</v>
      </c>
      <c r="Y1458" s="7" t="n">
        <f aca="false">W1458-X1458</f>
        <v>-61.5560238395797</v>
      </c>
      <c r="Z1458" s="7" t="s">
        <v>78</v>
      </c>
      <c r="AA1458" s="7" t="str">
        <f aca="false">IFERROR(INDEX(02_轉折點45!B:B,MATCH(A1458,02_轉折點45!A:A,0)),"")</f>
        <v/>
      </c>
      <c r="AB1458" s="7" t="n">
        <f aca="false">COUNTIFS(05_訊號明細!A:A,A1458,05_訊號明細!C:C,"TOP")</f>
        <v>2</v>
      </c>
      <c r="AC1458" s="7" t="n">
        <f aca="false">COUNTIFS(05_訊號明細!A:A,A1458,05_訊號明細!C:C,"BOTTOM")</f>
        <v>0</v>
      </c>
    </row>
    <row r="1459" customFormat="false" ht="15" hidden="false" customHeight="false" outlineLevel="0" collapsed="false">
      <c r="A1459" s="7" t="s">
        <v>1500</v>
      </c>
      <c r="B1459" s="7" t="n">
        <v>24600.55</v>
      </c>
      <c r="C1459" s="7" t="n">
        <v>24881.47</v>
      </c>
      <c r="D1459" s="7" t="n">
        <v>24511.59</v>
      </c>
      <c r="E1459" s="7" t="n">
        <v>24817.95</v>
      </c>
      <c r="F1459" s="7" t="n">
        <v>9552</v>
      </c>
      <c r="G1459" s="7" t="n">
        <f aca="false">AVERAGE(E1455:E1459)</f>
        <v>24710.024</v>
      </c>
      <c r="H1459" s="7" t="n">
        <f aca="false">AVERAGE(E1450:E1459)</f>
        <v>24782.545</v>
      </c>
      <c r="I1459" s="7" t="n">
        <f aca="false">AVERAGE(E1440:E1459)</f>
        <v>24717.095</v>
      </c>
      <c r="J1459" s="7" t="n">
        <f aca="false">AVERAGE(E1410:E1459)</f>
        <v>24133.547</v>
      </c>
      <c r="K1459" s="7" t="n">
        <f aca="false">AVERAGE(E1360:E1459)</f>
        <v>23304.2431</v>
      </c>
      <c r="L1459" s="7" t="n">
        <f aca="false">AVERAGE(E1260:E1459)</f>
        <v>21845.5243</v>
      </c>
      <c r="M1459" s="7" t="n">
        <f aca="false">I1459</f>
        <v>24717.095</v>
      </c>
      <c r="N1459" s="7" t="n">
        <f aca="false">I1459+2*STDEV(E1440:E1459)</f>
        <v>25165.2234619627</v>
      </c>
      <c r="O1459" s="7" t="n">
        <f aca="false">I1459-2*STDEV(E1440:E1459)</f>
        <v>24268.9665380373</v>
      </c>
      <c r="P1459" s="7" t="n">
        <f aca="false">MAX(E1459-E1458,0)</f>
        <v>160.709999999999</v>
      </c>
      <c r="Q1459" s="7" t="n">
        <f aca="false">MAX(E1458-E1459,0)</f>
        <v>0</v>
      </c>
      <c r="R1459" s="7" t="n">
        <f aca="false">(R1458*13+P1459)/14</f>
        <v>107.560954351911</v>
      </c>
      <c r="S1459" s="7" t="n">
        <f aca="false">(S1458*13+Q1459)/14</f>
        <v>84.9447032180797</v>
      </c>
      <c r="T1459" s="7" t="n">
        <f aca="false">IF(S1459=0,100,100-100/(1+R1459/S1459))</f>
        <v>55.8741783019049</v>
      </c>
      <c r="U1459" s="7" t="n">
        <f aca="false">E1459*2/13+U1458*11/13</f>
        <v>24716.0244991776</v>
      </c>
      <c r="V1459" s="7" t="n">
        <f aca="false">E1459*2/27+V1458*25/27</f>
        <v>24539.55700446</v>
      </c>
      <c r="W1459" s="7" t="n">
        <f aca="false">U1459-V1459</f>
        <v>176.467494717639</v>
      </c>
      <c r="X1459" s="7" t="n">
        <f aca="false">W1459*2/10+X1458*8/10</f>
        <v>228.703938111516</v>
      </c>
      <c r="Y1459" s="7" t="n">
        <f aca="false">W1459-X1459</f>
        <v>-52.2364433938772</v>
      </c>
      <c r="Z1459" s="8" t="s">
        <v>42</v>
      </c>
      <c r="AA1459" s="7" t="str">
        <f aca="false">IFERROR(INDEX(02_轉折點45!B:B,MATCH(A1459,02_轉折點45!A:A,0)),"")</f>
        <v/>
      </c>
      <c r="AB1459" s="7" t="n">
        <f aca="false">COUNTIFS(05_訊號明細!A:A,A1459,05_訊號明細!C:C,"TOP")</f>
        <v>0</v>
      </c>
      <c r="AC1459" s="7" t="n">
        <f aca="false">COUNTIFS(05_訊號明細!A:A,A1459,05_訊號明細!C:C,"BOTTOM")</f>
        <v>0</v>
      </c>
    </row>
    <row r="1460" customFormat="false" ht="15" hidden="false" customHeight="false" outlineLevel="0" collapsed="false">
      <c r="A1460" s="7" t="s">
        <v>1501</v>
      </c>
      <c r="B1460" s="7" t="n">
        <v>24991.1</v>
      </c>
      <c r="C1460" s="7" t="n">
        <v>25183.81</v>
      </c>
      <c r="D1460" s="7" t="n">
        <v>24988.67</v>
      </c>
      <c r="E1460" s="7" t="n">
        <v>25141.02</v>
      </c>
      <c r="F1460" s="7" t="n">
        <v>9441</v>
      </c>
      <c r="G1460" s="7" t="n">
        <f aca="false">AVERAGE(E1456:E1460)</f>
        <v>24788.178</v>
      </c>
      <c r="H1460" s="7" t="n">
        <f aca="false">AVERAGE(E1451:E1460)</f>
        <v>24798.791</v>
      </c>
      <c r="I1460" s="7" t="n">
        <f aca="false">AVERAGE(E1441:E1460)</f>
        <v>24736.0925</v>
      </c>
      <c r="J1460" s="7" t="n">
        <f aca="false">AVERAGE(E1411:E1460)</f>
        <v>24164.142</v>
      </c>
      <c r="K1460" s="7" t="n">
        <f aca="false">AVERAGE(E1361:E1460)</f>
        <v>23342.4716</v>
      </c>
      <c r="L1460" s="7" t="n">
        <f aca="false">AVERAGE(E1261:E1460)</f>
        <v>21866.16855</v>
      </c>
      <c r="M1460" s="7" t="n">
        <f aca="false">I1460</f>
        <v>24736.0925</v>
      </c>
      <c r="N1460" s="7" t="n">
        <f aca="false">I1460+2*STDEV(E1441:E1460)</f>
        <v>25222.6380714849</v>
      </c>
      <c r="O1460" s="7" t="n">
        <f aca="false">I1460-2*STDEV(E1441:E1460)</f>
        <v>24249.5469285151</v>
      </c>
      <c r="P1460" s="7" t="n">
        <f aca="false">MAX(E1460-E1459,0)</f>
        <v>323.07</v>
      </c>
      <c r="Q1460" s="7" t="n">
        <f aca="false">MAX(E1459-E1460,0)</f>
        <v>0</v>
      </c>
      <c r="R1460" s="7" t="n">
        <f aca="false">(R1459*13+P1460)/14</f>
        <v>122.954457612489</v>
      </c>
      <c r="S1460" s="7" t="n">
        <f aca="false">(S1459*13+Q1460)/14</f>
        <v>78.8772244167883</v>
      </c>
      <c r="T1460" s="7" t="n">
        <f aca="false">IF(S1460=0,100,100-100/(1+R1460/S1460))</f>
        <v>60.9193048268078</v>
      </c>
      <c r="U1460" s="7" t="n">
        <f aca="false">E1460*2/13+U1459*11/13</f>
        <v>24781.408422381</v>
      </c>
      <c r="V1460" s="7" t="n">
        <f aca="false">E1460*2/27+V1459*25/27</f>
        <v>24584.1098189444</v>
      </c>
      <c r="W1460" s="7" t="n">
        <f aca="false">U1460-V1460</f>
        <v>197.29860343664</v>
      </c>
      <c r="X1460" s="7" t="n">
        <f aca="false">W1460*2/10+X1459*8/10</f>
        <v>222.422871176541</v>
      </c>
      <c r="Y1460" s="7" t="n">
        <f aca="false">W1460-X1460</f>
        <v>-25.1242677399007</v>
      </c>
      <c r="Z1460" s="8" t="s">
        <v>42</v>
      </c>
      <c r="AA1460" s="7" t="str">
        <f aca="false">IFERROR(INDEX(02_轉折點45!B:B,MATCH(A1460,02_轉折點45!A:A,0)),"")</f>
        <v/>
      </c>
      <c r="AB1460" s="7" t="n">
        <f aca="false">COUNTIFS(05_訊號明細!A:A,A1460,05_訊號明細!C:C,"TOP")</f>
        <v>1</v>
      </c>
      <c r="AC1460" s="7" t="n">
        <f aca="false">COUNTIFS(05_訊號明細!A:A,A1460,05_訊號明細!C:C,"BOTTOM")</f>
        <v>0</v>
      </c>
    </row>
    <row r="1461" customFormat="false" ht="15" hidden="false" customHeight="false" outlineLevel="0" collapsed="false">
      <c r="A1461" s="7" t="s">
        <v>1502</v>
      </c>
      <c r="B1461" s="7" t="n">
        <v>25139.8</v>
      </c>
      <c r="C1461" s="7" t="n">
        <v>25178.23</v>
      </c>
      <c r="D1461" s="7" t="n">
        <v>25043.06</v>
      </c>
      <c r="E1461" s="7" t="n">
        <v>25127.13</v>
      </c>
      <c r="F1461" s="7" t="n">
        <v>10845</v>
      </c>
      <c r="G1461" s="7" t="n">
        <f aca="false">AVERAGE(E1457:E1461)</f>
        <v>24897.74</v>
      </c>
      <c r="H1461" s="7" t="n">
        <f aca="false">AVERAGE(E1452:E1461)</f>
        <v>24827.481</v>
      </c>
      <c r="I1461" s="7" t="n">
        <f aca="false">AVERAGE(E1442:E1461)</f>
        <v>24763.4405</v>
      </c>
      <c r="J1461" s="7" t="n">
        <f aca="false">AVERAGE(E1412:E1461)</f>
        <v>24196.152</v>
      </c>
      <c r="K1461" s="7" t="n">
        <f aca="false">AVERAGE(E1362:E1461)</f>
        <v>23380.1034</v>
      </c>
      <c r="L1461" s="7" t="n">
        <f aca="false">AVERAGE(E1262:E1461)</f>
        <v>21886.9261</v>
      </c>
      <c r="M1461" s="7" t="n">
        <f aca="false">I1461</f>
        <v>24763.4405</v>
      </c>
      <c r="N1461" s="7" t="n">
        <f aca="false">I1461+2*STDEV(E1442:E1461)</f>
        <v>25273.9802671392</v>
      </c>
      <c r="O1461" s="7" t="n">
        <f aca="false">I1461-2*STDEV(E1442:E1461)</f>
        <v>24252.9007328608</v>
      </c>
      <c r="P1461" s="7" t="n">
        <f aca="false">MAX(E1461-E1460,0)</f>
        <v>0</v>
      </c>
      <c r="Q1461" s="7" t="n">
        <f aca="false">MAX(E1460-E1461,0)</f>
        <v>13.8899999999994</v>
      </c>
      <c r="R1461" s="7" t="n">
        <f aca="false">(R1460*13+P1461)/14</f>
        <v>114.171996354454</v>
      </c>
      <c r="S1461" s="7" t="n">
        <f aca="false">(S1460*13+Q1461)/14</f>
        <v>74.2352798155891</v>
      </c>
      <c r="T1461" s="7" t="n">
        <f aca="false">IF(S1461=0,100,100-100/(1+R1461/S1461))</f>
        <v>60.5985069554376</v>
      </c>
      <c r="U1461" s="7" t="n">
        <f aca="false">E1461*2/13+U1460*11/13</f>
        <v>24834.5963573993</v>
      </c>
      <c r="V1461" s="7" t="n">
        <f aca="false">E1461*2/27+V1460*25/27</f>
        <v>24624.3335360596</v>
      </c>
      <c r="W1461" s="7" t="n">
        <f aca="false">U1461-V1461</f>
        <v>210.262821339715</v>
      </c>
      <c r="X1461" s="7" t="n">
        <f aca="false">W1461*2/10+X1460*8/10</f>
        <v>219.990861209176</v>
      </c>
      <c r="Y1461" s="7" t="n">
        <f aca="false">W1461-X1461</f>
        <v>-9.7280398694611</v>
      </c>
      <c r="Z1461" s="8" t="s">
        <v>42</v>
      </c>
      <c r="AA1461" s="7" t="str">
        <f aca="false">IFERROR(INDEX(02_轉折點45!B:B,MATCH(A1461,02_轉折點45!A:A,0)),"")</f>
        <v/>
      </c>
      <c r="AB1461" s="7" t="n">
        <f aca="false">COUNTIFS(05_訊號明細!A:A,A1461,05_訊號明細!C:C,"TOP")</f>
        <v>0</v>
      </c>
      <c r="AC1461" s="7" t="n">
        <f aca="false">COUNTIFS(05_訊號明細!A:A,A1461,05_訊號明細!C:C,"BOTTOM")</f>
        <v>0</v>
      </c>
    </row>
    <row r="1462" customFormat="false" ht="15" hidden="false" customHeight="false" outlineLevel="0" collapsed="false">
      <c r="A1462" s="7" t="s">
        <v>1503</v>
      </c>
      <c r="B1462" s="7" t="n">
        <v>25093.64</v>
      </c>
      <c r="C1462" s="7" t="n">
        <v>25127.06</v>
      </c>
      <c r="D1462" s="7" t="n">
        <v>24652.11</v>
      </c>
      <c r="E1462" s="7" t="n">
        <v>24879.01</v>
      </c>
      <c r="F1462" s="7" t="n">
        <v>14361</v>
      </c>
      <c r="G1462" s="7" t="n">
        <f aca="false">AVERAGE(E1458:E1462)</f>
        <v>24924.47</v>
      </c>
      <c r="H1462" s="7" t="n">
        <f aca="false">AVERAGE(E1453:E1462)</f>
        <v>24801.72</v>
      </c>
      <c r="I1462" s="7" t="n">
        <f aca="false">AVERAGE(E1443:E1462)</f>
        <v>24782.2125</v>
      </c>
      <c r="J1462" s="7" t="n">
        <f aca="false">AVERAGE(E1413:E1462)</f>
        <v>24216.9482</v>
      </c>
      <c r="K1462" s="7" t="n">
        <f aca="false">AVERAGE(E1363:E1462)</f>
        <v>23415.4836</v>
      </c>
      <c r="L1462" s="7" t="n">
        <f aca="false">AVERAGE(E1263:E1462)</f>
        <v>21904.69035</v>
      </c>
      <c r="M1462" s="7" t="n">
        <f aca="false">I1462</f>
        <v>24782.2125</v>
      </c>
      <c r="N1462" s="7" t="n">
        <f aca="false">I1462+2*STDEV(E1443:E1462)</f>
        <v>25279.9690307563</v>
      </c>
      <c r="O1462" s="7" t="n">
        <f aca="false">I1462-2*STDEV(E1443:E1462)</f>
        <v>24284.4559692437</v>
      </c>
      <c r="P1462" s="7" t="n">
        <f aca="false">MAX(E1462-E1461,0)</f>
        <v>0</v>
      </c>
      <c r="Q1462" s="7" t="n">
        <f aca="false">MAX(E1461-E1462,0)</f>
        <v>248.120000000003</v>
      </c>
      <c r="R1462" s="7" t="n">
        <f aca="false">(R1461*13+P1462)/14</f>
        <v>106.016853757707</v>
      </c>
      <c r="S1462" s="7" t="n">
        <f aca="false">(S1461*13+Q1462)/14</f>
        <v>86.6556169716186</v>
      </c>
      <c r="T1462" s="7" t="n">
        <f aca="false">IF(S1462=0,100,100-100/(1+R1462/S1462))</f>
        <v>55.0243910592936</v>
      </c>
      <c r="U1462" s="7" t="n">
        <f aca="false">E1462*2/13+U1461*11/13</f>
        <v>24841.4292254918</v>
      </c>
      <c r="V1462" s="7" t="n">
        <f aca="false">E1462*2/27+V1461*25/27</f>
        <v>24643.1984593145</v>
      </c>
      <c r="W1462" s="7" t="n">
        <f aca="false">U1462-V1462</f>
        <v>198.230766177283</v>
      </c>
      <c r="X1462" s="7" t="n">
        <f aca="false">W1462*2/10+X1461*8/10</f>
        <v>215.638842202797</v>
      </c>
      <c r="Y1462" s="7" t="n">
        <f aca="false">W1462-X1462</f>
        <v>-17.4080760255143</v>
      </c>
      <c r="Z1462" s="8" t="s">
        <v>42</v>
      </c>
      <c r="AA1462" s="7" t="str">
        <f aca="false">IFERROR(INDEX(02_轉折點45!B:B,MATCH(A1462,02_轉折點45!A:A,0)),"")</f>
        <v/>
      </c>
      <c r="AB1462" s="7" t="n">
        <f aca="false">COUNTIFS(05_訊號明細!A:A,A1462,05_訊號明細!C:C,"TOP")</f>
        <v>0</v>
      </c>
      <c r="AC1462" s="7" t="n">
        <f aca="false">COUNTIFS(05_訊號明細!A:A,A1462,05_訊號明細!C:C,"BOTTOM")</f>
        <v>0</v>
      </c>
    </row>
    <row r="1463" customFormat="false" ht="15" hidden="false" customHeight="false" outlineLevel="0" collapsed="false">
      <c r="A1463" s="7" t="s">
        <v>1504</v>
      </c>
      <c r="B1463" s="7" t="n">
        <v>24869.6</v>
      </c>
      <c r="C1463" s="7" t="n">
        <v>25126.78</v>
      </c>
      <c r="D1463" s="7" t="n">
        <v>24856.34</v>
      </c>
      <c r="E1463" s="7" t="n">
        <v>25097.41</v>
      </c>
      <c r="F1463" s="7" t="n">
        <v>10364</v>
      </c>
      <c r="G1463" s="7" t="n">
        <f aca="false">AVERAGE(E1459:E1463)</f>
        <v>25012.504</v>
      </c>
      <c r="H1463" s="7" t="n">
        <f aca="false">AVERAGE(E1454:E1463)</f>
        <v>24801.643</v>
      </c>
      <c r="I1463" s="7" t="n">
        <f aca="false">AVERAGE(E1444:E1463)</f>
        <v>24817.2175</v>
      </c>
      <c r="J1463" s="7" t="n">
        <f aca="false">AVERAGE(E1414:E1463)</f>
        <v>24241.9156</v>
      </c>
      <c r="K1463" s="7" t="n">
        <f aca="false">AVERAGE(E1364:E1463)</f>
        <v>23451.5402</v>
      </c>
      <c r="L1463" s="7" t="n">
        <f aca="false">AVERAGE(E1264:E1463)</f>
        <v>21922.3799</v>
      </c>
      <c r="M1463" s="7" t="n">
        <f aca="false">I1463</f>
        <v>24817.2175</v>
      </c>
      <c r="N1463" s="7" t="n">
        <f aca="false">I1463+2*STDEV(E1444:E1463)</f>
        <v>25299.2220768673</v>
      </c>
      <c r="O1463" s="7" t="n">
        <f aca="false">I1463-2*STDEV(E1444:E1463)</f>
        <v>24335.2129231327</v>
      </c>
      <c r="P1463" s="7" t="n">
        <f aca="false">MAX(E1463-E1462,0)</f>
        <v>218.400000000001</v>
      </c>
      <c r="Q1463" s="7" t="n">
        <f aca="false">MAX(E1462-E1463,0)</f>
        <v>0</v>
      </c>
      <c r="R1463" s="7" t="n">
        <f aca="false">(R1462*13+P1463)/14</f>
        <v>114.044221346443</v>
      </c>
      <c r="S1463" s="7" t="n">
        <f aca="false">(S1462*13+Q1463)/14</f>
        <v>80.4659300450744</v>
      </c>
      <c r="T1463" s="7" t="n">
        <f aca="false">IF(S1463=0,100,100-100/(1+R1463/S1463))</f>
        <v>58.6315009939457</v>
      </c>
      <c r="U1463" s="7" t="n">
        <f aca="false">E1463*2/13+U1462*11/13</f>
        <v>24880.8108831084</v>
      </c>
      <c r="V1463" s="7" t="n">
        <f aca="false">E1463*2/27+V1462*25/27</f>
        <v>24676.8437586245</v>
      </c>
      <c r="W1463" s="7" t="n">
        <f aca="false">U1463-V1463</f>
        <v>203.96712448389</v>
      </c>
      <c r="X1463" s="7" t="n">
        <f aca="false">W1463*2/10+X1462*8/10</f>
        <v>213.304498659016</v>
      </c>
      <c r="Y1463" s="7" t="n">
        <f aca="false">W1463-X1463</f>
        <v>-9.33737417512575</v>
      </c>
      <c r="Z1463" s="8" t="s">
        <v>42</v>
      </c>
      <c r="AA1463" s="7" t="str">
        <f aca="false">IFERROR(INDEX(02_轉折點45!B:B,MATCH(A1463,02_轉折點45!A:A,0)),"")</f>
        <v/>
      </c>
      <c r="AB1463" s="7" t="n">
        <f aca="false">COUNTIFS(05_訊號明細!A:A,A1463,05_訊號明細!C:C,"TOP")</f>
        <v>0</v>
      </c>
      <c r="AC1463" s="7" t="n">
        <f aca="false">COUNTIFS(05_訊號明細!A:A,A1463,05_訊號明細!C:C,"BOTTOM")</f>
        <v>0</v>
      </c>
    </row>
    <row r="1464" customFormat="false" ht="15" hidden="false" customHeight="false" outlineLevel="0" collapsed="false">
      <c r="A1464" s="7" t="s">
        <v>1505</v>
      </c>
      <c r="B1464" s="7" t="n">
        <v>25307.75</v>
      </c>
      <c r="C1464" s="7" t="n">
        <v>25418.64</v>
      </c>
      <c r="D1464" s="7" t="n">
        <v>25288.71</v>
      </c>
      <c r="E1464" s="7" t="n">
        <v>25358.16</v>
      </c>
      <c r="F1464" s="7" t="n">
        <v>10309</v>
      </c>
      <c r="G1464" s="7" t="n">
        <f aca="false">AVERAGE(E1460:E1464)</f>
        <v>25120.546</v>
      </c>
      <c r="H1464" s="7" t="n">
        <f aca="false">AVERAGE(E1455:E1464)</f>
        <v>24915.285</v>
      </c>
      <c r="I1464" s="7" t="n">
        <f aca="false">AVERAGE(E1445:E1464)</f>
        <v>24859.933</v>
      </c>
      <c r="J1464" s="7" t="n">
        <f aca="false">AVERAGE(E1415:E1464)</f>
        <v>24272.43</v>
      </c>
      <c r="K1464" s="7" t="n">
        <f aca="false">AVERAGE(E1365:E1464)</f>
        <v>23488.496</v>
      </c>
      <c r="L1464" s="7" t="n">
        <f aca="false">AVERAGE(E1265:E1464)</f>
        <v>21943.3055</v>
      </c>
      <c r="M1464" s="7" t="n">
        <f aca="false">I1464</f>
        <v>24859.933</v>
      </c>
      <c r="N1464" s="7" t="n">
        <f aca="false">I1464+2*STDEV(E1445:E1464)</f>
        <v>25375.2739248704</v>
      </c>
      <c r="O1464" s="7" t="n">
        <f aca="false">I1464-2*STDEV(E1445:E1464)</f>
        <v>24344.5920751296</v>
      </c>
      <c r="P1464" s="7" t="n">
        <f aca="false">MAX(E1464-E1463,0)</f>
        <v>260.75</v>
      </c>
      <c r="Q1464" s="7" t="n">
        <f aca="false">MAX(E1463-E1464,0)</f>
        <v>0</v>
      </c>
      <c r="R1464" s="7" t="n">
        <f aca="false">(R1463*13+P1464)/14</f>
        <v>124.523205535982</v>
      </c>
      <c r="S1464" s="7" t="n">
        <f aca="false">(S1463*13+Q1464)/14</f>
        <v>74.7183636132834</v>
      </c>
      <c r="T1464" s="7" t="n">
        <f aca="false">IF(S1464=0,100,100-100/(1+R1464/S1464))</f>
        <v>62.4986071268558</v>
      </c>
      <c r="U1464" s="7" t="n">
        <f aca="false">E1464*2/13+U1463*11/13</f>
        <v>24954.249208784</v>
      </c>
      <c r="V1464" s="7" t="n">
        <f aca="false">E1464*2/27+V1463*25/27</f>
        <v>24727.311628356</v>
      </c>
      <c r="W1464" s="7" t="n">
        <f aca="false">U1464-V1464</f>
        <v>226.937580428006</v>
      </c>
      <c r="X1464" s="7" t="n">
        <f aca="false">W1464*2/10+X1463*8/10</f>
        <v>216.031115012814</v>
      </c>
      <c r="Y1464" s="7" t="n">
        <f aca="false">W1464-X1464</f>
        <v>10.9064654151923</v>
      </c>
      <c r="Z1464" s="8" t="s">
        <v>42</v>
      </c>
      <c r="AA1464" s="7" t="str">
        <f aca="false">IFERROR(INDEX(02_轉折點45!B:B,MATCH(A1464,02_轉折點45!A:A,0)),"")</f>
        <v/>
      </c>
      <c r="AB1464" s="7" t="n">
        <f aca="false">COUNTIFS(05_訊號明細!A:A,A1464,05_訊號明細!C:C,"TOP")</f>
        <v>1</v>
      </c>
      <c r="AC1464" s="7" t="n">
        <f aca="false">COUNTIFS(05_訊號明細!A:A,A1464,05_訊號明細!C:C,"BOTTOM")</f>
        <v>0</v>
      </c>
    </row>
    <row r="1465" customFormat="false" ht="15" hidden="false" customHeight="false" outlineLevel="0" collapsed="false">
      <c r="A1465" s="7" t="s">
        <v>1506</v>
      </c>
      <c r="B1465" s="7" t="n">
        <v>25701.95</v>
      </c>
      <c r="C1465" s="7" t="n">
        <v>25839.03</v>
      </c>
      <c r="D1465" s="7" t="n">
        <v>25656.38</v>
      </c>
      <c r="E1465" s="7" t="n">
        <v>25821.55</v>
      </c>
      <c r="F1465" s="7" t="n">
        <v>10758</v>
      </c>
      <c r="G1465" s="7" t="n">
        <f aca="false">AVERAGE(E1461:E1465)</f>
        <v>25256.652</v>
      </c>
      <c r="H1465" s="7" t="n">
        <f aca="false">AVERAGE(E1456:E1465)</f>
        <v>25022.415</v>
      </c>
      <c r="I1465" s="7" t="n">
        <f aca="false">AVERAGE(E1446:E1465)</f>
        <v>24920.443</v>
      </c>
      <c r="J1465" s="7" t="n">
        <f aca="false">AVERAGE(E1416:E1465)</f>
        <v>24314.6196</v>
      </c>
      <c r="K1465" s="7" t="n">
        <f aca="false">AVERAGE(E1366:E1465)</f>
        <v>23529.4923</v>
      </c>
      <c r="L1465" s="7" t="n">
        <f aca="false">AVERAGE(E1266:E1465)</f>
        <v>21966.5084</v>
      </c>
      <c r="M1465" s="7" t="n">
        <f aca="false">I1465</f>
        <v>24920.443</v>
      </c>
      <c r="N1465" s="7" t="n">
        <f aca="false">I1465+2*STDEV(E1446:E1465)</f>
        <v>25577.5774205708</v>
      </c>
      <c r="O1465" s="7" t="n">
        <f aca="false">I1465-2*STDEV(E1446:E1465)</f>
        <v>24263.3085794292</v>
      </c>
      <c r="P1465" s="7" t="n">
        <f aca="false">MAX(E1465-E1464,0)</f>
        <v>463.389999999999</v>
      </c>
      <c r="Q1465" s="7" t="n">
        <f aca="false">MAX(E1464-E1465,0)</f>
        <v>0</v>
      </c>
      <c r="R1465" s="7" t="n">
        <f aca="false">(R1464*13+P1465)/14</f>
        <v>148.727976569126</v>
      </c>
      <c r="S1465" s="7" t="n">
        <f aca="false">(S1464*13+Q1465)/14</f>
        <v>69.381337640906</v>
      </c>
      <c r="T1465" s="7" t="n">
        <f aca="false">IF(S1465=0,100,100-100/(1+R1465/S1465))</f>
        <v>68.1896493544086</v>
      </c>
      <c r="U1465" s="7" t="n">
        <f aca="false">E1465*2/13+U1464*11/13</f>
        <v>25087.6800997403</v>
      </c>
      <c r="V1465" s="7" t="n">
        <f aca="false">E1465*2/27+V1464*25/27</f>
        <v>24808.3663225519</v>
      </c>
      <c r="W1465" s="7" t="n">
        <f aca="false">U1465-V1465</f>
        <v>279.313777188458</v>
      </c>
      <c r="X1465" s="7" t="n">
        <f aca="false">W1465*2/10+X1464*8/10</f>
        <v>228.687647447943</v>
      </c>
      <c r="Y1465" s="7" t="n">
        <f aca="false">W1465-X1465</f>
        <v>50.626129740515</v>
      </c>
      <c r="Z1465" s="8" t="s">
        <v>42</v>
      </c>
      <c r="AA1465" s="7" t="str">
        <f aca="false">IFERROR(INDEX(02_轉折點45!B:B,MATCH(A1465,02_轉折點45!A:A,0)),"")</f>
        <v/>
      </c>
      <c r="AB1465" s="7" t="n">
        <f aca="false">COUNTIFS(05_訊號明細!A:A,A1465,05_訊號明細!C:C,"TOP")</f>
        <v>1</v>
      </c>
      <c r="AC1465" s="7" t="n">
        <f aca="false">COUNTIFS(05_訊號明細!A:A,A1465,05_訊號明細!C:C,"BOTTOM")</f>
        <v>0</v>
      </c>
    </row>
    <row r="1466" customFormat="false" ht="15" hidden="false" customHeight="false" outlineLevel="0" collapsed="false">
      <c r="A1466" s="7" t="s">
        <v>1507</v>
      </c>
      <c r="B1466" s="7" t="n">
        <v>25932.64</v>
      </c>
      <c r="C1466" s="7" t="n">
        <v>26087.48</v>
      </c>
      <c r="D1466" s="7" t="n">
        <v>25864.49</v>
      </c>
      <c r="E1466" s="7" t="n">
        <v>26012.15</v>
      </c>
      <c r="F1466" s="7" t="n">
        <v>10641</v>
      </c>
      <c r="G1466" s="7" t="n">
        <f aca="false">AVERAGE(E1462:E1466)</f>
        <v>25433.656</v>
      </c>
      <c r="H1466" s="7" t="n">
        <f aca="false">AVERAGE(E1457:E1466)</f>
        <v>25165.698</v>
      </c>
      <c r="I1466" s="7" t="n">
        <f aca="false">AVERAGE(E1447:E1466)</f>
        <v>24987.051</v>
      </c>
      <c r="J1466" s="7" t="n">
        <f aca="false">AVERAGE(E1417:E1466)</f>
        <v>24360.5874</v>
      </c>
      <c r="K1466" s="7" t="n">
        <f aca="false">AVERAGE(E1367:E1466)</f>
        <v>23574.1395</v>
      </c>
      <c r="L1466" s="7" t="n">
        <f aca="false">AVERAGE(E1267:E1466)</f>
        <v>21992.33125</v>
      </c>
      <c r="M1466" s="7" t="n">
        <f aca="false">I1466</f>
        <v>24987.051</v>
      </c>
      <c r="N1466" s="7" t="n">
        <f aca="false">I1466+2*STDEV(E1447:E1466)</f>
        <v>25794.4439242588</v>
      </c>
      <c r="O1466" s="7" t="n">
        <f aca="false">I1466-2*STDEV(E1447:E1466)</f>
        <v>24179.6580757412</v>
      </c>
      <c r="P1466" s="7" t="n">
        <f aca="false">MAX(E1466-E1465,0)</f>
        <v>190.600000000002</v>
      </c>
      <c r="Q1466" s="7" t="n">
        <f aca="false">MAX(E1465-E1466,0)</f>
        <v>0</v>
      </c>
      <c r="R1466" s="7" t="n">
        <f aca="false">(R1465*13+P1466)/14</f>
        <v>151.718835385618</v>
      </c>
      <c r="S1466" s="7" t="n">
        <f aca="false">(S1465*13+Q1466)/14</f>
        <v>64.4255278094127</v>
      </c>
      <c r="T1466" s="7" t="n">
        <f aca="false">IF(S1466=0,100,100-100/(1+R1466/S1466))</f>
        <v>70.1932880149733</v>
      </c>
      <c r="U1466" s="7" t="n">
        <f aca="false">E1466*2/13+U1465*11/13</f>
        <v>25229.9062382418</v>
      </c>
      <c r="V1466" s="7" t="n">
        <f aca="false">E1466*2/27+V1465*25/27</f>
        <v>24897.5354838443</v>
      </c>
      <c r="W1466" s="7" t="n">
        <f aca="false">U1466-V1466</f>
        <v>332.370754397492</v>
      </c>
      <c r="X1466" s="7" t="n">
        <f aca="false">W1466*2/10+X1465*8/10</f>
        <v>249.424268837853</v>
      </c>
      <c r="Y1466" s="7" t="n">
        <f aca="false">W1466-X1466</f>
        <v>82.9464855596399</v>
      </c>
      <c r="Z1466" s="8" t="s">
        <v>42</v>
      </c>
      <c r="AA1466" s="7" t="str">
        <f aca="false">IFERROR(INDEX(02_轉折點45!B:B,MATCH(A1466,02_轉折點45!A:A,0)),"")</f>
        <v/>
      </c>
      <c r="AB1466" s="7" t="n">
        <f aca="false">COUNTIFS(05_訊號明細!A:A,A1466,05_訊號明細!C:C,"TOP")</f>
        <v>0</v>
      </c>
      <c r="AC1466" s="7" t="n">
        <f aca="false">COUNTIFS(05_訊號明細!A:A,A1466,05_訊號明細!C:C,"BOTTOM")</f>
        <v>0</v>
      </c>
    </row>
    <row r="1467" customFormat="false" ht="15" hidden="false" customHeight="false" outlineLevel="0" collapsed="false">
      <c r="A1467" s="7" t="s">
        <v>1508</v>
      </c>
      <c r="B1467" s="7" t="n">
        <v>26147.72</v>
      </c>
      <c r="C1467" s="7" t="n">
        <v>26182.1</v>
      </c>
      <c r="D1467" s="7" t="n">
        <v>25907.45</v>
      </c>
      <c r="E1467" s="7" t="n">
        <v>26119.85</v>
      </c>
      <c r="F1467" s="7" t="n">
        <v>10090</v>
      </c>
      <c r="G1467" s="7" t="n">
        <f aca="false">AVERAGE(E1463:E1467)</f>
        <v>25681.824</v>
      </c>
      <c r="H1467" s="7" t="n">
        <f aca="false">AVERAGE(E1458:E1467)</f>
        <v>25303.147</v>
      </c>
      <c r="I1467" s="7" t="n">
        <f aca="false">AVERAGE(E1448:E1467)</f>
        <v>25053.0005</v>
      </c>
      <c r="J1467" s="7" t="n">
        <f aca="false">AVERAGE(E1418:E1467)</f>
        <v>24415.289</v>
      </c>
      <c r="K1467" s="7" t="n">
        <f aca="false">AVERAGE(E1368:E1467)</f>
        <v>23617.7201</v>
      </c>
      <c r="L1467" s="7" t="n">
        <f aca="false">AVERAGE(E1268:E1467)</f>
        <v>22019.0069</v>
      </c>
      <c r="M1467" s="7" t="n">
        <f aca="false">I1467</f>
        <v>25053.0005</v>
      </c>
      <c r="N1467" s="7" t="n">
        <f aca="false">I1467+2*STDEV(E1448:E1467)</f>
        <v>25999.7984934712</v>
      </c>
      <c r="O1467" s="7" t="n">
        <f aca="false">I1467-2*STDEV(E1448:E1467)</f>
        <v>24106.2025065288</v>
      </c>
      <c r="P1467" s="7" t="n">
        <f aca="false">MAX(E1467-E1466,0)</f>
        <v>107.699999999997</v>
      </c>
      <c r="Q1467" s="7" t="n">
        <f aca="false">MAX(E1466-E1467,0)</f>
        <v>0</v>
      </c>
      <c r="R1467" s="7" t="n">
        <f aca="false">(R1466*13+P1467)/14</f>
        <v>148.574632858073</v>
      </c>
      <c r="S1467" s="7" t="n">
        <f aca="false">(S1466*13+Q1467)/14</f>
        <v>59.8237043944546</v>
      </c>
      <c r="T1467" s="7" t="n">
        <f aca="false">IF(S1467=0,100,100-100/(1+R1467/S1467))</f>
        <v>71.2935788340946</v>
      </c>
      <c r="U1467" s="7" t="n">
        <f aca="false">E1467*2/13+U1466*11/13</f>
        <v>25366.8206631277</v>
      </c>
      <c r="V1467" s="7" t="n">
        <f aca="false">E1467*2/27+V1466*25/27</f>
        <v>24988.0772998559</v>
      </c>
      <c r="W1467" s="7" t="n">
        <f aca="false">U1467-V1467</f>
        <v>378.743363271831</v>
      </c>
      <c r="X1467" s="7" t="n">
        <f aca="false">W1467*2/10+X1466*8/10</f>
        <v>275.288087724648</v>
      </c>
      <c r="Y1467" s="7" t="n">
        <f aca="false">W1467-X1467</f>
        <v>103.455275547183</v>
      </c>
      <c r="Z1467" s="8" t="s">
        <v>42</v>
      </c>
      <c r="AA1467" s="7" t="str">
        <f aca="false">IFERROR(INDEX(02_轉折點45!B:B,MATCH(A1467,02_轉折點45!A:A,0)),"")</f>
        <v/>
      </c>
      <c r="AB1467" s="7" t="n">
        <f aca="false">COUNTIFS(05_訊號明細!A:A,A1467,05_訊號明細!C:C,"TOP")</f>
        <v>1</v>
      </c>
      <c r="AC1467" s="7" t="n">
        <f aca="false">COUNTIFS(05_訊號明細!A:A,A1467,05_訊號明細!C:C,"BOTTOM")</f>
        <v>0</v>
      </c>
    </row>
    <row r="1468" customFormat="false" ht="15" hidden="false" customHeight="false" outlineLevel="0" collapsed="false">
      <c r="A1468" s="7" t="s">
        <v>1509</v>
      </c>
      <c r="B1468" s="7" t="n">
        <v>25953.78</v>
      </c>
      <c r="C1468" s="7" t="n">
        <v>26031.68</v>
      </c>
      <c r="D1468" s="7" t="n">
        <v>25732.39</v>
      </c>
      <c r="E1468" s="7" t="n">
        <v>25734.81</v>
      </c>
      <c r="F1468" s="7" t="n">
        <v>10564</v>
      </c>
      <c r="G1468" s="7" t="n">
        <f aca="false">AVERAGE(E1464:E1468)</f>
        <v>25809.304</v>
      </c>
      <c r="H1468" s="7" t="n">
        <f aca="false">AVERAGE(E1459:E1468)</f>
        <v>25410.904</v>
      </c>
      <c r="I1468" s="7" t="n">
        <f aca="false">AVERAGE(E1449:E1468)</f>
        <v>25095.103</v>
      </c>
      <c r="J1468" s="7" t="n">
        <f aca="false">AVERAGE(E1419:E1468)</f>
        <v>24464.9938</v>
      </c>
      <c r="K1468" s="7" t="n">
        <f aca="false">AVERAGE(E1369:E1468)</f>
        <v>23657.0895</v>
      </c>
      <c r="L1468" s="7" t="n">
        <f aca="false">AVERAGE(E1269:E1468)</f>
        <v>22043.8939</v>
      </c>
      <c r="M1468" s="7" t="n">
        <f aca="false">I1468</f>
        <v>25095.103</v>
      </c>
      <c r="N1468" s="7" t="n">
        <f aca="false">I1468+2*STDEV(E1449:E1468)</f>
        <v>26085.7710742568</v>
      </c>
      <c r="O1468" s="7" t="n">
        <f aca="false">I1468-2*STDEV(E1449:E1468)</f>
        <v>24104.4349257432</v>
      </c>
      <c r="P1468" s="7" t="n">
        <f aca="false">MAX(E1468-E1467,0)</f>
        <v>0</v>
      </c>
      <c r="Q1468" s="7" t="n">
        <f aca="false">MAX(E1467-E1468,0)</f>
        <v>385.039999999997</v>
      </c>
      <c r="R1468" s="7" t="n">
        <f aca="false">(R1467*13+P1468)/14</f>
        <v>137.962159082497</v>
      </c>
      <c r="S1468" s="7" t="n">
        <f aca="false">(S1467*13+Q1468)/14</f>
        <v>83.0534397948506</v>
      </c>
      <c r="T1468" s="7" t="n">
        <f aca="false">IF(S1468=0,100,100-100/(1+R1468/S1468))</f>
        <v>62.421910391519</v>
      </c>
      <c r="U1468" s="7" t="n">
        <f aca="false">E1468*2/13+U1467*11/13</f>
        <v>25423.4344072619</v>
      </c>
      <c r="V1468" s="7" t="n">
        <f aca="false">E1468*2/27+V1467*25/27</f>
        <v>25043.3908331999</v>
      </c>
      <c r="W1468" s="7" t="n">
        <f aca="false">U1468-V1468</f>
        <v>380.04357406202</v>
      </c>
      <c r="X1468" s="7" t="n">
        <f aca="false">W1468*2/10+X1467*8/10</f>
        <v>296.239184992123</v>
      </c>
      <c r="Y1468" s="7" t="n">
        <f aca="false">W1468-X1468</f>
        <v>83.8043890698971</v>
      </c>
      <c r="Z1468" s="8" t="s">
        <v>42</v>
      </c>
      <c r="AA1468" s="7" t="str">
        <f aca="false">IFERROR(INDEX(02_轉折點45!B:B,MATCH(A1468,02_轉折點45!A:A,0)),"")</f>
        <v/>
      </c>
      <c r="AB1468" s="7" t="n">
        <f aca="false">COUNTIFS(05_訊號明細!A:A,A1468,05_訊號明細!C:C,"TOP")</f>
        <v>0</v>
      </c>
      <c r="AC1468" s="7" t="n">
        <f aca="false">COUNTIFS(05_訊號明細!A:A,A1468,05_訊號明細!C:C,"BOTTOM")</f>
        <v>0</v>
      </c>
    </row>
    <row r="1469" customFormat="false" ht="15" hidden="false" customHeight="false" outlineLevel="0" collapsed="false">
      <c r="A1469" s="7" t="s">
        <v>1510</v>
      </c>
      <c r="B1469" s="7" t="n">
        <v>26055.97</v>
      </c>
      <c r="C1469" s="7" t="n">
        <v>26063.49</v>
      </c>
      <c r="D1469" s="7" t="n">
        <v>25761.28</v>
      </c>
      <c r="E1469" s="7" t="n">
        <v>25858.13</v>
      </c>
      <c r="F1469" s="7" t="n">
        <v>10909</v>
      </c>
      <c r="G1469" s="7" t="n">
        <f aca="false">AVERAGE(E1465:E1469)</f>
        <v>25909.298</v>
      </c>
      <c r="H1469" s="7" t="n">
        <f aca="false">AVERAGE(E1460:E1469)</f>
        <v>25514.922</v>
      </c>
      <c r="I1469" s="7" t="n">
        <f aca="false">AVERAGE(E1450:E1469)</f>
        <v>25148.7335</v>
      </c>
      <c r="J1469" s="7" t="n">
        <f aca="false">AVERAGE(E1420:E1469)</f>
        <v>24519.3048</v>
      </c>
      <c r="K1469" s="7" t="n">
        <f aca="false">AVERAGE(E1370:E1469)</f>
        <v>23696.2516</v>
      </c>
      <c r="L1469" s="7" t="n">
        <f aca="false">AVERAGE(E1270:E1469)</f>
        <v>22066.9953</v>
      </c>
      <c r="M1469" s="7" t="n">
        <f aca="false">I1469</f>
        <v>25148.7335</v>
      </c>
      <c r="N1469" s="7" t="n">
        <f aca="false">I1469+2*STDEV(E1450:E1469)</f>
        <v>26183.9659241094</v>
      </c>
      <c r="O1469" s="7" t="n">
        <f aca="false">I1469-2*STDEV(E1450:E1469)</f>
        <v>24113.5010758906</v>
      </c>
      <c r="P1469" s="7" t="n">
        <f aca="false">MAX(E1469-E1468,0)</f>
        <v>123.32</v>
      </c>
      <c r="Q1469" s="7" t="n">
        <f aca="false">MAX(E1468-E1469,0)</f>
        <v>0</v>
      </c>
      <c r="R1469" s="7" t="n">
        <f aca="false">(R1468*13+P1469)/14</f>
        <v>136.916290576604</v>
      </c>
      <c r="S1469" s="7" t="n">
        <f aca="false">(S1468*13+Q1469)/14</f>
        <v>77.1210512380755</v>
      </c>
      <c r="T1469" s="7" t="n">
        <f aca="false">IF(S1469=0,100,100-100/(1+R1469/S1469))</f>
        <v>63.9684129020583</v>
      </c>
      <c r="U1469" s="7" t="n">
        <f aca="false">E1469*2/13+U1468*11/13</f>
        <v>25490.3106522985</v>
      </c>
      <c r="V1469" s="7" t="n">
        <f aca="false">E1469*2/27+V1468*25/27</f>
        <v>25103.7418825925</v>
      </c>
      <c r="W1469" s="7" t="n">
        <f aca="false">U1469-V1469</f>
        <v>386.568769706049</v>
      </c>
      <c r="X1469" s="7" t="n">
        <f aca="false">W1469*2/10+X1468*8/10</f>
        <v>314.305101934908</v>
      </c>
      <c r="Y1469" s="7" t="n">
        <f aca="false">W1469-X1469</f>
        <v>72.2636677711415</v>
      </c>
      <c r="Z1469" s="8" t="s">
        <v>42</v>
      </c>
      <c r="AA1469" s="7" t="str">
        <f aca="false">IFERROR(INDEX(02_轉折點45!B:B,MATCH(A1469,02_轉折點45!A:A,0)),"")</f>
        <v/>
      </c>
      <c r="AB1469" s="7" t="n">
        <f aca="false">COUNTIFS(05_訊號明細!A:A,A1469,05_訊號明細!C:C,"TOP")</f>
        <v>0</v>
      </c>
      <c r="AC1469" s="7" t="n">
        <f aca="false">COUNTIFS(05_訊號明細!A:A,A1469,05_訊號明細!C:C,"BOTTOM")</f>
        <v>0</v>
      </c>
    </row>
    <row r="1470" customFormat="false" ht="15" hidden="false" customHeight="false" outlineLevel="0" collapsed="false">
      <c r="A1470" s="7" t="s">
        <v>1511</v>
      </c>
      <c r="B1470" s="7" t="n">
        <v>26114.11</v>
      </c>
      <c r="C1470" s="7" t="n">
        <v>26132.87</v>
      </c>
      <c r="D1470" s="7" t="n">
        <v>25887.88</v>
      </c>
      <c r="E1470" s="7" t="n">
        <v>25972.94</v>
      </c>
      <c r="F1470" s="7" t="n">
        <v>10360</v>
      </c>
      <c r="G1470" s="7" t="n">
        <f aca="false">AVERAGE(E1466:E1470)</f>
        <v>25939.576</v>
      </c>
      <c r="H1470" s="7" t="n">
        <f aca="false">AVERAGE(E1461:E1470)</f>
        <v>25598.114</v>
      </c>
      <c r="I1470" s="7" t="n">
        <f aca="false">AVERAGE(E1451:E1470)</f>
        <v>25198.4525</v>
      </c>
      <c r="J1470" s="7" t="n">
        <f aca="false">AVERAGE(E1421:E1470)</f>
        <v>24568.8012</v>
      </c>
      <c r="K1470" s="7" t="n">
        <f aca="false">AVERAGE(E1371:E1470)</f>
        <v>23737.373</v>
      </c>
      <c r="L1470" s="7" t="n">
        <f aca="false">AVERAGE(E1271:E1470)</f>
        <v>22091.40375</v>
      </c>
      <c r="M1470" s="7" t="n">
        <f aca="false">I1470</f>
        <v>25198.4525</v>
      </c>
      <c r="N1470" s="7" t="n">
        <f aca="false">I1470+2*STDEV(E1451:E1470)</f>
        <v>26293.0826535438</v>
      </c>
      <c r="O1470" s="7" t="n">
        <f aca="false">I1470-2*STDEV(E1451:E1470)</f>
        <v>24103.8223464562</v>
      </c>
      <c r="P1470" s="7" t="n">
        <f aca="false">MAX(E1470-E1469,0)</f>
        <v>114.809999999998</v>
      </c>
      <c r="Q1470" s="7" t="n">
        <f aca="false">MAX(E1469-E1470,0)</f>
        <v>0</v>
      </c>
      <c r="R1470" s="7" t="n">
        <f aca="false">(R1469*13+P1470)/14</f>
        <v>135.337269821132</v>
      </c>
      <c r="S1470" s="7" t="n">
        <f aca="false">(S1469*13+Q1470)/14</f>
        <v>71.6124047210701</v>
      </c>
      <c r="T1470" s="7" t="n">
        <f aca="false">IF(S1470=0,100,100-100/(1+R1470/S1470))</f>
        <v>65.3962225939783</v>
      </c>
      <c r="U1470" s="7" t="n">
        <f aca="false">E1470*2/13+U1469*11/13</f>
        <v>25564.5613211757</v>
      </c>
      <c r="V1470" s="7" t="n">
        <f aca="false">E1470*2/27+V1469*25/27</f>
        <v>25168.1269283264</v>
      </c>
      <c r="W1470" s="7" t="n">
        <f aca="false">U1470-V1470</f>
        <v>396.434392849314</v>
      </c>
      <c r="X1470" s="7" t="n">
        <f aca="false">W1470*2/10+X1469*8/10</f>
        <v>330.730960117789</v>
      </c>
      <c r="Y1470" s="7" t="n">
        <f aca="false">W1470-X1470</f>
        <v>65.7034327315253</v>
      </c>
      <c r="Z1470" s="8" t="s">
        <v>42</v>
      </c>
      <c r="AA1470" s="7" t="str">
        <f aca="false">IFERROR(INDEX(02_轉折點45!B:B,MATCH(A1470,02_轉折點45!A:A,0)),"")</f>
        <v/>
      </c>
      <c r="AB1470" s="7" t="n">
        <f aca="false">COUNTIFS(05_訊號明細!A:A,A1470,05_訊號明細!C:C,"TOP")</f>
        <v>0</v>
      </c>
      <c r="AC1470" s="7" t="n">
        <f aca="false">COUNTIFS(05_訊號明細!A:A,A1470,05_訊號明細!C:C,"BOTTOM")</f>
        <v>0</v>
      </c>
    </row>
    <row r="1471" customFormat="false" ht="15" hidden="false" customHeight="false" outlineLevel="0" collapsed="false">
      <c r="A1471" s="7" t="s">
        <v>1512</v>
      </c>
      <c r="B1471" s="7" t="n">
        <v>25580.34</v>
      </c>
      <c r="C1471" s="7" t="n">
        <v>25762.23</v>
      </c>
      <c r="D1471" s="7" t="n">
        <v>25415.62</v>
      </c>
      <c r="E1471" s="7" t="n">
        <v>25435.7</v>
      </c>
      <c r="F1471" s="7" t="n">
        <v>10228</v>
      </c>
      <c r="G1471" s="7" t="n">
        <f aca="false">AVERAGE(E1467:E1471)</f>
        <v>25824.286</v>
      </c>
      <c r="H1471" s="7" t="n">
        <f aca="false">AVERAGE(E1462:E1471)</f>
        <v>25628.971</v>
      </c>
      <c r="I1471" s="7" t="n">
        <f aca="false">AVERAGE(E1452:E1471)</f>
        <v>25228.226</v>
      </c>
      <c r="J1471" s="7" t="n">
        <f aca="false">AVERAGE(E1422:E1471)</f>
        <v>24609.003</v>
      </c>
      <c r="K1471" s="7" t="n">
        <f aca="false">AVERAGE(E1372:E1471)</f>
        <v>23772.5968</v>
      </c>
      <c r="L1471" s="7" t="n">
        <f aca="false">AVERAGE(E1272:E1471)</f>
        <v>22111.37645</v>
      </c>
      <c r="M1471" s="7" t="n">
        <f aca="false">I1471</f>
        <v>25228.226</v>
      </c>
      <c r="N1471" s="7" t="n">
        <f aca="false">I1471+2*STDEV(E1452:E1471)</f>
        <v>26314.1896383057</v>
      </c>
      <c r="O1471" s="7" t="n">
        <f aca="false">I1471-2*STDEV(E1452:E1471)</f>
        <v>24142.2623616943</v>
      </c>
      <c r="P1471" s="7" t="n">
        <f aca="false">MAX(E1471-E1470,0)</f>
        <v>0</v>
      </c>
      <c r="Q1471" s="7" t="n">
        <f aca="false">MAX(E1470-E1471,0)</f>
        <v>537.239999999998</v>
      </c>
      <c r="R1471" s="7" t="n">
        <f aca="false">(R1470*13+P1471)/14</f>
        <v>125.670321976766</v>
      </c>
      <c r="S1471" s="7" t="n">
        <f aca="false">(S1470*13+Q1471)/14</f>
        <v>104.871518669565</v>
      </c>
      <c r="T1471" s="7" t="n">
        <f aca="false">IF(S1471=0,100,100-100/(1+R1471/S1471))</f>
        <v>54.5108521839009</v>
      </c>
      <c r="U1471" s="7" t="n">
        <f aca="false">E1471*2/13+U1470*11/13</f>
        <v>25544.7365025333</v>
      </c>
      <c r="V1471" s="7" t="n">
        <f aca="false">E1471*2/27+V1470*25/27</f>
        <v>25187.9471558578</v>
      </c>
      <c r="W1471" s="7" t="n">
        <f aca="false">U1471-V1471</f>
        <v>356.789346675527</v>
      </c>
      <c r="X1471" s="7" t="n">
        <f aca="false">W1471*2/10+X1470*8/10</f>
        <v>335.942637429337</v>
      </c>
      <c r="Y1471" s="7" t="n">
        <f aca="false">W1471-X1471</f>
        <v>20.8467092461901</v>
      </c>
      <c r="Z1471" s="8" t="s">
        <v>42</v>
      </c>
      <c r="AA1471" s="7" t="str">
        <f aca="false">IFERROR(INDEX(02_轉折點45!B:B,MATCH(A1471,02_轉折點45!A:A,0)),"")</f>
        <v/>
      </c>
      <c r="AB1471" s="7" t="n">
        <f aca="false">COUNTIFS(05_訊號明細!A:A,A1471,05_訊號明細!C:C,"TOP")</f>
        <v>0</v>
      </c>
      <c r="AC1471" s="7" t="n">
        <f aca="false">COUNTIFS(05_訊號明細!A:A,A1471,05_訊號明細!C:C,"BOTTOM")</f>
        <v>0</v>
      </c>
    </row>
    <row r="1472" customFormat="false" ht="15" hidden="false" customHeight="false" outlineLevel="0" collapsed="false">
      <c r="A1472" s="7" t="s">
        <v>1513</v>
      </c>
      <c r="B1472" s="7" t="n">
        <v>25433.22</v>
      </c>
      <c r="C1472" s="7" t="n">
        <v>25750.88</v>
      </c>
      <c r="D1472" s="7" t="n">
        <v>25364.9</v>
      </c>
      <c r="E1472" s="7" t="n">
        <v>25620.03</v>
      </c>
      <c r="F1472" s="7" t="n">
        <v>10027</v>
      </c>
      <c r="G1472" s="7" t="n">
        <f aca="false">AVERAGE(E1468:E1472)</f>
        <v>25724.322</v>
      </c>
      <c r="H1472" s="7" t="n">
        <f aca="false">AVERAGE(E1463:E1472)</f>
        <v>25703.073</v>
      </c>
      <c r="I1472" s="7" t="n">
        <f aca="false">AVERAGE(E1453:E1472)</f>
        <v>25252.3965</v>
      </c>
      <c r="J1472" s="7" t="n">
        <f aca="false">AVERAGE(E1423:E1472)</f>
        <v>24650.8978</v>
      </c>
      <c r="K1472" s="7" t="n">
        <f aca="false">AVERAGE(E1373:E1472)</f>
        <v>23812.4867</v>
      </c>
      <c r="L1472" s="7" t="n">
        <f aca="false">AVERAGE(E1273:E1472)</f>
        <v>22131.64405</v>
      </c>
      <c r="M1472" s="7" t="n">
        <f aca="false">I1472</f>
        <v>25252.3965</v>
      </c>
      <c r="N1472" s="7" t="n">
        <f aca="false">I1472+2*STDEV(E1453:E1472)</f>
        <v>26351.217908453</v>
      </c>
      <c r="O1472" s="7" t="n">
        <f aca="false">I1472-2*STDEV(E1453:E1472)</f>
        <v>24153.575091547</v>
      </c>
      <c r="P1472" s="7" t="n">
        <f aca="false">MAX(E1472-E1471,0)</f>
        <v>184.329999999998</v>
      </c>
      <c r="Q1472" s="7" t="n">
        <f aca="false">MAX(E1471-E1472,0)</f>
        <v>0</v>
      </c>
      <c r="R1472" s="7" t="n">
        <f aca="false">(R1471*13+P1472)/14</f>
        <v>129.860298978425</v>
      </c>
      <c r="S1472" s="7" t="n">
        <f aca="false">(S1471*13+Q1472)/14</f>
        <v>97.3806959074532</v>
      </c>
      <c r="T1472" s="7" t="n">
        <f aca="false">IF(S1472=0,100,100-100/(1+R1472/S1472))</f>
        <v>57.1465104892899</v>
      </c>
      <c r="U1472" s="7" t="n">
        <f aca="false">E1472*2/13+U1471*11/13</f>
        <v>25556.3201175282</v>
      </c>
      <c r="V1472" s="7" t="n">
        <f aca="false">E1472*2/27+V1471*25/27</f>
        <v>25219.9532924609</v>
      </c>
      <c r="W1472" s="7" t="n">
        <f aca="false">U1472-V1472</f>
        <v>336.366825067282</v>
      </c>
      <c r="X1472" s="7" t="n">
        <f aca="false">W1472*2/10+X1471*8/10</f>
        <v>336.027474956926</v>
      </c>
      <c r="Y1472" s="7" t="n">
        <f aca="false">W1472-X1472</f>
        <v>0.339350110356008</v>
      </c>
      <c r="Z1472" s="8" t="s">
        <v>42</v>
      </c>
      <c r="AA1472" s="7" t="str">
        <f aca="false">IFERROR(INDEX(02_轉折點45!B:B,MATCH(A1472,02_轉折點45!A:A,0)),"")</f>
        <v/>
      </c>
      <c r="AB1472" s="7" t="n">
        <f aca="false">COUNTIFS(05_訊號明細!A:A,A1472,05_訊號明細!C:C,"TOP")</f>
        <v>0</v>
      </c>
      <c r="AC1472" s="7" t="n">
        <f aca="false">COUNTIFS(05_訊號明細!A:A,A1472,05_訊號明細!C:C,"BOTTOM")</f>
        <v>0</v>
      </c>
    </row>
    <row r="1473" customFormat="false" ht="15" hidden="false" customHeight="false" outlineLevel="0" collapsed="false">
      <c r="A1473" s="7" t="s">
        <v>1514</v>
      </c>
      <c r="B1473" s="7" t="n">
        <v>25568.24</v>
      </c>
      <c r="C1473" s="7" t="n">
        <v>25568.24</v>
      </c>
      <c r="D1473" s="7" t="n">
        <v>25083.24</v>
      </c>
      <c r="E1473" s="7" t="n">
        <v>25130.04</v>
      </c>
      <c r="F1473" s="7" t="n">
        <v>11085</v>
      </c>
      <c r="G1473" s="7" t="n">
        <f aca="false">AVERAGE(E1469:E1473)</f>
        <v>25603.368</v>
      </c>
      <c r="H1473" s="7" t="n">
        <f aca="false">AVERAGE(E1464:E1473)</f>
        <v>25706.336</v>
      </c>
      <c r="I1473" s="7" t="n">
        <f aca="false">AVERAGE(E1454:E1473)</f>
        <v>25253.9895</v>
      </c>
      <c r="J1473" s="7" t="n">
        <f aca="false">AVERAGE(E1424:E1473)</f>
        <v>24682.1816</v>
      </c>
      <c r="K1473" s="7" t="n">
        <f aca="false">AVERAGE(E1374:E1473)</f>
        <v>23844.4114</v>
      </c>
      <c r="L1473" s="7" t="n">
        <f aca="false">AVERAGE(E1274:E1473)</f>
        <v>22148.02925</v>
      </c>
      <c r="M1473" s="7" t="n">
        <f aca="false">I1473</f>
        <v>25253.9895</v>
      </c>
      <c r="N1473" s="7" t="n">
        <f aca="false">I1473+2*STDEV(E1454:E1473)</f>
        <v>26351.9615970182</v>
      </c>
      <c r="O1473" s="7" t="n">
        <f aca="false">I1473-2*STDEV(E1454:E1473)</f>
        <v>24156.0174029818</v>
      </c>
      <c r="P1473" s="7" t="n">
        <f aca="false">MAX(E1473-E1472,0)</f>
        <v>0</v>
      </c>
      <c r="Q1473" s="7" t="n">
        <f aca="false">MAX(E1472-E1473,0)</f>
        <v>489.989999999998</v>
      </c>
      <c r="R1473" s="7" t="n">
        <f aca="false">(R1472*13+P1473)/14</f>
        <v>120.584563337109</v>
      </c>
      <c r="S1473" s="7" t="n">
        <f aca="false">(S1472*13+Q1473)/14</f>
        <v>125.424217628349</v>
      </c>
      <c r="T1473" s="7" t="n">
        <f aca="false">IF(S1473=0,100,100-100/(1+R1473/S1473))</f>
        <v>49.0163655394236</v>
      </c>
      <c r="U1473" s="7" t="n">
        <f aca="false">E1473*2/13+U1472*11/13</f>
        <v>25490.7385609854</v>
      </c>
      <c r="V1473" s="7" t="n">
        <f aca="false">E1473*2/27+V1472*25/27</f>
        <v>25213.2930485749</v>
      </c>
      <c r="W1473" s="7" t="n">
        <f aca="false">U1473-V1473</f>
        <v>277.445512410483</v>
      </c>
      <c r="X1473" s="7" t="n">
        <f aca="false">W1473*2/10+X1472*8/10</f>
        <v>324.311082447637</v>
      </c>
      <c r="Y1473" s="7" t="n">
        <f aca="false">W1473-X1473</f>
        <v>-46.8655700371546</v>
      </c>
      <c r="Z1473" s="8" t="s">
        <v>42</v>
      </c>
      <c r="AA1473" s="7" t="str">
        <f aca="false">IFERROR(INDEX(02_轉折點45!B:B,MATCH(A1473,02_轉折點45!A:A,0)),"")</f>
        <v/>
      </c>
      <c r="AB1473" s="7" t="n">
        <f aca="false">COUNTIFS(05_訊號明細!A:A,A1473,05_訊號明細!C:C,"TOP")</f>
        <v>1</v>
      </c>
      <c r="AC1473" s="7" t="n">
        <f aca="false">COUNTIFS(05_訊號明細!A:A,A1473,05_訊號明細!C:C,"BOTTOM")</f>
        <v>0</v>
      </c>
    </row>
    <row r="1474" customFormat="false" ht="15" hidden="false" customHeight="false" outlineLevel="0" collapsed="false">
      <c r="A1474" s="7" t="s">
        <v>1515</v>
      </c>
      <c r="B1474" s="7" t="n">
        <v>24977.73</v>
      </c>
      <c r="C1474" s="7" t="n">
        <v>25065.14</v>
      </c>
      <c r="D1474" s="7" t="n">
        <v>24603.78</v>
      </c>
      <c r="E1474" s="7" t="n">
        <v>25059.81</v>
      </c>
      <c r="F1474" s="7" t="n">
        <v>10142</v>
      </c>
      <c r="G1474" s="7" t="n">
        <f aca="false">AVERAGE(E1470:E1474)</f>
        <v>25443.704</v>
      </c>
      <c r="H1474" s="7" t="n">
        <f aca="false">AVERAGE(E1465:E1474)</f>
        <v>25676.501</v>
      </c>
      <c r="I1474" s="7" t="n">
        <f aca="false">AVERAGE(E1455:E1474)</f>
        <v>25295.893</v>
      </c>
      <c r="J1474" s="7" t="n">
        <f aca="false">AVERAGE(E1425:E1474)</f>
        <v>24709.3088</v>
      </c>
      <c r="K1474" s="7" t="n">
        <f aca="false">AVERAGE(E1375:E1474)</f>
        <v>23877.8187</v>
      </c>
      <c r="L1474" s="7" t="n">
        <f aca="false">AVERAGE(E1275:E1474)</f>
        <v>22163.82365</v>
      </c>
      <c r="M1474" s="7" t="n">
        <f aca="false">I1474</f>
        <v>25295.893</v>
      </c>
      <c r="N1474" s="7" t="n">
        <f aca="false">I1474+2*STDEV(E1455:E1474)</f>
        <v>26286.7327851711</v>
      </c>
      <c r="O1474" s="7" t="n">
        <f aca="false">I1474-2*STDEV(E1455:E1474)</f>
        <v>24305.0532148289</v>
      </c>
      <c r="P1474" s="7" t="n">
        <f aca="false">MAX(E1474-E1473,0)</f>
        <v>0</v>
      </c>
      <c r="Q1474" s="7" t="n">
        <f aca="false">MAX(E1473-E1474,0)</f>
        <v>70.2299999999996</v>
      </c>
      <c r="R1474" s="7" t="n">
        <f aca="false">(R1473*13+P1474)/14</f>
        <v>111.971380241601</v>
      </c>
      <c r="S1474" s="7" t="n">
        <f aca="false">(S1473*13+Q1474)/14</f>
        <v>121.481773512039</v>
      </c>
      <c r="T1474" s="7" t="n">
        <f aca="false">IF(S1474=0,100,100-100/(1+R1474/S1474))</f>
        <v>47.9631045634805</v>
      </c>
      <c r="U1474" s="7" t="n">
        <f aca="false">E1474*2/13+U1473*11/13</f>
        <v>25424.4418592953</v>
      </c>
      <c r="V1474" s="7" t="n">
        <f aca="false">E1474*2/27+V1473*25/27</f>
        <v>25201.9239338656</v>
      </c>
      <c r="W1474" s="7" t="n">
        <f aca="false">U1474-V1474</f>
        <v>222.517925429678</v>
      </c>
      <c r="X1474" s="7" t="n">
        <f aca="false">W1474*2/10+X1473*8/10</f>
        <v>303.952451044045</v>
      </c>
      <c r="Y1474" s="7" t="n">
        <f aca="false">W1474-X1474</f>
        <v>-81.4345256143672</v>
      </c>
      <c r="Z1474" s="8" t="s">
        <v>42</v>
      </c>
      <c r="AA1474" s="7" t="str">
        <f aca="false">IFERROR(INDEX(02_轉折點45!B:B,MATCH(A1474,02_轉折點45!A:A,0)),"")</f>
        <v/>
      </c>
      <c r="AB1474" s="7" t="n">
        <f aca="false">COUNTIFS(05_訊號明細!A:A,A1474,05_訊號明細!C:C,"TOP")</f>
        <v>0</v>
      </c>
      <c r="AC1474" s="7" t="n">
        <f aca="false">COUNTIFS(05_訊號明細!A:A,A1474,05_訊號明細!C:C,"BOTTOM")</f>
        <v>0</v>
      </c>
    </row>
    <row r="1475" customFormat="false" ht="15" hidden="false" customHeight="false" outlineLevel="0" collapsed="false">
      <c r="A1475" s="7" t="s">
        <v>1516</v>
      </c>
      <c r="B1475" s="7" t="n">
        <v>25418.17</v>
      </c>
      <c r="C1475" s="7" t="n">
        <v>25655.51</v>
      </c>
      <c r="D1475" s="7" t="n">
        <v>25354.44</v>
      </c>
      <c r="E1475" s="7" t="n">
        <v>25611.74</v>
      </c>
      <c r="F1475" s="7" t="n">
        <v>9297</v>
      </c>
      <c r="G1475" s="7" t="n">
        <f aca="false">AVERAGE(E1471:E1475)</f>
        <v>25371.464</v>
      </c>
      <c r="H1475" s="7" t="n">
        <f aca="false">AVERAGE(E1466:E1475)</f>
        <v>25655.52</v>
      </c>
      <c r="I1475" s="7" t="n">
        <f aca="false">AVERAGE(E1456:E1475)</f>
        <v>25338.9675</v>
      </c>
      <c r="J1475" s="7" t="n">
        <f aca="false">AVERAGE(E1426:E1475)</f>
        <v>24753.2352</v>
      </c>
      <c r="K1475" s="7" t="n">
        <f aca="false">AVERAGE(E1376:E1475)</f>
        <v>23916.7392</v>
      </c>
      <c r="L1475" s="7" t="n">
        <f aca="false">AVERAGE(E1276:E1475)</f>
        <v>22183.0123</v>
      </c>
      <c r="M1475" s="7" t="n">
        <f aca="false">I1475</f>
        <v>25338.9675</v>
      </c>
      <c r="N1475" s="7" t="n">
        <f aca="false">I1475+2*STDEV(E1456:E1475)</f>
        <v>26304.5108509715</v>
      </c>
      <c r="O1475" s="7" t="n">
        <f aca="false">I1475-2*STDEV(E1456:E1475)</f>
        <v>24373.4241490285</v>
      </c>
      <c r="P1475" s="7" t="n">
        <f aca="false">MAX(E1475-E1474,0)</f>
        <v>551.93</v>
      </c>
      <c r="Q1475" s="7" t="n">
        <f aca="false">MAX(E1474-E1475,0)</f>
        <v>0</v>
      </c>
      <c r="R1475" s="7" t="n">
        <f aca="false">(R1474*13+P1475)/14</f>
        <v>143.39699593863</v>
      </c>
      <c r="S1475" s="7" t="n">
        <f aca="false">(S1474*13+Q1475)/14</f>
        <v>112.804503975464</v>
      </c>
      <c r="T1475" s="7" t="n">
        <f aca="false">IF(S1475=0,100,100-100/(1+R1475/S1475))</f>
        <v>55.9703967333179</v>
      </c>
      <c r="U1475" s="7" t="n">
        <f aca="false">E1475*2/13+U1474*11/13</f>
        <v>25453.2569578653</v>
      </c>
      <c r="V1475" s="7" t="n">
        <f aca="false">E1475*2/27+V1474*25/27</f>
        <v>25232.2806795052</v>
      </c>
      <c r="W1475" s="7" t="n">
        <f aca="false">U1475-V1475</f>
        <v>220.976278360049</v>
      </c>
      <c r="X1475" s="7" t="n">
        <f aca="false">W1475*2/10+X1474*8/10</f>
        <v>287.357216507246</v>
      </c>
      <c r="Y1475" s="7" t="n">
        <f aca="false">W1475-X1475</f>
        <v>-66.380938147197</v>
      </c>
      <c r="Z1475" s="8" t="s">
        <v>42</v>
      </c>
      <c r="AA1475" s="7" t="str">
        <f aca="false">IFERROR(INDEX(02_轉折點45!B:B,MATCH(A1475,02_轉折點45!A:A,0)),"")</f>
        <v/>
      </c>
      <c r="AB1475" s="7" t="n">
        <f aca="false">COUNTIFS(05_訊號明細!A:A,A1475,05_訊號明細!C:C,"TOP")</f>
        <v>0</v>
      </c>
      <c r="AC1475" s="7" t="n">
        <f aca="false">COUNTIFS(05_訊號明細!A:A,A1475,05_訊號明細!C:C,"BOTTOM")</f>
        <v>0</v>
      </c>
    </row>
    <row r="1476" customFormat="false" ht="15" hidden="false" customHeight="false" outlineLevel="0" collapsed="false">
      <c r="A1476" s="7" t="s">
        <v>1517</v>
      </c>
      <c r="B1476" s="7" t="n">
        <v>25500.93</v>
      </c>
      <c r="C1476" s="7" t="n">
        <v>25588.26</v>
      </c>
      <c r="D1476" s="7" t="n">
        <v>25380.86</v>
      </c>
      <c r="E1476" s="7" t="n">
        <v>25533.49</v>
      </c>
      <c r="F1476" s="7" t="n">
        <v>7757</v>
      </c>
      <c r="G1476" s="7" t="n">
        <f aca="false">AVERAGE(E1472:E1476)</f>
        <v>25391.022</v>
      </c>
      <c r="H1476" s="7" t="n">
        <f aca="false">AVERAGE(E1467:E1476)</f>
        <v>25607.654</v>
      </c>
      <c r="I1476" s="7" t="n">
        <f aca="false">AVERAGE(E1457:E1476)</f>
        <v>25386.676</v>
      </c>
      <c r="J1476" s="7" t="n">
        <f aca="false">AVERAGE(E1427:E1476)</f>
        <v>24799.2828</v>
      </c>
      <c r="K1476" s="7" t="n">
        <f aca="false">AVERAGE(E1377:E1476)</f>
        <v>23955.8102</v>
      </c>
      <c r="L1476" s="7" t="n">
        <f aca="false">AVERAGE(E1277:E1476)</f>
        <v>22205.04335</v>
      </c>
      <c r="M1476" s="7" t="n">
        <f aca="false">I1476</f>
        <v>25386.676</v>
      </c>
      <c r="N1476" s="7" t="n">
        <f aca="false">I1476+2*STDEV(E1457:E1476)</f>
        <v>26286.2143589937</v>
      </c>
      <c r="O1476" s="7" t="n">
        <f aca="false">I1476-2*STDEV(E1457:E1476)</f>
        <v>24487.1376410063</v>
      </c>
      <c r="P1476" s="7" t="n">
        <f aca="false">MAX(E1476-E1475,0)</f>
        <v>0</v>
      </c>
      <c r="Q1476" s="7" t="n">
        <f aca="false">MAX(E1475-E1476,0)</f>
        <v>78.25</v>
      </c>
      <c r="R1476" s="7" t="n">
        <f aca="false">(R1475*13+P1476)/14</f>
        <v>133.154353371585</v>
      </c>
      <c r="S1476" s="7" t="n">
        <f aca="false">(S1475*13+Q1476)/14</f>
        <v>110.336325120074</v>
      </c>
      <c r="T1476" s="7" t="n">
        <f aca="false">IF(S1476=0,100,100-100/(1+R1476/S1476))</f>
        <v>54.6856061170104</v>
      </c>
      <c r="U1476" s="7" t="n">
        <f aca="false">E1476*2/13+U1475*11/13</f>
        <v>25465.6005028091</v>
      </c>
      <c r="V1476" s="7" t="n">
        <f aca="false">E1476*2/27+V1475*25/27</f>
        <v>25254.5924810233</v>
      </c>
      <c r="W1476" s="7" t="n">
        <f aca="false">U1476-V1476</f>
        <v>211.008021785721</v>
      </c>
      <c r="X1476" s="7" t="n">
        <f aca="false">W1476*2/10+X1475*8/10</f>
        <v>272.087377562941</v>
      </c>
      <c r="Y1476" s="7" t="n">
        <f aca="false">W1476-X1476</f>
        <v>-61.0793557772199</v>
      </c>
      <c r="Z1476" s="8" t="s">
        <v>42</v>
      </c>
      <c r="AA1476" s="7" t="str">
        <f aca="false">IFERROR(INDEX(02_轉折點45!B:B,MATCH(A1476,02_轉折點45!A:A,0)),"")</f>
        <v/>
      </c>
      <c r="AB1476" s="7" t="n">
        <f aca="false">COUNTIFS(05_訊號明細!A:A,A1476,05_訊號明細!C:C,"TOP")</f>
        <v>0</v>
      </c>
      <c r="AC1476" s="7" t="n">
        <f aca="false">COUNTIFS(05_訊號明細!A:A,A1476,05_訊號明細!C:C,"BOTTOM")</f>
        <v>0</v>
      </c>
    </row>
    <row r="1477" customFormat="false" ht="15" hidden="false" customHeight="false" outlineLevel="0" collapsed="false">
      <c r="A1477" s="7" t="s">
        <v>1518</v>
      </c>
      <c r="B1477" s="7" t="n">
        <v>25662.19</v>
      </c>
      <c r="C1477" s="7" t="n">
        <v>25663.17</v>
      </c>
      <c r="D1477" s="7" t="n">
        <v>25389.73</v>
      </c>
      <c r="E1477" s="7" t="n">
        <v>25517.33</v>
      </c>
      <c r="F1477" s="7" t="n">
        <v>8450</v>
      </c>
      <c r="G1477" s="7" t="n">
        <f aca="false">AVERAGE(E1473:E1477)</f>
        <v>25370.482</v>
      </c>
      <c r="H1477" s="7" t="n">
        <f aca="false">AVERAGE(E1468:E1477)</f>
        <v>25547.402</v>
      </c>
      <c r="I1477" s="7" t="n">
        <f aca="false">AVERAGE(E1458:E1477)</f>
        <v>25425.2745</v>
      </c>
      <c r="J1477" s="7" t="n">
        <f aca="false">AVERAGE(E1428:E1477)</f>
        <v>24841.3326</v>
      </c>
      <c r="K1477" s="7" t="n">
        <f aca="false">AVERAGE(E1378:E1477)</f>
        <v>23992.4202</v>
      </c>
      <c r="L1477" s="7" t="n">
        <f aca="false">AVERAGE(E1278:E1477)</f>
        <v>22225.3148</v>
      </c>
      <c r="M1477" s="7" t="n">
        <f aca="false">I1477</f>
        <v>25425.2745</v>
      </c>
      <c r="N1477" s="7" t="n">
        <f aca="false">I1477+2*STDEV(E1458:E1477)</f>
        <v>26273.7457386646</v>
      </c>
      <c r="O1477" s="7" t="n">
        <f aca="false">I1477-2*STDEV(E1458:E1477)</f>
        <v>24576.8032613354</v>
      </c>
      <c r="P1477" s="7" t="n">
        <f aca="false">MAX(E1477-E1476,0)</f>
        <v>0</v>
      </c>
      <c r="Q1477" s="7" t="n">
        <f aca="false">MAX(E1476-E1477,0)</f>
        <v>16.1599999999999</v>
      </c>
      <c r="R1477" s="7" t="n">
        <f aca="false">(R1476*13+P1477)/14</f>
        <v>123.643328130757</v>
      </c>
      <c r="S1477" s="7" t="n">
        <f aca="false">(S1476*13+Q1477)/14</f>
        <v>103.609444754354</v>
      </c>
      <c r="T1477" s="7" t="n">
        <f aca="false">IF(S1477=0,100,100-100/(1+R1477/S1477))</f>
        <v>54.4078413482178</v>
      </c>
      <c r="U1477" s="7" t="n">
        <f aca="false">E1477*2/13+U1476*11/13</f>
        <v>25473.5588869923</v>
      </c>
      <c r="V1477" s="7" t="n">
        <f aca="false">E1477*2/27+V1476*25/27</f>
        <v>25274.0545194661</v>
      </c>
      <c r="W1477" s="7" t="n">
        <f aca="false">U1477-V1477</f>
        <v>199.504367526228</v>
      </c>
      <c r="X1477" s="7" t="n">
        <f aca="false">W1477*2/10+X1476*8/10</f>
        <v>257.570775555598</v>
      </c>
      <c r="Y1477" s="7" t="n">
        <f aca="false">W1477-X1477</f>
        <v>-58.0664080293707</v>
      </c>
      <c r="Z1477" s="8" t="s">
        <v>42</v>
      </c>
      <c r="AA1477" s="7" t="str">
        <f aca="false">IFERROR(INDEX(02_轉折點45!B:B,MATCH(A1477,02_轉折點45!A:A,0)),"")</f>
        <v/>
      </c>
      <c r="AB1477" s="7" t="n">
        <f aca="false">COUNTIFS(05_訊號明細!A:A,A1477,05_訊號明細!C:C,"TOP")</f>
        <v>0</v>
      </c>
      <c r="AC1477" s="7" t="n">
        <f aca="false">COUNTIFS(05_訊號明細!A:A,A1477,05_訊號明細!C:C,"BOTTOM")</f>
        <v>0</v>
      </c>
    </row>
    <row r="1478" customFormat="false" ht="15" hidden="false" customHeight="false" outlineLevel="0" collapsed="false">
      <c r="A1478" s="7" t="s">
        <v>1519</v>
      </c>
      <c r="B1478" s="7" t="n">
        <v>25386.95</v>
      </c>
      <c r="C1478" s="7" t="n">
        <v>25396.01</v>
      </c>
      <c r="D1478" s="7" t="n">
        <v>24908.6</v>
      </c>
      <c r="E1478" s="7" t="n">
        <v>24993.46</v>
      </c>
      <c r="F1478" s="7" t="n">
        <v>11351</v>
      </c>
      <c r="G1478" s="7" t="n">
        <f aca="false">AVERAGE(E1474:E1478)</f>
        <v>25343.166</v>
      </c>
      <c r="H1478" s="7" t="n">
        <f aca="false">AVERAGE(E1469:E1478)</f>
        <v>25473.267</v>
      </c>
      <c r="I1478" s="7" t="n">
        <f aca="false">AVERAGE(E1459:E1478)</f>
        <v>25442.0855</v>
      </c>
      <c r="J1478" s="7" t="n">
        <f aca="false">AVERAGE(E1429:E1478)</f>
        <v>24868.5416</v>
      </c>
      <c r="K1478" s="7" t="n">
        <f aca="false">AVERAGE(E1379:E1478)</f>
        <v>24020.4496</v>
      </c>
      <c r="L1478" s="7" t="n">
        <f aca="false">AVERAGE(E1279:E1478)</f>
        <v>22243.2248</v>
      </c>
      <c r="M1478" s="7" t="n">
        <f aca="false">I1478</f>
        <v>25442.0855</v>
      </c>
      <c r="N1478" s="7" t="n">
        <f aca="false">I1478+2*STDEV(E1459:E1478)</f>
        <v>26238.1912756083</v>
      </c>
      <c r="O1478" s="7" t="n">
        <f aca="false">I1478-2*STDEV(E1459:E1478)</f>
        <v>24645.9797243917</v>
      </c>
      <c r="P1478" s="7" t="n">
        <f aca="false">MAX(E1478-E1477,0)</f>
        <v>0</v>
      </c>
      <c r="Q1478" s="7" t="n">
        <f aca="false">MAX(E1477-E1478,0)</f>
        <v>523.870000000003</v>
      </c>
      <c r="R1478" s="7" t="n">
        <f aca="false">(R1477*13+P1478)/14</f>
        <v>114.811661835703</v>
      </c>
      <c r="S1478" s="7" t="n">
        <f aca="false">(S1477*13+Q1478)/14</f>
        <v>133.628055843329</v>
      </c>
      <c r="T1478" s="7" t="n">
        <f aca="false">IF(S1478=0,100,100-100/(1+R1478/S1478))</f>
        <v>46.2130865822477</v>
      </c>
      <c r="U1478" s="7" t="n">
        <f aca="false">E1478*2/13+U1477*11/13</f>
        <v>25399.6975197627</v>
      </c>
      <c r="V1478" s="7" t="n">
        <f aca="false">E1478*2/27+V1477*25/27</f>
        <v>25253.2697402464</v>
      </c>
      <c r="W1478" s="7" t="n">
        <f aca="false">U1478-V1478</f>
        <v>146.427779516351</v>
      </c>
      <c r="X1478" s="7" t="n">
        <f aca="false">W1478*2/10+X1477*8/10</f>
        <v>235.342176347749</v>
      </c>
      <c r="Y1478" s="7" t="n">
        <f aca="false">W1478-X1478</f>
        <v>-88.9143968313981</v>
      </c>
      <c r="Z1478" s="8" t="s">
        <v>42</v>
      </c>
      <c r="AA1478" s="7" t="str">
        <f aca="false">IFERROR(INDEX(02_轉折點45!B:B,MATCH(A1478,02_轉折點45!A:A,0)),"")</f>
        <v/>
      </c>
      <c r="AB1478" s="7" t="n">
        <f aca="false">COUNTIFS(05_訊號明細!A:A,A1478,05_訊號明細!C:C,"TOP")</f>
        <v>0</v>
      </c>
      <c r="AC1478" s="7" t="n">
        <f aca="false">COUNTIFS(05_訊號明細!A:A,A1478,05_訊號明細!C:C,"BOTTOM")</f>
        <v>0</v>
      </c>
    </row>
    <row r="1479" customFormat="false" ht="15" hidden="false" customHeight="false" outlineLevel="0" collapsed="false">
      <c r="A1479" s="7" t="s">
        <v>1520</v>
      </c>
      <c r="B1479" s="7" t="n">
        <v>24658.55</v>
      </c>
      <c r="C1479" s="7" t="n">
        <v>25198.93</v>
      </c>
      <c r="D1479" s="7" t="n">
        <v>24534.9</v>
      </c>
      <c r="E1479" s="7" t="n">
        <v>25008.24</v>
      </c>
      <c r="F1479" s="7" t="n">
        <v>10842</v>
      </c>
      <c r="G1479" s="7" t="n">
        <f aca="false">AVERAGE(E1475:E1479)</f>
        <v>25332.852</v>
      </c>
      <c r="H1479" s="7" t="n">
        <f aca="false">AVERAGE(E1470:E1479)</f>
        <v>25388.278</v>
      </c>
      <c r="I1479" s="7" t="n">
        <f aca="false">AVERAGE(E1460:E1479)</f>
        <v>25451.6</v>
      </c>
      <c r="J1479" s="7" t="n">
        <f aca="false">AVERAGE(E1430:E1479)</f>
        <v>24895.6576</v>
      </c>
      <c r="K1479" s="7" t="n">
        <f aca="false">AVERAGE(E1380:E1479)</f>
        <v>24048.1546</v>
      </c>
      <c r="L1479" s="7" t="n">
        <f aca="false">AVERAGE(E1280:E1479)</f>
        <v>22260.7254</v>
      </c>
      <c r="M1479" s="7" t="n">
        <f aca="false">I1479</f>
        <v>25451.6</v>
      </c>
      <c r="N1479" s="7" t="n">
        <f aca="false">I1479+2*STDEV(E1460:E1479)</f>
        <v>26220.3778694443</v>
      </c>
      <c r="O1479" s="7" t="n">
        <f aca="false">I1479-2*STDEV(E1460:E1479)</f>
        <v>24682.8221305557</v>
      </c>
      <c r="P1479" s="7" t="n">
        <f aca="false">MAX(E1479-E1478,0)</f>
        <v>14.7800000000025</v>
      </c>
      <c r="Q1479" s="7" t="n">
        <f aca="false">MAX(E1478-E1479,0)</f>
        <v>0</v>
      </c>
      <c r="R1479" s="7" t="n">
        <f aca="false">(R1478*13+P1479)/14</f>
        <v>107.666543133153</v>
      </c>
      <c r="S1479" s="7" t="n">
        <f aca="false">(S1478*13+Q1479)/14</f>
        <v>124.083194711663</v>
      </c>
      <c r="T1479" s="7" t="n">
        <f aca="false">IF(S1479=0,100,100-100/(1+R1479/S1479))</f>
        <v>46.4581078427146</v>
      </c>
      <c r="U1479" s="7" t="n">
        <f aca="false">E1479*2/13+U1478*11/13</f>
        <v>25339.4732859531</v>
      </c>
      <c r="V1479" s="7" t="n">
        <f aca="false">E1479*2/27+V1478*25/27</f>
        <v>25235.119389117</v>
      </c>
      <c r="W1479" s="7" t="n">
        <f aca="false">U1479-V1479</f>
        <v>104.353896836063</v>
      </c>
      <c r="X1479" s="7" t="n">
        <f aca="false">W1479*2/10+X1478*8/10</f>
        <v>209.144520445412</v>
      </c>
      <c r="Y1479" s="7" t="n">
        <f aca="false">W1479-X1479</f>
        <v>-104.790623609349</v>
      </c>
      <c r="Z1479" s="8" t="s">
        <v>42</v>
      </c>
      <c r="AA1479" s="7" t="str">
        <f aca="false">IFERROR(INDEX(02_轉折點45!B:B,MATCH(A1479,02_轉折點45!A:A,0)),"")</f>
        <v/>
      </c>
      <c r="AB1479" s="7" t="n">
        <f aca="false">COUNTIFS(05_訊號明細!A:A,A1479,05_訊號明細!C:C,"TOP")</f>
        <v>0</v>
      </c>
      <c r="AC1479" s="7" t="n">
        <f aca="false">COUNTIFS(05_訊號明細!A:A,A1479,05_訊號明細!C:C,"BOTTOM")</f>
        <v>0</v>
      </c>
    </row>
    <row r="1480" customFormat="false" ht="15" hidden="false" customHeight="false" outlineLevel="0" collapsed="false">
      <c r="A1480" s="7" t="s">
        <v>1521</v>
      </c>
      <c r="B1480" s="7" t="n">
        <v>24890.1</v>
      </c>
      <c r="C1480" s="7" t="n">
        <v>25166.15</v>
      </c>
      <c r="D1480" s="7" t="n">
        <v>24649.36</v>
      </c>
      <c r="E1480" s="7" t="n">
        <v>24799.92</v>
      </c>
      <c r="F1480" s="7" t="n">
        <v>9745</v>
      </c>
      <c r="G1480" s="7" t="n">
        <f aca="false">AVERAGE(E1476:E1480)</f>
        <v>25170.488</v>
      </c>
      <c r="H1480" s="7" t="n">
        <f aca="false">AVERAGE(E1471:E1480)</f>
        <v>25270.976</v>
      </c>
      <c r="I1480" s="7" t="n">
        <f aca="false">AVERAGE(E1461:E1480)</f>
        <v>25434.545</v>
      </c>
      <c r="J1480" s="7" t="n">
        <f aca="false">AVERAGE(E1431:E1480)</f>
        <v>24916.41</v>
      </c>
      <c r="K1480" s="7" t="n">
        <f aca="false">AVERAGE(E1381:E1480)</f>
        <v>24071.6809</v>
      </c>
      <c r="L1480" s="7" t="n">
        <f aca="false">AVERAGE(E1281:E1480)</f>
        <v>22277.33475</v>
      </c>
      <c r="M1480" s="7" t="n">
        <f aca="false">I1480</f>
        <v>25434.545</v>
      </c>
      <c r="N1480" s="7" t="n">
        <f aca="false">I1480+2*STDEV(E1461:E1480)</f>
        <v>26246.2685250217</v>
      </c>
      <c r="O1480" s="7" t="n">
        <f aca="false">I1480-2*STDEV(E1461:E1480)</f>
        <v>24622.8214749783</v>
      </c>
      <c r="P1480" s="7" t="n">
        <f aca="false">MAX(E1480-E1479,0)</f>
        <v>0</v>
      </c>
      <c r="Q1480" s="7" t="n">
        <f aca="false">MAX(E1479-E1480,0)</f>
        <v>208.320000000003</v>
      </c>
      <c r="R1480" s="7" t="n">
        <f aca="false">(R1479*13+P1480)/14</f>
        <v>99.9760757664992</v>
      </c>
      <c r="S1480" s="7" t="n">
        <f aca="false">(S1479*13+Q1480)/14</f>
        <v>130.100109375116</v>
      </c>
      <c r="T1480" s="7" t="n">
        <f aca="false">IF(S1480=0,100,100-100/(1+R1480/S1480))</f>
        <v>43.4534655140264</v>
      </c>
      <c r="U1480" s="7" t="n">
        <f aca="false">E1480*2/13+U1479*11/13</f>
        <v>25256.4650881141</v>
      </c>
      <c r="V1480" s="7" t="n">
        <f aca="false">E1480*2/27+V1479*25/27</f>
        <v>25202.8823973306</v>
      </c>
      <c r="W1480" s="7" t="n">
        <f aca="false">U1480-V1480</f>
        <v>53.5826907835763</v>
      </c>
      <c r="X1480" s="7" t="n">
        <f aca="false">W1480*2/10+X1479*8/10</f>
        <v>178.032154513045</v>
      </c>
      <c r="Y1480" s="7" t="n">
        <f aca="false">W1480-X1480</f>
        <v>-124.449463729468</v>
      </c>
      <c r="Z1480" s="8" t="s">
        <v>42</v>
      </c>
      <c r="AA1480" s="7" t="str">
        <f aca="false">IFERROR(INDEX(02_轉折點45!B:B,MATCH(A1480,02_轉折點45!A:A,0)),"")</f>
        <v/>
      </c>
      <c r="AB1480" s="7" t="n">
        <f aca="false">COUNTIFS(05_訊號明細!A:A,A1480,05_訊號明細!C:C,"TOP")</f>
        <v>0</v>
      </c>
      <c r="AC1480" s="7" t="n">
        <f aca="false">COUNTIFS(05_訊號明細!A:A,A1480,05_訊號明細!C:C,"BOTTOM")</f>
        <v>0</v>
      </c>
    </row>
    <row r="1481" customFormat="false" ht="15" hidden="false" customHeight="false" outlineLevel="0" collapsed="false">
      <c r="A1481" s="7" t="s">
        <v>1522</v>
      </c>
      <c r="B1481" s="7" t="n">
        <v>24651.78</v>
      </c>
      <c r="C1481" s="7" t="n">
        <v>24735.12</v>
      </c>
      <c r="D1481" s="7" t="n">
        <v>24299.29</v>
      </c>
      <c r="E1481" s="7" t="n">
        <v>24503.1</v>
      </c>
      <c r="F1481" s="7" t="n">
        <v>8606</v>
      </c>
      <c r="G1481" s="7" t="n">
        <f aca="false">AVERAGE(E1477:E1481)</f>
        <v>24964.41</v>
      </c>
      <c r="H1481" s="7" t="n">
        <f aca="false">AVERAGE(E1472:E1481)</f>
        <v>25177.716</v>
      </c>
      <c r="I1481" s="7" t="n">
        <f aca="false">AVERAGE(E1462:E1481)</f>
        <v>25403.3435</v>
      </c>
      <c r="J1481" s="7" t="n">
        <f aca="false">AVERAGE(E1432:E1481)</f>
        <v>24929.676</v>
      </c>
      <c r="K1481" s="7" t="n">
        <f aca="false">AVERAGE(E1382:E1481)</f>
        <v>24091.3699</v>
      </c>
      <c r="L1481" s="7" t="n">
        <f aca="false">AVERAGE(E1282:E1481)</f>
        <v>22293.36235</v>
      </c>
      <c r="M1481" s="7" t="n">
        <f aca="false">I1481</f>
        <v>25403.3435</v>
      </c>
      <c r="N1481" s="7" t="n">
        <f aca="false">I1481+2*STDEV(E1462:E1481)</f>
        <v>26307.5287126121</v>
      </c>
      <c r="O1481" s="7" t="n">
        <f aca="false">I1481-2*STDEV(E1462:E1481)</f>
        <v>24499.1582873879</v>
      </c>
      <c r="P1481" s="7" t="n">
        <f aca="false">MAX(E1481-E1480,0)</f>
        <v>0</v>
      </c>
      <c r="Q1481" s="7" t="n">
        <f aca="false">MAX(E1480-E1481,0)</f>
        <v>296.82</v>
      </c>
      <c r="R1481" s="7" t="n">
        <f aca="false">(R1480*13+P1481)/14</f>
        <v>92.8349274974636</v>
      </c>
      <c r="S1481" s="7" t="n">
        <f aca="false">(S1480*13+Q1481)/14</f>
        <v>142.008672991179</v>
      </c>
      <c r="T1481" s="7" t="n">
        <f aca="false">IF(S1481=0,100,100-100/(1+R1481/S1481))</f>
        <v>39.5305332162769</v>
      </c>
      <c r="U1481" s="7" t="n">
        <f aca="false">E1481*2/13+U1480*11/13</f>
        <v>25140.5627668658</v>
      </c>
      <c r="V1481" s="7" t="n">
        <f aca="false">E1481*2/27+V1480*25/27</f>
        <v>25151.046664195</v>
      </c>
      <c r="W1481" s="7" t="n">
        <f aca="false">U1481-V1481</f>
        <v>-10.4838973291553</v>
      </c>
      <c r="X1481" s="7" t="n">
        <f aca="false">W1481*2/10+X1480*8/10</f>
        <v>140.328944144605</v>
      </c>
      <c r="Y1481" s="7" t="n">
        <f aca="false">W1481-X1481</f>
        <v>-150.81284147376</v>
      </c>
      <c r="Z1481" s="8" t="s">
        <v>42</v>
      </c>
      <c r="AA1481" s="7" t="str">
        <f aca="false">IFERROR(INDEX(02_轉折點45!B:B,MATCH(A1481,02_轉折點45!A:A,0)),"")</f>
        <v/>
      </c>
      <c r="AB1481" s="7" t="n">
        <f aca="false">COUNTIFS(05_訊號明細!A:A,A1481,05_訊號明細!C:C,"TOP")</f>
        <v>1</v>
      </c>
      <c r="AC1481" s="7" t="n">
        <f aca="false">COUNTIFS(05_訊號明細!A:A,A1481,05_訊號明細!C:C,"BOTTOM")</f>
        <v>0</v>
      </c>
    </row>
    <row r="1482" customFormat="false" ht="15" hidden="false" customHeight="false" outlineLevel="0" collapsed="false">
      <c r="A1482" s="7" t="s">
        <v>1523</v>
      </c>
      <c r="B1482" s="7" t="n">
        <v>24517.27</v>
      </c>
      <c r="C1482" s="7" t="n">
        <v>24904.66</v>
      </c>
      <c r="D1482" s="7" t="n">
        <v>24432.19</v>
      </c>
      <c r="E1482" s="7" t="n">
        <v>24640.52</v>
      </c>
      <c r="F1482" s="7" t="n">
        <v>8434</v>
      </c>
      <c r="G1482" s="7" t="n">
        <f aca="false">AVERAGE(E1478:E1482)</f>
        <v>24789.048</v>
      </c>
      <c r="H1482" s="7" t="n">
        <f aca="false">AVERAGE(E1473:E1482)</f>
        <v>25079.765</v>
      </c>
      <c r="I1482" s="7" t="n">
        <f aca="false">AVERAGE(E1463:E1482)</f>
        <v>25391.419</v>
      </c>
      <c r="J1482" s="7" t="n">
        <f aca="false">AVERAGE(E1433:E1482)</f>
        <v>24945.501</v>
      </c>
      <c r="K1482" s="7" t="n">
        <f aca="false">AVERAGE(E1383:E1482)</f>
        <v>24110.985</v>
      </c>
      <c r="L1482" s="7" t="n">
        <f aca="false">AVERAGE(E1283:E1482)</f>
        <v>22308.73035</v>
      </c>
      <c r="M1482" s="7" t="n">
        <f aca="false">I1482</f>
        <v>25391.419</v>
      </c>
      <c r="N1482" s="7" t="n">
        <f aca="false">I1482+2*STDEV(E1463:E1482)</f>
        <v>26330.3430166309</v>
      </c>
      <c r="O1482" s="7" t="n">
        <f aca="false">I1482-2*STDEV(E1463:E1482)</f>
        <v>24452.4949833691</v>
      </c>
      <c r="P1482" s="7" t="n">
        <f aca="false">MAX(E1482-E1481,0)</f>
        <v>137.420000000002</v>
      </c>
      <c r="Q1482" s="7" t="n">
        <f aca="false">MAX(E1481-E1482,0)</f>
        <v>0</v>
      </c>
      <c r="R1482" s="7" t="n">
        <f aca="false">(R1481*13+P1482)/14</f>
        <v>96.0195755333592</v>
      </c>
      <c r="S1482" s="7" t="n">
        <f aca="false">(S1481*13+Q1482)/14</f>
        <v>131.865196348952</v>
      </c>
      <c r="T1482" s="7" t="n">
        <f aca="false">IF(S1482=0,100,100-100/(1+R1482/S1482))</f>
        <v>42.1351434500185</v>
      </c>
      <c r="U1482" s="7" t="n">
        <f aca="false">E1482*2/13+U1481*11/13</f>
        <v>25063.6331104249</v>
      </c>
      <c r="V1482" s="7" t="n">
        <f aca="false">E1482*2/27+V1481*25/27</f>
        <v>25113.2298742546</v>
      </c>
      <c r="W1482" s="7" t="n">
        <f aca="false">U1482-V1482</f>
        <v>-49.5967638296825</v>
      </c>
      <c r="X1482" s="7" t="n">
        <f aca="false">W1482*2/10+X1481*8/10</f>
        <v>102.343802549747</v>
      </c>
      <c r="Y1482" s="7" t="n">
        <f aca="false">W1482-X1482</f>
        <v>-151.94056637943</v>
      </c>
      <c r="Z1482" s="8" t="s">
        <v>42</v>
      </c>
      <c r="AA1482" s="7" t="str">
        <f aca="false">IFERROR(INDEX(02_轉折點45!B:B,MATCH(A1482,02_轉折點45!A:A,0)),"")</f>
        <v/>
      </c>
      <c r="AB1482" s="7" t="n">
        <f aca="false">COUNTIFS(05_訊號明細!A:A,A1482,05_訊號明細!C:C,"TOP")</f>
        <v>0</v>
      </c>
      <c r="AC1482" s="7" t="n">
        <f aca="false">COUNTIFS(05_訊號明細!A:A,A1482,05_訊號明細!C:C,"BOTTOM")</f>
        <v>0</v>
      </c>
    </row>
    <row r="1483" customFormat="false" ht="15" hidden="false" customHeight="false" outlineLevel="0" collapsed="false">
      <c r="A1483" s="7" t="s">
        <v>1524</v>
      </c>
      <c r="B1483" s="7" t="n">
        <v>25131.49</v>
      </c>
      <c r="C1483" s="7" t="n">
        <v>25222.95</v>
      </c>
      <c r="D1483" s="7" t="n">
        <v>24021.44</v>
      </c>
      <c r="E1483" s="7" t="n">
        <v>24054.38</v>
      </c>
      <c r="F1483" s="7" t="n">
        <v>10549</v>
      </c>
      <c r="G1483" s="7" t="n">
        <f aca="false">AVERAGE(E1479:E1483)</f>
        <v>24601.232</v>
      </c>
      <c r="H1483" s="7" t="n">
        <f aca="false">AVERAGE(E1474:E1483)</f>
        <v>24972.199</v>
      </c>
      <c r="I1483" s="7" t="n">
        <f aca="false">AVERAGE(E1464:E1483)</f>
        <v>25339.2675</v>
      </c>
      <c r="J1483" s="7" t="n">
        <f aca="false">AVERAGE(E1434:E1483)</f>
        <v>24946.7374</v>
      </c>
      <c r="K1483" s="7" t="n">
        <f aca="false">AVERAGE(E1384:E1483)</f>
        <v>24126.7475</v>
      </c>
      <c r="L1483" s="7" t="n">
        <f aca="false">AVERAGE(E1284:E1483)</f>
        <v>22320.71145</v>
      </c>
      <c r="M1483" s="7" t="n">
        <f aca="false">I1483</f>
        <v>25339.2675</v>
      </c>
      <c r="N1483" s="7" t="n">
        <f aca="false">I1483+2*STDEV(E1464:E1483)</f>
        <v>26447.5457649037</v>
      </c>
      <c r="O1483" s="7" t="n">
        <f aca="false">I1483-2*STDEV(E1464:E1483)</f>
        <v>24230.9892350963</v>
      </c>
      <c r="P1483" s="7" t="n">
        <f aca="false">MAX(E1483-E1482,0)</f>
        <v>0</v>
      </c>
      <c r="Q1483" s="7" t="n">
        <f aca="false">MAX(E1482-E1483,0)</f>
        <v>586.139999999999</v>
      </c>
      <c r="R1483" s="7" t="n">
        <f aca="false">(R1482*13+P1483)/14</f>
        <v>89.1610344238335</v>
      </c>
      <c r="S1483" s="7" t="n">
        <f aca="false">(S1482*13+Q1483)/14</f>
        <v>164.313396609741</v>
      </c>
      <c r="T1483" s="7" t="n">
        <f aca="false">IF(S1483=0,100,100-100/(1+R1483/S1483))</f>
        <v>35.1755536289274</v>
      </c>
      <c r="U1483" s="7" t="n">
        <f aca="false">E1483*2/13+U1482*11/13</f>
        <v>24908.3634011288</v>
      </c>
      <c r="V1483" s="7" t="n">
        <f aca="false">E1483*2/27+V1482*25/27</f>
        <v>25034.7965502357</v>
      </c>
      <c r="W1483" s="7" t="n">
        <f aca="false">U1483-V1483</f>
        <v>-126.433149106964</v>
      </c>
      <c r="X1483" s="7" t="n">
        <f aca="false">W1483*2/10+X1482*8/10</f>
        <v>56.5884122184049</v>
      </c>
      <c r="Y1483" s="7" t="n">
        <f aca="false">W1483-X1483</f>
        <v>-183.021561325369</v>
      </c>
      <c r="Z1483" s="7" t="s">
        <v>78</v>
      </c>
      <c r="AA1483" s="7" t="str">
        <f aca="false">IFERROR(INDEX(02_轉折點45!B:B,MATCH(A1483,02_轉折點45!A:A,0)),"")</f>
        <v/>
      </c>
      <c r="AB1483" s="7" t="n">
        <f aca="false">COUNTIFS(05_訊號明細!A:A,A1483,05_訊號明細!C:C,"TOP")</f>
        <v>2</v>
      </c>
      <c r="AC1483" s="7" t="n">
        <f aca="false">COUNTIFS(05_訊號明細!A:A,A1483,05_訊號明細!C:C,"BOTTOM")</f>
        <v>0</v>
      </c>
    </row>
    <row r="1484" customFormat="false" ht="15" hidden="false" customHeight="false" outlineLevel="0" collapsed="false">
      <c r="A1484" s="7" t="s">
        <v>1525</v>
      </c>
      <c r="B1484" s="7" t="n">
        <v>24137.66</v>
      </c>
      <c r="C1484" s="7" t="n">
        <v>24521.84</v>
      </c>
      <c r="D1484" s="7" t="n">
        <v>23854.03</v>
      </c>
      <c r="E1484" s="7" t="n">
        <v>24239.57</v>
      </c>
      <c r="F1484" s="7" t="n">
        <v>9931</v>
      </c>
      <c r="G1484" s="7" t="n">
        <f aca="false">AVERAGE(E1480:E1484)</f>
        <v>24447.498</v>
      </c>
      <c r="H1484" s="7" t="n">
        <f aca="false">AVERAGE(E1475:E1484)</f>
        <v>24890.175</v>
      </c>
      <c r="I1484" s="7" t="n">
        <f aca="false">AVERAGE(E1465:E1484)</f>
        <v>25283.338</v>
      </c>
      <c r="J1484" s="7" t="n">
        <f aca="false">AVERAGE(E1435:E1484)</f>
        <v>24949.685</v>
      </c>
      <c r="K1484" s="7" t="n">
        <f aca="false">AVERAGE(E1385:E1484)</f>
        <v>24142.7243</v>
      </c>
      <c r="L1484" s="7" t="n">
        <f aca="false">AVERAGE(E1285:E1484)</f>
        <v>22333.03895</v>
      </c>
      <c r="M1484" s="7" t="n">
        <f aca="false">I1484</f>
        <v>25283.338</v>
      </c>
      <c r="N1484" s="7" t="n">
        <f aca="false">I1484+2*STDEV(E1465:E1484)</f>
        <v>26495.6215233532</v>
      </c>
      <c r="O1484" s="7" t="n">
        <f aca="false">I1484-2*STDEV(E1465:E1484)</f>
        <v>24071.0544766468</v>
      </c>
      <c r="P1484" s="7" t="n">
        <f aca="false">MAX(E1484-E1483,0)</f>
        <v>185.189999999999</v>
      </c>
      <c r="Q1484" s="7" t="n">
        <f aca="false">MAX(E1483-E1484,0)</f>
        <v>0</v>
      </c>
      <c r="R1484" s="7" t="n">
        <f aca="false">(R1483*13+P1484)/14</f>
        <v>96.0202462507025</v>
      </c>
      <c r="S1484" s="7" t="n">
        <f aca="false">(S1483*13+Q1484)/14</f>
        <v>152.576725423331</v>
      </c>
      <c r="T1484" s="7" t="n">
        <f aca="false">IF(S1484=0,100,100-100/(1+R1484/S1484))</f>
        <v>38.6248656225011</v>
      </c>
      <c r="U1484" s="7" t="n">
        <f aca="false">E1484*2/13+U1483*11/13</f>
        <v>24805.4721086474</v>
      </c>
      <c r="V1484" s="7" t="n">
        <f aca="false">E1484*2/27+V1483*25/27</f>
        <v>24975.8908798479</v>
      </c>
      <c r="W1484" s="7" t="n">
        <f aca="false">U1484-V1484</f>
        <v>-170.418771200479</v>
      </c>
      <c r="X1484" s="7" t="n">
        <f aca="false">W1484*2/10+X1483*8/10</f>
        <v>11.1869755346282</v>
      </c>
      <c r="Y1484" s="7" t="n">
        <f aca="false">W1484-X1484</f>
        <v>-181.605746735107</v>
      </c>
      <c r="Z1484" s="7" t="s">
        <v>78</v>
      </c>
      <c r="AA1484" s="7" t="str">
        <f aca="false">IFERROR(INDEX(02_轉折點45!B:B,MATCH(A1484,02_轉折點45!A:A,0)),"")</f>
        <v/>
      </c>
      <c r="AB1484" s="7" t="n">
        <f aca="false">COUNTIFS(05_訊號明細!A:A,A1484,05_訊號明細!C:C,"TOP")</f>
        <v>2</v>
      </c>
      <c r="AC1484" s="7" t="n">
        <f aca="false">COUNTIFS(05_訊號明細!A:A,A1484,05_訊號明細!C:C,"BOTTOM")</f>
        <v>0</v>
      </c>
    </row>
    <row r="1485" customFormat="false" ht="15" hidden="false" customHeight="false" outlineLevel="0" collapsed="false">
      <c r="A1485" s="7" t="s">
        <v>1526</v>
      </c>
      <c r="B1485" s="7" t="n">
        <v>24462.87</v>
      </c>
      <c r="C1485" s="7" t="n">
        <v>24923.59</v>
      </c>
      <c r="D1485" s="7" t="n">
        <v>24455.65</v>
      </c>
      <c r="E1485" s="7" t="n">
        <v>24873.85</v>
      </c>
      <c r="F1485" s="7" t="n">
        <v>9232</v>
      </c>
      <c r="G1485" s="7" t="n">
        <f aca="false">AVERAGE(E1481:E1485)</f>
        <v>24462.284</v>
      </c>
      <c r="H1485" s="7" t="n">
        <f aca="false">AVERAGE(E1476:E1485)</f>
        <v>24816.386</v>
      </c>
      <c r="I1485" s="7" t="n">
        <f aca="false">AVERAGE(E1466:E1485)</f>
        <v>25235.953</v>
      </c>
      <c r="J1485" s="7" t="n">
        <f aca="false">AVERAGE(E1436:E1485)</f>
        <v>24961.2864</v>
      </c>
      <c r="K1485" s="7" t="n">
        <f aca="false">AVERAGE(E1386:E1485)</f>
        <v>24162.7931</v>
      </c>
      <c r="L1485" s="7" t="n">
        <f aca="false">AVERAGE(E1286:E1485)</f>
        <v>22349.95165</v>
      </c>
      <c r="M1485" s="7" t="n">
        <f aca="false">I1485</f>
        <v>25235.953</v>
      </c>
      <c r="N1485" s="7" t="n">
        <f aca="false">I1485+2*STDEV(E1466:E1485)</f>
        <v>26433.6569762918</v>
      </c>
      <c r="O1485" s="7" t="n">
        <f aca="false">I1485-2*STDEV(E1466:E1485)</f>
        <v>24038.2490237082</v>
      </c>
      <c r="P1485" s="7" t="n">
        <f aca="false">MAX(E1485-E1484,0)</f>
        <v>634.279999999999</v>
      </c>
      <c r="Q1485" s="7" t="n">
        <f aca="false">MAX(E1484-E1485,0)</f>
        <v>0</v>
      </c>
      <c r="R1485" s="7" t="n">
        <f aca="false">(R1484*13+P1485)/14</f>
        <v>134.467371518509</v>
      </c>
      <c r="S1485" s="7" t="n">
        <f aca="false">(S1484*13+Q1485)/14</f>
        <v>141.678387893093</v>
      </c>
      <c r="T1485" s="7" t="n">
        <f aca="false">IF(S1485=0,100,100-100/(1+R1485/S1485))</f>
        <v>48.6943459877949</v>
      </c>
      <c r="U1485" s="7" t="n">
        <f aca="false">E1485*2/13+U1484*11/13</f>
        <v>24815.9917842401</v>
      </c>
      <c r="V1485" s="7" t="n">
        <f aca="false">E1485*2/27+V1484*25/27</f>
        <v>24968.3322961555</v>
      </c>
      <c r="W1485" s="7" t="n">
        <f aca="false">U1485-V1485</f>
        <v>-152.340511915336</v>
      </c>
      <c r="X1485" s="7" t="n">
        <f aca="false">W1485*2/10+X1484*8/10</f>
        <v>-21.5185219553646</v>
      </c>
      <c r="Y1485" s="7" t="n">
        <f aca="false">W1485-X1485</f>
        <v>-130.821989959971</v>
      </c>
      <c r="Z1485" s="8" t="s">
        <v>42</v>
      </c>
      <c r="AA1485" s="7" t="str">
        <f aca="false">IFERROR(INDEX(02_轉折點45!B:B,MATCH(A1485,02_轉折點45!A:A,0)),"")</f>
        <v/>
      </c>
      <c r="AB1485" s="7" t="n">
        <f aca="false">COUNTIFS(05_訊號明細!A:A,A1485,05_訊號明細!C:C,"TOP")</f>
        <v>2</v>
      </c>
      <c r="AC1485" s="7" t="n">
        <f aca="false">COUNTIFS(05_訊號明細!A:A,A1485,05_訊號明細!C:C,"BOTTOM")</f>
        <v>0</v>
      </c>
    </row>
    <row r="1486" customFormat="false" ht="15" hidden="false" customHeight="false" outlineLevel="0" collapsed="false">
      <c r="A1486" s="7" t="s">
        <v>1527</v>
      </c>
      <c r="B1486" s="7" t="n">
        <v>24790.07</v>
      </c>
      <c r="C1486" s="7" t="n">
        <v>25069.54</v>
      </c>
      <c r="D1486" s="7" t="n">
        <v>24542.71</v>
      </c>
      <c r="E1486" s="7" t="n">
        <v>25018.36</v>
      </c>
      <c r="F1486" s="7" t="n">
        <v>8499</v>
      </c>
      <c r="G1486" s="7" t="n">
        <f aca="false">AVERAGE(E1482:E1486)</f>
        <v>24565.336</v>
      </c>
      <c r="H1486" s="7" t="n">
        <f aca="false">AVERAGE(E1477:E1486)</f>
        <v>24764.873</v>
      </c>
      <c r="I1486" s="7" t="n">
        <f aca="false">AVERAGE(E1467:E1486)</f>
        <v>25186.2635</v>
      </c>
      <c r="J1486" s="7" t="n">
        <f aca="false">AVERAGE(E1437:E1486)</f>
        <v>24976.1686</v>
      </c>
      <c r="K1486" s="7" t="n">
        <f aca="false">AVERAGE(E1387:E1486)</f>
        <v>24186.121</v>
      </c>
      <c r="L1486" s="7" t="n">
        <f aca="false">AVERAGE(E1287:E1486)</f>
        <v>22366.2598</v>
      </c>
      <c r="M1486" s="7" t="n">
        <f aca="false">I1486</f>
        <v>25186.2635</v>
      </c>
      <c r="N1486" s="7" t="n">
        <f aca="false">I1486+2*STDEV(E1467:E1486)</f>
        <v>26329.604345533</v>
      </c>
      <c r="O1486" s="7" t="n">
        <f aca="false">I1486-2*STDEV(E1467:E1486)</f>
        <v>24042.922654467</v>
      </c>
      <c r="P1486" s="7" t="n">
        <f aca="false">MAX(E1486-E1485,0)</f>
        <v>144.510000000002</v>
      </c>
      <c r="Q1486" s="7" t="n">
        <f aca="false">MAX(E1485-E1486,0)</f>
        <v>0</v>
      </c>
      <c r="R1486" s="7" t="n">
        <f aca="false">(R1485*13+P1486)/14</f>
        <v>135.18470212433</v>
      </c>
      <c r="S1486" s="7" t="n">
        <f aca="false">(S1485*13+Q1486)/14</f>
        <v>131.558503043586</v>
      </c>
      <c r="T1486" s="7" t="n">
        <f aca="false">IF(S1486=0,100,100-100/(1+R1486/S1486))</f>
        <v>50.6797172356202</v>
      </c>
      <c r="U1486" s="7" t="n">
        <f aca="false">E1486*2/13+U1485*11/13</f>
        <v>24847.1253558955</v>
      </c>
      <c r="V1486" s="7" t="n">
        <f aca="false">E1486*2/27+V1485*25/27</f>
        <v>24972.0380519958</v>
      </c>
      <c r="W1486" s="7" t="n">
        <f aca="false">U1486-V1486</f>
        <v>-124.912696100306</v>
      </c>
      <c r="X1486" s="7" t="n">
        <f aca="false">W1486*2/10+X1485*8/10</f>
        <v>-42.1973567843529</v>
      </c>
      <c r="Y1486" s="7" t="n">
        <f aca="false">W1486-X1486</f>
        <v>-82.7153393159529</v>
      </c>
      <c r="Z1486" s="8" t="s">
        <v>42</v>
      </c>
      <c r="AA1486" s="7" t="str">
        <f aca="false">IFERROR(INDEX(02_轉折點45!B:B,MATCH(A1486,02_轉折點45!A:A,0)),"")</f>
        <v/>
      </c>
      <c r="AB1486" s="7" t="n">
        <f aca="false">COUNTIFS(05_訊號明細!A:A,A1486,05_訊號明細!C:C,"TOP")</f>
        <v>0</v>
      </c>
      <c r="AC1486" s="7" t="n">
        <f aca="false">COUNTIFS(05_訊號明細!A:A,A1486,05_訊號明細!C:C,"BOTTOM")</f>
        <v>0</v>
      </c>
    </row>
    <row r="1487" customFormat="false" ht="15" hidden="false" customHeight="false" outlineLevel="0" collapsed="false">
      <c r="A1487" s="7" t="s">
        <v>1528</v>
      </c>
      <c r="B1487" s="7" t="n">
        <v>25168.31</v>
      </c>
      <c r="C1487" s="7" t="n">
        <v>25309.15</v>
      </c>
      <c r="D1487" s="7" t="n">
        <v>25077.86</v>
      </c>
      <c r="E1487" s="7" t="n">
        <v>25236.94</v>
      </c>
      <c r="F1487" s="7" t="n">
        <v>7291</v>
      </c>
      <c r="G1487" s="7" t="n">
        <f aca="false">AVERAGE(E1483:E1487)</f>
        <v>24684.62</v>
      </c>
      <c r="H1487" s="7" t="n">
        <f aca="false">AVERAGE(E1478:E1487)</f>
        <v>24736.834</v>
      </c>
      <c r="I1487" s="7" t="n">
        <f aca="false">AVERAGE(E1468:E1487)</f>
        <v>25142.118</v>
      </c>
      <c r="J1487" s="7" t="n">
        <f aca="false">AVERAGE(E1438:E1487)</f>
        <v>24996.4336</v>
      </c>
      <c r="K1487" s="7" t="n">
        <f aca="false">AVERAGE(E1388:E1487)</f>
        <v>24211.4679</v>
      </c>
      <c r="L1487" s="7" t="n">
        <f aca="false">AVERAGE(E1288:E1487)</f>
        <v>22383.9769</v>
      </c>
      <c r="M1487" s="7" t="n">
        <f aca="false">I1487</f>
        <v>25142.118</v>
      </c>
      <c r="N1487" s="7" t="n">
        <f aca="false">I1487+2*STDEV(E1468:E1487)</f>
        <v>26198.561111211</v>
      </c>
      <c r="O1487" s="7" t="n">
        <f aca="false">I1487-2*STDEV(E1468:E1487)</f>
        <v>24085.674888789</v>
      </c>
      <c r="P1487" s="7" t="n">
        <f aca="false">MAX(E1487-E1486,0)</f>
        <v>218.579999999998</v>
      </c>
      <c r="Q1487" s="7" t="n">
        <f aca="false">MAX(E1486-E1487,0)</f>
        <v>0</v>
      </c>
      <c r="R1487" s="7" t="n">
        <f aca="false">(R1486*13+P1487)/14</f>
        <v>141.141509115449</v>
      </c>
      <c r="S1487" s="7" t="n">
        <f aca="false">(S1486*13+Q1487)/14</f>
        <v>122.161467111902</v>
      </c>
      <c r="T1487" s="7" t="n">
        <f aca="false">IF(S1487=0,100,100-100/(1+R1487/S1487))</f>
        <v>53.6042209388395</v>
      </c>
      <c r="U1487" s="7" t="n">
        <f aca="false">E1487*2/13+U1486*11/13</f>
        <v>24907.0968396039</v>
      </c>
      <c r="V1487" s="7" t="n">
        <f aca="false">E1487*2/27+V1486*25/27</f>
        <v>24991.6604185146</v>
      </c>
      <c r="W1487" s="7" t="n">
        <f aca="false">U1487-V1487</f>
        <v>-84.563578910751</v>
      </c>
      <c r="X1487" s="7" t="n">
        <f aca="false">W1487*2/10+X1486*8/10</f>
        <v>-50.6706012096325</v>
      </c>
      <c r="Y1487" s="7" t="n">
        <f aca="false">W1487-X1487</f>
        <v>-33.8929777011185</v>
      </c>
      <c r="Z1487" s="8" t="s">
        <v>42</v>
      </c>
      <c r="AA1487" s="7" t="str">
        <f aca="false">IFERROR(INDEX(02_轉折點45!B:B,MATCH(A1487,02_轉折點45!A:A,0)),"")</f>
        <v/>
      </c>
      <c r="AB1487" s="7" t="n">
        <f aca="false">COUNTIFS(05_訊號明細!A:A,A1487,05_訊號明細!C:C,"TOP")</f>
        <v>0</v>
      </c>
      <c r="AC1487" s="7" t="n">
        <f aca="false">COUNTIFS(05_訊號明細!A:A,A1487,05_訊號明細!C:C,"BOTTOM")</f>
        <v>0</v>
      </c>
    </row>
    <row r="1488" customFormat="false" ht="15" hidden="false" customHeight="false" outlineLevel="0" collapsed="false">
      <c r="A1488" s="7" t="s">
        <v>1529</v>
      </c>
      <c r="B1488" s="7" t="n">
        <v>25310.28</v>
      </c>
      <c r="C1488" s="7" t="n">
        <v>25435.77</v>
      </c>
      <c r="D1488" s="7" t="n">
        <v>25280.96</v>
      </c>
      <c r="E1488" s="7" t="n">
        <v>25434.89</v>
      </c>
      <c r="F1488" s="7" t="n">
        <v>4541</v>
      </c>
      <c r="G1488" s="7" t="n">
        <f aca="false">AVERAGE(E1484:E1488)</f>
        <v>24960.722</v>
      </c>
      <c r="H1488" s="7" t="n">
        <f aca="false">AVERAGE(E1479:E1488)</f>
        <v>24780.977</v>
      </c>
      <c r="I1488" s="7" t="n">
        <f aca="false">AVERAGE(E1469:E1488)</f>
        <v>25127.122</v>
      </c>
      <c r="J1488" s="7" t="n">
        <f aca="false">AVERAGE(E1439:E1488)</f>
        <v>25016.0336</v>
      </c>
      <c r="K1488" s="7" t="n">
        <f aca="false">AVERAGE(E1389:E1488)</f>
        <v>24237.1677</v>
      </c>
      <c r="L1488" s="7" t="n">
        <f aca="false">AVERAGE(E1289:E1488)</f>
        <v>22402.55505</v>
      </c>
      <c r="M1488" s="7" t="n">
        <f aca="false">I1488</f>
        <v>25127.122</v>
      </c>
      <c r="N1488" s="7" t="n">
        <f aca="false">I1488+2*STDEV(E1469:E1488)</f>
        <v>26156.3042263198</v>
      </c>
      <c r="O1488" s="7" t="n">
        <f aca="false">I1488-2*STDEV(E1469:E1488)</f>
        <v>24097.9397736802</v>
      </c>
      <c r="P1488" s="7" t="n">
        <f aca="false">MAX(E1488-E1487,0)</f>
        <v>197.950000000001</v>
      </c>
      <c r="Q1488" s="7" t="n">
        <f aca="false">MAX(E1487-E1488,0)</f>
        <v>0</v>
      </c>
      <c r="R1488" s="7" t="n">
        <f aca="false">(R1487*13+P1488)/14</f>
        <v>145.199258464346</v>
      </c>
      <c r="S1488" s="7" t="n">
        <f aca="false">(S1487*13+Q1488)/14</f>
        <v>113.43564803248</v>
      </c>
      <c r="T1488" s="7" t="n">
        <f aca="false">IF(S1488=0,100,100-100/(1+R1488/S1488))</f>
        <v>56.1406271222434</v>
      </c>
      <c r="U1488" s="7" t="n">
        <f aca="false">E1488*2/13+U1487*11/13</f>
        <v>24988.2957873571</v>
      </c>
      <c r="V1488" s="7" t="n">
        <f aca="false">E1488*2/27+V1487*25/27</f>
        <v>25024.4922393654</v>
      </c>
      <c r="W1488" s="7" t="n">
        <f aca="false">U1488-V1488</f>
        <v>-36.1964520082693</v>
      </c>
      <c r="X1488" s="7" t="n">
        <f aca="false">W1488*2/10+X1487*8/10</f>
        <v>-47.7757713693598</v>
      </c>
      <c r="Y1488" s="7" t="n">
        <f aca="false">W1488-X1488</f>
        <v>11.5793193610906</v>
      </c>
      <c r="Z1488" s="8" t="s">
        <v>42</v>
      </c>
      <c r="AA1488" s="7" t="str">
        <f aca="false">IFERROR(INDEX(02_轉折點45!B:B,MATCH(A1488,02_轉折點45!A:A,0)),"")</f>
        <v/>
      </c>
      <c r="AB1488" s="7" t="n">
        <f aca="false">COUNTIFS(05_訊號明細!A:A,A1488,05_訊號明細!C:C,"TOP")</f>
        <v>0</v>
      </c>
      <c r="AC1488" s="7" t="n">
        <f aca="false">COUNTIFS(05_訊號明細!A:A,A1488,05_訊號明細!C:C,"BOTTOM")</f>
        <v>0</v>
      </c>
    </row>
    <row r="1489" customFormat="false" ht="15" hidden="false" customHeight="false" outlineLevel="0" collapsed="false">
      <c r="A1489" s="7" t="s">
        <v>1530</v>
      </c>
      <c r="B1489" s="7" t="n">
        <v>25232.75</v>
      </c>
      <c r="C1489" s="7" t="n">
        <v>25443.21</v>
      </c>
      <c r="D1489" s="7" t="n">
        <v>25158.63</v>
      </c>
      <c r="E1489" s="7" t="n">
        <v>25342.85</v>
      </c>
      <c r="F1489" s="7" t="n">
        <v>7860</v>
      </c>
      <c r="G1489" s="7" t="n">
        <f aca="false">AVERAGE(E1485:E1489)</f>
        <v>25181.378</v>
      </c>
      <c r="H1489" s="7" t="n">
        <f aca="false">AVERAGE(E1480:E1489)</f>
        <v>24814.438</v>
      </c>
      <c r="I1489" s="7" t="n">
        <f aca="false">AVERAGE(E1470:E1489)</f>
        <v>25101.358</v>
      </c>
      <c r="J1489" s="7" t="n">
        <f aca="false">AVERAGE(E1440:E1489)</f>
        <v>25030.3656</v>
      </c>
      <c r="K1489" s="7" t="n">
        <f aca="false">AVERAGE(E1390:E1489)</f>
        <v>24262.3036</v>
      </c>
      <c r="L1489" s="7" t="n">
        <f aca="false">AVERAGE(E1290:E1489)</f>
        <v>22419.11575</v>
      </c>
      <c r="M1489" s="7" t="n">
        <f aca="false">I1489</f>
        <v>25101.358</v>
      </c>
      <c r="N1489" s="7" t="n">
        <f aca="false">I1489+2*STDEV(E1470:E1489)</f>
        <v>26077.9435082749</v>
      </c>
      <c r="O1489" s="7" t="n">
        <f aca="false">I1489-2*STDEV(E1470:E1489)</f>
        <v>24124.7724917251</v>
      </c>
      <c r="P1489" s="7" t="n">
        <f aca="false">MAX(E1489-E1488,0)</f>
        <v>0</v>
      </c>
      <c r="Q1489" s="7" t="n">
        <f aca="false">MAX(E1488-E1489,0)</f>
        <v>92.0400000000009</v>
      </c>
      <c r="R1489" s="7" t="n">
        <f aca="false">(R1488*13+P1489)/14</f>
        <v>134.82788285975</v>
      </c>
      <c r="S1489" s="7" t="n">
        <f aca="false">(S1488*13+Q1489)/14</f>
        <v>111.907387458732</v>
      </c>
      <c r="T1489" s="7" t="n">
        <f aca="false">IF(S1489=0,100,100-100/(1+R1489/S1489))</f>
        <v>54.6447545524061</v>
      </c>
      <c r="U1489" s="7" t="n">
        <f aca="false">E1489*2/13+U1488*11/13</f>
        <v>25042.8425893022</v>
      </c>
      <c r="V1489" s="7" t="n">
        <f aca="false">E1489*2/27+V1488*25/27</f>
        <v>25048.0742957087</v>
      </c>
      <c r="W1489" s="7" t="n">
        <f aca="false">U1489-V1489</f>
        <v>-5.2317064065137</v>
      </c>
      <c r="X1489" s="7" t="n">
        <f aca="false">W1489*2/10+X1488*8/10</f>
        <v>-39.2669583767906</v>
      </c>
      <c r="Y1489" s="7" t="n">
        <f aca="false">W1489-X1489</f>
        <v>34.0352519702769</v>
      </c>
      <c r="Z1489" s="8" t="s">
        <v>42</v>
      </c>
      <c r="AA1489" s="7" t="str">
        <f aca="false">IFERROR(INDEX(02_轉折點45!B:B,MATCH(A1489,02_轉折點45!A:A,0)),"")</f>
        <v/>
      </c>
      <c r="AB1489" s="7" t="n">
        <f aca="false">COUNTIFS(05_訊號明細!A:A,A1489,05_訊號明細!C:C,"TOP")</f>
        <v>0</v>
      </c>
      <c r="AC1489" s="7" t="n">
        <f aca="false">COUNTIFS(05_訊號明細!A:A,A1489,05_訊號明細!C:C,"BOTTOM")</f>
        <v>0</v>
      </c>
    </row>
    <row r="1490" customFormat="false" ht="15" hidden="false" customHeight="false" outlineLevel="0" collapsed="false">
      <c r="A1490" s="7" t="s">
        <v>1531</v>
      </c>
      <c r="B1490" s="7" t="n">
        <v>25449.87</v>
      </c>
      <c r="C1490" s="7" t="n">
        <v>25622.58</v>
      </c>
      <c r="D1490" s="7" t="n">
        <v>25369.36</v>
      </c>
      <c r="E1490" s="7" t="n">
        <v>25555.86</v>
      </c>
      <c r="F1490" s="7" t="n">
        <v>7589</v>
      </c>
      <c r="G1490" s="7" t="n">
        <f aca="false">AVERAGE(E1486:E1490)</f>
        <v>25317.78</v>
      </c>
      <c r="H1490" s="7" t="n">
        <f aca="false">AVERAGE(E1481:E1490)</f>
        <v>24890.032</v>
      </c>
      <c r="I1490" s="7" t="n">
        <f aca="false">AVERAGE(E1471:E1490)</f>
        <v>25080.504</v>
      </c>
      <c r="J1490" s="7" t="n">
        <f aca="false">AVERAGE(E1441:E1490)</f>
        <v>25046.2614</v>
      </c>
      <c r="K1490" s="7" t="n">
        <f aca="false">AVERAGE(E1391:E1490)</f>
        <v>24290.0562</v>
      </c>
      <c r="L1490" s="7" t="n">
        <f aca="false">AVERAGE(E1291:E1490)</f>
        <v>22436.3216</v>
      </c>
      <c r="M1490" s="7" t="n">
        <f aca="false">I1490</f>
        <v>25080.504</v>
      </c>
      <c r="N1490" s="7" t="n">
        <f aca="false">I1490+2*STDEV(E1471:E1490)</f>
        <v>25994.5333165954</v>
      </c>
      <c r="O1490" s="7" t="n">
        <f aca="false">I1490-2*STDEV(E1471:E1490)</f>
        <v>24166.4746834046</v>
      </c>
      <c r="P1490" s="7" t="n">
        <f aca="false">MAX(E1490-E1489,0)</f>
        <v>213.010000000002</v>
      </c>
      <c r="Q1490" s="7" t="n">
        <f aca="false">MAX(E1489-E1490,0)</f>
        <v>0</v>
      </c>
      <c r="R1490" s="7" t="n">
        <f aca="false">(R1489*13+P1490)/14</f>
        <v>140.412319798339</v>
      </c>
      <c r="S1490" s="7" t="n">
        <f aca="false">(S1489*13+Q1490)/14</f>
        <v>103.914002640251</v>
      </c>
      <c r="T1490" s="7" t="n">
        <f aca="false">IF(S1490=0,100,100-100/(1+R1490/S1490))</f>
        <v>57.4691741753004</v>
      </c>
      <c r="U1490" s="7" t="n">
        <f aca="false">E1490*2/13+U1489*11/13</f>
        <v>25121.7683447942</v>
      </c>
      <c r="V1490" s="7" t="n">
        <f aca="false">E1490*2/27+V1489*25/27</f>
        <v>25085.6880515821</v>
      </c>
      <c r="W1490" s="7" t="n">
        <f aca="false">U1490-V1490</f>
        <v>36.0802932120241</v>
      </c>
      <c r="X1490" s="7" t="n">
        <f aca="false">W1490*2/10+X1489*8/10</f>
        <v>-24.1975080590277</v>
      </c>
      <c r="Y1490" s="7" t="n">
        <f aca="false">W1490-X1490</f>
        <v>60.2778012710518</v>
      </c>
      <c r="Z1490" s="8" t="s">
        <v>42</v>
      </c>
      <c r="AA1490" s="7" t="str">
        <f aca="false">IFERROR(INDEX(02_轉折點45!B:B,MATCH(A1490,02_轉折點45!A:A,0)),"")</f>
        <v/>
      </c>
      <c r="AB1490" s="7" t="n">
        <f aca="false">COUNTIFS(05_訊號明細!A:A,A1490,05_訊號明細!C:C,"TOP")</f>
        <v>0</v>
      </c>
      <c r="AC1490" s="7" t="n">
        <f aca="false">COUNTIFS(05_訊號明細!A:A,A1490,05_訊號明細!C:C,"BOTTOM")</f>
        <v>0</v>
      </c>
    </row>
    <row r="1491" customFormat="false" ht="15" hidden="false" customHeight="false" outlineLevel="0" collapsed="false">
      <c r="A1491" s="7" t="s">
        <v>1532</v>
      </c>
      <c r="B1491" s="7" t="n">
        <v>25443.71</v>
      </c>
      <c r="C1491" s="7" t="n">
        <v>25639.99</v>
      </c>
      <c r="D1491" s="7" t="n">
        <v>25388.44</v>
      </c>
      <c r="E1491" s="7" t="n">
        <v>25606.54</v>
      </c>
      <c r="F1491" s="7" t="n">
        <v>7963</v>
      </c>
      <c r="G1491" s="7" t="n">
        <f aca="false">AVERAGE(E1487:E1491)</f>
        <v>25435.416</v>
      </c>
      <c r="H1491" s="7" t="n">
        <f aca="false">AVERAGE(E1482:E1491)</f>
        <v>25000.376</v>
      </c>
      <c r="I1491" s="7" t="n">
        <f aca="false">AVERAGE(E1472:E1491)</f>
        <v>25089.046</v>
      </c>
      <c r="J1491" s="7" t="n">
        <f aca="false">AVERAGE(E1442:E1491)</f>
        <v>25066.7888</v>
      </c>
      <c r="K1491" s="7" t="n">
        <f aca="false">AVERAGE(E1392:E1491)</f>
        <v>24317.5653</v>
      </c>
      <c r="L1491" s="7" t="n">
        <f aca="false">AVERAGE(E1292:E1491)</f>
        <v>22453.53125</v>
      </c>
      <c r="M1491" s="7" t="n">
        <f aca="false">I1491</f>
        <v>25089.046</v>
      </c>
      <c r="N1491" s="7" t="n">
        <f aca="false">I1491+2*STDEV(E1472:E1491)</f>
        <v>26020.0868346158</v>
      </c>
      <c r="O1491" s="7" t="n">
        <f aca="false">I1491-2*STDEV(E1472:E1491)</f>
        <v>24158.0051653842</v>
      </c>
      <c r="P1491" s="7" t="n">
        <f aca="false">MAX(E1491-E1490,0)</f>
        <v>50.6800000000003</v>
      </c>
      <c r="Q1491" s="7" t="n">
        <f aca="false">MAX(E1490-E1491,0)</f>
        <v>0</v>
      </c>
      <c r="R1491" s="7" t="n">
        <f aca="false">(R1490*13+P1491)/14</f>
        <v>134.002868384172</v>
      </c>
      <c r="S1491" s="7" t="n">
        <f aca="false">(S1490*13+Q1491)/14</f>
        <v>96.4915738802328</v>
      </c>
      <c r="T1491" s="7" t="n">
        <f aca="false">IF(S1491=0,100,100-100/(1+R1491/S1491))</f>
        <v>58.1371364392616</v>
      </c>
      <c r="U1491" s="7" t="n">
        <f aca="false">E1491*2/13+U1490*11/13</f>
        <v>25196.3485994412</v>
      </c>
      <c r="V1491" s="7" t="n">
        <f aca="false">E1491*2/27+V1490*25/27</f>
        <v>25124.2696773909</v>
      </c>
      <c r="W1491" s="7" t="n">
        <f aca="false">U1491-V1491</f>
        <v>72.078922050343</v>
      </c>
      <c r="X1491" s="7" t="n">
        <f aca="false">W1491*2/10+X1490*8/10</f>
        <v>-4.94222203715354</v>
      </c>
      <c r="Y1491" s="7" t="n">
        <f aca="false">W1491-X1491</f>
        <v>77.0211440874965</v>
      </c>
      <c r="Z1491" s="8" t="s">
        <v>42</v>
      </c>
      <c r="AA1491" s="7" t="str">
        <f aca="false">IFERROR(INDEX(02_轉折點45!B:B,MATCH(A1491,02_轉折點45!A:A,0)),"")</f>
        <v/>
      </c>
      <c r="AB1491" s="7" t="n">
        <f aca="false">COUNTIFS(05_訊號明細!A:A,A1491,05_訊號明細!C:C,"TOP")</f>
        <v>0</v>
      </c>
      <c r="AC1491" s="7" t="n">
        <f aca="false">COUNTIFS(05_訊號明細!A:A,A1491,05_訊號明細!C:C,"BOTTOM")</f>
        <v>0</v>
      </c>
    </row>
    <row r="1492" customFormat="false" ht="15" hidden="false" customHeight="false" outlineLevel="0" collapsed="false">
      <c r="A1492" s="7" t="s">
        <v>1533</v>
      </c>
      <c r="B1492" s="7" t="n">
        <v>25658.14</v>
      </c>
      <c r="C1492" s="7" t="n">
        <v>25658.27</v>
      </c>
      <c r="D1492" s="7" t="n">
        <v>25450.38</v>
      </c>
      <c r="E1492" s="7" t="n">
        <v>25581.7</v>
      </c>
      <c r="F1492" s="7" t="n">
        <v>7457</v>
      </c>
      <c r="G1492" s="7" t="n">
        <f aca="false">AVERAGE(E1488:E1492)</f>
        <v>25504.368</v>
      </c>
      <c r="H1492" s="7" t="n">
        <f aca="false">AVERAGE(E1483:E1492)</f>
        <v>25094.494</v>
      </c>
      <c r="I1492" s="7" t="n">
        <f aca="false">AVERAGE(E1473:E1492)</f>
        <v>25087.1295</v>
      </c>
      <c r="J1492" s="7" t="n">
        <f aca="false">AVERAGE(E1443:E1492)</f>
        <v>25088.3514</v>
      </c>
      <c r="K1492" s="7" t="n">
        <f aca="false">AVERAGE(E1393:E1492)</f>
        <v>24344.5364</v>
      </c>
      <c r="L1492" s="7" t="n">
        <f aca="false">AVERAGE(E1293:E1492)</f>
        <v>22470.56175</v>
      </c>
      <c r="M1492" s="7" t="n">
        <f aca="false">I1492</f>
        <v>25087.1295</v>
      </c>
      <c r="N1492" s="7" t="n">
        <f aca="false">I1492+2*STDEV(E1473:E1492)</f>
        <v>26013.7153571512</v>
      </c>
      <c r="O1492" s="7" t="n">
        <f aca="false">I1492-2*STDEV(E1473:E1492)</f>
        <v>24160.5436428488</v>
      </c>
      <c r="P1492" s="7" t="n">
        <f aca="false">MAX(E1492-E1491,0)</f>
        <v>0</v>
      </c>
      <c r="Q1492" s="7" t="n">
        <f aca="false">MAX(E1491-E1492,0)</f>
        <v>24.8400000000001</v>
      </c>
      <c r="R1492" s="7" t="n">
        <f aca="false">(R1491*13+P1492)/14</f>
        <v>124.43123492816</v>
      </c>
      <c r="S1492" s="7" t="n">
        <f aca="false">(S1491*13+Q1492)/14</f>
        <v>91.373604317359</v>
      </c>
      <c r="T1492" s="7" t="n">
        <f aca="false">IF(S1492=0,100,100-100/(1+R1492/S1492))</f>
        <v>57.6591495182347</v>
      </c>
      <c r="U1492" s="7" t="n">
        <f aca="false">E1492*2/13+U1491*11/13</f>
        <v>25255.6334302964</v>
      </c>
      <c r="V1492" s="7" t="n">
        <f aca="false">E1492*2/27+V1491*25/27</f>
        <v>25158.1534049915</v>
      </c>
      <c r="W1492" s="7" t="n">
        <f aca="false">U1492-V1492</f>
        <v>97.4800253048634</v>
      </c>
      <c r="X1492" s="7" t="n">
        <f aca="false">W1492*2/10+X1491*8/10</f>
        <v>15.5422274312498</v>
      </c>
      <c r="Y1492" s="7" t="n">
        <f aca="false">W1492-X1492</f>
        <v>81.9377978736135</v>
      </c>
      <c r="Z1492" s="8" t="s">
        <v>42</v>
      </c>
      <c r="AA1492" s="7" t="str">
        <f aca="false">IFERROR(INDEX(02_轉折點45!B:B,MATCH(A1492,02_轉折點45!A:A,0)),"")</f>
        <v/>
      </c>
      <c r="AB1492" s="7" t="n">
        <f aca="false">COUNTIFS(05_訊號明細!A:A,A1492,05_訊號明細!C:C,"TOP")</f>
        <v>0</v>
      </c>
      <c r="AC1492" s="7" t="n">
        <f aca="false">COUNTIFS(05_訊號明細!A:A,A1492,05_訊號明細!C:C,"BOTTOM")</f>
        <v>0</v>
      </c>
    </row>
    <row r="1493" customFormat="false" ht="15" hidden="false" customHeight="false" outlineLevel="0" collapsed="false">
      <c r="A1493" s="7" t="s">
        <v>1534</v>
      </c>
      <c r="B1493" s="7" t="n">
        <v>25657.78</v>
      </c>
      <c r="C1493" s="7" t="n">
        <v>25827.08</v>
      </c>
      <c r="D1493" s="7" t="n">
        <v>25617.35</v>
      </c>
      <c r="E1493" s="7" t="n">
        <v>25692.05</v>
      </c>
      <c r="F1493" s="7" t="n">
        <v>8248</v>
      </c>
      <c r="G1493" s="7" t="n">
        <f aca="false">AVERAGE(E1489:E1493)</f>
        <v>25555.8</v>
      </c>
      <c r="H1493" s="7" t="n">
        <f aca="false">AVERAGE(E1484:E1493)</f>
        <v>25258.261</v>
      </c>
      <c r="I1493" s="7" t="n">
        <f aca="false">AVERAGE(E1474:E1493)</f>
        <v>25115.23</v>
      </c>
      <c r="J1493" s="7" t="n">
        <f aca="false">AVERAGE(E1444:E1493)</f>
        <v>25114.2462</v>
      </c>
      <c r="K1493" s="7" t="n">
        <f aca="false">AVERAGE(E1394:E1493)</f>
        <v>24372.3772</v>
      </c>
      <c r="L1493" s="7" t="n">
        <f aca="false">AVERAGE(E1294:E1493)</f>
        <v>22488.6817</v>
      </c>
      <c r="M1493" s="7" t="n">
        <f aca="false">I1493</f>
        <v>25115.23</v>
      </c>
      <c r="N1493" s="7" t="n">
        <f aca="false">I1493+2*STDEV(E1474:E1493)</f>
        <v>26080.5727156906</v>
      </c>
      <c r="O1493" s="7" t="n">
        <f aca="false">I1493-2*STDEV(E1474:E1493)</f>
        <v>24149.8872843094</v>
      </c>
      <c r="P1493" s="7" t="n">
        <f aca="false">MAX(E1493-E1492,0)</f>
        <v>110.349999999999</v>
      </c>
      <c r="Q1493" s="7" t="n">
        <f aca="false">MAX(E1492-E1493,0)</f>
        <v>0</v>
      </c>
      <c r="R1493" s="7" t="n">
        <f aca="false">(R1492*13+P1493)/14</f>
        <v>123.425432433291</v>
      </c>
      <c r="S1493" s="7" t="n">
        <f aca="false">(S1492*13+Q1493)/14</f>
        <v>84.8469182946905</v>
      </c>
      <c r="T1493" s="7" t="n">
        <f aca="false">IF(S1493=0,100,100-100/(1+R1493/S1493))</f>
        <v>59.2615544031063</v>
      </c>
      <c r="U1493" s="7" t="n">
        <f aca="false">E1493*2/13+U1492*11/13</f>
        <v>25322.77444102</v>
      </c>
      <c r="V1493" s="7" t="n">
        <f aca="false">E1493*2/27+V1492*25/27</f>
        <v>25197.7013009181</v>
      </c>
      <c r="W1493" s="7" t="n">
        <f aca="false">U1493-V1493</f>
        <v>125.073140101948</v>
      </c>
      <c r="X1493" s="7" t="n">
        <f aca="false">W1493*2/10+X1492*8/10</f>
        <v>37.4484099653894</v>
      </c>
      <c r="Y1493" s="7" t="n">
        <f aca="false">W1493-X1493</f>
        <v>87.6247301365581</v>
      </c>
      <c r="Z1493" s="8" t="s">
        <v>42</v>
      </c>
      <c r="AA1493" s="7" t="str">
        <f aca="false">IFERROR(INDEX(02_轉折點45!B:B,MATCH(A1493,02_轉折點45!A:A,0)),"")</f>
        <v/>
      </c>
      <c r="AB1493" s="7" t="n">
        <f aca="false">COUNTIFS(05_訊號明細!A:A,A1493,05_訊號明細!C:C,"TOP")</f>
        <v>0</v>
      </c>
      <c r="AC1493" s="7" t="n">
        <f aca="false">COUNTIFS(05_訊號明細!A:A,A1493,05_訊號明細!C:C,"BOTTOM")</f>
        <v>0</v>
      </c>
    </row>
    <row r="1494" customFormat="false" ht="15" hidden="false" customHeight="false" outlineLevel="0" collapsed="false">
      <c r="A1494" s="7" t="s">
        <v>1535</v>
      </c>
      <c r="B1494" s="7" t="n">
        <v>25758.82</v>
      </c>
      <c r="C1494" s="7" t="n">
        <v>25828.16</v>
      </c>
      <c r="D1494" s="7" t="n">
        <v>25531.75</v>
      </c>
      <c r="E1494" s="7" t="n">
        <v>25627.95</v>
      </c>
      <c r="F1494" s="7" t="n">
        <v>8534</v>
      </c>
      <c r="G1494" s="7" t="n">
        <f aca="false">AVERAGE(E1490:E1494)</f>
        <v>25612.82</v>
      </c>
      <c r="H1494" s="7" t="n">
        <f aca="false">AVERAGE(E1485:E1494)</f>
        <v>25397.099</v>
      </c>
      <c r="I1494" s="7" t="n">
        <f aca="false">AVERAGE(E1475:E1494)</f>
        <v>25143.637</v>
      </c>
      <c r="J1494" s="7" t="n">
        <f aca="false">AVERAGE(E1445:E1494)</f>
        <v>25136.7282</v>
      </c>
      <c r="K1494" s="7" t="n">
        <f aca="false">AVERAGE(E1395:E1494)</f>
        <v>24397.8462</v>
      </c>
      <c r="L1494" s="7" t="n">
        <f aca="false">AVERAGE(E1295:E1494)</f>
        <v>22508.75105</v>
      </c>
      <c r="M1494" s="7" t="n">
        <f aca="false">I1494</f>
        <v>25143.637</v>
      </c>
      <c r="N1494" s="7" t="n">
        <f aca="false">I1494+2*STDEV(E1475:E1494)</f>
        <v>26135.1942465911</v>
      </c>
      <c r="O1494" s="7" t="n">
        <f aca="false">I1494-2*STDEV(E1475:E1494)</f>
        <v>24152.0797534089</v>
      </c>
      <c r="P1494" s="7" t="n">
        <f aca="false">MAX(E1494-E1493,0)</f>
        <v>0</v>
      </c>
      <c r="Q1494" s="7" t="n">
        <f aca="false">MAX(E1493-E1494,0)</f>
        <v>64.0999999999985</v>
      </c>
      <c r="R1494" s="7" t="n">
        <f aca="false">(R1493*13+P1494)/14</f>
        <v>114.609330116628</v>
      </c>
      <c r="S1494" s="7" t="n">
        <f aca="false">(S1493*13+Q1494)/14</f>
        <v>83.3649955593554</v>
      </c>
      <c r="T1494" s="7" t="n">
        <f aca="false">IF(S1494=0,100,100-100/(1+R1494/S1494))</f>
        <v>57.8910066875057</v>
      </c>
      <c r="U1494" s="7" t="n">
        <f aca="false">E1494*2/13+U1493*11/13</f>
        <v>25369.724527017</v>
      </c>
      <c r="V1494" s="7" t="n">
        <f aca="false">E1494*2/27+V1493*25/27</f>
        <v>25229.5715749242</v>
      </c>
      <c r="W1494" s="7" t="n">
        <f aca="false">U1494-V1494</f>
        <v>140.152952092798</v>
      </c>
      <c r="X1494" s="7" t="n">
        <f aca="false">W1494*2/10+X1493*8/10</f>
        <v>57.9893183908711</v>
      </c>
      <c r="Y1494" s="7" t="n">
        <f aca="false">W1494-X1494</f>
        <v>82.1636337019268</v>
      </c>
      <c r="Z1494" s="8" t="s">
        <v>42</v>
      </c>
      <c r="AA1494" s="7" t="str">
        <f aca="false">IFERROR(INDEX(02_轉折點45!B:B,MATCH(A1494,02_轉折點45!A:A,0)),"")</f>
        <v/>
      </c>
      <c r="AB1494" s="7" t="n">
        <f aca="false">COUNTIFS(05_訊號明細!A:A,A1494,05_訊號明細!C:C,"TOP")</f>
        <v>0</v>
      </c>
      <c r="AC1494" s="7" t="n">
        <f aca="false">COUNTIFS(05_訊號明細!A:A,A1494,05_訊號明細!C:C,"BOTTOM")</f>
        <v>0</v>
      </c>
    </row>
    <row r="1495" customFormat="false" ht="15" hidden="false" customHeight="false" outlineLevel="0" collapsed="false">
      <c r="A1495" s="7" t="s">
        <v>1536</v>
      </c>
      <c r="B1495" s="7" t="n">
        <v>25593.67</v>
      </c>
      <c r="C1495" s="7" t="n">
        <v>25698.26</v>
      </c>
      <c r="D1495" s="7" t="n">
        <v>25532.34</v>
      </c>
      <c r="E1495" s="7" t="n">
        <v>25668.69</v>
      </c>
      <c r="F1495" s="7" t="n">
        <v>7193</v>
      </c>
      <c r="G1495" s="7" t="n">
        <f aca="false">AVERAGE(E1491:E1495)</f>
        <v>25635.386</v>
      </c>
      <c r="H1495" s="7" t="n">
        <f aca="false">AVERAGE(E1486:E1495)</f>
        <v>25476.583</v>
      </c>
      <c r="I1495" s="7" t="n">
        <f aca="false">AVERAGE(E1476:E1495)</f>
        <v>25146.4845</v>
      </c>
      <c r="J1495" s="7" t="n">
        <f aca="false">AVERAGE(E1446:E1495)</f>
        <v>25157.875</v>
      </c>
      <c r="K1495" s="7" t="n">
        <f aca="false">AVERAGE(E1396:E1495)</f>
        <v>24423.8784</v>
      </c>
      <c r="L1495" s="7" t="n">
        <f aca="false">AVERAGE(E1296:E1495)</f>
        <v>22530.3341</v>
      </c>
      <c r="M1495" s="7" t="n">
        <f aca="false">I1495</f>
        <v>25146.4845</v>
      </c>
      <c r="N1495" s="7" t="n">
        <f aca="false">I1495+2*STDEV(E1476:E1495)</f>
        <v>26144.0109662992</v>
      </c>
      <c r="O1495" s="7" t="n">
        <f aca="false">I1495-2*STDEV(E1476:E1495)</f>
        <v>24148.9580337008</v>
      </c>
      <c r="P1495" s="7" t="n">
        <f aca="false">MAX(E1495-E1494,0)</f>
        <v>40.739999999998</v>
      </c>
      <c r="Q1495" s="7" t="n">
        <f aca="false">MAX(E1494-E1495,0)</f>
        <v>0</v>
      </c>
      <c r="R1495" s="7" t="n">
        <f aca="false">(R1494*13+P1495)/14</f>
        <v>109.332949394011</v>
      </c>
      <c r="S1495" s="7" t="n">
        <f aca="false">(S1494*13+Q1495)/14</f>
        <v>77.4103530194014</v>
      </c>
      <c r="T1495" s="7" t="n">
        <f aca="false">IF(S1495=0,100,100-100/(1+R1495/S1495))</f>
        <v>58.5471864216954</v>
      </c>
      <c r="U1495" s="7" t="n">
        <f aca="false">E1495*2/13+U1494*11/13</f>
        <v>25415.7192151682</v>
      </c>
      <c r="V1495" s="7" t="n">
        <f aca="false">E1495*2/27+V1494*25/27</f>
        <v>25262.0988656705</v>
      </c>
      <c r="W1495" s="7" t="n">
        <f aca="false">U1495-V1495</f>
        <v>153.620349497676</v>
      </c>
      <c r="X1495" s="7" t="n">
        <f aca="false">W1495*2/10+X1494*8/10</f>
        <v>77.1155246122321</v>
      </c>
      <c r="Y1495" s="7" t="n">
        <f aca="false">W1495-X1495</f>
        <v>76.5048248854441</v>
      </c>
      <c r="Z1495" s="8" t="s">
        <v>42</v>
      </c>
      <c r="AA1495" s="7" t="str">
        <f aca="false">IFERROR(INDEX(02_轉折點45!B:B,MATCH(A1495,02_轉折點45!A:A,0)),"")</f>
        <v/>
      </c>
      <c r="AB1495" s="7" t="n">
        <f aca="false">COUNTIFS(05_訊號明細!A:A,A1495,05_訊號明細!C:C,"TOP")</f>
        <v>0</v>
      </c>
      <c r="AC1495" s="7" t="n">
        <f aca="false">COUNTIFS(05_訊號明細!A:A,A1495,05_訊號明細!C:C,"BOTTOM")</f>
        <v>0</v>
      </c>
    </row>
    <row r="1496" customFormat="false" ht="15" hidden="false" customHeight="false" outlineLevel="0" collapsed="false">
      <c r="A1496" s="7" t="s">
        <v>1537</v>
      </c>
      <c r="B1496" s="7" t="n">
        <v>25631.59</v>
      </c>
      <c r="C1496" s="7" t="n">
        <v>25835.03</v>
      </c>
      <c r="D1496" s="7" t="n">
        <v>25504.3</v>
      </c>
      <c r="E1496" s="7" t="n">
        <v>25776.44</v>
      </c>
      <c r="F1496" s="7" t="n">
        <v>7988</v>
      </c>
      <c r="G1496" s="7" t="n">
        <f aca="false">AVERAGE(E1492:E1496)</f>
        <v>25669.366</v>
      </c>
      <c r="H1496" s="7" t="n">
        <f aca="false">AVERAGE(E1487:E1496)</f>
        <v>25552.391</v>
      </c>
      <c r="I1496" s="7" t="n">
        <f aca="false">AVERAGE(E1477:E1496)</f>
        <v>25158.632</v>
      </c>
      <c r="J1496" s="7" t="n">
        <f aca="false">AVERAGE(E1447:E1496)</f>
        <v>25179.804</v>
      </c>
      <c r="K1496" s="7" t="n">
        <f aca="false">AVERAGE(E1397:E1496)</f>
        <v>24449.8422</v>
      </c>
      <c r="L1496" s="7" t="n">
        <f aca="false">AVERAGE(E1297:E1496)</f>
        <v>22553.78005</v>
      </c>
      <c r="M1496" s="7" t="n">
        <f aca="false">I1496</f>
        <v>25158.632</v>
      </c>
      <c r="N1496" s="7" t="n">
        <f aca="false">I1496+2*STDEV(E1477:E1496)</f>
        <v>26181.5946665946</v>
      </c>
      <c r="O1496" s="7" t="n">
        <f aca="false">I1496-2*STDEV(E1477:E1496)</f>
        <v>24135.6693334054</v>
      </c>
      <c r="P1496" s="7" t="n">
        <f aca="false">MAX(E1496-E1495,0)</f>
        <v>107.75</v>
      </c>
      <c r="Q1496" s="7" t="n">
        <f aca="false">MAX(E1495-E1496,0)</f>
        <v>0</v>
      </c>
      <c r="R1496" s="7" t="n">
        <f aca="false">(R1495*13+P1496)/14</f>
        <v>109.219881580153</v>
      </c>
      <c r="S1496" s="7" t="n">
        <f aca="false">(S1495*13+Q1496)/14</f>
        <v>71.8810420894442</v>
      </c>
      <c r="T1496" s="7" t="n">
        <f aca="false">IF(S1496=0,100,100-100/(1+R1496/S1496))</f>
        <v>60.3088484404504</v>
      </c>
      <c r="U1496" s="7" t="n">
        <f aca="false">E1496*2/13+U1495*11/13</f>
        <v>25471.2147205269</v>
      </c>
      <c r="V1496" s="7" t="n">
        <f aca="false">E1496*2/27+V1495*25/27</f>
        <v>25300.1982089542</v>
      </c>
      <c r="W1496" s="7" t="n">
        <f aca="false">U1496-V1496</f>
        <v>171.01651157275</v>
      </c>
      <c r="X1496" s="7" t="n">
        <f aca="false">W1496*2/10+X1495*8/10</f>
        <v>95.8957220043358</v>
      </c>
      <c r="Y1496" s="7" t="n">
        <f aca="false">W1496-X1496</f>
        <v>75.1207895684147</v>
      </c>
      <c r="Z1496" s="8" t="s">
        <v>42</v>
      </c>
      <c r="AA1496" s="7" t="str">
        <f aca="false">IFERROR(INDEX(02_轉折點45!B:B,MATCH(A1496,02_轉折點45!A:A,0)),"")</f>
        <v/>
      </c>
      <c r="AB1496" s="7" t="n">
        <f aca="false">COUNTIFS(05_訊號明細!A:A,A1496,05_訊號明細!C:C,"TOP")</f>
        <v>0</v>
      </c>
      <c r="AC1496" s="7" t="n">
        <f aca="false">COUNTIFS(05_訊號明細!A:A,A1496,05_訊號明細!C:C,"BOTTOM")</f>
        <v>0</v>
      </c>
    </row>
    <row r="1497" customFormat="false" ht="15" hidden="false" customHeight="false" outlineLevel="0" collapsed="false">
      <c r="A1497" s="7" t="s">
        <v>1538</v>
      </c>
      <c r="B1497" s="7" t="n">
        <v>25598.39</v>
      </c>
      <c r="C1497" s="7" t="n">
        <v>25696.29</v>
      </c>
      <c r="D1497" s="7" t="n">
        <v>25372.18</v>
      </c>
      <c r="E1497" s="7" t="n">
        <v>25686.69</v>
      </c>
      <c r="F1497" s="7" t="n">
        <v>8338</v>
      </c>
      <c r="G1497" s="7" t="n">
        <f aca="false">AVERAGE(E1493:E1497)</f>
        <v>25690.364</v>
      </c>
      <c r="H1497" s="7" t="n">
        <f aca="false">AVERAGE(E1488:E1497)</f>
        <v>25597.366</v>
      </c>
      <c r="I1497" s="7" t="n">
        <f aca="false">AVERAGE(E1478:E1497)</f>
        <v>25167.1</v>
      </c>
      <c r="J1497" s="7" t="n">
        <f aca="false">AVERAGE(E1448:E1497)</f>
        <v>25197.5206</v>
      </c>
      <c r="K1497" s="7" t="n">
        <f aca="false">AVERAGE(E1398:E1497)</f>
        <v>24476.0733</v>
      </c>
      <c r="L1497" s="7" t="n">
        <f aca="false">AVERAGE(E1298:E1497)</f>
        <v>22576.5489</v>
      </c>
      <c r="M1497" s="7" t="n">
        <f aca="false">I1497</f>
        <v>25167.1</v>
      </c>
      <c r="N1497" s="7" t="n">
        <f aca="false">I1497+2*STDEV(E1478:E1497)</f>
        <v>26205.2559347024</v>
      </c>
      <c r="O1497" s="7" t="n">
        <f aca="false">I1497-2*STDEV(E1478:E1497)</f>
        <v>24128.9440652976</v>
      </c>
      <c r="P1497" s="7" t="n">
        <f aca="false">MAX(E1497-E1496,0)</f>
        <v>0</v>
      </c>
      <c r="Q1497" s="7" t="n">
        <f aca="false">MAX(E1496-E1497,0)</f>
        <v>89.75</v>
      </c>
      <c r="R1497" s="7" t="n">
        <f aca="false">(R1496*13+P1497)/14</f>
        <v>101.418461467285</v>
      </c>
      <c r="S1497" s="7" t="n">
        <f aca="false">(S1496*13+Q1497)/14</f>
        <v>73.1573962259125</v>
      </c>
      <c r="T1497" s="7" t="n">
        <f aca="false">IF(S1497=0,100,100-100/(1+R1497/S1497))</f>
        <v>58.0942077601128</v>
      </c>
      <c r="U1497" s="7" t="n">
        <f aca="false">E1497*2/13+U1496*11/13</f>
        <v>25504.3647635228</v>
      </c>
      <c r="V1497" s="7" t="n">
        <f aca="false">E1497*2/27+V1496*25/27</f>
        <v>25328.8272305131</v>
      </c>
      <c r="W1497" s="7" t="n">
        <f aca="false">U1497-V1497</f>
        <v>175.537533009658</v>
      </c>
      <c r="X1497" s="7" t="n">
        <f aca="false">W1497*2/10+X1496*8/10</f>
        <v>111.8240842054</v>
      </c>
      <c r="Y1497" s="7" t="n">
        <f aca="false">W1497-X1497</f>
        <v>63.7134488042575</v>
      </c>
      <c r="Z1497" s="8" t="s">
        <v>42</v>
      </c>
      <c r="AA1497" s="7" t="str">
        <f aca="false">IFERROR(INDEX(02_轉折點45!B:B,MATCH(A1497,02_轉折點45!A:A,0)),"")</f>
        <v/>
      </c>
      <c r="AB1497" s="7" t="n">
        <f aca="false">COUNTIFS(05_訊號明細!A:A,A1497,05_訊號明細!C:C,"TOP")</f>
        <v>0</v>
      </c>
      <c r="AC1497" s="7" t="n">
        <f aca="false">COUNTIFS(05_訊號明細!A:A,A1497,05_訊號明細!C:C,"BOTTOM")</f>
        <v>0</v>
      </c>
    </row>
    <row r="1498" customFormat="false" ht="15" hidden="false" customHeight="false" outlineLevel="0" collapsed="false">
      <c r="A1498" s="7" t="s">
        <v>1539</v>
      </c>
      <c r="B1498" s="7" t="n">
        <v>25531.55</v>
      </c>
      <c r="C1498" s="7" t="n">
        <v>25605.88</v>
      </c>
      <c r="D1498" s="7" t="n">
        <v>25104.68</v>
      </c>
      <c r="E1498" s="7" t="n">
        <v>25196.73</v>
      </c>
      <c r="F1498" s="7" t="n">
        <v>8724</v>
      </c>
      <c r="G1498" s="7" t="n">
        <f aca="false">AVERAGE(E1494:E1498)</f>
        <v>25591.3</v>
      </c>
      <c r="H1498" s="7" t="n">
        <f aca="false">AVERAGE(E1489:E1498)</f>
        <v>25573.55</v>
      </c>
      <c r="I1498" s="7" t="n">
        <f aca="false">AVERAGE(E1479:E1498)</f>
        <v>25177.2635</v>
      </c>
      <c r="J1498" s="7" t="n">
        <f aca="false">AVERAGE(E1449:E1498)</f>
        <v>25203.6</v>
      </c>
      <c r="K1498" s="7" t="n">
        <f aca="false">AVERAGE(E1399:E1498)</f>
        <v>24496.4165</v>
      </c>
      <c r="L1498" s="7" t="n">
        <f aca="false">AVERAGE(E1299:E1498)</f>
        <v>22599.7778</v>
      </c>
      <c r="M1498" s="7" t="n">
        <f aca="false">I1498</f>
        <v>25177.2635</v>
      </c>
      <c r="N1498" s="7" t="n">
        <f aca="false">I1498+2*STDEV(E1479:E1498)</f>
        <v>26212.2369743873</v>
      </c>
      <c r="O1498" s="7" t="n">
        <f aca="false">I1498-2*STDEV(E1479:E1498)</f>
        <v>24142.2900256127</v>
      </c>
      <c r="P1498" s="7" t="n">
        <f aca="false">MAX(E1498-E1497,0)</f>
        <v>0</v>
      </c>
      <c r="Q1498" s="7" t="n">
        <f aca="false">MAX(E1497-E1498,0)</f>
        <v>489.959999999999</v>
      </c>
      <c r="R1498" s="7" t="n">
        <f aca="false">(R1497*13+P1498)/14</f>
        <v>94.1742856481933</v>
      </c>
      <c r="S1498" s="7" t="n">
        <f aca="false">(S1497*13+Q1498)/14</f>
        <v>102.929010781204</v>
      </c>
      <c r="T1498" s="7" t="n">
        <f aca="false">IF(S1498=0,100,100-100/(1+R1498/S1498))</f>
        <v>47.7791530401555</v>
      </c>
      <c r="U1498" s="7" t="n">
        <f aca="false">E1498*2/13+U1497*11/13</f>
        <v>25457.0363383654</v>
      </c>
      <c r="V1498" s="7" t="n">
        <f aca="false">E1498*2/27+V1497*25/27</f>
        <v>25319.0422504751</v>
      </c>
      <c r="W1498" s="7" t="n">
        <f aca="false">U1498-V1498</f>
        <v>137.994087890318</v>
      </c>
      <c r="X1498" s="7" t="n">
        <f aca="false">W1498*2/10+X1497*8/10</f>
        <v>117.058084942384</v>
      </c>
      <c r="Y1498" s="7" t="n">
        <f aca="false">W1498-X1498</f>
        <v>20.9360029479343</v>
      </c>
      <c r="Z1498" s="8" t="s">
        <v>42</v>
      </c>
      <c r="AA1498" s="7" t="str">
        <f aca="false">IFERROR(INDEX(02_轉折點45!B:B,MATCH(A1498,02_轉折點45!A:A,0)),"")</f>
        <v/>
      </c>
      <c r="AB1498" s="7" t="n">
        <f aca="false">COUNTIFS(05_訊號明細!A:A,A1498,05_訊號明細!C:C,"TOP")</f>
        <v>0</v>
      </c>
      <c r="AC1498" s="7" t="n">
        <f aca="false">COUNTIFS(05_訊號明細!A:A,A1498,05_訊號明細!C:C,"BOTTOM")</f>
        <v>0</v>
      </c>
    </row>
    <row r="1499" customFormat="false" ht="15" hidden="false" customHeight="false" outlineLevel="0" collapsed="false">
      <c r="A1499" s="7" t="s">
        <v>1540</v>
      </c>
      <c r="B1499" s="7" t="n">
        <v>25352.87</v>
      </c>
      <c r="C1499" s="7" t="n">
        <v>25377.62</v>
      </c>
      <c r="D1499" s="7" t="n">
        <v>25022.81</v>
      </c>
      <c r="E1499" s="7" t="n">
        <v>25067.27</v>
      </c>
      <c r="F1499" s="7" t="n">
        <v>8649</v>
      </c>
      <c r="G1499" s="7" t="n">
        <f aca="false">AVERAGE(E1495:E1499)</f>
        <v>25479.164</v>
      </c>
      <c r="H1499" s="7" t="n">
        <f aca="false">AVERAGE(E1490:E1499)</f>
        <v>25545.992</v>
      </c>
      <c r="I1499" s="7" t="n">
        <f aca="false">AVERAGE(E1480:E1499)</f>
        <v>25180.215</v>
      </c>
      <c r="J1499" s="7" t="n">
        <f aca="false">AVERAGE(E1450:E1499)</f>
        <v>25209.235</v>
      </c>
      <c r="K1499" s="7" t="n">
        <f aca="false">AVERAGE(E1400:E1499)</f>
        <v>24514.8905</v>
      </c>
      <c r="L1499" s="7" t="n">
        <f aca="false">AVERAGE(E1300:E1499)</f>
        <v>22620.6921</v>
      </c>
      <c r="M1499" s="7" t="n">
        <f aca="false">I1499</f>
        <v>25180.215</v>
      </c>
      <c r="N1499" s="7" t="n">
        <f aca="false">I1499+2*STDEV(E1480:E1499)</f>
        <v>26213.4942295661</v>
      </c>
      <c r="O1499" s="7" t="n">
        <f aca="false">I1499-2*STDEV(E1480:E1499)</f>
        <v>24146.9357704339</v>
      </c>
      <c r="P1499" s="7" t="n">
        <f aca="false">MAX(E1499-E1498,0)</f>
        <v>0</v>
      </c>
      <c r="Q1499" s="7" t="n">
        <f aca="false">MAX(E1498-E1499,0)</f>
        <v>129.459999999999</v>
      </c>
      <c r="R1499" s="7" t="n">
        <f aca="false">(R1498*13+P1499)/14</f>
        <v>87.4475509590366</v>
      </c>
      <c r="S1499" s="7" t="n">
        <f aca="false">(S1498*13+Q1499)/14</f>
        <v>104.82408143969</v>
      </c>
      <c r="T1499" s="7" t="n">
        <f aca="false">IF(S1499=0,100,100-100/(1+R1499/S1499))</f>
        <v>45.4812547582115</v>
      </c>
      <c r="U1499" s="7" t="n">
        <f aca="false">E1499*2/13+U1498*11/13</f>
        <v>25397.0722863092</v>
      </c>
      <c r="V1499" s="7" t="n">
        <f aca="false">E1499*2/27+V1498*25/27</f>
        <v>25300.3924541436</v>
      </c>
      <c r="W1499" s="7" t="n">
        <f aca="false">U1499-V1499</f>
        <v>96.6798321655879</v>
      </c>
      <c r="X1499" s="7" t="n">
        <f aca="false">W1499*2/10+X1498*8/10</f>
        <v>112.982434387025</v>
      </c>
      <c r="Y1499" s="7" t="n">
        <f aca="false">W1499-X1499</f>
        <v>-16.3026022214367</v>
      </c>
      <c r="Z1499" s="8" t="s">
        <v>42</v>
      </c>
      <c r="AA1499" s="7" t="str">
        <f aca="false">IFERROR(INDEX(02_轉折點45!B:B,MATCH(A1499,02_轉折點45!A:A,0)),"")</f>
        <v/>
      </c>
      <c r="AB1499" s="7" t="n">
        <f aca="false">COUNTIFS(05_訊號明細!A:A,A1499,05_訊號明細!C:C,"TOP")</f>
        <v>1</v>
      </c>
      <c r="AC1499" s="7" t="n">
        <f aca="false">COUNTIFS(05_訊號明細!A:A,A1499,05_訊號明細!C:C,"BOTTOM")</f>
        <v>0</v>
      </c>
    </row>
    <row r="1500" customFormat="false" ht="15" hidden="false" customHeight="false" outlineLevel="0" collapsed="false">
      <c r="A1500" s="7" t="s">
        <v>1541</v>
      </c>
      <c r="B1500" s="7" t="n">
        <v>24991.49</v>
      </c>
      <c r="C1500" s="7" t="n">
        <v>25188.76</v>
      </c>
      <c r="D1500" s="7" t="n">
        <v>24922.94</v>
      </c>
      <c r="E1500" s="7" t="n">
        <v>25132.94</v>
      </c>
      <c r="F1500" s="7" t="n">
        <v>7760</v>
      </c>
      <c r="G1500" s="7" t="n">
        <f aca="false">AVERAGE(E1496:E1500)</f>
        <v>25372.014</v>
      </c>
      <c r="H1500" s="7" t="n">
        <f aca="false">AVERAGE(E1491:E1500)</f>
        <v>25503.7</v>
      </c>
      <c r="I1500" s="7" t="n">
        <f aca="false">AVERAGE(E1481:E1500)</f>
        <v>25196.866</v>
      </c>
      <c r="J1500" s="7" t="n">
        <f aca="false">AVERAGE(E1451:E1500)</f>
        <v>25212.3226</v>
      </c>
      <c r="K1500" s="7" t="n">
        <f aca="false">AVERAGE(E1401:E1500)</f>
        <v>24533.4974</v>
      </c>
      <c r="L1500" s="7" t="n">
        <f aca="false">AVERAGE(E1301:E1500)</f>
        <v>22644.2289</v>
      </c>
      <c r="M1500" s="7" t="n">
        <f aca="false">I1500</f>
        <v>25196.866</v>
      </c>
      <c r="N1500" s="7" t="n">
        <f aca="false">I1500+2*STDEV(E1481:E1500)</f>
        <v>26214.963178929</v>
      </c>
      <c r="O1500" s="7" t="n">
        <f aca="false">I1500-2*STDEV(E1481:E1500)</f>
        <v>24178.768821071</v>
      </c>
      <c r="P1500" s="7" t="n">
        <f aca="false">MAX(E1500-E1499,0)</f>
        <v>65.6699999999983</v>
      </c>
      <c r="Q1500" s="7" t="n">
        <f aca="false">MAX(E1499-E1500,0)</f>
        <v>0</v>
      </c>
      <c r="R1500" s="7" t="n">
        <f aca="false">(R1499*13+P1500)/14</f>
        <v>85.8920116048196</v>
      </c>
      <c r="S1500" s="7" t="n">
        <f aca="false">(S1499*13+Q1500)/14</f>
        <v>97.3366470511405</v>
      </c>
      <c r="T1500" s="7" t="n">
        <f aca="false">IF(S1500=0,100,100-100/(1+R1500/S1500))</f>
        <v>46.8769526747969</v>
      </c>
      <c r="U1500" s="7" t="n">
        <f aca="false">E1500*2/13+U1499*11/13</f>
        <v>25356.436549954</v>
      </c>
      <c r="V1500" s="7" t="n">
        <f aca="false">E1500*2/27+V1499*25/27</f>
        <v>25287.9885686515</v>
      </c>
      <c r="W1500" s="7" t="n">
        <f aca="false">U1500-V1500</f>
        <v>68.4479813024518</v>
      </c>
      <c r="X1500" s="7" t="n">
        <f aca="false">W1500*2/10+X1499*8/10</f>
        <v>104.07554377011</v>
      </c>
      <c r="Y1500" s="7" t="n">
        <f aca="false">W1500-X1500</f>
        <v>-35.6275624676582</v>
      </c>
      <c r="Z1500" s="8" t="s">
        <v>42</v>
      </c>
      <c r="AA1500" s="7" t="str">
        <f aca="false">IFERROR(INDEX(02_轉折點45!B:B,MATCH(A1500,02_轉折點45!A:A,0)),"")</f>
        <v/>
      </c>
      <c r="AB1500" s="7" t="n">
        <f aca="false">COUNTIFS(05_訊號明細!A:A,A1500,05_訊號明細!C:C,"TOP")</f>
        <v>0</v>
      </c>
      <c r="AC1500" s="7" t="n">
        <f aca="false">COUNTIFS(05_訊號明細!A:A,A1500,05_訊號明細!C:C,"BOTTOM")</f>
        <v>0</v>
      </c>
    </row>
    <row r="1501" customFormat="false" ht="15" hidden="false" customHeight="false" outlineLevel="0" collapsed="false">
      <c r="A1501" s="7" t="s">
        <v>1542</v>
      </c>
      <c r="B1501" s="7" t="n">
        <v>25167.86</v>
      </c>
      <c r="C1501" s="7" t="n">
        <v>25193.41</v>
      </c>
      <c r="D1501" s="7" t="n">
        <v>24647.61</v>
      </c>
      <c r="E1501" s="7" t="n">
        <v>24647.61</v>
      </c>
      <c r="F1501" s="7" t="n">
        <v>8616</v>
      </c>
      <c r="G1501" s="7" t="n">
        <f aca="false">AVERAGE(E1497:E1501)</f>
        <v>25146.248</v>
      </c>
      <c r="H1501" s="7" t="n">
        <f aca="false">AVERAGE(E1492:E1501)</f>
        <v>25407.807</v>
      </c>
      <c r="I1501" s="7" t="n">
        <f aca="false">AVERAGE(E1482:E1501)</f>
        <v>25204.0915</v>
      </c>
      <c r="J1501" s="7" t="n">
        <f aca="false">AVERAGE(E1452:E1501)</f>
        <v>25208.4702</v>
      </c>
      <c r="K1501" s="7" t="n">
        <f aca="false">AVERAGE(E1402:E1501)</f>
        <v>24546.4108</v>
      </c>
      <c r="L1501" s="7" t="n">
        <f aca="false">AVERAGE(E1302:E1501)</f>
        <v>22665.7043</v>
      </c>
      <c r="M1501" s="7" t="n">
        <f aca="false">I1501</f>
        <v>25204.0915</v>
      </c>
      <c r="N1501" s="7" t="n">
        <f aca="false">I1501+2*STDEV(E1482:E1501)</f>
        <v>26203.3339073483</v>
      </c>
      <c r="O1501" s="7" t="n">
        <f aca="false">I1501-2*STDEV(E1482:E1501)</f>
        <v>24204.8490926517</v>
      </c>
      <c r="P1501" s="7" t="n">
        <f aca="false">MAX(E1501-E1500,0)</f>
        <v>0</v>
      </c>
      <c r="Q1501" s="7" t="n">
        <f aca="false">MAX(E1500-E1501,0)</f>
        <v>485.329999999998</v>
      </c>
      <c r="R1501" s="7" t="n">
        <f aca="false">(R1500*13+P1501)/14</f>
        <v>79.756867918761</v>
      </c>
      <c r="S1501" s="7" t="n">
        <f aca="false">(S1500*13+Q1501)/14</f>
        <v>125.050457976059</v>
      </c>
      <c r="T1501" s="7" t="n">
        <f aca="false">IF(S1501=0,100,100-100/(1+R1501/S1501))</f>
        <v>38.9423901563564</v>
      </c>
      <c r="U1501" s="7" t="n">
        <f aca="false">E1501*2/13+U1500*11/13</f>
        <v>25247.3863114995</v>
      </c>
      <c r="V1501" s="7" t="n">
        <f aca="false">E1501*2/27+V1500*25/27</f>
        <v>25240.5531191218</v>
      </c>
      <c r="W1501" s="7" t="n">
        <f aca="false">U1501-V1501</f>
        <v>6.83319237774049</v>
      </c>
      <c r="X1501" s="7" t="n">
        <f aca="false">W1501*2/10+X1500*8/10</f>
        <v>84.6270734916361</v>
      </c>
      <c r="Y1501" s="7" t="n">
        <f aca="false">W1501-X1501</f>
        <v>-77.7938811138956</v>
      </c>
      <c r="Z1501" s="8" t="s">
        <v>42</v>
      </c>
      <c r="AA1501" s="7" t="str">
        <f aca="false">IFERROR(INDEX(02_轉折點45!B:B,MATCH(A1501,02_轉折點45!A:A,0)),"")</f>
        <v/>
      </c>
      <c r="AB1501" s="7" t="n">
        <f aca="false">COUNTIFS(05_訊號明細!A:A,A1501,05_訊號明細!C:C,"TOP")</f>
        <v>0</v>
      </c>
      <c r="AC1501" s="7" t="n">
        <f aca="false">COUNTIFS(05_訊號明細!A:A,A1501,05_訊號明細!C:C,"BOTTOM")</f>
        <v>0</v>
      </c>
    </row>
    <row r="1502" customFormat="false" ht="15" hidden="false" customHeight="false" outlineLevel="0" collapsed="false">
      <c r="A1502" s="7" t="s">
        <v>1543</v>
      </c>
      <c r="B1502" s="7" t="n">
        <v>25031.49</v>
      </c>
      <c r="C1502" s="7" t="n">
        <v>25164.18</v>
      </c>
      <c r="D1502" s="7" t="n">
        <v>24921.45</v>
      </c>
      <c r="E1502" s="7" t="n">
        <v>25019.37</v>
      </c>
      <c r="F1502" s="7" t="n">
        <v>7978</v>
      </c>
      <c r="G1502" s="7" t="n">
        <f aca="false">AVERAGE(E1498:E1502)</f>
        <v>25012.784</v>
      </c>
      <c r="H1502" s="7" t="n">
        <f aca="false">AVERAGE(E1493:E1502)</f>
        <v>25351.574</v>
      </c>
      <c r="I1502" s="7" t="n">
        <f aca="false">AVERAGE(E1483:E1502)</f>
        <v>25223.034</v>
      </c>
      <c r="J1502" s="7" t="n">
        <f aca="false">AVERAGE(E1453:E1502)</f>
        <v>25206.1252</v>
      </c>
      <c r="K1502" s="7" t="n">
        <f aca="false">AVERAGE(E1403:E1502)</f>
        <v>24563.5215</v>
      </c>
      <c r="L1502" s="7" t="n">
        <f aca="false">AVERAGE(E1303:E1502)</f>
        <v>22687.65885</v>
      </c>
      <c r="M1502" s="7" t="n">
        <f aca="false">I1502</f>
        <v>25223.034</v>
      </c>
      <c r="N1502" s="7" t="n">
        <f aca="false">I1502+2*STDEV(E1483:E1502)</f>
        <v>26191.1725749963</v>
      </c>
      <c r="O1502" s="7" t="n">
        <f aca="false">I1502-2*STDEV(E1483:E1502)</f>
        <v>24254.8954250037</v>
      </c>
      <c r="P1502" s="7" t="n">
        <f aca="false">MAX(E1502-E1501,0)</f>
        <v>371.759999999998</v>
      </c>
      <c r="Q1502" s="7" t="n">
        <f aca="false">MAX(E1501-E1502,0)</f>
        <v>0</v>
      </c>
      <c r="R1502" s="7" t="n">
        <f aca="false">(R1501*13+P1502)/14</f>
        <v>100.614234495992</v>
      </c>
      <c r="S1502" s="7" t="n">
        <f aca="false">(S1501*13+Q1502)/14</f>
        <v>116.11828240634</v>
      </c>
      <c r="T1502" s="7" t="n">
        <f aca="false">IF(S1502=0,100,100-100/(1+R1502/S1502))</f>
        <v>46.4232298567975</v>
      </c>
      <c r="U1502" s="7" t="n">
        <f aca="false">E1502*2/13+U1501*11/13</f>
        <v>25212.3068789611</v>
      </c>
      <c r="V1502" s="7" t="n">
        <f aca="false">E1502*2/27+V1501*25/27</f>
        <v>25224.169184372</v>
      </c>
      <c r="W1502" s="7" t="n">
        <f aca="false">U1502-V1502</f>
        <v>-11.862305410883</v>
      </c>
      <c r="X1502" s="7" t="n">
        <f aca="false">W1502*2/10+X1501*8/10</f>
        <v>65.3291977111323</v>
      </c>
      <c r="Y1502" s="7" t="n">
        <f aca="false">W1502-X1502</f>
        <v>-77.1915031220153</v>
      </c>
      <c r="Z1502" s="8" t="s">
        <v>42</v>
      </c>
      <c r="AA1502" s="7" t="str">
        <f aca="false">IFERROR(INDEX(02_轉折點45!B:B,MATCH(A1502,02_轉折點45!A:A,0)),"")</f>
        <v/>
      </c>
      <c r="AB1502" s="7" t="n">
        <f aca="false">COUNTIFS(05_訊號明細!A:A,A1502,05_訊號明細!C:C,"TOP")</f>
        <v>1</v>
      </c>
      <c r="AC1502" s="7" t="n">
        <f aca="false">COUNTIFS(05_訊號明細!A:A,A1502,05_訊號明細!C:C,"BOTTOM")</f>
        <v>0</v>
      </c>
    </row>
    <row r="1503" customFormat="false" ht="15" hidden="false" customHeight="false" outlineLevel="0" collapsed="false">
      <c r="A1503" s="7" t="s">
        <v>1544</v>
      </c>
      <c r="B1503" s="7" t="n">
        <v>25147.3</v>
      </c>
      <c r="C1503" s="7" t="n">
        <v>25354.82</v>
      </c>
      <c r="D1503" s="7" t="n">
        <v>25134.26</v>
      </c>
      <c r="E1503" s="7" t="n">
        <v>25346.18</v>
      </c>
      <c r="F1503" s="7" t="n">
        <v>12875</v>
      </c>
      <c r="G1503" s="7" t="n">
        <f aca="false">AVERAGE(E1499:E1503)</f>
        <v>25042.674</v>
      </c>
      <c r="H1503" s="7" t="n">
        <f aca="false">AVERAGE(E1494:E1503)</f>
        <v>25316.987</v>
      </c>
      <c r="I1503" s="7" t="n">
        <f aca="false">AVERAGE(E1484:E1503)</f>
        <v>25287.624</v>
      </c>
      <c r="J1503" s="7" t="n">
        <f aca="false">AVERAGE(E1454:E1503)</f>
        <v>25211.0852</v>
      </c>
      <c r="K1503" s="7" t="n">
        <f aca="false">AVERAGE(E1404:E1503)</f>
        <v>24583.5292</v>
      </c>
      <c r="L1503" s="7" t="n">
        <f aca="false">AVERAGE(E1304:E1503)</f>
        <v>22714.1266</v>
      </c>
      <c r="M1503" s="7" t="n">
        <f aca="false">I1503</f>
        <v>25287.624</v>
      </c>
      <c r="N1503" s="7" t="n">
        <f aca="false">I1503+2*STDEV(E1484:E1503)</f>
        <v>26084.7390389776</v>
      </c>
      <c r="O1503" s="7" t="n">
        <f aca="false">I1503-2*STDEV(E1484:E1503)</f>
        <v>24490.5089610224</v>
      </c>
      <c r="P1503" s="7" t="n">
        <f aca="false">MAX(E1503-E1502,0)</f>
        <v>326.810000000001</v>
      </c>
      <c r="Q1503" s="7" t="n">
        <f aca="false">MAX(E1502-E1503,0)</f>
        <v>0</v>
      </c>
      <c r="R1503" s="7" t="n">
        <f aca="false">(R1502*13+P1503)/14</f>
        <v>116.771074889136</v>
      </c>
      <c r="S1503" s="7" t="n">
        <f aca="false">(S1502*13+Q1503)/14</f>
        <v>107.824119377316</v>
      </c>
      <c r="T1503" s="7" t="n">
        <f aca="false">IF(S1503=0,100,100-100/(1+R1503/S1503))</f>
        <v>51.9917958487583</v>
      </c>
      <c r="U1503" s="7" t="n">
        <f aca="false">E1503*2/13+U1502*11/13</f>
        <v>25232.9027437363</v>
      </c>
      <c r="V1503" s="7" t="n">
        <f aca="false">E1503*2/27+V1502*25/27</f>
        <v>25233.2070225667</v>
      </c>
      <c r="W1503" s="7" t="n">
        <f aca="false">U1503-V1503</f>
        <v>-0.304278830335534</v>
      </c>
      <c r="X1503" s="7" t="n">
        <f aca="false">W1503*2/10+X1502*8/10</f>
        <v>52.2025024028387</v>
      </c>
      <c r="Y1503" s="7" t="n">
        <f aca="false">W1503-X1503</f>
        <v>-52.5067812331743</v>
      </c>
      <c r="Z1503" s="8" t="s">
        <v>42</v>
      </c>
      <c r="AA1503" s="7" t="str">
        <f aca="false">IFERROR(INDEX(02_轉折點45!B:B,MATCH(A1503,02_轉折點45!A:A,0)),"")</f>
        <v/>
      </c>
      <c r="AB1503" s="7" t="n">
        <f aca="false">COUNTIFS(05_訊號明細!A:A,A1503,05_訊號明細!C:C,"TOP")</f>
        <v>0</v>
      </c>
      <c r="AC1503" s="7" t="n">
        <f aca="false">COUNTIFS(05_訊號明細!A:A,A1503,05_訊號明細!C:C,"BOTTOM")</f>
        <v>0</v>
      </c>
    </row>
    <row r="1504" customFormat="false" ht="15" hidden="false" customHeight="false" outlineLevel="0" collapsed="false">
      <c r="A1504" s="7" t="s">
        <v>1545</v>
      </c>
      <c r="B1504" s="7" t="n">
        <v>25527.68</v>
      </c>
      <c r="C1504" s="7" t="n">
        <v>25554.03</v>
      </c>
      <c r="D1504" s="7" t="n">
        <v>25401.59</v>
      </c>
      <c r="E1504" s="7" t="n">
        <v>25461.7</v>
      </c>
      <c r="F1504" s="7" t="n">
        <v>7245</v>
      </c>
      <c r="G1504" s="7" t="n">
        <f aca="false">AVERAGE(E1500:E1504)</f>
        <v>25121.56</v>
      </c>
      <c r="H1504" s="7" t="n">
        <f aca="false">AVERAGE(E1495:E1504)</f>
        <v>25300.362</v>
      </c>
      <c r="I1504" s="7" t="n">
        <f aca="false">AVERAGE(E1485:E1504)</f>
        <v>25348.7305</v>
      </c>
      <c r="J1504" s="7" t="n">
        <f aca="false">AVERAGE(E1455:E1504)</f>
        <v>25235.8844</v>
      </c>
      <c r="K1504" s="7" t="n">
        <f aca="false">AVERAGE(E1405:E1504)</f>
        <v>24605.965</v>
      </c>
      <c r="L1504" s="7" t="n">
        <f aca="false">AVERAGE(E1305:E1504)</f>
        <v>22740.42825</v>
      </c>
      <c r="M1504" s="7" t="n">
        <f aca="false">I1504</f>
        <v>25348.7305</v>
      </c>
      <c r="N1504" s="7" t="n">
        <f aca="false">I1504+2*STDEV(E1485:E1504)</f>
        <v>25977.0648076814</v>
      </c>
      <c r="O1504" s="7" t="n">
        <f aca="false">I1504-2*STDEV(E1485:E1504)</f>
        <v>24720.3961923186</v>
      </c>
      <c r="P1504" s="7" t="n">
        <f aca="false">MAX(E1504-E1503,0)</f>
        <v>115.52</v>
      </c>
      <c r="Q1504" s="7" t="n">
        <f aca="false">MAX(E1503-E1504,0)</f>
        <v>0</v>
      </c>
      <c r="R1504" s="7" t="n">
        <f aca="false">(R1503*13+P1504)/14</f>
        <v>116.681712397055</v>
      </c>
      <c r="S1504" s="7" t="n">
        <f aca="false">(S1503*13+Q1504)/14</f>
        <v>100.122396564651</v>
      </c>
      <c r="T1504" s="7" t="n">
        <f aca="false">IF(S1504=0,100,100-100/(1+R1504/S1504))</f>
        <v>53.8189580242986</v>
      </c>
      <c r="U1504" s="7" t="n">
        <f aca="false">E1504*2/13+U1503*11/13</f>
        <v>25268.102321623</v>
      </c>
      <c r="V1504" s="7" t="n">
        <f aca="false">E1504*2/27+V1503*25/27</f>
        <v>25250.1324283025</v>
      </c>
      <c r="W1504" s="7" t="n">
        <f aca="false">U1504-V1504</f>
        <v>17.9698933205837</v>
      </c>
      <c r="X1504" s="7" t="n">
        <f aca="false">W1504*2/10+X1503*8/10</f>
        <v>45.3559805863877</v>
      </c>
      <c r="Y1504" s="7" t="n">
        <f aca="false">W1504-X1504</f>
        <v>-27.3860872658041</v>
      </c>
      <c r="Z1504" s="8" t="s">
        <v>42</v>
      </c>
      <c r="AA1504" s="7" t="str">
        <f aca="false">IFERROR(INDEX(02_轉折點45!B:B,MATCH(A1504,02_轉折點45!A:A,0)),"")</f>
        <v/>
      </c>
      <c r="AB1504" s="7" t="n">
        <f aca="false">COUNTIFS(05_訊號明細!A:A,A1504,05_訊號明細!C:C,"TOP")</f>
        <v>0</v>
      </c>
      <c r="AC1504" s="7" t="n">
        <f aca="false">COUNTIFS(05_訊號明細!A:A,A1504,05_訊號明細!C:C,"BOTTOM")</f>
        <v>0</v>
      </c>
    </row>
    <row r="1505" customFormat="false" ht="15" hidden="false" customHeight="false" outlineLevel="0" collapsed="false">
      <c r="A1505" s="7" t="s">
        <v>1546</v>
      </c>
      <c r="B1505" s="7" t="n">
        <v>25441.42</v>
      </c>
      <c r="C1505" s="7" t="n">
        <v>25590.03</v>
      </c>
      <c r="D1505" s="7" t="n">
        <v>25403.26</v>
      </c>
      <c r="E1505" s="7" t="n">
        <v>25587.83</v>
      </c>
      <c r="F1505" s="7" t="n">
        <v>7518</v>
      </c>
      <c r="G1505" s="7" t="n">
        <f aca="false">AVERAGE(E1501:E1505)</f>
        <v>25212.538</v>
      </c>
      <c r="H1505" s="7" t="n">
        <f aca="false">AVERAGE(E1496:E1505)</f>
        <v>25292.276</v>
      </c>
      <c r="I1505" s="7" t="n">
        <f aca="false">AVERAGE(E1486:E1505)</f>
        <v>25384.4295</v>
      </c>
      <c r="J1505" s="7" t="n">
        <f aca="false">AVERAGE(E1456:E1505)</f>
        <v>25252.636</v>
      </c>
      <c r="K1505" s="7" t="n">
        <f aca="false">AVERAGE(E1406:E1505)</f>
        <v>24634.2102</v>
      </c>
      <c r="L1505" s="7" t="n">
        <f aca="false">AVERAGE(E1306:E1505)</f>
        <v>22771.21265</v>
      </c>
      <c r="M1505" s="7" t="n">
        <f aca="false">I1505</f>
        <v>25384.4295</v>
      </c>
      <c r="N1505" s="7" t="n">
        <f aca="false">I1505+2*STDEV(E1486:E1505)</f>
        <v>25979.4063186718</v>
      </c>
      <c r="O1505" s="7" t="n">
        <f aca="false">I1505-2*STDEV(E1486:E1505)</f>
        <v>24789.4526813282</v>
      </c>
      <c r="P1505" s="7" t="n">
        <f aca="false">MAX(E1505-E1504,0)</f>
        <v>126.130000000001</v>
      </c>
      <c r="Q1505" s="7" t="n">
        <f aca="false">MAX(E1504-E1505,0)</f>
        <v>0</v>
      </c>
      <c r="R1505" s="7" t="n">
        <f aca="false">(R1504*13+P1505)/14</f>
        <v>117.356590082979</v>
      </c>
      <c r="S1505" s="7" t="n">
        <f aca="false">(S1504*13+Q1505)/14</f>
        <v>92.9707968100327</v>
      </c>
      <c r="T1505" s="7" t="n">
        <f aca="false">IF(S1505=0,100,100-100/(1+R1505/S1505))</f>
        <v>55.797103656632</v>
      </c>
      <c r="U1505" s="7" t="n">
        <f aca="false">E1505*2/13+U1504*11/13</f>
        <v>25317.2911952195</v>
      </c>
      <c r="V1505" s="7" t="n">
        <f aca="false">E1505*2/27+V1504*25/27</f>
        <v>25275.147063243</v>
      </c>
      <c r="W1505" s="7" t="n">
        <f aca="false">U1505-V1505</f>
        <v>42.1441319764781</v>
      </c>
      <c r="X1505" s="7" t="n">
        <f aca="false">W1505*2/10+X1504*8/10</f>
        <v>44.7136108644058</v>
      </c>
      <c r="Y1505" s="7" t="n">
        <f aca="false">W1505-X1505</f>
        <v>-2.5694788879277</v>
      </c>
      <c r="Z1505" s="8" t="s">
        <v>42</v>
      </c>
      <c r="AA1505" s="7" t="str">
        <f aca="false">IFERROR(INDEX(02_轉折點45!B:B,MATCH(A1505,02_轉折點45!A:A,0)),"")</f>
        <v/>
      </c>
      <c r="AB1505" s="7" t="n">
        <f aca="false">COUNTIFS(05_訊號明細!A:A,A1505,05_訊號明細!C:C,"TOP")</f>
        <v>0</v>
      </c>
      <c r="AC1505" s="7" t="n">
        <f aca="false">COUNTIFS(05_訊號明細!A:A,A1505,05_訊號明細!C:C,"BOTTOM")</f>
        <v>0</v>
      </c>
    </row>
    <row r="1506" customFormat="false" ht="15" hidden="false" customHeight="false" outlineLevel="0" collapsed="false">
      <c r="A1506" s="7" t="s">
        <v>1547</v>
      </c>
      <c r="B1506" s="7" t="n">
        <v>25582.34</v>
      </c>
      <c r="C1506" s="7" t="n">
        <v>25665.28</v>
      </c>
      <c r="D1506" s="7" t="n">
        <v>25556.85</v>
      </c>
      <c r="E1506" s="7" t="n">
        <v>25656.15</v>
      </c>
      <c r="F1506" s="7" t="n">
        <v>3885</v>
      </c>
      <c r="G1506" s="7" t="n">
        <f aca="false">AVERAGE(E1502:E1506)</f>
        <v>25414.246</v>
      </c>
      <c r="H1506" s="7" t="n">
        <f aca="false">AVERAGE(E1497:E1506)</f>
        <v>25280.247</v>
      </c>
      <c r="I1506" s="7" t="n">
        <f aca="false">AVERAGE(E1487:E1506)</f>
        <v>25416.319</v>
      </c>
      <c r="J1506" s="7" t="n">
        <f aca="false">AVERAGE(E1457:E1506)</f>
        <v>25274.1726</v>
      </c>
      <c r="K1506" s="7" t="n">
        <f aca="false">AVERAGE(E1407:E1506)</f>
        <v>24658.8856</v>
      </c>
      <c r="L1506" s="7" t="n">
        <f aca="false">AVERAGE(E1307:E1506)</f>
        <v>22802.6086</v>
      </c>
      <c r="M1506" s="7" t="n">
        <f aca="false">I1506</f>
        <v>25416.319</v>
      </c>
      <c r="N1506" s="7" t="n">
        <f aca="false">I1506+2*STDEV(E1487:E1506)</f>
        <v>25996.8766388593</v>
      </c>
      <c r="O1506" s="7" t="n">
        <f aca="false">I1506-2*STDEV(E1487:E1506)</f>
        <v>24835.7613611407</v>
      </c>
      <c r="P1506" s="7" t="n">
        <f aca="false">MAX(E1506-E1505,0)</f>
        <v>68.3199999999997</v>
      </c>
      <c r="Q1506" s="7" t="n">
        <f aca="false">MAX(E1505-E1506,0)</f>
        <v>0</v>
      </c>
      <c r="R1506" s="7" t="n">
        <f aca="false">(R1505*13+P1506)/14</f>
        <v>113.853976505624</v>
      </c>
      <c r="S1506" s="7" t="n">
        <f aca="false">(S1505*13+Q1506)/14</f>
        <v>86.3300256093161</v>
      </c>
      <c r="T1506" s="7" t="n">
        <f aca="false">IF(S1506=0,100,100-100/(1+R1506/S1506))</f>
        <v>56.8746629614549</v>
      </c>
      <c r="U1506" s="7" t="n">
        <f aca="false">E1506*2/13+U1505*11/13</f>
        <v>25369.4233190319</v>
      </c>
      <c r="V1506" s="7" t="n">
        <f aca="false">E1506*2/27+V1505*25/27</f>
        <v>25303.3695030028</v>
      </c>
      <c r="W1506" s="7" t="n">
        <f aca="false">U1506-V1506</f>
        <v>66.0538160290853</v>
      </c>
      <c r="X1506" s="7" t="n">
        <f aca="false">W1506*2/10+X1505*8/10</f>
        <v>48.9816518973417</v>
      </c>
      <c r="Y1506" s="7" t="n">
        <f aca="false">W1506-X1506</f>
        <v>17.0721641317436</v>
      </c>
      <c r="Z1506" s="8" t="s">
        <v>42</v>
      </c>
      <c r="AA1506" s="7" t="str">
        <f aca="false">IFERROR(INDEX(02_轉折點45!B:B,MATCH(A1506,02_轉折點45!A:A,0)),"")</f>
        <v/>
      </c>
      <c r="AB1506" s="7" t="n">
        <f aca="false">COUNTIFS(05_訊號明細!A:A,A1506,05_訊號明細!C:C,"TOP")</f>
        <v>0</v>
      </c>
      <c r="AC1506" s="7" t="n">
        <f aca="false">COUNTIFS(05_訊號明細!A:A,A1506,05_訊號明細!C:C,"BOTTOM")</f>
        <v>0</v>
      </c>
    </row>
    <row r="1507" customFormat="false" ht="15" hidden="false" customHeight="false" outlineLevel="0" collapsed="false">
      <c r="A1507" s="7" t="s">
        <v>1548</v>
      </c>
      <c r="B1507" s="7" t="n">
        <v>25692.68</v>
      </c>
      <c r="C1507" s="7" t="n">
        <v>25716.71</v>
      </c>
      <c r="D1507" s="7" t="n">
        <v>25620.32</v>
      </c>
      <c r="E1507" s="7" t="n">
        <v>25644.39</v>
      </c>
      <c r="F1507" s="7" t="n">
        <v>5170</v>
      </c>
      <c r="G1507" s="7" t="n">
        <f aca="false">AVERAGE(E1503:E1507)</f>
        <v>25539.25</v>
      </c>
      <c r="H1507" s="7" t="n">
        <f aca="false">AVERAGE(E1498:E1507)</f>
        <v>25276.017</v>
      </c>
      <c r="I1507" s="7" t="n">
        <f aca="false">AVERAGE(E1488:E1507)</f>
        <v>25436.6915</v>
      </c>
      <c r="J1507" s="7" t="n">
        <f aca="false">AVERAGE(E1458:E1507)</f>
        <v>25292.1532</v>
      </c>
      <c r="K1507" s="7" t="n">
        <f aca="false">AVERAGE(E1408:E1507)</f>
        <v>24685.1439</v>
      </c>
      <c r="L1507" s="7" t="n">
        <f aca="false">AVERAGE(E1308:E1507)</f>
        <v>22832.85045</v>
      </c>
      <c r="M1507" s="7" t="n">
        <f aca="false">I1507</f>
        <v>25436.6915</v>
      </c>
      <c r="N1507" s="7" t="n">
        <f aca="false">I1507+2*STDEV(E1488:E1507)</f>
        <v>26019.3375237038</v>
      </c>
      <c r="O1507" s="7" t="n">
        <f aca="false">I1507-2*STDEV(E1488:E1507)</f>
        <v>24854.0454762962</v>
      </c>
      <c r="P1507" s="7" t="n">
        <f aca="false">MAX(E1507-E1506,0)</f>
        <v>0</v>
      </c>
      <c r="Q1507" s="7" t="n">
        <f aca="false">MAX(E1506-E1507,0)</f>
        <v>11.760000000002</v>
      </c>
      <c r="R1507" s="7" t="n">
        <f aca="false">(R1506*13+P1507)/14</f>
        <v>105.721549612365</v>
      </c>
      <c r="S1507" s="7" t="n">
        <f aca="false">(S1506*13+Q1507)/14</f>
        <v>81.0035952086508</v>
      </c>
      <c r="T1507" s="7" t="n">
        <f aca="false">IF(S1507=0,100,100-100/(1+R1507/S1507))</f>
        <v>56.618807131575</v>
      </c>
      <c r="U1507" s="7" t="n">
        <f aca="false">E1507*2/13+U1506*11/13</f>
        <v>25411.7258853347</v>
      </c>
      <c r="V1507" s="7" t="n">
        <f aca="false">E1507*2/27+V1506*25/27</f>
        <v>25328.6302805581</v>
      </c>
      <c r="W1507" s="7" t="n">
        <f aca="false">U1507-V1507</f>
        <v>83.0956047765249</v>
      </c>
      <c r="X1507" s="7" t="n">
        <f aca="false">W1507*2/10+X1506*8/10</f>
        <v>55.8044424731783</v>
      </c>
      <c r="Y1507" s="7" t="n">
        <f aca="false">W1507-X1507</f>
        <v>27.2911623033465</v>
      </c>
      <c r="Z1507" s="8" t="s">
        <v>42</v>
      </c>
      <c r="AA1507" s="7" t="str">
        <f aca="false">IFERROR(INDEX(02_轉折點45!B:B,MATCH(A1507,02_轉折點45!A:A,0)),"")</f>
        <v/>
      </c>
      <c r="AB1507" s="7" t="n">
        <f aca="false">COUNTIFS(05_訊號明細!A:A,A1507,05_訊號明細!C:C,"TOP")</f>
        <v>0</v>
      </c>
      <c r="AC1507" s="7" t="n">
        <f aca="false">COUNTIFS(05_訊號明細!A:A,A1507,05_訊號明細!C:C,"BOTTOM")</f>
        <v>0</v>
      </c>
    </row>
    <row r="1508" customFormat="false" ht="15" hidden="false" customHeight="false" outlineLevel="0" collapsed="false">
      <c r="A1508" s="7" t="s">
        <v>1549</v>
      </c>
      <c r="B1508" s="7" t="n">
        <v>25462.25</v>
      </c>
      <c r="C1508" s="7" t="n">
        <v>25598.14</v>
      </c>
      <c r="D1508" s="7" t="n">
        <v>25440.97</v>
      </c>
      <c r="E1508" s="7" t="n">
        <v>25525.56</v>
      </c>
      <c r="F1508" s="7" t="n">
        <v>6528</v>
      </c>
      <c r="G1508" s="7" t="n">
        <f aca="false">AVERAGE(E1504:E1508)</f>
        <v>25575.126</v>
      </c>
      <c r="H1508" s="7" t="n">
        <f aca="false">AVERAGE(E1499:E1508)</f>
        <v>25308.9</v>
      </c>
      <c r="I1508" s="7" t="n">
        <f aca="false">AVERAGE(E1489:E1508)</f>
        <v>25441.225</v>
      </c>
      <c r="J1508" s="7" t="n">
        <f aca="false">AVERAGE(E1459:E1508)</f>
        <v>25309.5196</v>
      </c>
      <c r="K1508" s="7" t="n">
        <f aca="false">AVERAGE(E1409:E1508)</f>
        <v>24707.2491</v>
      </c>
      <c r="L1508" s="7" t="n">
        <f aca="false">AVERAGE(E1309:E1508)</f>
        <v>22864.35085</v>
      </c>
      <c r="M1508" s="7" t="n">
        <f aca="false">I1508</f>
        <v>25441.225</v>
      </c>
      <c r="N1508" s="7" t="n">
        <f aca="false">I1508+2*STDEV(E1489:E1508)</f>
        <v>26025.2214239076</v>
      </c>
      <c r="O1508" s="7" t="n">
        <f aca="false">I1508-2*STDEV(E1489:E1508)</f>
        <v>24857.2285760924</v>
      </c>
      <c r="P1508" s="7" t="n">
        <f aca="false">MAX(E1508-E1507,0)</f>
        <v>0</v>
      </c>
      <c r="Q1508" s="7" t="n">
        <f aca="false">MAX(E1507-E1508,0)</f>
        <v>118.829999999998</v>
      </c>
      <c r="R1508" s="7" t="n">
        <f aca="false">(R1507*13+P1508)/14</f>
        <v>98.1700103543388</v>
      </c>
      <c r="S1508" s="7" t="n">
        <f aca="false">(S1507*13+Q1508)/14</f>
        <v>83.7054812651756</v>
      </c>
      <c r="T1508" s="7" t="n">
        <f aca="false">IF(S1508=0,100,100-100/(1+R1508/S1508))</f>
        <v>53.9764920936745</v>
      </c>
      <c r="U1508" s="7" t="n">
        <f aca="false">E1508*2/13+U1507*11/13</f>
        <v>25429.2388260524</v>
      </c>
      <c r="V1508" s="7" t="n">
        <f aca="false">E1508*2/27+V1507*25/27</f>
        <v>25343.2176671835</v>
      </c>
      <c r="W1508" s="7" t="n">
        <f aca="false">U1508-V1508</f>
        <v>86.0211588689454</v>
      </c>
      <c r="X1508" s="7" t="n">
        <f aca="false">W1508*2/10+X1507*8/10</f>
        <v>61.8477857523317</v>
      </c>
      <c r="Y1508" s="7" t="n">
        <f aca="false">W1508-X1508</f>
        <v>24.1733731166136</v>
      </c>
      <c r="Z1508" s="8" t="s">
        <v>42</v>
      </c>
      <c r="AA1508" s="7" t="str">
        <f aca="false">IFERROR(INDEX(02_轉折點45!B:B,MATCH(A1508,02_轉折點45!A:A,0)),"")</f>
        <v/>
      </c>
      <c r="AB1508" s="7" t="n">
        <f aca="false">COUNTIFS(05_訊號明細!A:A,A1508,05_訊號明細!C:C,"TOP")</f>
        <v>0</v>
      </c>
      <c r="AC1508" s="7" t="n">
        <f aca="false">COUNTIFS(05_訊號明細!A:A,A1508,05_訊號明細!C:C,"BOTTOM")</f>
        <v>0</v>
      </c>
    </row>
    <row r="1509" customFormat="false" ht="15" hidden="false" customHeight="false" outlineLevel="0" collapsed="false">
      <c r="A1509" s="7" t="s">
        <v>1550</v>
      </c>
      <c r="B1509" s="7" t="n">
        <v>25509.88</v>
      </c>
      <c r="C1509" s="7" t="n">
        <v>25577.58</v>
      </c>
      <c r="D1509" s="7" t="n">
        <v>25456.93</v>
      </c>
      <c r="E1509" s="7" t="n">
        <v>25462.56</v>
      </c>
      <c r="F1509" s="7" t="n">
        <v>6769</v>
      </c>
      <c r="G1509" s="7" t="n">
        <f aca="false">AVERAGE(E1505:E1509)</f>
        <v>25575.298</v>
      </c>
      <c r="H1509" s="7" t="n">
        <f aca="false">AVERAGE(E1500:E1509)</f>
        <v>25348.429</v>
      </c>
      <c r="I1509" s="7" t="n">
        <f aca="false">AVERAGE(E1490:E1509)</f>
        <v>25447.2105</v>
      </c>
      <c r="J1509" s="7" t="n">
        <f aca="false">AVERAGE(E1460:E1509)</f>
        <v>25322.4118</v>
      </c>
      <c r="K1509" s="7" t="n">
        <f aca="false">AVERAGE(E1410:E1509)</f>
        <v>24727.9794</v>
      </c>
      <c r="L1509" s="7" t="n">
        <f aca="false">AVERAGE(E1310:E1509)</f>
        <v>22893.14045</v>
      </c>
      <c r="M1509" s="7" t="n">
        <f aca="false">I1509</f>
        <v>25447.2105</v>
      </c>
      <c r="N1509" s="7" t="n">
        <f aca="false">I1509+2*STDEV(E1490:E1509)</f>
        <v>26029.412703488</v>
      </c>
      <c r="O1509" s="7" t="n">
        <f aca="false">I1509-2*STDEV(E1490:E1509)</f>
        <v>24865.008296512</v>
      </c>
      <c r="P1509" s="7" t="n">
        <f aca="false">MAX(E1509-E1508,0)</f>
        <v>0</v>
      </c>
      <c r="Q1509" s="7" t="n">
        <f aca="false">MAX(E1508-E1509,0)</f>
        <v>63</v>
      </c>
      <c r="R1509" s="7" t="n">
        <f aca="false">(R1508*13+P1509)/14</f>
        <v>91.1578667576004</v>
      </c>
      <c r="S1509" s="7" t="n">
        <f aca="false">(S1508*13+Q1509)/14</f>
        <v>82.2265183176631</v>
      </c>
      <c r="T1509" s="7" t="n">
        <f aca="false">IF(S1509=0,100,100-100/(1+R1509/S1509))</f>
        <v>52.5755919242844</v>
      </c>
      <c r="U1509" s="7" t="n">
        <f aca="false">E1509*2/13+U1508*11/13</f>
        <v>25434.3651605059</v>
      </c>
      <c r="V1509" s="7" t="n">
        <f aca="false">E1509*2/27+V1508*25/27</f>
        <v>25352.0578399847</v>
      </c>
      <c r="W1509" s="7" t="n">
        <f aca="false">U1509-V1509</f>
        <v>82.3073205211949</v>
      </c>
      <c r="X1509" s="7" t="n">
        <f aca="false">W1509*2/10+X1508*8/10</f>
        <v>65.9396927061044</v>
      </c>
      <c r="Y1509" s="7" t="n">
        <f aca="false">W1509-X1509</f>
        <v>16.3676278150906</v>
      </c>
      <c r="Z1509" s="8" t="s">
        <v>42</v>
      </c>
      <c r="AA1509" s="7" t="str">
        <f aca="false">IFERROR(INDEX(02_轉折點45!B:B,MATCH(A1509,02_轉折點45!A:A,0)),"")</f>
        <v/>
      </c>
      <c r="AB1509" s="7" t="n">
        <f aca="false">COUNTIFS(05_訊號明細!A:A,A1509,05_訊號明細!C:C,"TOP")</f>
        <v>0</v>
      </c>
      <c r="AC1509" s="7" t="n">
        <f aca="false">COUNTIFS(05_訊號明細!A:A,A1509,05_訊號明細!C:C,"BOTTOM")</f>
        <v>0</v>
      </c>
    </row>
    <row r="1510" customFormat="false" ht="15" hidden="false" customHeight="false" outlineLevel="0" collapsed="false">
      <c r="A1510" s="7" t="s">
        <v>1551</v>
      </c>
      <c r="B1510" s="7" t="n">
        <v>25464.71</v>
      </c>
      <c r="C1510" s="7" t="n">
        <v>25483.77</v>
      </c>
      <c r="D1510" s="7" t="n">
        <v>25244.86</v>
      </c>
      <c r="E1510" s="7" t="n">
        <v>25249.85</v>
      </c>
      <c r="F1510" s="7" t="n">
        <v>5895</v>
      </c>
      <c r="G1510" s="7" t="n">
        <f aca="false">AVERAGE(E1506:E1510)</f>
        <v>25507.702</v>
      </c>
      <c r="H1510" s="7" t="n">
        <f aca="false">AVERAGE(E1501:E1510)</f>
        <v>25360.12</v>
      </c>
      <c r="I1510" s="7" t="n">
        <f aca="false">AVERAGE(E1491:E1510)</f>
        <v>25431.91</v>
      </c>
      <c r="J1510" s="7" t="n">
        <f aca="false">AVERAGE(E1461:E1510)</f>
        <v>25324.5884</v>
      </c>
      <c r="K1510" s="7" t="n">
        <f aca="false">AVERAGE(E1411:E1510)</f>
        <v>24744.3652</v>
      </c>
      <c r="L1510" s="7" t="n">
        <f aca="false">AVERAGE(E1311:E1510)</f>
        <v>22920.3285</v>
      </c>
      <c r="M1510" s="7" t="n">
        <f aca="false">I1510</f>
        <v>25431.91</v>
      </c>
      <c r="N1510" s="7" t="n">
        <f aca="false">I1510+2*STDEV(E1491:E1510)</f>
        <v>26018.1597266344</v>
      </c>
      <c r="O1510" s="7" t="n">
        <f aca="false">I1510-2*STDEV(E1491:E1510)</f>
        <v>24845.6602733656</v>
      </c>
      <c r="P1510" s="7" t="n">
        <f aca="false">MAX(E1510-E1509,0)</f>
        <v>0</v>
      </c>
      <c r="Q1510" s="7" t="n">
        <f aca="false">MAX(E1509-E1510,0)</f>
        <v>212.710000000003</v>
      </c>
      <c r="R1510" s="7" t="n">
        <f aca="false">(R1509*13+P1510)/14</f>
        <v>84.6465905606289</v>
      </c>
      <c r="S1510" s="7" t="n">
        <f aca="false">(S1509*13+Q1510)/14</f>
        <v>91.5467670092587</v>
      </c>
      <c r="T1510" s="7" t="n">
        <f aca="false">IF(S1510=0,100,100-100/(1+R1510/S1510))</f>
        <v>48.0418738413868</v>
      </c>
      <c r="U1510" s="7" t="n">
        <f aca="false">E1510*2/13+U1509*11/13</f>
        <v>25405.9782127358</v>
      </c>
      <c r="V1510" s="7" t="n">
        <f aca="false">E1510*2/27+V1509*25/27</f>
        <v>25344.4868888747</v>
      </c>
      <c r="W1510" s="7" t="n">
        <f aca="false">U1510-V1510</f>
        <v>61.4913238610352</v>
      </c>
      <c r="X1510" s="7" t="n">
        <f aca="false">W1510*2/10+X1509*8/10</f>
        <v>65.0500189370905</v>
      </c>
      <c r="Y1510" s="7" t="n">
        <f aca="false">W1510-X1510</f>
        <v>-3.55869507605533</v>
      </c>
      <c r="Z1510" s="8" t="s">
        <v>42</v>
      </c>
      <c r="AA1510" s="7" t="str">
        <f aca="false">IFERROR(INDEX(02_轉折點45!B:B,MATCH(A1510,02_轉折點45!A:A,0)),"")</f>
        <v/>
      </c>
      <c r="AB1510" s="7" t="n">
        <f aca="false">COUNTIFS(05_訊號明細!A:A,A1510,05_訊號明細!C:C,"TOP")</f>
        <v>0</v>
      </c>
      <c r="AC1510" s="7" t="n">
        <f aca="false">COUNTIFS(05_訊號明細!A:A,A1510,05_訊號明細!C:C,"BOTTOM")</f>
        <v>0</v>
      </c>
    </row>
    <row r="1511" customFormat="false" ht="15" hidden="false" customHeight="false" outlineLevel="0" collapsed="false">
      <c r="A1511" s="7" t="s">
        <v>1552</v>
      </c>
      <c r="B1511" s="7" t="n">
        <v>25524.27</v>
      </c>
      <c r="C1511" s="7" t="n">
        <v>25597.65</v>
      </c>
      <c r="D1511" s="7" t="n">
        <v>25086.36</v>
      </c>
      <c r="E1511" s="7" t="n">
        <v>25206.17</v>
      </c>
      <c r="F1511" s="7" t="n">
        <v>7331</v>
      </c>
      <c r="G1511" s="7" t="n">
        <f aca="false">AVERAGE(E1507:E1511)</f>
        <v>25417.706</v>
      </c>
      <c r="H1511" s="7" t="n">
        <f aca="false">AVERAGE(E1502:E1511)</f>
        <v>25415.976</v>
      </c>
      <c r="I1511" s="7" t="n">
        <f aca="false">AVERAGE(E1492:E1511)</f>
        <v>25411.8915</v>
      </c>
      <c r="J1511" s="7" t="n">
        <f aca="false">AVERAGE(E1462:E1511)</f>
        <v>25326.1692</v>
      </c>
      <c r="K1511" s="7" t="n">
        <f aca="false">AVERAGE(E1412:E1511)</f>
        <v>24761.1606</v>
      </c>
      <c r="L1511" s="7" t="n">
        <f aca="false">AVERAGE(E1312:E1511)</f>
        <v>22948.94255</v>
      </c>
      <c r="M1511" s="7" t="n">
        <f aca="false">I1511</f>
        <v>25411.8915</v>
      </c>
      <c r="N1511" s="7" t="n">
        <f aca="false">I1511+2*STDEV(E1492:E1511)</f>
        <v>26000.3720820264</v>
      </c>
      <c r="O1511" s="7" t="n">
        <f aca="false">I1511-2*STDEV(E1492:E1511)</f>
        <v>24823.4109179736</v>
      </c>
      <c r="P1511" s="7" t="n">
        <f aca="false">MAX(E1511-E1510,0)</f>
        <v>0</v>
      </c>
      <c r="Q1511" s="7" t="n">
        <f aca="false">MAX(E1510-E1511,0)</f>
        <v>43.6800000000003</v>
      </c>
      <c r="R1511" s="7" t="n">
        <f aca="false">(R1510*13+P1511)/14</f>
        <v>78.600405520584</v>
      </c>
      <c r="S1511" s="7" t="n">
        <f aca="false">(S1510*13+Q1511)/14</f>
        <v>88.1277122228831</v>
      </c>
      <c r="T1511" s="7" t="n">
        <f aca="false">IF(S1511=0,100,100-100/(1+R1511/S1511))</f>
        <v>47.1428614347587</v>
      </c>
      <c r="U1511" s="7" t="n">
        <f aca="false">E1511*2/13+U1510*11/13</f>
        <v>25375.2384876995</v>
      </c>
      <c r="V1511" s="7" t="n">
        <f aca="false">E1511*2/27+V1510*25/27</f>
        <v>25334.2411934025</v>
      </c>
      <c r="W1511" s="7" t="n">
        <f aca="false">U1511-V1511</f>
        <v>40.9972942969689</v>
      </c>
      <c r="X1511" s="7" t="n">
        <f aca="false">W1511*2/10+X1510*8/10</f>
        <v>60.2394740090662</v>
      </c>
      <c r="Y1511" s="7" t="n">
        <f aca="false">W1511-X1511</f>
        <v>-19.2421797120973</v>
      </c>
      <c r="Z1511" s="8" t="s">
        <v>42</v>
      </c>
      <c r="AA1511" s="7" t="str">
        <f aca="false">IFERROR(INDEX(02_轉折點45!B:B,MATCH(A1511,02_轉折點45!A:A,0)),"")</f>
        <v/>
      </c>
      <c r="AB1511" s="7" t="n">
        <f aca="false">COUNTIFS(05_訊號明細!A:A,A1511,05_訊號明細!C:C,"TOP")</f>
        <v>0</v>
      </c>
      <c r="AC1511" s="7" t="n">
        <f aca="false">COUNTIFS(05_訊號明細!A:A,A1511,05_訊號明細!C:C,"BOTTOM")</f>
        <v>0</v>
      </c>
    </row>
    <row r="1512" customFormat="false" ht="15" hidden="false" customHeight="false" outlineLevel="0" collapsed="false">
      <c r="A1512" s="7" t="s">
        <v>1553</v>
      </c>
      <c r="B1512" s="7" t="n">
        <v>25471.79</v>
      </c>
      <c r="C1512" s="7" t="n">
        <v>25520.52</v>
      </c>
      <c r="D1512" s="7" t="n">
        <v>25354.66</v>
      </c>
      <c r="E1512" s="7" t="n">
        <v>25401.32</v>
      </c>
      <c r="F1512" s="7" t="n">
        <v>8737</v>
      </c>
      <c r="G1512" s="7" t="n">
        <f aca="false">AVERAGE(E1508:E1512)</f>
        <v>25369.092</v>
      </c>
      <c r="H1512" s="7" t="n">
        <f aca="false">AVERAGE(E1503:E1512)</f>
        <v>25454.171</v>
      </c>
      <c r="I1512" s="7" t="n">
        <f aca="false">AVERAGE(E1493:E1512)</f>
        <v>25402.8725</v>
      </c>
      <c r="J1512" s="7" t="n">
        <f aca="false">AVERAGE(E1463:E1512)</f>
        <v>25336.6154</v>
      </c>
      <c r="K1512" s="7" t="n">
        <f aca="false">AVERAGE(E1413:E1512)</f>
        <v>24776.7818</v>
      </c>
      <c r="L1512" s="7" t="n">
        <f aca="false">AVERAGE(E1313:E1512)</f>
        <v>22977.26585</v>
      </c>
      <c r="M1512" s="7" t="n">
        <f aca="false">I1512</f>
        <v>25402.8725</v>
      </c>
      <c r="N1512" s="7" t="n">
        <f aca="false">I1512+2*STDEV(E1493:E1512)</f>
        <v>25985.8990157778</v>
      </c>
      <c r="O1512" s="7" t="n">
        <f aca="false">I1512-2*STDEV(E1493:E1512)</f>
        <v>24819.8459842222</v>
      </c>
      <c r="P1512" s="7" t="n">
        <f aca="false">MAX(E1512-E1511,0)</f>
        <v>195.150000000001</v>
      </c>
      <c r="Q1512" s="7" t="n">
        <f aca="false">MAX(E1511-E1512,0)</f>
        <v>0</v>
      </c>
      <c r="R1512" s="7" t="n">
        <f aca="false">(R1511*13+P1512)/14</f>
        <v>86.9253765548281</v>
      </c>
      <c r="S1512" s="7" t="n">
        <f aca="false">(S1511*13+Q1512)/14</f>
        <v>81.8328756355343</v>
      </c>
      <c r="T1512" s="7" t="n">
        <f aca="false">IF(S1512=0,100,100-100/(1+R1512/S1512))</f>
        <v>51.5088153773806</v>
      </c>
      <c r="U1512" s="7" t="n">
        <f aca="false">E1512*2/13+U1511*11/13</f>
        <v>25379.2510280534</v>
      </c>
      <c r="V1512" s="7" t="n">
        <f aca="false">E1512*2/27+V1511*25/27</f>
        <v>25339.2099938912</v>
      </c>
      <c r="W1512" s="7" t="n">
        <f aca="false">U1512-V1512</f>
        <v>40.04103416219</v>
      </c>
      <c r="X1512" s="7" t="n">
        <f aca="false">W1512*2/10+X1511*8/10</f>
        <v>56.199786039691</v>
      </c>
      <c r="Y1512" s="7" t="n">
        <f aca="false">W1512-X1512</f>
        <v>-16.1587518775009</v>
      </c>
      <c r="Z1512" s="8" t="s">
        <v>42</v>
      </c>
      <c r="AA1512" s="7" t="str">
        <f aca="false">IFERROR(INDEX(02_轉折點45!B:B,MATCH(A1512,02_轉折點45!A:A,0)),"")</f>
        <v/>
      </c>
      <c r="AB1512" s="7" t="n">
        <f aca="false">COUNTIFS(05_訊號明細!A:A,A1512,05_訊號明細!C:C,"TOP")</f>
        <v>1</v>
      </c>
      <c r="AC1512" s="7" t="n">
        <f aca="false">COUNTIFS(05_訊號明細!A:A,A1512,05_訊號明細!C:C,"BOTTOM")</f>
        <v>0</v>
      </c>
    </row>
    <row r="1513" customFormat="false" ht="15" hidden="false" customHeight="false" outlineLevel="0" collapsed="false">
      <c r="A1513" s="7" t="s">
        <v>1554</v>
      </c>
      <c r="B1513" s="7" t="n">
        <v>25462.06</v>
      </c>
      <c r="C1513" s="7" t="n">
        <v>25655.12</v>
      </c>
      <c r="D1513" s="7" t="n">
        <v>25428.08</v>
      </c>
      <c r="E1513" s="7" t="n">
        <v>25639.71</v>
      </c>
      <c r="F1513" s="7" t="n">
        <v>9013</v>
      </c>
      <c r="G1513" s="7" t="n">
        <f aca="false">AVERAGE(E1509:E1513)</f>
        <v>25391.922</v>
      </c>
      <c r="H1513" s="7" t="n">
        <f aca="false">AVERAGE(E1504:E1513)</f>
        <v>25483.524</v>
      </c>
      <c r="I1513" s="7" t="n">
        <f aca="false">AVERAGE(E1494:E1513)</f>
        <v>25400.2555</v>
      </c>
      <c r="J1513" s="7" t="n">
        <f aca="false">AVERAGE(E1464:E1513)</f>
        <v>25347.4614</v>
      </c>
      <c r="K1513" s="7" t="n">
        <f aca="false">AVERAGE(E1414:E1513)</f>
        <v>24794.6885</v>
      </c>
      <c r="L1513" s="7" t="n">
        <f aca="false">AVERAGE(E1314:E1513)</f>
        <v>23007.07635</v>
      </c>
      <c r="M1513" s="7" t="n">
        <f aca="false">I1513</f>
        <v>25400.2555</v>
      </c>
      <c r="N1513" s="7" t="n">
        <f aca="false">I1513+2*STDEV(E1494:E1513)</f>
        <v>25978.264972167</v>
      </c>
      <c r="O1513" s="7" t="n">
        <f aca="false">I1513-2*STDEV(E1494:E1513)</f>
        <v>24822.246027833</v>
      </c>
      <c r="P1513" s="7" t="n">
        <f aca="false">MAX(E1513-E1512,0)</f>
        <v>238.389999999999</v>
      </c>
      <c r="Q1513" s="7" t="n">
        <f aca="false">MAX(E1512-E1513,0)</f>
        <v>0</v>
      </c>
      <c r="R1513" s="7" t="n">
        <f aca="false">(R1512*13+P1513)/14</f>
        <v>97.7442782294832</v>
      </c>
      <c r="S1513" s="7" t="n">
        <f aca="false">(S1512*13+Q1513)/14</f>
        <v>75.9876702329962</v>
      </c>
      <c r="T1513" s="7" t="n">
        <f aca="false">IF(S1513=0,100,100-100/(1+R1513/S1513))</f>
        <v>56.2615449228055</v>
      </c>
      <c r="U1513" s="7" t="n">
        <f aca="false">E1513*2/13+U1512*11/13</f>
        <v>25419.3216391221</v>
      </c>
      <c r="V1513" s="7" t="n">
        <f aca="false">E1513*2/27+V1512*25/27</f>
        <v>25361.469253603</v>
      </c>
      <c r="W1513" s="7" t="n">
        <f aca="false">U1513-V1513</f>
        <v>57.8523855191379</v>
      </c>
      <c r="X1513" s="7" t="n">
        <f aca="false">W1513*2/10+X1512*8/10</f>
        <v>56.5303059355804</v>
      </c>
      <c r="Y1513" s="7" t="n">
        <f aca="false">W1513-X1513</f>
        <v>1.32207958355755</v>
      </c>
      <c r="Z1513" s="8" t="s">
        <v>42</v>
      </c>
      <c r="AA1513" s="7" t="str">
        <f aca="false">IFERROR(INDEX(02_轉折點45!B:B,MATCH(A1513,02_轉折點45!A:A,0)),"")</f>
        <v/>
      </c>
      <c r="AB1513" s="7" t="n">
        <f aca="false">COUNTIFS(05_訊號明細!A:A,A1513,05_訊號明細!C:C,"TOP")</f>
        <v>0</v>
      </c>
      <c r="AC1513" s="7" t="n">
        <f aca="false">COUNTIFS(05_訊號明細!A:A,A1513,05_訊號明細!C:C,"BOTTOM")</f>
        <v>0</v>
      </c>
    </row>
    <row r="1514" customFormat="false" ht="15" hidden="false" customHeight="false" outlineLevel="0" collapsed="false">
      <c r="A1514" s="7" t="s">
        <v>1555</v>
      </c>
      <c r="B1514" s="7" t="n">
        <v>25617.8</v>
      </c>
      <c r="C1514" s="7" t="n">
        <v>25813.17</v>
      </c>
      <c r="D1514" s="7" t="n">
        <v>25592.4</v>
      </c>
      <c r="E1514" s="7" t="n">
        <v>25653.9</v>
      </c>
      <c r="F1514" s="7" t="n">
        <v>8397</v>
      </c>
      <c r="G1514" s="7" t="n">
        <f aca="false">AVERAGE(E1510:E1514)</f>
        <v>25430.19</v>
      </c>
      <c r="H1514" s="7" t="n">
        <f aca="false">AVERAGE(E1505:E1514)</f>
        <v>25502.744</v>
      </c>
      <c r="I1514" s="7" t="n">
        <f aca="false">AVERAGE(E1495:E1514)</f>
        <v>25401.553</v>
      </c>
      <c r="J1514" s="7" t="n">
        <f aca="false">AVERAGE(E1465:E1514)</f>
        <v>25353.3762</v>
      </c>
      <c r="K1514" s="7" t="n">
        <f aca="false">AVERAGE(E1415:E1514)</f>
        <v>24812.9031</v>
      </c>
      <c r="L1514" s="7" t="n">
        <f aca="false">AVERAGE(E1315:E1514)</f>
        <v>23036.576</v>
      </c>
      <c r="M1514" s="7" t="n">
        <f aca="false">I1514</f>
        <v>25401.553</v>
      </c>
      <c r="N1514" s="7" t="n">
        <f aca="false">I1514+2*STDEV(E1495:E1514)</f>
        <v>25981.8266358178</v>
      </c>
      <c r="O1514" s="7" t="n">
        <f aca="false">I1514-2*STDEV(E1495:E1514)</f>
        <v>24821.2793641822</v>
      </c>
      <c r="P1514" s="7" t="n">
        <f aca="false">MAX(E1514-E1513,0)</f>
        <v>14.1900000000023</v>
      </c>
      <c r="Q1514" s="7" t="n">
        <f aca="false">MAX(E1513-E1514,0)</f>
        <v>0</v>
      </c>
      <c r="R1514" s="7" t="n">
        <f aca="false">(R1513*13+P1514)/14</f>
        <v>91.776115498806</v>
      </c>
      <c r="S1514" s="7" t="n">
        <f aca="false">(S1513*13+Q1514)/14</f>
        <v>70.5599795020679</v>
      </c>
      <c r="T1514" s="7" t="n">
        <f aca="false">IF(S1514=0,100,100-100/(1+R1514/S1514))</f>
        <v>56.5346329775346</v>
      </c>
      <c r="U1514" s="7" t="n">
        <f aca="false">E1514*2/13+U1513*11/13</f>
        <v>25455.4106177187</v>
      </c>
      <c r="V1514" s="7" t="n">
        <f aca="false">E1514*2/27+V1513*25/27</f>
        <v>25383.1307903731</v>
      </c>
      <c r="W1514" s="7" t="n">
        <f aca="false">U1514-V1514</f>
        <v>72.2798273455883</v>
      </c>
      <c r="X1514" s="7" t="n">
        <f aca="false">W1514*2/10+X1513*8/10</f>
        <v>59.6802102175819</v>
      </c>
      <c r="Y1514" s="7" t="n">
        <f aca="false">W1514-X1514</f>
        <v>12.5996171280063</v>
      </c>
      <c r="Z1514" s="8" t="s">
        <v>42</v>
      </c>
      <c r="AA1514" s="7" t="str">
        <f aca="false">IFERROR(INDEX(02_轉折點45!B:B,MATCH(A1514,02_轉折點45!A:A,0)),"")</f>
        <v/>
      </c>
      <c r="AB1514" s="7" t="n">
        <f aca="false">COUNTIFS(05_訊號明細!A:A,A1514,05_訊號明細!C:C,"TOP")</f>
        <v>0</v>
      </c>
      <c r="AC1514" s="7" t="n">
        <f aca="false">COUNTIFS(05_訊號明細!A:A,A1514,05_訊號明細!C:C,"BOTTOM")</f>
        <v>0</v>
      </c>
    </row>
    <row r="1515" customFormat="false" ht="15" hidden="false" customHeight="false" outlineLevel="0" collapsed="false">
      <c r="A1515" s="7" t="s">
        <v>1556</v>
      </c>
      <c r="B1515" s="7" t="n">
        <v>25615.35</v>
      </c>
      <c r="C1515" s="7" t="n">
        <v>25622.31</v>
      </c>
      <c r="D1515" s="7" t="n">
        <v>25400.16</v>
      </c>
      <c r="E1515" s="7" t="n">
        <v>25507.1</v>
      </c>
      <c r="F1515" s="7" t="n">
        <v>7723</v>
      </c>
      <c r="G1515" s="7" t="n">
        <f aca="false">AVERAGE(E1511:E1515)</f>
        <v>25481.64</v>
      </c>
      <c r="H1515" s="7" t="n">
        <f aca="false">AVERAGE(E1506:E1515)</f>
        <v>25494.671</v>
      </c>
      <c r="I1515" s="7" t="n">
        <f aca="false">AVERAGE(E1496:E1515)</f>
        <v>25393.4735</v>
      </c>
      <c r="J1515" s="7" t="n">
        <f aca="false">AVERAGE(E1466:E1515)</f>
        <v>25347.0872</v>
      </c>
      <c r="K1515" s="7" t="n">
        <f aca="false">AVERAGE(E1416:E1515)</f>
        <v>24830.8534</v>
      </c>
      <c r="L1515" s="7" t="n">
        <f aca="false">AVERAGE(E1316:E1515)</f>
        <v>23063.20925</v>
      </c>
      <c r="M1515" s="7" t="n">
        <f aca="false">I1515</f>
        <v>25393.4735</v>
      </c>
      <c r="N1515" s="7" t="n">
        <f aca="false">I1515+2*STDEV(E1496:E1515)</f>
        <v>25962.4764164767</v>
      </c>
      <c r="O1515" s="7" t="n">
        <f aca="false">I1515-2*STDEV(E1496:E1515)</f>
        <v>24824.4705835233</v>
      </c>
      <c r="P1515" s="7" t="n">
        <f aca="false">MAX(E1515-E1514,0)</f>
        <v>0</v>
      </c>
      <c r="Q1515" s="7" t="n">
        <f aca="false">MAX(E1514-E1515,0)</f>
        <v>146.800000000003</v>
      </c>
      <c r="R1515" s="7" t="n">
        <f aca="false">(R1514*13+P1515)/14</f>
        <v>85.2206786774627</v>
      </c>
      <c r="S1515" s="7" t="n">
        <f aca="false">(S1514*13+Q1515)/14</f>
        <v>76.0056952519204</v>
      </c>
      <c r="T1515" s="7" t="n">
        <f aca="false">IF(S1515=0,100,100-100/(1+R1515/S1515))</f>
        <v>52.8577779183878</v>
      </c>
      <c r="U1515" s="7" t="n">
        <f aca="false">E1515*2/13+U1514*11/13</f>
        <v>25463.3628303774</v>
      </c>
      <c r="V1515" s="7" t="n">
        <f aca="false">E1515*2/27+V1514*25/27</f>
        <v>25392.3136947899</v>
      </c>
      <c r="W1515" s="7" t="n">
        <f aca="false">U1515-V1515</f>
        <v>71.0491355874401</v>
      </c>
      <c r="X1515" s="7" t="n">
        <f aca="false">W1515*2/10+X1514*8/10</f>
        <v>61.9539952915536</v>
      </c>
      <c r="Y1515" s="7" t="n">
        <f aca="false">W1515-X1515</f>
        <v>9.09514029588654</v>
      </c>
      <c r="Z1515" s="8" t="s">
        <v>42</v>
      </c>
      <c r="AA1515" s="7" t="str">
        <f aca="false">IFERROR(INDEX(02_轉折點45!B:B,MATCH(A1515,02_轉折點45!A:A,0)),"")</f>
        <v/>
      </c>
      <c r="AB1515" s="7" t="n">
        <f aca="false">COUNTIFS(05_訊號明細!A:A,A1515,05_訊號明細!C:C,"TOP")</f>
        <v>0</v>
      </c>
      <c r="AC1515" s="7" t="n">
        <f aca="false">COUNTIFS(05_訊號明細!A:A,A1515,05_訊號明細!C:C,"BOTTOM")</f>
        <v>0</v>
      </c>
    </row>
    <row r="1516" customFormat="false" ht="15" hidden="false" customHeight="false" outlineLevel="0" collapsed="false">
      <c r="A1516" s="7" t="s">
        <v>1557</v>
      </c>
      <c r="B1516" s="7" t="n">
        <v>25518.82</v>
      </c>
      <c r="C1516" s="7" t="n">
        <v>25811.45</v>
      </c>
      <c r="D1516" s="7" t="n">
        <v>25455.97</v>
      </c>
      <c r="E1516" s="7" t="n">
        <v>25766.26</v>
      </c>
      <c r="F1516" s="7" t="n">
        <v>8124</v>
      </c>
      <c r="G1516" s="7" t="n">
        <f aca="false">AVERAGE(E1512:E1516)</f>
        <v>25593.658</v>
      </c>
      <c r="H1516" s="7" t="n">
        <f aca="false">AVERAGE(E1507:E1516)</f>
        <v>25505.682</v>
      </c>
      <c r="I1516" s="7" t="n">
        <f aca="false">AVERAGE(E1497:E1516)</f>
        <v>25392.9645</v>
      </c>
      <c r="J1516" s="7" t="n">
        <f aca="false">AVERAGE(E1467:E1516)</f>
        <v>25342.1694</v>
      </c>
      <c r="K1516" s="7" t="n">
        <f aca="false">AVERAGE(E1417:E1516)</f>
        <v>24851.3784</v>
      </c>
      <c r="L1516" s="7" t="n">
        <f aca="false">AVERAGE(E1317:E1516)</f>
        <v>23090.6014</v>
      </c>
      <c r="M1516" s="7" t="n">
        <f aca="false">I1516</f>
        <v>25392.9645</v>
      </c>
      <c r="N1516" s="7" t="n">
        <f aca="false">I1516+2*STDEV(E1497:E1516)</f>
        <v>25960.5413935423</v>
      </c>
      <c r="O1516" s="7" t="n">
        <f aca="false">I1516-2*STDEV(E1497:E1516)</f>
        <v>24825.3876064577</v>
      </c>
      <c r="P1516" s="7" t="n">
        <f aca="false">MAX(E1516-E1515,0)</f>
        <v>259.16</v>
      </c>
      <c r="Q1516" s="7" t="n">
        <f aca="false">MAX(E1515-E1516,0)</f>
        <v>0</v>
      </c>
      <c r="R1516" s="7" t="n">
        <f aca="false">(R1515*13+P1516)/14</f>
        <v>97.6449159147868</v>
      </c>
      <c r="S1516" s="7" t="n">
        <f aca="false">(S1515*13+Q1516)/14</f>
        <v>70.5767170196404</v>
      </c>
      <c r="T1516" s="7" t="n">
        <f aca="false">IF(S1516=0,100,100-100/(1+R1516/S1516))</f>
        <v>58.0453977360027</v>
      </c>
      <c r="U1516" s="7" t="n">
        <f aca="false">E1516*2/13+U1515*11/13</f>
        <v>25509.9623949347</v>
      </c>
      <c r="V1516" s="7" t="n">
        <f aca="false">E1516*2/27+V1515*25/27</f>
        <v>25420.0134211018</v>
      </c>
      <c r="W1516" s="7" t="n">
        <f aca="false">U1516-V1516</f>
        <v>89.9489738329066</v>
      </c>
      <c r="X1516" s="7" t="n">
        <f aca="false">W1516*2/10+X1515*8/10</f>
        <v>67.5529909998242</v>
      </c>
      <c r="Y1516" s="7" t="n">
        <f aca="false">W1516-X1516</f>
        <v>22.3959828330825</v>
      </c>
      <c r="Z1516" s="8" t="s">
        <v>42</v>
      </c>
      <c r="AA1516" s="7" t="str">
        <f aca="false">IFERROR(INDEX(02_轉折點45!B:B,MATCH(A1516,02_轉折點45!A:A,0)),"")</f>
        <v/>
      </c>
      <c r="AB1516" s="7" t="n">
        <f aca="false">COUNTIFS(05_訊號明細!A:A,A1516,05_訊號明細!C:C,"TOP")</f>
        <v>0</v>
      </c>
      <c r="AC1516" s="7" t="n">
        <f aca="false">COUNTIFS(05_訊號明細!A:A,A1516,05_訊號明細!C:C,"BOTTOM")</f>
        <v>0</v>
      </c>
    </row>
    <row r="1517" customFormat="false" ht="15" hidden="false" customHeight="false" outlineLevel="0" collapsed="false">
      <c r="A1517" s="7" t="s">
        <v>1558</v>
      </c>
      <c r="B1517" s="7" t="n">
        <v>25616.81</v>
      </c>
      <c r="C1517" s="7" t="n">
        <v>25850.86</v>
      </c>
      <c r="D1517" s="7" t="n">
        <v>25602.56</v>
      </c>
      <c r="E1517" s="7" t="n">
        <v>25787.66</v>
      </c>
      <c r="F1517" s="7" t="n">
        <v>8707</v>
      </c>
      <c r="G1517" s="7" t="n">
        <f aca="false">AVERAGE(E1513:E1517)</f>
        <v>25670.926</v>
      </c>
      <c r="H1517" s="7" t="n">
        <f aca="false">AVERAGE(E1508:E1517)</f>
        <v>25520.009</v>
      </c>
      <c r="I1517" s="7" t="n">
        <f aca="false">AVERAGE(E1498:E1517)</f>
        <v>25398.013</v>
      </c>
      <c r="J1517" s="7" t="n">
        <f aca="false">AVERAGE(E1468:E1517)</f>
        <v>25335.5256</v>
      </c>
      <c r="K1517" s="7" t="n">
        <f aca="false">AVERAGE(E1418:E1517)</f>
        <v>24875.4073</v>
      </c>
      <c r="L1517" s="7" t="n">
        <f aca="false">AVERAGE(E1318:E1517)</f>
        <v>23119.95475</v>
      </c>
      <c r="M1517" s="7" t="n">
        <f aca="false">I1517</f>
        <v>25398.013</v>
      </c>
      <c r="N1517" s="7" t="n">
        <f aca="false">I1517+2*STDEV(E1498:E1517)</f>
        <v>25978.2456011306</v>
      </c>
      <c r="O1517" s="7" t="n">
        <f aca="false">I1517-2*STDEV(E1498:E1517)</f>
        <v>24817.7803988694</v>
      </c>
      <c r="P1517" s="7" t="n">
        <f aca="false">MAX(E1517-E1516,0)</f>
        <v>21.4000000000015</v>
      </c>
      <c r="Q1517" s="7" t="n">
        <f aca="false">MAX(E1516-E1517,0)</f>
        <v>0</v>
      </c>
      <c r="R1517" s="7" t="n">
        <f aca="false">(R1516*13+P1517)/14</f>
        <v>92.1988504923021</v>
      </c>
      <c r="S1517" s="7" t="n">
        <f aca="false">(S1516*13+Q1517)/14</f>
        <v>65.5355229468089</v>
      </c>
      <c r="T1517" s="7" t="n">
        <f aca="false">IF(S1517=0,100,100-100/(1+R1517/S1517))</f>
        <v>58.4519711728483</v>
      </c>
      <c r="U1517" s="7" t="n">
        <f aca="false">E1517*2/13+U1516*11/13</f>
        <v>25552.6851034063</v>
      </c>
      <c r="V1517" s="7" t="n">
        <f aca="false">E1517*2/27+V1516*25/27</f>
        <v>25447.2465010202</v>
      </c>
      <c r="W1517" s="7" t="n">
        <f aca="false">U1517-V1517</f>
        <v>105.438602386104</v>
      </c>
      <c r="X1517" s="7" t="n">
        <f aca="false">W1517*2/10+X1516*8/10</f>
        <v>75.1301132770802</v>
      </c>
      <c r="Y1517" s="7" t="n">
        <f aca="false">W1517-X1517</f>
        <v>30.3084891090241</v>
      </c>
      <c r="Z1517" s="8" t="s">
        <v>42</v>
      </c>
      <c r="AA1517" s="7" t="str">
        <f aca="false">IFERROR(INDEX(02_轉折點45!B:B,MATCH(A1517,02_轉折點45!A:A,0)),"")</f>
        <v/>
      </c>
      <c r="AB1517" s="7" t="n">
        <f aca="false">COUNTIFS(05_訊號明細!A:A,A1517,05_訊號明細!C:C,"TOP")</f>
        <v>0</v>
      </c>
      <c r="AC1517" s="7" t="n">
        <f aca="false">COUNTIFS(05_訊號明細!A:A,A1517,05_訊號明細!C:C,"BOTTOM")</f>
        <v>0</v>
      </c>
    </row>
    <row r="1518" customFormat="false" ht="15" hidden="false" customHeight="false" outlineLevel="0" collapsed="false">
      <c r="A1518" s="7" t="s">
        <v>1559</v>
      </c>
      <c r="B1518" s="7" t="n">
        <v>25779.28</v>
      </c>
      <c r="C1518" s="7" t="n">
        <v>25873.18</v>
      </c>
      <c r="D1518" s="7" t="n">
        <v>25642.11</v>
      </c>
      <c r="E1518" s="7" t="n">
        <v>25741.95</v>
      </c>
      <c r="F1518" s="7" t="n">
        <v>9416</v>
      </c>
      <c r="G1518" s="7" t="n">
        <f aca="false">AVERAGE(E1514:E1518)</f>
        <v>25691.374</v>
      </c>
      <c r="H1518" s="7" t="n">
        <f aca="false">AVERAGE(E1509:E1518)</f>
        <v>25541.648</v>
      </c>
      <c r="I1518" s="7" t="n">
        <f aca="false">AVERAGE(E1499:E1518)</f>
        <v>25425.274</v>
      </c>
      <c r="J1518" s="7" t="n">
        <f aca="false">AVERAGE(E1469:E1518)</f>
        <v>25335.6684</v>
      </c>
      <c r="K1518" s="7" t="n">
        <f aca="false">AVERAGE(E1419:E1518)</f>
        <v>24900.3311</v>
      </c>
      <c r="L1518" s="7" t="n">
        <f aca="false">AVERAGE(E1319:E1518)</f>
        <v>23149.6714</v>
      </c>
      <c r="M1518" s="7" t="n">
        <f aca="false">I1518</f>
        <v>25425.274</v>
      </c>
      <c r="N1518" s="7" t="n">
        <f aca="false">I1518+2*STDEV(E1499:E1518)</f>
        <v>26016.8101733264</v>
      </c>
      <c r="O1518" s="7" t="n">
        <f aca="false">I1518-2*STDEV(E1499:E1518)</f>
        <v>24833.7378266736</v>
      </c>
      <c r="P1518" s="7" t="n">
        <f aca="false">MAX(E1518-E1517,0)</f>
        <v>0</v>
      </c>
      <c r="Q1518" s="7" t="n">
        <f aca="false">MAX(E1517-E1518,0)</f>
        <v>45.7099999999991</v>
      </c>
      <c r="R1518" s="7" t="n">
        <f aca="false">(R1517*13+P1518)/14</f>
        <v>85.6132183142805</v>
      </c>
      <c r="S1518" s="7" t="n">
        <f aca="false">(S1517*13+Q1518)/14</f>
        <v>64.1194141648939</v>
      </c>
      <c r="T1518" s="7" t="n">
        <f aca="false">IF(S1518=0,100,100-100/(1+R1518/S1518))</f>
        <v>57.1773947313643</v>
      </c>
      <c r="U1518" s="7" t="n">
        <f aca="false">E1518*2/13+U1517*11/13</f>
        <v>25581.8027798053</v>
      </c>
      <c r="V1518" s="7" t="n">
        <f aca="false">E1518*2/27+V1517*25/27</f>
        <v>25469.0763898335</v>
      </c>
      <c r="W1518" s="7" t="n">
        <f aca="false">U1518-V1518</f>
        <v>112.726389971816</v>
      </c>
      <c r="X1518" s="7" t="n">
        <f aca="false">W1518*2/10+X1517*8/10</f>
        <v>82.6493686160274</v>
      </c>
      <c r="Y1518" s="7" t="n">
        <f aca="false">W1518-X1518</f>
        <v>30.077021355789</v>
      </c>
      <c r="Z1518" s="8" t="s">
        <v>42</v>
      </c>
      <c r="AA1518" s="7" t="str">
        <f aca="false">IFERROR(INDEX(02_轉折點45!B:B,MATCH(A1518,02_轉折點45!A:A,0)),"")</f>
        <v/>
      </c>
      <c r="AB1518" s="7" t="n">
        <f aca="false">COUNTIFS(05_訊號明細!A:A,A1518,05_訊號明細!C:C,"TOP")</f>
        <v>0</v>
      </c>
      <c r="AC1518" s="7" t="n">
        <f aca="false">COUNTIFS(05_訊號明細!A:A,A1518,05_訊號明細!C:C,"BOTTOM")</f>
        <v>0</v>
      </c>
    </row>
    <row r="1519" customFormat="false" ht="15" hidden="false" customHeight="false" outlineLevel="0" collapsed="false">
      <c r="A1519" s="7" t="s">
        <v>1560</v>
      </c>
      <c r="B1519" s="7" t="n">
        <v>25575.57</v>
      </c>
      <c r="C1519" s="7" t="n">
        <v>25624.19</v>
      </c>
      <c r="D1519" s="7" t="n">
        <v>25266.2</v>
      </c>
      <c r="E1519" s="7" t="n">
        <v>25465.94</v>
      </c>
      <c r="F1519" s="7" t="n">
        <v>12165</v>
      </c>
      <c r="G1519" s="7" t="n">
        <f aca="false">AVERAGE(E1515:E1519)</f>
        <v>25653.782</v>
      </c>
      <c r="H1519" s="7" t="n">
        <f aca="false">AVERAGE(E1510:E1519)</f>
        <v>25541.986</v>
      </c>
      <c r="I1519" s="7" t="n">
        <f aca="false">AVERAGE(E1500:E1519)</f>
        <v>25445.2075</v>
      </c>
      <c r="J1519" s="7" t="n">
        <f aca="false">AVERAGE(E1470:E1519)</f>
        <v>25327.8246</v>
      </c>
      <c r="K1519" s="7" t="n">
        <f aca="false">AVERAGE(E1420:E1519)</f>
        <v>24923.5647</v>
      </c>
      <c r="L1519" s="7" t="n">
        <f aca="false">AVERAGE(E1320:E1519)</f>
        <v>23180.5941</v>
      </c>
      <c r="M1519" s="7" t="n">
        <f aca="false">I1519</f>
        <v>25445.2075</v>
      </c>
      <c r="N1519" s="7" t="n">
        <f aca="false">I1519+2*STDEV(E1500:E1519)</f>
        <v>26012.3121374765</v>
      </c>
      <c r="O1519" s="7" t="n">
        <f aca="false">I1519-2*STDEV(E1500:E1519)</f>
        <v>24878.1028625235</v>
      </c>
      <c r="P1519" s="7" t="n">
        <f aca="false">MAX(E1519-E1518,0)</f>
        <v>0</v>
      </c>
      <c r="Q1519" s="7" t="n">
        <f aca="false">MAX(E1518-E1519,0)</f>
        <v>276.010000000002</v>
      </c>
      <c r="R1519" s="7" t="n">
        <f aca="false">(R1518*13+P1519)/14</f>
        <v>79.4979884346891</v>
      </c>
      <c r="S1519" s="7" t="n">
        <f aca="false">(S1518*13+Q1519)/14</f>
        <v>79.2544560102588</v>
      </c>
      <c r="T1519" s="7" t="n">
        <f aca="false">IF(S1519=0,100,100-100/(1+R1519/S1519))</f>
        <v>50.0767019447423</v>
      </c>
      <c r="U1519" s="7" t="n">
        <f aca="false">E1519*2/13+U1518*11/13</f>
        <v>25563.9777367583</v>
      </c>
      <c r="V1519" s="7" t="n">
        <f aca="false">E1519*2/27+V1518*25/27</f>
        <v>25468.8440646606</v>
      </c>
      <c r="W1519" s="7" t="n">
        <f aca="false">U1519-V1519</f>
        <v>95.1336720976979</v>
      </c>
      <c r="X1519" s="7" t="n">
        <f aca="false">W1519*2/10+X1518*8/10</f>
        <v>85.1462293123615</v>
      </c>
      <c r="Y1519" s="7" t="n">
        <f aca="false">W1519-X1519</f>
        <v>9.98744278533633</v>
      </c>
      <c r="Z1519" s="8" t="s">
        <v>42</v>
      </c>
      <c r="AA1519" s="7" t="str">
        <f aca="false">IFERROR(INDEX(02_轉折點45!B:B,MATCH(A1519,02_轉折點45!A:A,0)),"")</f>
        <v/>
      </c>
      <c r="AB1519" s="7" t="n">
        <f aca="false">COUNTIFS(05_訊號明細!A:A,A1519,05_訊號明細!C:C,"TOP")</f>
        <v>0</v>
      </c>
      <c r="AC1519" s="7" t="n">
        <f aca="false">COUNTIFS(05_訊號明細!A:A,A1519,05_訊號明細!C:C,"BOTTOM")</f>
        <v>0</v>
      </c>
    </row>
    <row r="1520" customFormat="false" ht="15" hidden="false" customHeight="false" outlineLevel="0" collapsed="false">
      <c r="A1520" s="7" t="s">
        <v>1561</v>
      </c>
      <c r="B1520" s="7" t="n">
        <v>25767.3</v>
      </c>
      <c r="C1520" s="7" t="n">
        <v>25781.03</v>
      </c>
      <c r="D1520" s="7" t="n">
        <v>25520.2</v>
      </c>
      <c r="E1520" s="7" t="n">
        <v>25547.07</v>
      </c>
      <c r="F1520" s="7" t="n">
        <v>9741</v>
      </c>
      <c r="G1520" s="7" t="n">
        <f aca="false">AVERAGE(E1516:E1520)</f>
        <v>25661.776</v>
      </c>
      <c r="H1520" s="7" t="n">
        <f aca="false">AVERAGE(E1511:E1520)</f>
        <v>25571.708</v>
      </c>
      <c r="I1520" s="7" t="n">
        <f aca="false">AVERAGE(E1501:E1520)</f>
        <v>25465.914</v>
      </c>
      <c r="J1520" s="7" t="n">
        <f aca="false">AVERAGE(E1471:E1520)</f>
        <v>25319.3072</v>
      </c>
      <c r="K1520" s="7" t="n">
        <f aca="false">AVERAGE(E1421:E1520)</f>
        <v>24944.0542</v>
      </c>
      <c r="L1520" s="7" t="n">
        <f aca="false">AVERAGE(E1321:E1520)</f>
        <v>23211.9372</v>
      </c>
      <c r="M1520" s="7" t="n">
        <f aca="false">I1520</f>
        <v>25465.914</v>
      </c>
      <c r="N1520" s="7" t="n">
        <f aca="false">I1520+2*STDEV(E1501:E1520)</f>
        <v>26014.9660493551</v>
      </c>
      <c r="O1520" s="7" t="n">
        <f aca="false">I1520-2*STDEV(E1501:E1520)</f>
        <v>24916.8619506449</v>
      </c>
      <c r="P1520" s="7" t="n">
        <f aca="false">MAX(E1520-E1519,0)</f>
        <v>81.130000000001</v>
      </c>
      <c r="Q1520" s="7" t="n">
        <f aca="false">MAX(E1519-E1520,0)</f>
        <v>0</v>
      </c>
      <c r="R1520" s="7" t="n">
        <f aca="false">(R1519*13+P1520)/14</f>
        <v>79.6145606893542</v>
      </c>
      <c r="S1520" s="7" t="n">
        <f aca="false">(S1519*13+Q1520)/14</f>
        <v>73.5934234380975</v>
      </c>
      <c r="T1520" s="7" t="n">
        <f aca="false">IF(S1520=0,100,100-100/(1+R1520/S1520))</f>
        <v>51.9650207153198</v>
      </c>
      <c r="U1520" s="7" t="n">
        <f aca="false">E1520*2/13+U1519*11/13</f>
        <v>25561.3765464878</v>
      </c>
      <c r="V1520" s="7" t="n">
        <f aca="false">E1520*2/27+V1519*25/27</f>
        <v>25474.6385783895</v>
      </c>
      <c r="W1520" s="7" t="n">
        <f aca="false">U1520-V1520</f>
        <v>86.7379680983468</v>
      </c>
      <c r="X1520" s="7" t="n">
        <f aca="false">W1520*2/10+X1519*8/10</f>
        <v>85.4645770695586</v>
      </c>
      <c r="Y1520" s="7" t="n">
        <f aca="false">W1520-X1520</f>
        <v>1.27339102878818</v>
      </c>
      <c r="Z1520" s="8" t="s">
        <v>42</v>
      </c>
      <c r="AA1520" s="7" t="str">
        <f aca="false">IFERROR(INDEX(02_轉折點45!B:B,MATCH(A1520,02_轉折點45!A:A,0)),"")</f>
        <v/>
      </c>
      <c r="AB1520" s="7" t="n">
        <f aca="false">COUNTIFS(05_訊號明細!A:A,A1520,05_訊號明細!C:C,"TOP")</f>
        <v>0</v>
      </c>
      <c r="AC1520" s="7" t="n">
        <f aca="false">COUNTIFS(05_訊號明細!A:A,A1520,05_訊號明細!C:C,"BOTTOM")</f>
        <v>0</v>
      </c>
    </row>
    <row r="1521" customFormat="false" ht="15" hidden="false" customHeight="false" outlineLevel="0" collapsed="false">
      <c r="A1521" s="7" t="s">
        <v>1562</v>
      </c>
      <c r="B1521" s="7" t="n">
        <v>25710.6</v>
      </c>
      <c r="C1521" s="7" t="n">
        <v>25735.48</v>
      </c>
      <c r="D1521" s="7" t="n">
        <v>25444.28</v>
      </c>
      <c r="E1521" s="7" t="n">
        <v>25529.26</v>
      </c>
      <c r="F1521" s="7" t="n">
        <v>9515</v>
      </c>
      <c r="G1521" s="7" t="n">
        <f aca="false">AVERAGE(E1517:E1521)</f>
        <v>25614.376</v>
      </c>
      <c r="H1521" s="7" t="n">
        <f aca="false">AVERAGE(E1512:E1521)</f>
        <v>25604.017</v>
      </c>
      <c r="I1521" s="7" t="n">
        <f aca="false">AVERAGE(E1502:E1521)</f>
        <v>25509.9965</v>
      </c>
      <c r="J1521" s="7" t="n">
        <f aca="false">AVERAGE(E1472:E1521)</f>
        <v>25321.1784</v>
      </c>
      <c r="K1521" s="7" t="n">
        <f aca="false">AVERAGE(E1422:E1521)</f>
        <v>24965.0907</v>
      </c>
      <c r="L1521" s="7" t="n">
        <f aca="false">AVERAGE(E1322:E1521)</f>
        <v>23242.4014</v>
      </c>
      <c r="M1521" s="7" t="n">
        <f aca="false">I1521</f>
        <v>25509.9965</v>
      </c>
      <c r="N1521" s="7" t="n">
        <f aca="false">I1521+2*STDEV(E1502:E1521)</f>
        <v>25901.3375598805</v>
      </c>
      <c r="O1521" s="7" t="n">
        <f aca="false">I1521-2*STDEV(E1502:E1521)</f>
        <v>25118.6554401195</v>
      </c>
      <c r="P1521" s="7" t="n">
        <f aca="false">MAX(E1521-E1520,0)</f>
        <v>0</v>
      </c>
      <c r="Q1521" s="7" t="n">
        <f aca="false">MAX(E1520-E1521,0)</f>
        <v>17.8100000000013</v>
      </c>
      <c r="R1521" s="7" t="n">
        <f aca="false">(R1520*13+P1521)/14</f>
        <v>73.9278063544003</v>
      </c>
      <c r="S1521" s="7" t="n">
        <f aca="false">(S1520*13+Q1521)/14</f>
        <v>69.6088931925192</v>
      </c>
      <c r="T1521" s="7" t="n">
        <f aca="false">IF(S1521=0,100,100-100/(1+R1521/S1521))</f>
        <v>51.5044630312366</v>
      </c>
      <c r="U1521" s="7" t="n">
        <f aca="false">E1521*2/13+U1520*11/13</f>
        <v>25556.4355393359</v>
      </c>
      <c r="V1521" s="7" t="n">
        <f aca="false">E1521*2/27+V1520*25/27</f>
        <v>25478.6846096199</v>
      </c>
      <c r="W1521" s="7" t="n">
        <f aca="false">U1521-V1521</f>
        <v>77.7509297159631</v>
      </c>
      <c r="X1521" s="7" t="n">
        <f aca="false">W1521*2/10+X1520*8/10</f>
        <v>83.9218475988395</v>
      </c>
      <c r="Y1521" s="7" t="n">
        <f aca="false">W1521-X1521</f>
        <v>-6.17091788287635</v>
      </c>
      <c r="Z1521" s="8" t="s">
        <v>42</v>
      </c>
      <c r="AA1521" s="7" t="str">
        <f aca="false">IFERROR(INDEX(02_轉折點45!B:B,MATCH(A1521,02_轉折點45!A:A,0)),"")</f>
        <v/>
      </c>
      <c r="AB1521" s="7" t="n">
        <f aca="false">COUNTIFS(05_訊號明細!A:A,A1521,05_訊號明細!C:C,"TOP")</f>
        <v>0</v>
      </c>
      <c r="AC1521" s="7" t="n">
        <f aca="false">COUNTIFS(05_訊號明細!A:A,A1521,05_訊號明細!C:C,"BOTTOM")</f>
        <v>0</v>
      </c>
    </row>
    <row r="1522" customFormat="false" ht="15" hidden="false" customHeight="false" outlineLevel="0" collapsed="false">
      <c r="A1522" s="7" t="s">
        <v>1563</v>
      </c>
      <c r="B1522" s="7" t="n">
        <v>25155.03</v>
      </c>
      <c r="C1522" s="7" t="n">
        <v>25279.78</v>
      </c>
      <c r="D1522" s="7" t="n">
        <v>24954.18</v>
      </c>
      <c r="E1522" s="7" t="n">
        <v>24987.57</v>
      </c>
      <c r="F1522" s="7" t="n">
        <v>9469</v>
      </c>
      <c r="G1522" s="7" t="n">
        <f aca="false">AVERAGE(E1518:E1522)</f>
        <v>25454.358</v>
      </c>
      <c r="H1522" s="7" t="n">
        <f aca="false">AVERAGE(E1513:E1522)</f>
        <v>25562.642</v>
      </c>
      <c r="I1522" s="7" t="n">
        <f aca="false">AVERAGE(E1503:E1522)</f>
        <v>25508.4065</v>
      </c>
      <c r="J1522" s="7" t="n">
        <f aca="false">AVERAGE(E1473:E1522)</f>
        <v>25308.5292</v>
      </c>
      <c r="K1522" s="7" t="n">
        <f aca="false">AVERAGE(E1423:E1522)</f>
        <v>24979.7135</v>
      </c>
      <c r="L1522" s="7" t="n">
        <f aca="false">AVERAGE(E1323:E1522)</f>
        <v>23269.43035</v>
      </c>
      <c r="M1522" s="7" t="n">
        <f aca="false">I1522</f>
        <v>25508.4065</v>
      </c>
      <c r="N1522" s="7" t="n">
        <f aca="false">I1522+2*STDEV(E1503:E1522)</f>
        <v>25908.305616977</v>
      </c>
      <c r="O1522" s="7" t="n">
        <f aca="false">I1522-2*STDEV(E1503:E1522)</f>
        <v>25108.507383023</v>
      </c>
      <c r="P1522" s="7" t="n">
        <f aca="false">MAX(E1522-E1521,0)</f>
        <v>0</v>
      </c>
      <c r="Q1522" s="7" t="n">
        <f aca="false">MAX(E1521-E1522,0)</f>
        <v>541.689999999999</v>
      </c>
      <c r="R1522" s="7" t="n">
        <f aca="false">(R1521*13+P1522)/14</f>
        <v>68.6472487576575</v>
      </c>
      <c r="S1522" s="7" t="n">
        <f aca="false">(S1521*13+Q1522)/14</f>
        <v>103.328972250196</v>
      </c>
      <c r="T1522" s="7" t="n">
        <f aca="false">IF(S1522=0,100,100-100/(1+R1522/S1522))</f>
        <v>39.9167096214555</v>
      </c>
      <c r="U1522" s="7" t="n">
        <f aca="false">E1522*2/13+U1521*11/13</f>
        <v>25468.9177640534</v>
      </c>
      <c r="V1522" s="7" t="n">
        <f aca="false">E1522*2/27+V1521*25/27</f>
        <v>25442.305749648</v>
      </c>
      <c r="W1522" s="7" t="n">
        <f aca="false">U1522-V1522</f>
        <v>26.6120144053712</v>
      </c>
      <c r="X1522" s="7" t="n">
        <f aca="false">W1522*2/10+X1521*8/10</f>
        <v>72.4598809601458</v>
      </c>
      <c r="Y1522" s="7" t="n">
        <f aca="false">W1522-X1522</f>
        <v>-45.8478665547747</v>
      </c>
      <c r="Z1522" s="8" t="s">
        <v>42</v>
      </c>
      <c r="AA1522" s="7" t="str">
        <f aca="false">IFERROR(INDEX(02_轉折點45!B:B,MATCH(A1522,02_轉折點45!A:A,0)),"")</f>
        <v/>
      </c>
      <c r="AB1522" s="7" t="n">
        <f aca="false">COUNTIFS(05_訊號明細!A:A,A1522,05_訊號明細!C:C,"TOP")</f>
        <v>1</v>
      </c>
      <c r="AC1522" s="7" t="n">
        <f aca="false">COUNTIFS(05_訊號明細!A:A,A1522,05_訊號明細!C:C,"BOTTOM")</f>
        <v>0</v>
      </c>
    </row>
    <row r="1523" customFormat="false" ht="15" hidden="false" customHeight="false" outlineLevel="0" collapsed="false">
      <c r="A1523" s="7" t="s">
        <v>1564</v>
      </c>
      <c r="B1523" s="7" t="n">
        <v>25048.55</v>
      </c>
      <c r="C1523" s="7" t="n">
        <v>25498.81</v>
      </c>
      <c r="D1523" s="7" t="n">
        <v>24993.98</v>
      </c>
      <c r="E1523" s="7" t="n">
        <v>25326.58</v>
      </c>
      <c r="F1523" s="7" t="n">
        <v>9163</v>
      </c>
      <c r="G1523" s="7" t="n">
        <f aca="false">AVERAGE(E1519:E1523)</f>
        <v>25371.284</v>
      </c>
      <c r="H1523" s="7" t="n">
        <f aca="false">AVERAGE(E1514:E1523)</f>
        <v>25531.329</v>
      </c>
      <c r="I1523" s="7" t="n">
        <f aca="false">AVERAGE(E1504:E1523)</f>
        <v>25507.4265</v>
      </c>
      <c r="J1523" s="7" t="n">
        <f aca="false">AVERAGE(E1474:E1523)</f>
        <v>25312.46</v>
      </c>
      <c r="K1523" s="7" t="n">
        <f aca="false">AVERAGE(E1424:E1523)</f>
        <v>24997.3208</v>
      </c>
      <c r="L1523" s="7" t="n">
        <f aca="false">AVERAGE(E1324:E1523)</f>
        <v>23303.4559</v>
      </c>
      <c r="M1523" s="7" t="n">
        <f aca="false">I1523</f>
        <v>25507.4265</v>
      </c>
      <c r="N1523" s="7" t="n">
        <f aca="false">I1523+2*STDEV(E1504:E1523)</f>
        <v>25909.0916980142</v>
      </c>
      <c r="O1523" s="7" t="n">
        <f aca="false">I1523-2*STDEV(E1504:E1523)</f>
        <v>25105.7613019858</v>
      </c>
      <c r="P1523" s="7" t="n">
        <f aca="false">MAX(E1523-E1522,0)</f>
        <v>339.010000000002</v>
      </c>
      <c r="Q1523" s="7" t="n">
        <f aca="false">MAX(E1522-E1523,0)</f>
        <v>0</v>
      </c>
      <c r="R1523" s="7" t="n">
        <f aca="false">(R1522*13+P1523)/14</f>
        <v>87.9588738463964</v>
      </c>
      <c r="S1523" s="7" t="n">
        <f aca="false">(S1522*13+Q1523)/14</f>
        <v>95.9483313751822</v>
      </c>
      <c r="T1523" s="7" t="n">
        <f aca="false">IF(S1523=0,100,100-100/(1+R1523/S1523))</f>
        <v>47.8278563041726</v>
      </c>
      <c r="U1523" s="7" t="n">
        <f aca="false">E1523*2/13+U1522*11/13</f>
        <v>25447.0196465067</v>
      </c>
      <c r="V1523" s="7" t="n">
        <f aca="false">E1523*2/27+V1522*25/27</f>
        <v>25433.7334718963</v>
      </c>
      <c r="W1523" s="7" t="n">
        <f aca="false">U1523-V1523</f>
        <v>13.286174610399</v>
      </c>
      <c r="X1523" s="7" t="n">
        <f aca="false">W1523*2/10+X1522*8/10</f>
        <v>60.6251396901965</v>
      </c>
      <c r="Y1523" s="7" t="n">
        <f aca="false">W1523-X1523</f>
        <v>-47.3389650797974</v>
      </c>
      <c r="Z1523" s="8" t="s">
        <v>42</v>
      </c>
      <c r="AA1523" s="7" t="str">
        <f aca="false">IFERROR(INDEX(02_轉折點45!B:B,MATCH(A1523,02_轉折點45!A:A,0)),"")</f>
        <v/>
      </c>
      <c r="AB1523" s="7" t="n">
        <f aca="false">COUNTIFS(05_訊號明細!A:A,A1523,05_訊號明細!C:C,"TOP")</f>
        <v>0</v>
      </c>
      <c r="AC1523" s="7" t="n">
        <f aca="false">COUNTIFS(05_訊號明細!A:A,A1523,05_訊號明細!C:C,"BOTTOM")</f>
        <v>0</v>
      </c>
    </row>
    <row r="1524" customFormat="false" ht="15" hidden="false" customHeight="false" outlineLevel="0" collapsed="false">
      <c r="A1524" s="7" t="s">
        <v>1565</v>
      </c>
      <c r="B1524" s="7" t="n">
        <v>25548.38</v>
      </c>
      <c r="C1524" s="7" t="n">
        <v>25576.52</v>
      </c>
      <c r="D1524" s="7" t="n">
        <v>25399.49</v>
      </c>
      <c r="E1524" s="7" t="n">
        <v>25518.35</v>
      </c>
      <c r="F1524" s="7" t="n">
        <v>9035</v>
      </c>
      <c r="G1524" s="7" t="n">
        <f aca="false">AVERAGE(E1520:E1524)</f>
        <v>25381.766</v>
      </c>
      <c r="H1524" s="7" t="n">
        <f aca="false">AVERAGE(E1515:E1524)</f>
        <v>25517.774</v>
      </c>
      <c r="I1524" s="7" t="n">
        <f aca="false">AVERAGE(E1505:E1524)</f>
        <v>25510.259</v>
      </c>
      <c r="J1524" s="7" t="n">
        <f aca="false">AVERAGE(E1475:E1524)</f>
        <v>25321.6308</v>
      </c>
      <c r="K1524" s="7" t="n">
        <f aca="false">AVERAGE(E1425:E1524)</f>
        <v>25015.4698</v>
      </c>
      <c r="L1524" s="7" t="n">
        <f aca="false">AVERAGE(E1325:E1524)</f>
        <v>23344.05915</v>
      </c>
      <c r="M1524" s="7" t="n">
        <f aca="false">I1524</f>
        <v>25510.259</v>
      </c>
      <c r="N1524" s="7" t="n">
        <f aca="false">I1524+2*STDEV(E1505:E1524)</f>
        <v>25911.3650688121</v>
      </c>
      <c r="O1524" s="7" t="n">
        <f aca="false">I1524-2*STDEV(E1505:E1524)</f>
        <v>25109.1529311879</v>
      </c>
      <c r="P1524" s="7" t="n">
        <f aca="false">MAX(E1524-E1523,0)</f>
        <v>191.769999999997</v>
      </c>
      <c r="Q1524" s="7" t="n">
        <f aca="false">MAX(E1523-E1524,0)</f>
        <v>0</v>
      </c>
      <c r="R1524" s="7" t="n">
        <f aca="false">(R1523*13+P1524)/14</f>
        <v>95.3739542859393</v>
      </c>
      <c r="S1524" s="7" t="n">
        <f aca="false">(S1523*13+Q1524)/14</f>
        <v>89.0948791340978</v>
      </c>
      <c r="T1524" s="7" t="n">
        <f aca="false">IF(S1524=0,100,100-100/(1+R1524/S1524))</f>
        <v>51.7019338810323</v>
      </c>
      <c r="U1524" s="7" t="n">
        <f aca="false">E1524*2/13+U1523*11/13</f>
        <v>25457.9935470442</v>
      </c>
      <c r="V1524" s="7" t="n">
        <f aca="false">E1524*2/27+V1523*25/27</f>
        <v>25440.001362867</v>
      </c>
      <c r="W1524" s="7" t="n">
        <f aca="false">U1524-V1524</f>
        <v>17.9921841771866</v>
      </c>
      <c r="X1524" s="7" t="n">
        <f aca="false">W1524*2/10+X1523*8/10</f>
        <v>52.0985485875945</v>
      </c>
      <c r="Y1524" s="7" t="n">
        <f aca="false">W1524-X1524</f>
        <v>-34.1063644104079</v>
      </c>
      <c r="Z1524" s="8" t="s">
        <v>42</v>
      </c>
      <c r="AA1524" s="7" t="str">
        <f aca="false">IFERROR(INDEX(02_轉折點45!B:B,MATCH(A1524,02_轉折點45!A:A,0)),"")</f>
        <v/>
      </c>
      <c r="AB1524" s="7" t="n">
        <f aca="false">COUNTIFS(05_訊號明細!A:A,A1524,05_訊號明細!C:C,"TOP")</f>
        <v>0</v>
      </c>
      <c r="AC1524" s="7" t="n">
        <f aca="false">COUNTIFS(05_訊號明細!A:A,A1524,05_訊號明細!C:C,"BOTTOM")</f>
        <v>0</v>
      </c>
    </row>
    <row r="1525" customFormat="false" ht="15" hidden="false" customHeight="false" outlineLevel="0" collapsed="false">
      <c r="A1525" s="7" t="s">
        <v>1566</v>
      </c>
      <c r="B1525" s="7" t="n">
        <v>25501.91</v>
      </c>
      <c r="C1525" s="7" t="n">
        <v>25709.74</v>
      </c>
      <c r="D1525" s="7" t="n">
        <v>25435.02</v>
      </c>
      <c r="E1525" s="7" t="n">
        <v>25605.47</v>
      </c>
      <c r="F1525" s="7" t="n">
        <v>8229</v>
      </c>
      <c r="G1525" s="7" t="n">
        <f aca="false">AVERAGE(E1521:E1525)</f>
        <v>25393.446</v>
      </c>
      <c r="H1525" s="7" t="n">
        <f aca="false">AVERAGE(E1516:E1525)</f>
        <v>25527.611</v>
      </c>
      <c r="I1525" s="7" t="n">
        <f aca="false">AVERAGE(E1506:E1525)</f>
        <v>25511.141</v>
      </c>
      <c r="J1525" s="7" t="n">
        <f aca="false">AVERAGE(E1476:E1525)</f>
        <v>25321.5054</v>
      </c>
      <c r="K1525" s="7" t="n">
        <f aca="false">AVERAGE(E1426:E1525)</f>
        <v>25037.3703</v>
      </c>
      <c r="L1525" s="7" t="n">
        <f aca="false">AVERAGE(E1326:E1525)</f>
        <v>23384.9331</v>
      </c>
      <c r="M1525" s="7" t="n">
        <f aca="false">I1525</f>
        <v>25511.141</v>
      </c>
      <c r="N1525" s="7" t="n">
        <f aca="false">I1525+2*STDEV(E1506:E1525)</f>
        <v>25913.0420584132</v>
      </c>
      <c r="O1525" s="7" t="n">
        <f aca="false">I1525-2*STDEV(E1506:E1525)</f>
        <v>25109.2399415868</v>
      </c>
      <c r="P1525" s="7" t="n">
        <f aca="false">MAX(E1525-E1524,0)</f>
        <v>87.1200000000026</v>
      </c>
      <c r="Q1525" s="7" t="n">
        <f aca="false">MAX(E1524-E1525,0)</f>
        <v>0</v>
      </c>
      <c r="R1525" s="7" t="n">
        <f aca="false">(R1524*13+P1525)/14</f>
        <v>94.7843861226581</v>
      </c>
      <c r="S1525" s="7" t="n">
        <f aca="false">(S1524*13+Q1525)/14</f>
        <v>82.730959195948</v>
      </c>
      <c r="T1525" s="7" t="n">
        <f aca="false">IF(S1525=0,100,100-100/(1+R1525/S1525))</f>
        <v>53.3950380191291</v>
      </c>
      <c r="U1525" s="7" t="n">
        <f aca="false">E1525*2/13+U1524*11/13</f>
        <v>25480.6822321143</v>
      </c>
      <c r="V1525" s="7" t="n">
        <f aca="false">E1525*2/27+V1524*25/27</f>
        <v>25452.2582989509</v>
      </c>
      <c r="W1525" s="7" t="n">
        <f aca="false">U1525-V1525</f>
        <v>28.4239331633908</v>
      </c>
      <c r="X1525" s="7" t="n">
        <f aca="false">W1525*2/10+X1524*8/10</f>
        <v>47.3636255027537</v>
      </c>
      <c r="Y1525" s="7" t="n">
        <f aca="false">W1525-X1525</f>
        <v>-18.939692339363</v>
      </c>
      <c r="Z1525" s="8" t="s">
        <v>42</v>
      </c>
      <c r="AA1525" s="7" t="str">
        <f aca="false">IFERROR(INDEX(02_轉折點45!B:B,MATCH(A1525,02_轉折點45!A:A,0)),"")</f>
        <v/>
      </c>
      <c r="AB1525" s="7" t="n">
        <f aca="false">COUNTIFS(05_訊號明細!A:A,A1525,05_訊號明細!C:C,"TOP")</f>
        <v>0</v>
      </c>
      <c r="AC1525" s="7" t="n">
        <f aca="false">COUNTIFS(05_訊號明細!A:A,A1525,05_訊號明細!C:C,"BOTTOM")</f>
        <v>0</v>
      </c>
    </row>
    <row r="1526" customFormat="false" ht="15" hidden="false" customHeight="false" outlineLevel="0" collapsed="false">
      <c r="A1526" s="7" t="s">
        <v>1567</v>
      </c>
      <c r="B1526" s="7" t="n">
        <v>25631.01</v>
      </c>
      <c r="C1526" s="7" t="n">
        <v>25797.1</v>
      </c>
      <c r="D1526" s="7" t="n">
        <v>25578.77</v>
      </c>
      <c r="E1526" s="7" t="n">
        <v>25713.21</v>
      </c>
      <c r="F1526" s="7" t="n">
        <v>7505</v>
      </c>
      <c r="G1526" s="7" t="n">
        <f aca="false">AVERAGE(E1522:E1526)</f>
        <v>25430.236</v>
      </c>
      <c r="H1526" s="7" t="n">
        <f aca="false">AVERAGE(E1517:E1526)</f>
        <v>25522.306</v>
      </c>
      <c r="I1526" s="7" t="n">
        <f aca="false">AVERAGE(E1507:E1526)</f>
        <v>25513.994</v>
      </c>
      <c r="J1526" s="7" t="n">
        <f aca="false">AVERAGE(E1477:E1526)</f>
        <v>25325.0998</v>
      </c>
      <c r="K1526" s="7" t="n">
        <f aca="false">AVERAGE(E1427:E1526)</f>
        <v>25062.1913</v>
      </c>
      <c r="L1526" s="7" t="n">
        <f aca="false">AVERAGE(E1327:E1526)</f>
        <v>23428.04715</v>
      </c>
      <c r="M1526" s="7" t="n">
        <f aca="false">I1526</f>
        <v>25513.994</v>
      </c>
      <c r="N1526" s="7" t="n">
        <f aca="false">I1526+2*STDEV(E1507:E1526)</f>
        <v>25921.0069099414</v>
      </c>
      <c r="O1526" s="7" t="n">
        <f aca="false">I1526-2*STDEV(E1507:E1526)</f>
        <v>25106.9810900586</v>
      </c>
      <c r="P1526" s="7" t="n">
        <f aca="false">MAX(E1526-E1525,0)</f>
        <v>107.739999999998</v>
      </c>
      <c r="Q1526" s="7" t="n">
        <f aca="false">MAX(E1525-E1526,0)</f>
        <v>0</v>
      </c>
      <c r="R1526" s="7" t="n">
        <f aca="false">(R1525*13+P1526)/14</f>
        <v>95.7097871138966</v>
      </c>
      <c r="S1526" s="7" t="n">
        <f aca="false">(S1525*13+Q1526)/14</f>
        <v>76.821604967666</v>
      </c>
      <c r="T1526" s="7" t="n">
        <f aca="false">IF(S1526=0,100,100-100/(1+R1526/S1526))</f>
        <v>55.4738392585685</v>
      </c>
      <c r="U1526" s="7" t="n">
        <f aca="false">E1526*2/13+U1525*11/13</f>
        <v>25516.4557348659</v>
      </c>
      <c r="V1526" s="7" t="n">
        <f aca="false">E1526*2/27+V1525*25/27</f>
        <v>25471.5880545842</v>
      </c>
      <c r="W1526" s="7" t="n">
        <f aca="false">U1526-V1526</f>
        <v>44.8676802817718</v>
      </c>
      <c r="X1526" s="7" t="n">
        <f aca="false">W1526*2/10+X1525*8/10</f>
        <v>46.8644364585574</v>
      </c>
      <c r="Y1526" s="7" t="n">
        <f aca="false">W1526-X1526</f>
        <v>-1.9967561767856</v>
      </c>
      <c r="Z1526" s="8" t="s">
        <v>42</v>
      </c>
      <c r="AA1526" s="7" t="str">
        <f aca="false">IFERROR(INDEX(02_轉折點45!B:B,MATCH(A1526,02_轉折點45!A:A,0)),"")</f>
        <v/>
      </c>
      <c r="AB1526" s="7" t="n">
        <f aca="false">COUNTIFS(05_訊號明細!A:A,A1526,05_訊號明細!C:C,"TOP")</f>
        <v>0</v>
      </c>
      <c r="AC1526" s="7" t="n">
        <f aca="false">COUNTIFS(05_訊號明細!A:A,A1526,05_訊號明細!C:C,"BOTTOM")</f>
        <v>0</v>
      </c>
    </row>
    <row r="1527" customFormat="false" ht="15" hidden="false" customHeight="false" outlineLevel="0" collapsed="false">
      <c r="A1527" s="7" t="s">
        <v>1568</v>
      </c>
      <c r="B1527" s="7" t="n">
        <v>25852.04</v>
      </c>
      <c r="C1527" s="7" t="n">
        <v>25982.59</v>
      </c>
      <c r="D1527" s="7" t="n">
        <v>25791.75</v>
      </c>
      <c r="E1527" s="7" t="n">
        <v>25939.74</v>
      </c>
      <c r="F1527" s="7" t="n">
        <v>8026</v>
      </c>
      <c r="G1527" s="7" t="n">
        <f aca="false">AVERAGE(E1523:E1527)</f>
        <v>25620.67</v>
      </c>
      <c r="H1527" s="7" t="n">
        <f aca="false">AVERAGE(E1518:E1527)</f>
        <v>25537.514</v>
      </c>
      <c r="I1527" s="7" t="n">
        <f aca="false">AVERAGE(E1508:E1527)</f>
        <v>25528.7615</v>
      </c>
      <c r="J1527" s="7" t="n">
        <f aca="false">AVERAGE(E1478:E1527)</f>
        <v>25333.548</v>
      </c>
      <c r="K1527" s="7" t="n">
        <f aca="false">AVERAGE(E1428:E1527)</f>
        <v>25087.4403</v>
      </c>
      <c r="L1527" s="7" t="n">
        <f aca="false">AVERAGE(E1328:E1527)</f>
        <v>23462.02055</v>
      </c>
      <c r="M1527" s="7" t="n">
        <f aca="false">I1527</f>
        <v>25528.7615</v>
      </c>
      <c r="N1527" s="7" t="n">
        <f aca="false">I1527+2*STDEV(E1508:E1527)</f>
        <v>25975.2159830115</v>
      </c>
      <c r="O1527" s="7" t="n">
        <f aca="false">I1527-2*STDEV(E1508:E1527)</f>
        <v>25082.3070169885</v>
      </c>
      <c r="P1527" s="7" t="n">
        <f aca="false">MAX(E1527-E1526,0)</f>
        <v>226.530000000002</v>
      </c>
      <c r="Q1527" s="7" t="n">
        <f aca="false">MAX(E1526-E1527,0)</f>
        <v>0</v>
      </c>
      <c r="R1527" s="7" t="n">
        <f aca="false">(R1526*13+P1527)/14</f>
        <v>105.054088034333</v>
      </c>
      <c r="S1527" s="7" t="n">
        <f aca="false">(S1526*13+Q1527)/14</f>
        <v>71.3343474699755</v>
      </c>
      <c r="T1527" s="7" t="n">
        <f aca="false">IF(S1527=0,100,100-100/(1+R1527/S1527))</f>
        <v>59.5583762245948</v>
      </c>
      <c r="U1527" s="7" t="n">
        <f aca="false">E1527*2/13+U1526*11/13</f>
        <v>25581.5763910404</v>
      </c>
      <c r="V1527" s="7" t="n">
        <f aca="false">E1527*2/27+V1526*25/27</f>
        <v>25506.2659764668</v>
      </c>
      <c r="W1527" s="7" t="n">
        <f aca="false">U1527-V1527</f>
        <v>75.3104145735815</v>
      </c>
      <c r="X1527" s="7" t="n">
        <f aca="false">W1527*2/10+X1526*8/10</f>
        <v>52.5536320815622</v>
      </c>
      <c r="Y1527" s="7" t="n">
        <f aca="false">W1527-X1527</f>
        <v>22.7567824920193</v>
      </c>
      <c r="Z1527" s="8" t="s">
        <v>42</v>
      </c>
      <c r="AA1527" s="7" t="str">
        <f aca="false">IFERROR(INDEX(02_轉折點45!B:B,MATCH(A1527,02_轉折點45!A:A,0)),"")</f>
        <v/>
      </c>
      <c r="AB1527" s="7" t="n">
        <f aca="false">COUNTIFS(05_訊號明細!A:A,A1527,05_訊號明細!C:C,"TOP")</f>
        <v>0</v>
      </c>
      <c r="AC1527" s="7" t="n">
        <f aca="false">COUNTIFS(05_訊號明細!A:A,A1527,05_訊號明細!C:C,"BOTTOM")</f>
        <v>0</v>
      </c>
    </row>
    <row r="1528" customFormat="false" ht="15" hidden="false" customHeight="false" outlineLevel="0" collapsed="false">
      <c r="A1528" s="7" t="s">
        <v>1569</v>
      </c>
      <c r="B1528" s="7" t="n">
        <v>26121.74</v>
      </c>
      <c r="C1528" s="7" t="n">
        <v>26165.08</v>
      </c>
      <c r="D1528" s="7" t="n">
        <v>25974.66</v>
      </c>
      <c r="E1528" s="7" t="n">
        <v>26022.79</v>
      </c>
      <c r="F1528" s="7" t="n">
        <v>8152</v>
      </c>
      <c r="G1528" s="7" t="n">
        <f aca="false">AVERAGE(E1524:E1528)</f>
        <v>25759.912</v>
      </c>
      <c r="H1528" s="7" t="n">
        <f aca="false">AVERAGE(E1519:E1528)</f>
        <v>25565.598</v>
      </c>
      <c r="I1528" s="7" t="n">
        <f aca="false">AVERAGE(E1509:E1528)</f>
        <v>25553.623</v>
      </c>
      <c r="J1528" s="7" t="n">
        <f aca="false">AVERAGE(E1479:E1528)</f>
        <v>25354.1346</v>
      </c>
      <c r="K1528" s="7" t="n">
        <f aca="false">AVERAGE(E1429:E1528)</f>
        <v>25111.3381</v>
      </c>
      <c r="L1528" s="7" t="n">
        <f aca="false">AVERAGE(E1329:E1528)</f>
        <v>23500.41665</v>
      </c>
      <c r="M1528" s="7" t="n">
        <f aca="false">I1528</f>
        <v>25553.623</v>
      </c>
      <c r="N1528" s="7" t="n">
        <f aca="false">I1528+2*STDEV(E1509:E1528)</f>
        <v>26051.7182458527</v>
      </c>
      <c r="O1528" s="7" t="n">
        <f aca="false">I1528-2*STDEV(E1509:E1528)</f>
        <v>25055.5277541473</v>
      </c>
      <c r="P1528" s="7" t="n">
        <f aca="false">MAX(E1528-E1527,0)</f>
        <v>83.0499999999993</v>
      </c>
      <c r="Q1528" s="7" t="n">
        <f aca="false">MAX(E1527-E1528,0)</f>
        <v>0</v>
      </c>
      <c r="R1528" s="7" t="n">
        <f aca="false">(R1527*13+P1528)/14</f>
        <v>103.482367460452</v>
      </c>
      <c r="S1528" s="7" t="n">
        <f aca="false">(S1527*13+Q1528)/14</f>
        <v>66.2390369364059</v>
      </c>
      <c r="T1528" s="7" t="n">
        <f aca="false">IF(S1528=0,100,100-100/(1+R1528/S1528))</f>
        <v>60.9719014688802</v>
      </c>
      <c r="U1528" s="7" t="n">
        <f aca="false">E1528*2/13+U1527*11/13</f>
        <v>25649.4554078034</v>
      </c>
      <c r="V1528" s="7" t="n">
        <f aca="false">E1528*2/27+V1527*25/27</f>
        <v>25544.5270152471</v>
      </c>
      <c r="W1528" s="7" t="n">
        <f aca="false">U1528-V1528</f>
        <v>104.928392556361</v>
      </c>
      <c r="X1528" s="7" t="n">
        <f aca="false">W1528*2/10+X1527*8/10</f>
        <v>63.028584176522</v>
      </c>
      <c r="Y1528" s="7" t="n">
        <f aca="false">W1528-X1528</f>
        <v>41.8998083798393</v>
      </c>
      <c r="Z1528" s="8" t="s">
        <v>42</v>
      </c>
      <c r="AA1528" s="7" t="str">
        <f aca="false">IFERROR(INDEX(02_轉折點45!B:B,MATCH(A1528,02_轉折點45!A:A,0)),"")</f>
        <v/>
      </c>
      <c r="AB1528" s="7" t="n">
        <f aca="false">COUNTIFS(05_訊號明細!A:A,A1528,05_訊號明細!C:C,"TOP")</f>
        <v>0</v>
      </c>
      <c r="AC1528" s="7" t="n">
        <f aca="false">COUNTIFS(05_訊號明細!A:A,A1528,05_訊號明細!C:C,"BOTTOM")</f>
        <v>0</v>
      </c>
    </row>
    <row r="1529" customFormat="false" ht="15" hidden="false" customHeight="false" outlineLevel="0" collapsed="false">
      <c r="A1529" s="7" t="s">
        <v>1570</v>
      </c>
      <c r="B1529" s="7" t="n">
        <v>26030.08</v>
      </c>
      <c r="C1529" s="7" t="n">
        <v>26046.34</v>
      </c>
      <c r="D1529" s="7" t="n">
        <v>25418.54</v>
      </c>
      <c r="E1529" s="7" t="n">
        <v>25884.3</v>
      </c>
      <c r="F1529" s="7" t="n">
        <v>8782</v>
      </c>
      <c r="G1529" s="7" t="n">
        <f aca="false">AVERAGE(E1525:E1529)</f>
        <v>25833.102</v>
      </c>
      <c r="H1529" s="7" t="n">
        <f aca="false">AVERAGE(E1520:E1529)</f>
        <v>25607.434</v>
      </c>
      <c r="I1529" s="7" t="n">
        <f aca="false">AVERAGE(E1510:E1529)</f>
        <v>25574.71</v>
      </c>
      <c r="J1529" s="7" t="n">
        <f aca="false">AVERAGE(E1480:E1529)</f>
        <v>25371.6558</v>
      </c>
      <c r="K1529" s="7" t="n">
        <f aca="false">AVERAGE(E1430:E1529)</f>
        <v>25133.6567</v>
      </c>
      <c r="L1529" s="7" t="n">
        <f aca="false">AVERAGE(E1330:E1529)</f>
        <v>23536.3879</v>
      </c>
      <c r="M1529" s="7" t="n">
        <f aca="false">I1529</f>
        <v>25574.71</v>
      </c>
      <c r="N1529" s="7" t="n">
        <f aca="false">I1529+2*STDEV(E1510:E1529)</f>
        <v>26091.9152892228</v>
      </c>
      <c r="O1529" s="7" t="n">
        <f aca="false">I1529-2*STDEV(E1510:E1529)</f>
        <v>25057.5047107772</v>
      </c>
      <c r="P1529" s="7" t="n">
        <f aca="false">MAX(E1529-E1528,0)</f>
        <v>0</v>
      </c>
      <c r="Q1529" s="7" t="n">
        <f aca="false">MAX(E1528-E1529,0)</f>
        <v>138.490000000002</v>
      </c>
      <c r="R1529" s="7" t="n">
        <f aca="false">(R1528*13+P1529)/14</f>
        <v>96.0907697847052</v>
      </c>
      <c r="S1529" s="7" t="n">
        <f aca="false">(S1528*13+Q1529)/14</f>
        <v>71.399820012377</v>
      </c>
      <c r="T1529" s="7" t="n">
        <f aca="false">IF(S1529=0,100,100-100/(1+R1529/S1529))</f>
        <v>57.3708468643647</v>
      </c>
      <c r="U1529" s="7" t="n">
        <f aca="false">E1529*2/13+U1528*11/13</f>
        <v>25685.5853450644</v>
      </c>
      <c r="V1529" s="7" t="n">
        <f aca="false">E1529*2/27+V1528*25/27</f>
        <v>25569.695384488</v>
      </c>
      <c r="W1529" s="7" t="n">
        <f aca="false">U1529-V1529</f>
        <v>115.889960576416</v>
      </c>
      <c r="X1529" s="7" t="n">
        <f aca="false">W1529*2/10+X1528*8/10</f>
        <v>73.6008594565009</v>
      </c>
      <c r="Y1529" s="7" t="n">
        <f aca="false">W1529-X1529</f>
        <v>42.2891011199155</v>
      </c>
      <c r="Z1529" s="8" t="s">
        <v>42</v>
      </c>
      <c r="AA1529" s="7" t="str">
        <f aca="false">IFERROR(INDEX(02_轉折點45!B:B,MATCH(A1529,02_轉折點45!A:A,0)),"")</f>
        <v/>
      </c>
      <c r="AB1529" s="7" t="n">
        <f aca="false">COUNTIFS(05_訊號明細!A:A,A1529,05_訊號明細!C:C,"TOP")</f>
        <v>0</v>
      </c>
      <c r="AC1529" s="7" t="n">
        <f aca="false">COUNTIFS(05_訊號明細!A:A,A1529,05_訊號明細!C:C,"BOTTOM")</f>
        <v>0</v>
      </c>
    </row>
    <row r="1530" customFormat="false" ht="15" hidden="false" customHeight="false" outlineLevel="0" collapsed="false">
      <c r="A1530" s="7" t="s">
        <v>1571</v>
      </c>
      <c r="B1530" s="7" t="n">
        <v>25740.19</v>
      </c>
      <c r="C1530" s="7" t="n">
        <v>25823.29</v>
      </c>
      <c r="D1530" s="7" t="n">
        <v>25456.18</v>
      </c>
      <c r="E1530" s="7" t="n">
        <v>25552.39</v>
      </c>
      <c r="F1530" s="7" t="n">
        <v>9256</v>
      </c>
      <c r="G1530" s="7" t="n">
        <f aca="false">AVERAGE(E1526:E1530)</f>
        <v>25822.486</v>
      </c>
      <c r="H1530" s="7" t="n">
        <f aca="false">AVERAGE(E1521:E1530)</f>
        <v>25607.966</v>
      </c>
      <c r="I1530" s="7" t="n">
        <f aca="false">AVERAGE(E1511:E1530)</f>
        <v>25589.837</v>
      </c>
      <c r="J1530" s="7" t="n">
        <f aca="false">AVERAGE(E1481:E1530)</f>
        <v>25386.7052</v>
      </c>
      <c r="K1530" s="7" t="n">
        <f aca="false">AVERAGE(E1431:E1530)</f>
        <v>25151.5576</v>
      </c>
      <c r="L1530" s="7" t="n">
        <f aca="false">AVERAGE(E1331:E1530)</f>
        <v>23570.16975</v>
      </c>
      <c r="M1530" s="7" t="n">
        <f aca="false">I1530</f>
        <v>25589.837</v>
      </c>
      <c r="N1530" s="7" t="n">
        <f aca="false">I1530+2*STDEV(E1511:E1530)</f>
        <v>26084.2305931326</v>
      </c>
      <c r="O1530" s="7" t="n">
        <f aca="false">I1530-2*STDEV(E1511:E1530)</f>
        <v>25095.4434068674</v>
      </c>
      <c r="P1530" s="7" t="n">
        <f aca="false">MAX(E1530-E1529,0)</f>
        <v>0</v>
      </c>
      <c r="Q1530" s="7" t="n">
        <f aca="false">MAX(E1529-E1530,0)</f>
        <v>331.91</v>
      </c>
      <c r="R1530" s="7" t="n">
        <f aca="false">(R1529*13+P1530)/14</f>
        <v>89.227143371512</v>
      </c>
      <c r="S1530" s="7" t="n">
        <f aca="false">(S1529*13+Q1530)/14</f>
        <v>90.0076900114929</v>
      </c>
      <c r="T1530" s="7" t="n">
        <f aca="false">IF(S1530=0,100,100-100/(1+R1530/S1530))</f>
        <v>49.7822558748073</v>
      </c>
      <c r="U1530" s="7" t="n">
        <f aca="false">E1530*2/13+U1529*11/13</f>
        <v>25665.0937535161</v>
      </c>
      <c r="V1530" s="7" t="n">
        <f aca="false">E1530*2/27+V1529*25/27</f>
        <v>25568.4135041556</v>
      </c>
      <c r="W1530" s="7" t="n">
        <f aca="false">U1530-V1530</f>
        <v>96.6802493604846</v>
      </c>
      <c r="X1530" s="7" t="n">
        <f aca="false">W1530*2/10+X1529*8/10</f>
        <v>78.2167374372976</v>
      </c>
      <c r="Y1530" s="7" t="n">
        <f aca="false">W1530-X1530</f>
        <v>18.463511923187</v>
      </c>
      <c r="Z1530" s="8" t="s">
        <v>42</v>
      </c>
      <c r="AA1530" s="7" t="str">
        <f aca="false">IFERROR(INDEX(02_轉折點45!B:B,MATCH(A1530,02_轉折點45!A:A,0)),"")</f>
        <v/>
      </c>
      <c r="AB1530" s="7" t="n">
        <f aca="false">COUNTIFS(05_訊號明細!A:A,A1530,05_訊號明細!C:C,"TOP")</f>
        <v>1</v>
      </c>
      <c r="AC1530" s="7" t="n">
        <f aca="false">COUNTIFS(05_訊號明細!A:A,A1530,05_訊號明細!C:C,"BOTTOM")</f>
        <v>0</v>
      </c>
    </row>
    <row r="1531" customFormat="false" ht="15" hidden="false" customHeight="false" outlineLevel="0" collapsed="false">
      <c r="A1531" s="7" t="s">
        <v>1572</v>
      </c>
      <c r="B1531" s="7" t="n">
        <v>25491.64</v>
      </c>
      <c r="C1531" s="7" t="n">
        <v>25833.12</v>
      </c>
      <c r="D1531" s="7" t="n">
        <v>25478.5</v>
      </c>
      <c r="E1531" s="7" t="n">
        <v>25738.61</v>
      </c>
      <c r="F1531" s="7" t="n">
        <v>8883</v>
      </c>
      <c r="G1531" s="7" t="n">
        <f aca="false">AVERAGE(E1527:E1531)</f>
        <v>25827.566</v>
      </c>
      <c r="H1531" s="7" t="n">
        <f aca="false">AVERAGE(E1522:E1531)</f>
        <v>25628.901</v>
      </c>
      <c r="I1531" s="7" t="n">
        <f aca="false">AVERAGE(E1512:E1531)</f>
        <v>25616.459</v>
      </c>
      <c r="J1531" s="7" t="n">
        <f aca="false">AVERAGE(E1482:E1531)</f>
        <v>25411.4154</v>
      </c>
      <c r="K1531" s="7" t="n">
        <f aca="false">AVERAGE(E1432:E1531)</f>
        <v>25170.5457</v>
      </c>
      <c r="L1531" s="7" t="n">
        <f aca="false">AVERAGE(E1332:E1531)</f>
        <v>23604.71165</v>
      </c>
      <c r="M1531" s="7" t="n">
        <f aca="false">I1531</f>
        <v>25616.459</v>
      </c>
      <c r="N1531" s="7" t="n">
        <f aca="false">I1531+2*STDEV(E1512:E1531)</f>
        <v>26080.2596126457</v>
      </c>
      <c r="O1531" s="7" t="n">
        <f aca="false">I1531-2*STDEV(E1512:E1531)</f>
        <v>25152.6583873543</v>
      </c>
      <c r="P1531" s="7" t="n">
        <f aca="false">MAX(E1531-E1530,0)</f>
        <v>186.220000000001</v>
      </c>
      <c r="Q1531" s="7" t="n">
        <f aca="false">MAX(E1530-E1531,0)</f>
        <v>0</v>
      </c>
      <c r="R1531" s="7" t="n">
        <f aca="false">(R1530*13+P1531)/14</f>
        <v>96.1552045592612</v>
      </c>
      <c r="S1531" s="7" t="n">
        <f aca="false">(S1530*13+Q1531)/14</f>
        <v>83.5785692963863</v>
      </c>
      <c r="T1531" s="7" t="n">
        <f aca="false">IF(S1531=0,100,100-100/(1+R1531/S1531))</f>
        <v>53.4986844690013</v>
      </c>
      <c r="U1531" s="7" t="n">
        <f aca="false">E1531*2/13+U1530*11/13</f>
        <v>25676.4039452828</v>
      </c>
      <c r="V1531" s="7" t="n">
        <f aca="false">E1531*2/27+V1530*25/27</f>
        <v>25581.0206519959</v>
      </c>
      <c r="W1531" s="7" t="n">
        <f aca="false">U1531-V1531</f>
        <v>95.3832932869154</v>
      </c>
      <c r="X1531" s="7" t="n">
        <f aca="false">W1531*2/10+X1530*8/10</f>
        <v>81.6500486072212</v>
      </c>
      <c r="Y1531" s="7" t="n">
        <f aca="false">W1531-X1531</f>
        <v>13.7332446796943</v>
      </c>
      <c r="Z1531" s="8" t="s">
        <v>42</v>
      </c>
      <c r="AA1531" s="7" t="str">
        <f aca="false">IFERROR(INDEX(02_轉折點45!B:B,MATCH(A1531,02_轉折點45!A:A,0)),"")</f>
        <v/>
      </c>
      <c r="AB1531" s="7" t="n">
        <f aca="false">COUNTIFS(05_訊號明細!A:A,A1531,05_訊號明細!C:C,"TOP")</f>
        <v>0</v>
      </c>
      <c r="AC1531" s="7" t="n">
        <f aca="false">COUNTIFS(05_訊號明細!A:A,A1531,05_訊號明細!C:C,"BOTTOM")</f>
        <v>0</v>
      </c>
    </row>
    <row r="1532" customFormat="false" ht="15" hidden="false" customHeight="false" outlineLevel="0" collapsed="false">
      <c r="A1532" s="7" t="s">
        <v>1573</v>
      </c>
      <c r="B1532" s="7" t="n">
        <v>25811.05</v>
      </c>
      <c r="C1532" s="7" t="n">
        <v>25840.04</v>
      </c>
      <c r="D1532" s="7" t="n">
        <v>25112.46</v>
      </c>
      <c r="E1532" s="7" t="n">
        <v>25338.62</v>
      </c>
      <c r="F1532" s="7" t="n">
        <v>10306</v>
      </c>
      <c r="G1532" s="7" t="n">
        <f aca="false">AVERAGE(E1528:E1532)</f>
        <v>25707.342</v>
      </c>
      <c r="H1532" s="7" t="n">
        <f aca="false">AVERAGE(E1523:E1532)</f>
        <v>25664.006</v>
      </c>
      <c r="I1532" s="7" t="n">
        <f aca="false">AVERAGE(E1513:E1532)</f>
        <v>25613.324</v>
      </c>
      <c r="J1532" s="7" t="n">
        <f aca="false">AVERAGE(E1483:E1532)</f>
        <v>25425.3774</v>
      </c>
      <c r="K1532" s="7" t="n">
        <f aca="false">AVERAGE(E1433:E1532)</f>
        <v>25185.4392</v>
      </c>
      <c r="L1532" s="7" t="n">
        <f aca="false">AVERAGE(E1333:E1532)</f>
        <v>23640.11655</v>
      </c>
      <c r="M1532" s="7" t="n">
        <f aca="false">I1532</f>
        <v>25613.324</v>
      </c>
      <c r="N1532" s="7" t="n">
        <f aca="false">I1532+2*STDEV(E1513:E1532)</f>
        <v>26084.0435936973</v>
      </c>
      <c r="O1532" s="7" t="n">
        <f aca="false">I1532-2*STDEV(E1513:E1532)</f>
        <v>25142.6044063027</v>
      </c>
      <c r="P1532" s="7" t="n">
        <f aca="false">MAX(E1532-E1531,0)</f>
        <v>0</v>
      </c>
      <c r="Q1532" s="7" t="n">
        <f aca="false">MAX(E1531-E1532,0)</f>
        <v>399.990000000002</v>
      </c>
      <c r="R1532" s="7" t="n">
        <f aca="false">(R1531*13+P1532)/14</f>
        <v>89.2869756621711</v>
      </c>
      <c r="S1532" s="7" t="n">
        <f aca="false">(S1531*13+Q1532)/14</f>
        <v>106.179385775216</v>
      </c>
      <c r="T1532" s="7" t="n">
        <f aca="false">IF(S1532=0,100,100-100/(1+R1532/S1532))</f>
        <v>45.6789470093922</v>
      </c>
      <c r="U1532" s="7" t="n">
        <f aca="false">E1532*2/13+U1531*11/13</f>
        <v>25624.4371844701</v>
      </c>
      <c r="V1532" s="7" t="n">
        <f aca="false">E1532*2/27+V1531*25/27</f>
        <v>25563.0650481444</v>
      </c>
      <c r="W1532" s="7" t="n">
        <f aca="false">U1532-V1532</f>
        <v>61.3721363257209</v>
      </c>
      <c r="X1532" s="7" t="n">
        <f aca="false">W1532*2/10+X1531*8/10</f>
        <v>77.5944661509211</v>
      </c>
      <c r="Y1532" s="7" t="n">
        <f aca="false">W1532-X1532</f>
        <v>-16.2223298252002</v>
      </c>
      <c r="Z1532" s="8" t="s">
        <v>42</v>
      </c>
      <c r="AA1532" s="7" t="str">
        <f aca="false">IFERROR(INDEX(02_轉折點45!B:B,MATCH(A1532,02_轉折點45!A:A,0)),"")</f>
        <v/>
      </c>
      <c r="AB1532" s="7" t="n">
        <f aca="false">COUNTIFS(05_訊號明細!A:A,A1532,05_訊號明細!C:C,"TOP")</f>
        <v>0</v>
      </c>
      <c r="AC1532" s="7" t="n">
        <f aca="false">COUNTIFS(05_訊號明細!A:A,A1532,05_訊號明細!C:C,"BOTTOM")</f>
        <v>0</v>
      </c>
    </row>
    <row r="1533" customFormat="false" ht="15" hidden="false" customHeight="false" outlineLevel="0" collapsed="false">
      <c r="A1533" s="7" t="s">
        <v>1574</v>
      </c>
      <c r="B1533" s="7" t="n">
        <v>25240.38</v>
      </c>
      <c r="C1533" s="7" t="n">
        <v>25275.26</v>
      </c>
      <c r="D1533" s="7" t="n">
        <v>24681.27</v>
      </c>
      <c r="E1533" s="7" t="n">
        <v>24891.24</v>
      </c>
      <c r="F1533" s="7" t="n">
        <v>10862</v>
      </c>
      <c r="G1533" s="7" t="n">
        <f aca="false">AVERAGE(E1529:E1533)</f>
        <v>25481.032</v>
      </c>
      <c r="H1533" s="7" t="n">
        <f aca="false">AVERAGE(E1524:E1533)</f>
        <v>25620.472</v>
      </c>
      <c r="I1533" s="7" t="n">
        <f aca="false">AVERAGE(E1514:E1533)</f>
        <v>25575.9005</v>
      </c>
      <c r="J1533" s="7" t="n">
        <f aca="false">AVERAGE(E1484:E1533)</f>
        <v>25442.1146</v>
      </c>
      <c r="K1533" s="7" t="n">
        <f aca="false">AVERAGE(E1434:E1533)</f>
        <v>25194.426</v>
      </c>
      <c r="L1533" s="7" t="n">
        <f aca="false">AVERAGE(E1334:E1533)</f>
        <v>23673.2823</v>
      </c>
      <c r="M1533" s="7" t="n">
        <f aca="false">I1533</f>
        <v>25575.9005</v>
      </c>
      <c r="N1533" s="7" t="n">
        <f aca="false">I1533+2*STDEV(E1514:E1533)</f>
        <v>26146.2538826996</v>
      </c>
      <c r="O1533" s="7" t="n">
        <f aca="false">I1533-2*STDEV(E1514:E1533)</f>
        <v>25005.5471173004</v>
      </c>
      <c r="P1533" s="7" t="n">
        <f aca="false">MAX(E1533-E1532,0)</f>
        <v>0</v>
      </c>
      <c r="Q1533" s="7" t="n">
        <f aca="false">MAX(E1532-E1533,0)</f>
        <v>447.379999999997</v>
      </c>
      <c r="R1533" s="7" t="n">
        <f aca="false">(R1532*13+P1533)/14</f>
        <v>82.9093345434446</v>
      </c>
      <c r="S1533" s="7" t="n">
        <f aca="false">(S1532*13+Q1533)/14</f>
        <v>130.550858219843</v>
      </c>
      <c r="T1533" s="7" t="n">
        <f aca="false">IF(S1533=0,100,100-100/(1+R1533/S1533))</f>
        <v>38.8406538334692</v>
      </c>
      <c r="U1533" s="7" t="n">
        <f aca="false">E1533*2/13+U1532*11/13</f>
        <v>25511.6376176285</v>
      </c>
      <c r="V1533" s="7" t="n">
        <f aca="false">E1533*2/27+V1532*25/27</f>
        <v>25513.3002297633</v>
      </c>
      <c r="W1533" s="7" t="n">
        <f aca="false">U1533-V1533</f>
        <v>-1.66261213476537</v>
      </c>
      <c r="X1533" s="7" t="n">
        <f aca="false">W1533*2/10+X1532*8/10</f>
        <v>61.7430504937838</v>
      </c>
      <c r="Y1533" s="7" t="n">
        <f aca="false">W1533-X1533</f>
        <v>-63.4056626285492</v>
      </c>
      <c r="Z1533" s="8" t="s">
        <v>42</v>
      </c>
      <c r="AA1533" s="7" t="str">
        <f aca="false">IFERROR(INDEX(02_轉折點45!B:B,MATCH(A1533,02_轉折點45!A:A,0)),"")</f>
        <v/>
      </c>
      <c r="AB1533" s="7" t="n">
        <f aca="false">COUNTIFS(05_訊號明細!A:A,A1533,05_訊號明細!C:C,"TOP")</f>
        <v>1</v>
      </c>
      <c r="AC1533" s="7" t="n">
        <f aca="false">COUNTIFS(05_訊號明細!A:A,A1533,05_訊號明細!C:C,"BOTTOM")</f>
        <v>0</v>
      </c>
    </row>
    <row r="1534" customFormat="false" ht="15" hidden="false" customHeight="false" outlineLevel="0" collapsed="false">
      <c r="A1534" s="7" t="s">
        <v>1575</v>
      </c>
      <c r="B1534" s="7" t="n">
        <v>24614.86</v>
      </c>
      <c r="C1534" s="7" t="n">
        <v>24854.56</v>
      </c>
      <c r="D1534" s="7" t="n">
        <v>24455.4</v>
      </c>
      <c r="E1534" s="7" t="n">
        <v>24548.69</v>
      </c>
      <c r="F1534" s="7" t="n">
        <v>10109</v>
      </c>
      <c r="G1534" s="7" t="n">
        <f aca="false">AVERAGE(E1530:E1534)</f>
        <v>25213.91</v>
      </c>
      <c r="H1534" s="7" t="n">
        <f aca="false">AVERAGE(E1525:E1534)</f>
        <v>25523.506</v>
      </c>
      <c r="I1534" s="7" t="n">
        <f aca="false">AVERAGE(E1515:E1534)</f>
        <v>25520.64</v>
      </c>
      <c r="J1534" s="7" t="n">
        <f aca="false">AVERAGE(E1485:E1534)</f>
        <v>25448.297</v>
      </c>
      <c r="K1534" s="7" t="n">
        <f aca="false">AVERAGE(E1435:E1534)</f>
        <v>25198.991</v>
      </c>
      <c r="L1534" s="7" t="n">
        <f aca="false">AVERAGE(E1335:E1534)</f>
        <v>23706.98425</v>
      </c>
      <c r="M1534" s="7" t="n">
        <f aca="false">I1534</f>
        <v>25520.64</v>
      </c>
      <c r="N1534" s="7" t="n">
        <f aca="false">I1534+2*STDEV(E1515:E1534)</f>
        <v>26250.9163993823</v>
      </c>
      <c r="O1534" s="7" t="n">
        <f aca="false">I1534-2*STDEV(E1515:E1534)</f>
        <v>24790.3636006177</v>
      </c>
      <c r="P1534" s="7" t="n">
        <f aca="false">MAX(E1534-E1533,0)</f>
        <v>0</v>
      </c>
      <c r="Q1534" s="7" t="n">
        <f aca="false">MAX(E1533-E1534,0)</f>
        <v>342.550000000003</v>
      </c>
      <c r="R1534" s="7" t="n">
        <f aca="false">(R1533*13+P1534)/14</f>
        <v>76.9872392189129</v>
      </c>
      <c r="S1534" s="7" t="n">
        <f aca="false">(S1533*13+Q1534)/14</f>
        <v>145.693654061283</v>
      </c>
      <c r="T1534" s="7" t="n">
        <f aca="false">IF(S1534=0,100,100-100/(1+R1534/S1534))</f>
        <v>34.57289850281</v>
      </c>
      <c r="U1534" s="7" t="n">
        <f aca="false">E1534*2/13+U1533*11/13</f>
        <v>25363.4918303011</v>
      </c>
      <c r="V1534" s="7" t="n">
        <f aca="false">E1534*2/27+V1533*25/27</f>
        <v>25441.8476201512</v>
      </c>
      <c r="W1534" s="7" t="n">
        <f aca="false">U1534-V1534</f>
        <v>-78.3557898501349</v>
      </c>
      <c r="X1534" s="7" t="n">
        <f aca="false">W1534*2/10+X1533*8/10</f>
        <v>33.7232824250001</v>
      </c>
      <c r="Y1534" s="7" t="n">
        <f aca="false">W1534-X1534</f>
        <v>-112.079072275135</v>
      </c>
      <c r="Z1534" s="8" t="s">
        <v>42</v>
      </c>
      <c r="AA1534" s="7" t="str">
        <f aca="false">IFERROR(INDEX(02_轉折點45!B:B,MATCH(A1534,02_轉折點45!A:A,0)),"")</f>
        <v/>
      </c>
      <c r="AB1534" s="7" t="n">
        <f aca="false">COUNTIFS(05_訊號明細!A:A,A1534,05_訊號明細!C:C,"TOP")</f>
        <v>1</v>
      </c>
      <c r="AC1534" s="7" t="n">
        <f aca="false">COUNTIFS(05_訊號明細!A:A,A1534,05_訊號明細!C:C,"BOTTOM")</f>
        <v>0</v>
      </c>
    </row>
    <row r="1535" customFormat="false" ht="15" hidden="false" customHeight="false" outlineLevel="0" collapsed="false">
      <c r="A1535" s="7" t="s">
        <v>1576</v>
      </c>
      <c r="B1535" s="7" t="n">
        <v>24655.25</v>
      </c>
      <c r="C1535" s="7" t="n">
        <v>25131.34</v>
      </c>
      <c r="D1535" s="7" t="n">
        <v>24622.33</v>
      </c>
      <c r="E1535" s="7" t="n">
        <v>25075.77</v>
      </c>
      <c r="F1535" s="7" t="n">
        <v>9054</v>
      </c>
      <c r="G1535" s="7" t="n">
        <f aca="false">AVERAGE(E1531:E1535)</f>
        <v>25118.586</v>
      </c>
      <c r="H1535" s="7" t="n">
        <f aca="false">AVERAGE(E1526:E1535)</f>
        <v>25470.536</v>
      </c>
      <c r="I1535" s="7" t="n">
        <f aca="false">AVERAGE(E1516:E1535)</f>
        <v>25499.0735</v>
      </c>
      <c r="J1535" s="7" t="n">
        <f aca="false">AVERAGE(E1486:E1535)</f>
        <v>25452.3354</v>
      </c>
      <c r="K1535" s="7" t="n">
        <f aca="false">AVERAGE(E1436:E1535)</f>
        <v>25206.8109</v>
      </c>
      <c r="L1535" s="7" t="n">
        <f aca="false">AVERAGE(E1336:E1535)</f>
        <v>23740.98105</v>
      </c>
      <c r="M1535" s="7" t="n">
        <f aca="false">I1535</f>
        <v>25499.0735</v>
      </c>
      <c r="N1535" s="7" t="n">
        <f aca="false">I1535+2*STDEV(E1516:E1535)</f>
        <v>26256.0224865944</v>
      </c>
      <c r="O1535" s="7" t="n">
        <f aca="false">I1535-2*STDEV(E1516:E1535)</f>
        <v>24742.1245134056</v>
      </c>
      <c r="P1535" s="7" t="n">
        <f aca="false">MAX(E1535-E1534,0)</f>
        <v>527.080000000002</v>
      </c>
      <c r="Q1535" s="7" t="n">
        <f aca="false">MAX(E1534-E1535,0)</f>
        <v>0</v>
      </c>
      <c r="R1535" s="7" t="n">
        <f aca="false">(R1534*13+P1535)/14</f>
        <v>109.136722131848</v>
      </c>
      <c r="S1535" s="7" t="n">
        <f aca="false">(S1534*13+Q1535)/14</f>
        <v>135.286964485477</v>
      </c>
      <c r="T1535" s="7" t="n">
        <f aca="false">IF(S1535=0,100,100-100/(1+R1535/S1535))</f>
        <v>44.650632531664</v>
      </c>
      <c r="U1535" s="7" t="n">
        <f aca="false">E1535*2/13+U1534*11/13</f>
        <v>25319.2269333317</v>
      </c>
      <c r="V1535" s="7" t="n">
        <f aca="false">E1535*2/27+V1534*25/27</f>
        <v>25414.7307593993</v>
      </c>
      <c r="W1535" s="7" t="n">
        <f aca="false">U1535-V1535</f>
        <v>-95.5038260675865</v>
      </c>
      <c r="X1535" s="7" t="n">
        <f aca="false">W1535*2/10+X1534*8/10</f>
        <v>7.87786072648277</v>
      </c>
      <c r="Y1535" s="7" t="n">
        <f aca="false">W1535-X1535</f>
        <v>-103.381686794069</v>
      </c>
      <c r="Z1535" s="8" t="s">
        <v>42</v>
      </c>
      <c r="AA1535" s="7" t="str">
        <f aca="false">IFERROR(INDEX(02_轉折點45!B:B,MATCH(A1535,02_轉折點45!A:A,0)),"")</f>
        <v/>
      </c>
      <c r="AB1535" s="7" t="n">
        <f aca="false">COUNTIFS(05_訊號明細!A:A,A1535,05_訊號明細!C:C,"TOP")</f>
        <v>1</v>
      </c>
      <c r="AC1535" s="7" t="n">
        <f aca="false">COUNTIFS(05_訊號明細!A:A,A1535,05_訊號明細!C:C,"BOTTOM")</f>
        <v>0</v>
      </c>
    </row>
    <row r="1536" customFormat="false" ht="15" hidden="false" customHeight="false" outlineLevel="0" collapsed="false">
      <c r="A1536" s="7" t="s">
        <v>1577</v>
      </c>
      <c r="B1536" s="7" t="n">
        <v>24953.68</v>
      </c>
      <c r="C1536" s="7" t="n">
        <v>25337.54</v>
      </c>
      <c r="D1536" s="7" t="n">
        <v>24876.28</v>
      </c>
      <c r="E1536" s="7" t="n">
        <v>25268.14</v>
      </c>
      <c r="F1536" s="7" t="n">
        <v>8174</v>
      </c>
      <c r="G1536" s="7" t="n">
        <f aca="false">AVERAGE(E1532:E1536)</f>
        <v>25024.492</v>
      </c>
      <c r="H1536" s="7" t="n">
        <f aca="false">AVERAGE(E1527:E1536)</f>
        <v>25426.029</v>
      </c>
      <c r="I1536" s="7" t="n">
        <f aca="false">AVERAGE(E1517:E1536)</f>
        <v>25474.1675</v>
      </c>
      <c r="J1536" s="7" t="n">
        <f aca="false">AVERAGE(E1487:E1536)</f>
        <v>25457.331</v>
      </c>
      <c r="K1536" s="7" t="n">
        <f aca="false">AVERAGE(E1437:E1536)</f>
        <v>25216.7498</v>
      </c>
      <c r="L1536" s="7" t="n">
        <f aca="false">AVERAGE(E1337:E1536)</f>
        <v>23773.85545</v>
      </c>
      <c r="M1536" s="7" t="n">
        <f aca="false">I1536</f>
        <v>25474.1675</v>
      </c>
      <c r="N1536" s="7" t="n">
        <f aca="false">I1536+2*STDEV(E1517:E1536)</f>
        <v>26226.8680944737</v>
      </c>
      <c r="O1536" s="7" t="n">
        <f aca="false">I1536-2*STDEV(E1517:E1536)</f>
        <v>24721.4669055263</v>
      </c>
      <c r="P1536" s="7" t="n">
        <f aca="false">MAX(E1536-E1535,0)</f>
        <v>192.369999999999</v>
      </c>
      <c r="Q1536" s="7" t="n">
        <f aca="false">MAX(E1535-E1536,0)</f>
        <v>0</v>
      </c>
      <c r="R1536" s="7" t="n">
        <f aca="false">(R1535*13+P1536)/14</f>
        <v>115.081956265287</v>
      </c>
      <c r="S1536" s="7" t="n">
        <f aca="false">(S1535*13+Q1536)/14</f>
        <v>125.623609879372</v>
      </c>
      <c r="T1536" s="7" t="n">
        <f aca="false">IF(S1536=0,100,100-100/(1+R1536/S1536))</f>
        <v>47.8102596913465</v>
      </c>
      <c r="U1536" s="7" t="n">
        <f aca="false">E1536*2/13+U1535*11/13</f>
        <v>25311.3674051268</v>
      </c>
      <c r="V1536" s="7" t="n">
        <f aca="false">E1536*2/27+V1535*25/27</f>
        <v>25403.8721846289</v>
      </c>
      <c r="W1536" s="7" t="n">
        <f aca="false">U1536-V1536</f>
        <v>-92.5047795021419</v>
      </c>
      <c r="X1536" s="7" t="n">
        <f aca="false">W1536*2/10+X1535*8/10</f>
        <v>-12.1986673192422</v>
      </c>
      <c r="Y1536" s="7" t="n">
        <f aca="false">W1536-X1536</f>
        <v>-80.3061121828997</v>
      </c>
      <c r="Z1536" s="8" t="s">
        <v>42</v>
      </c>
      <c r="AA1536" s="7" t="str">
        <f aca="false">IFERROR(INDEX(02_轉折點45!B:B,MATCH(A1536,02_轉折點45!A:A,0)),"")</f>
        <v/>
      </c>
      <c r="AB1536" s="7" t="n">
        <f aca="false">COUNTIFS(05_訊號明細!A:A,A1536,05_訊號明細!C:C,"TOP")</f>
        <v>0</v>
      </c>
      <c r="AC1536" s="7" t="n">
        <f aca="false">COUNTIFS(05_訊號明細!A:A,A1536,05_訊號明細!C:C,"BOTTOM")</f>
        <v>0</v>
      </c>
    </row>
    <row r="1537" customFormat="false" ht="15" hidden="false" customHeight="false" outlineLevel="0" collapsed="false">
      <c r="A1537" s="7" t="s">
        <v>1578</v>
      </c>
      <c r="B1537" s="7" t="n">
        <v>25314.23</v>
      </c>
      <c r="C1537" s="7" t="n">
        <v>25363.12</v>
      </c>
      <c r="D1537" s="7" t="n">
        <v>25113.43</v>
      </c>
      <c r="E1537" s="7" t="n">
        <v>25127.64</v>
      </c>
      <c r="F1537" s="7" t="n">
        <v>8513</v>
      </c>
      <c r="G1537" s="7" t="n">
        <f aca="false">AVERAGE(E1533:E1537)</f>
        <v>24982.296</v>
      </c>
      <c r="H1537" s="7" t="n">
        <f aca="false">AVERAGE(E1528:E1537)</f>
        <v>25344.819</v>
      </c>
      <c r="I1537" s="7" t="n">
        <f aca="false">AVERAGE(E1518:E1537)</f>
        <v>25441.1665</v>
      </c>
      <c r="J1537" s="7" t="n">
        <f aca="false">AVERAGE(E1488:E1537)</f>
        <v>25455.145</v>
      </c>
      <c r="K1537" s="7" t="n">
        <f aca="false">AVERAGE(E1438:E1537)</f>
        <v>25225.7893</v>
      </c>
      <c r="L1537" s="7" t="n">
        <f aca="false">AVERAGE(E1338:E1537)</f>
        <v>23803.42165</v>
      </c>
      <c r="M1537" s="7" t="n">
        <f aca="false">I1537</f>
        <v>25441.1665</v>
      </c>
      <c r="N1537" s="7" t="n">
        <f aca="false">I1537+2*STDEV(E1518:E1537)</f>
        <v>26193.870232736</v>
      </c>
      <c r="O1537" s="7" t="n">
        <f aca="false">I1537-2*STDEV(E1518:E1537)</f>
        <v>24688.462767264</v>
      </c>
      <c r="P1537" s="7" t="n">
        <f aca="false">MAX(E1537-E1536,0)</f>
        <v>0</v>
      </c>
      <c r="Q1537" s="7" t="n">
        <f aca="false">MAX(E1536-E1537,0)</f>
        <v>140.5</v>
      </c>
      <c r="R1537" s="7" t="n">
        <f aca="false">(R1536*13+P1537)/14</f>
        <v>106.861816532052</v>
      </c>
      <c r="S1537" s="7" t="n">
        <f aca="false">(S1536*13+Q1537)/14</f>
        <v>126.686209173702</v>
      </c>
      <c r="T1537" s="7" t="n">
        <f aca="false">IF(S1537=0,100,100-100/(1+R1537/S1537))</f>
        <v>45.7558209747775</v>
      </c>
      <c r="U1537" s="7" t="n">
        <f aca="false">E1537*2/13+U1536*11/13</f>
        <v>25283.1016504919</v>
      </c>
      <c r="V1537" s="7" t="n">
        <f aca="false">E1537*2/27+V1536*25/27</f>
        <v>25383.4105413231</v>
      </c>
      <c r="W1537" s="7" t="n">
        <f aca="false">U1537-V1537</f>
        <v>-100.308890831191</v>
      </c>
      <c r="X1537" s="7" t="n">
        <f aca="false">W1537*2/10+X1536*8/10</f>
        <v>-29.820712021632</v>
      </c>
      <c r="Y1537" s="7" t="n">
        <f aca="false">W1537-X1537</f>
        <v>-70.4881788095591</v>
      </c>
      <c r="Z1537" s="8" t="s">
        <v>42</v>
      </c>
      <c r="AA1537" s="7" t="str">
        <f aca="false">IFERROR(INDEX(02_轉折點45!B:B,MATCH(A1537,02_轉折點45!A:A,0)),"")</f>
        <v/>
      </c>
      <c r="AB1537" s="7" t="n">
        <f aca="false">COUNTIFS(05_訊號明細!A:A,A1537,05_訊號明細!C:C,"TOP")</f>
        <v>0</v>
      </c>
      <c r="AC1537" s="7" t="n">
        <f aca="false">COUNTIFS(05_訊號明細!A:A,A1537,05_訊號明細!C:C,"BOTTOM")</f>
        <v>0</v>
      </c>
    </row>
    <row r="1538" customFormat="false" ht="15" hidden="false" customHeight="false" outlineLevel="0" collapsed="false">
      <c r="A1538" s="7" t="s">
        <v>1579</v>
      </c>
      <c r="B1538" s="7" t="n">
        <v>25335.91</v>
      </c>
      <c r="C1538" s="7" t="n">
        <v>25382.84</v>
      </c>
      <c r="D1538" s="7" t="n">
        <v>24980.29</v>
      </c>
      <c r="E1538" s="7" t="n">
        <v>25201.26</v>
      </c>
      <c r="F1538" s="7" t="n">
        <v>9927</v>
      </c>
      <c r="G1538" s="7" t="n">
        <f aca="false">AVERAGE(E1534:E1538)</f>
        <v>25044.3</v>
      </c>
      <c r="H1538" s="7" t="n">
        <f aca="false">AVERAGE(E1529:E1538)</f>
        <v>25262.666</v>
      </c>
      <c r="I1538" s="7" t="n">
        <f aca="false">AVERAGE(E1519:E1538)</f>
        <v>25414.132</v>
      </c>
      <c r="J1538" s="7" t="n">
        <f aca="false">AVERAGE(E1489:E1538)</f>
        <v>25450.4724</v>
      </c>
      <c r="K1538" s="7" t="n">
        <f aca="false">AVERAGE(E1439:E1538)</f>
        <v>25233.253</v>
      </c>
      <c r="L1538" s="7" t="n">
        <f aca="false">AVERAGE(E1339:E1538)</f>
        <v>23832.26515</v>
      </c>
      <c r="M1538" s="7" t="n">
        <f aca="false">I1538</f>
        <v>25414.132</v>
      </c>
      <c r="N1538" s="7" t="n">
        <f aca="false">I1538+2*STDEV(E1519:E1538)</f>
        <v>26160.1588021318</v>
      </c>
      <c r="O1538" s="7" t="n">
        <f aca="false">I1538-2*STDEV(E1519:E1538)</f>
        <v>24668.1051978682</v>
      </c>
      <c r="P1538" s="7" t="n">
        <f aca="false">MAX(E1538-E1537,0)</f>
        <v>73.619999999999</v>
      </c>
      <c r="Q1538" s="7" t="n">
        <f aca="false">MAX(E1537-E1538,0)</f>
        <v>0</v>
      </c>
      <c r="R1538" s="7" t="n">
        <f aca="false">(R1537*13+P1538)/14</f>
        <v>104.487401065477</v>
      </c>
      <c r="S1538" s="7" t="n">
        <f aca="false">(S1537*13+Q1538)/14</f>
        <v>117.637194232724</v>
      </c>
      <c r="T1538" s="7" t="n">
        <f aca="false">IF(S1538=0,100,100-100/(1+R1538/S1538))</f>
        <v>47.039996145048</v>
      </c>
      <c r="U1538" s="7" t="n">
        <f aca="false">E1538*2/13+U1537*11/13</f>
        <v>25270.5106273393</v>
      </c>
      <c r="V1538" s="7" t="n">
        <f aca="false">E1538*2/27+V1537*25/27</f>
        <v>25369.9179086325</v>
      </c>
      <c r="W1538" s="7" t="n">
        <f aca="false">U1538-V1538</f>
        <v>-99.4072812931881</v>
      </c>
      <c r="X1538" s="7" t="n">
        <f aca="false">W1538*2/10+X1537*8/10</f>
        <v>-43.7380258759432</v>
      </c>
      <c r="Y1538" s="7" t="n">
        <f aca="false">W1538-X1538</f>
        <v>-55.6692554172449</v>
      </c>
      <c r="Z1538" s="8" t="s">
        <v>42</v>
      </c>
      <c r="AA1538" s="7" t="str">
        <f aca="false">IFERROR(INDEX(02_轉折點45!B:B,MATCH(A1538,02_轉折點45!A:A,0)),"")</f>
        <v/>
      </c>
      <c r="AB1538" s="7" t="n">
        <f aca="false">COUNTIFS(05_訊號明細!A:A,A1538,05_訊號明細!C:C,"TOP")</f>
        <v>0</v>
      </c>
      <c r="AC1538" s="7" t="n">
        <f aca="false">COUNTIFS(05_訊號明細!A:A,A1538,05_訊號明細!C:C,"BOTTOM")</f>
        <v>0</v>
      </c>
    </row>
    <row r="1539" customFormat="false" ht="15" hidden="false" customHeight="false" outlineLevel="0" collapsed="false">
      <c r="A1539" s="7" t="s">
        <v>1580</v>
      </c>
      <c r="B1539" s="7" t="n">
        <v>25261.33</v>
      </c>
      <c r="C1539" s="7" t="n">
        <v>25310.56</v>
      </c>
      <c r="D1539" s="7" t="n">
        <v>24643.73</v>
      </c>
      <c r="E1539" s="7" t="n">
        <v>24687.61</v>
      </c>
      <c r="F1539" s="7" t="n">
        <v>8855</v>
      </c>
      <c r="G1539" s="7" t="n">
        <f aca="false">AVERAGE(E1535:E1539)</f>
        <v>25072.084</v>
      </c>
      <c r="H1539" s="7" t="n">
        <f aca="false">AVERAGE(E1530:E1539)</f>
        <v>25142.997</v>
      </c>
      <c r="I1539" s="7" t="n">
        <f aca="false">AVERAGE(E1520:E1539)</f>
        <v>25375.2155</v>
      </c>
      <c r="J1539" s="7" t="n">
        <f aca="false">AVERAGE(E1490:E1539)</f>
        <v>25437.3676</v>
      </c>
      <c r="K1539" s="7" t="n">
        <f aca="false">AVERAGE(E1440:E1539)</f>
        <v>25233.8666</v>
      </c>
      <c r="L1539" s="7" t="n">
        <f aca="false">AVERAGE(E1340:E1539)</f>
        <v>23858.56675</v>
      </c>
      <c r="M1539" s="7" t="n">
        <f aca="false">I1539</f>
        <v>25375.2155</v>
      </c>
      <c r="N1539" s="7" t="n">
        <f aca="false">I1539+2*STDEV(E1520:E1539)</f>
        <v>26188.0728666938</v>
      </c>
      <c r="O1539" s="7" t="n">
        <f aca="false">I1539-2*STDEV(E1520:E1539)</f>
        <v>24562.3581333062</v>
      </c>
      <c r="P1539" s="7" t="n">
        <f aca="false">MAX(E1539-E1538,0)</f>
        <v>0</v>
      </c>
      <c r="Q1539" s="7" t="n">
        <f aca="false">MAX(E1538-E1539,0)</f>
        <v>513.649999999998</v>
      </c>
      <c r="R1539" s="7" t="n">
        <f aca="false">(R1538*13+P1539)/14</f>
        <v>97.0240152750859</v>
      </c>
      <c r="S1539" s="7" t="n">
        <f aca="false">(S1538*13+Q1539)/14</f>
        <v>145.9238232161</v>
      </c>
      <c r="T1539" s="7" t="n">
        <f aca="false">IF(S1539=0,100,100-100/(1+R1539/S1539))</f>
        <v>39.9361508534705</v>
      </c>
      <c r="U1539" s="7" t="n">
        <f aca="false">E1539*2/13+U1538*11/13</f>
        <v>25180.8336077486</v>
      </c>
      <c r="V1539" s="7" t="n">
        <f aca="false">E1539*2/27+V1538*25/27</f>
        <v>25319.3765820671</v>
      </c>
      <c r="W1539" s="7" t="n">
        <f aca="false">U1539-V1539</f>
        <v>-138.542974318476</v>
      </c>
      <c r="X1539" s="7" t="n">
        <f aca="false">W1539*2/10+X1538*8/10</f>
        <v>-62.6990155644497</v>
      </c>
      <c r="Y1539" s="7" t="n">
        <f aca="false">W1539-X1539</f>
        <v>-75.8439587540262</v>
      </c>
      <c r="Z1539" s="8" t="s">
        <v>42</v>
      </c>
      <c r="AA1539" s="7" t="str">
        <f aca="false">IFERROR(INDEX(02_轉折點45!B:B,MATCH(A1539,02_轉折點45!A:A,0)),"")</f>
        <v/>
      </c>
      <c r="AB1539" s="7" t="n">
        <f aca="false">COUNTIFS(05_訊號明細!A:A,A1539,05_訊號明細!C:C,"TOP")</f>
        <v>0</v>
      </c>
      <c r="AC1539" s="7" t="n">
        <f aca="false">COUNTIFS(05_訊號明細!A:A,A1539,05_訊號明細!C:C,"BOTTOM")</f>
        <v>0</v>
      </c>
    </row>
    <row r="1540" customFormat="false" ht="15" hidden="false" customHeight="false" outlineLevel="0" collapsed="false">
      <c r="A1540" s="7" t="s">
        <v>1581</v>
      </c>
      <c r="B1540" s="7" t="n">
        <v>24662.95</v>
      </c>
      <c r="C1540" s="7" t="n">
        <v>24921.47</v>
      </c>
      <c r="D1540" s="7" t="n">
        <v>24514.96</v>
      </c>
      <c r="E1540" s="7" t="n">
        <v>24732.73</v>
      </c>
      <c r="F1540" s="7" t="n">
        <v>7965</v>
      </c>
      <c r="G1540" s="7" t="n">
        <f aca="false">AVERAGE(E1536:E1540)</f>
        <v>25003.476</v>
      </c>
      <c r="H1540" s="7" t="n">
        <f aca="false">AVERAGE(E1531:E1540)</f>
        <v>25061.031</v>
      </c>
      <c r="I1540" s="7" t="n">
        <f aca="false">AVERAGE(E1521:E1540)</f>
        <v>25334.4985</v>
      </c>
      <c r="J1540" s="7" t="n">
        <f aca="false">AVERAGE(E1491:E1540)</f>
        <v>25420.905</v>
      </c>
      <c r="K1540" s="7" t="n">
        <f aca="false">AVERAGE(E1441:E1540)</f>
        <v>25233.5832</v>
      </c>
      <c r="L1540" s="7" t="n">
        <f aca="false">AVERAGE(E1341:E1540)</f>
        <v>23884.50565</v>
      </c>
      <c r="M1540" s="7" t="n">
        <f aca="false">I1540</f>
        <v>25334.4985</v>
      </c>
      <c r="N1540" s="7" t="n">
        <f aca="false">I1540+2*STDEV(E1521:E1540)</f>
        <v>26191.4941562016</v>
      </c>
      <c r="O1540" s="7" t="n">
        <f aca="false">I1540-2*STDEV(E1521:E1540)</f>
        <v>24477.5028437984</v>
      </c>
      <c r="P1540" s="7" t="n">
        <f aca="false">MAX(E1540-E1539,0)</f>
        <v>45.119999999999</v>
      </c>
      <c r="Q1540" s="7" t="n">
        <f aca="false">MAX(E1539-E1540,0)</f>
        <v>0</v>
      </c>
      <c r="R1540" s="7" t="n">
        <f aca="false">(R1539*13+P1540)/14</f>
        <v>93.3165856125797</v>
      </c>
      <c r="S1540" s="7" t="n">
        <f aca="false">(S1539*13+Q1540)/14</f>
        <v>135.500692986379</v>
      </c>
      <c r="T1540" s="7" t="n">
        <f aca="false">IF(S1540=0,100,100-100/(1+R1540/S1540))</f>
        <v>40.7821411844221</v>
      </c>
      <c r="U1540" s="7" t="n">
        <f aca="false">E1540*2/13+U1539*11/13</f>
        <v>25111.8945911719</v>
      </c>
      <c r="V1540" s="7" t="n">
        <f aca="false">E1540*2/27+V1539*25/27</f>
        <v>25275.9212796918</v>
      </c>
      <c r="W1540" s="7" t="n">
        <f aca="false">U1540-V1540</f>
        <v>-164.026688519847</v>
      </c>
      <c r="X1540" s="7" t="n">
        <f aca="false">W1540*2/10+X1539*8/10</f>
        <v>-82.9645501555292</v>
      </c>
      <c r="Y1540" s="7" t="n">
        <f aca="false">W1540-X1540</f>
        <v>-81.0621383643179</v>
      </c>
      <c r="Z1540" s="8" t="s">
        <v>42</v>
      </c>
      <c r="AA1540" s="7" t="str">
        <f aca="false">IFERROR(INDEX(02_轉折點45!B:B,MATCH(A1540,02_轉折點45!A:A,0)),"")</f>
        <v/>
      </c>
      <c r="AB1540" s="7" t="n">
        <f aca="false">COUNTIFS(05_訊號明細!A:A,A1540,05_訊號明細!C:C,"TOP")</f>
        <v>0</v>
      </c>
      <c r="AC1540" s="7" t="n">
        <f aca="false">COUNTIFS(05_訊號明細!A:A,A1540,05_訊號明細!C:C,"BOTTOM")</f>
        <v>0</v>
      </c>
    </row>
    <row r="1541" customFormat="false" ht="15" hidden="false" customHeight="false" outlineLevel="0" collapsed="false">
      <c r="A1541" s="7" t="s">
        <v>1582</v>
      </c>
      <c r="B1541" s="7" t="n">
        <v>24567.54</v>
      </c>
      <c r="C1541" s="7" t="n">
        <v>24818.3</v>
      </c>
      <c r="D1541" s="7" t="n">
        <v>24387.47</v>
      </c>
      <c r="E1541" s="7" t="n">
        <v>24701.6</v>
      </c>
      <c r="F1541" s="7" t="n">
        <v>7654</v>
      </c>
      <c r="G1541" s="7" t="n">
        <f aca="false">AVERAGE(E1537:E1541)</f>
        <v>24890.168</v>
      </c>
      <c r="H1541" s="7" t="n">
        <f aca="false">AVERAGE(E1532:E1541)</f>
        <v>24957.33</v>
      </c>
      <c r="I1541" s="7" t="n">
        <f aca="false">AVERAGE(E1522:E1541)</f>
        <v>25293.1155</v>
      </c>
      <c r="J1541" s="7" t="n">
        <f aca="false">AVERAGE(E1492:E1541)</f>
        <v>25402.8062</v>
      </c>
      <c r="K1541" s="7" t="n">
        <f aca="false">AVERAGE(E1442:E1541)</f>
        <v>25234.7975</v>
      </c>
      <c r="L1541" s="7" t="n">
        <f aca="false">AVERAGE(E1342:E1541)</f>
        <v>23910.15855</v>
      </c>
      <c r="M1541" s="7" t="n">
        <f aca="false">I1541</f>
        <v>25293.1155</v>
      </c>
      <c r="N1541" s="7" t="n">
        <f aca="false">I1541+2*STDEV(E1522:E1541)</f>
        <v>26189.5381917317</v>
      </c>
      <c r="O1541" s="7" t="n">
        <f aca="false">I1541-2*STDEV(E1522:E1541)</f>
        <v>24396.6928082683</v>
      </c>
      <c r="P1541" s="7" t="n">
        <f aca="false">MAX(E1541-E1540,0)</f>
        <v>0</v>
      </c>
      <c r="Q1541" s="7" t="n">
        <f aca="false">MAX(E1540-E1541,0)</f>
        <v>31.130000000001</v>
      </c>
      <c r="R1541" s="7" t="n">
        <f aca="false">(R1540*13+P1541)/14</f>
        <v>86.6511152116811</v>
      </c>
      <c r="S1541" s="7" t="n">
        <f aca="false">(S1540*13+Q1541)/14</f>
        <v>128.045643487352</v>
      </c>
      <c r="T1541" s="7" t="n">
        <f aca="false">IF(S1541=0,100,100-100/(1+R1541/S1541))</f>
        <v>40.3597686973704</v>
      </c>
      <c r="U1541" s="7" t="n">
        <f aca="false">E1541*2/13+U1540*11/13</f>
        <v>25048.7723463763</v>
      </c>
      <c r="V1541" s="7" t="n">
        <f aca="false">E1541*2/27+V1540*25/27</f>
        <v>25233.3789626776</v>
      </c>
      <c r="W1541" s="7" t="n">
        <f aca="false">U1541-V1541</f>
        <v>-184.60661630132</v>
      </c>
      <c r="X1541" s="7" t="n">
        <f aca="false">W1541*2/10+X1540*8/10</f>
        <v>-103.292963384687</v>
      </c>
      <c r="Y1541" s="7" t="n">
        <f aca="false">W1541-X1541</f>
        <v>-81.3136529166328</v>
      </c>
      <c r="Z1541" s="8" t="s">
        <v>42</v>
      </c>
      <c r="AA1541" s="7" t="str">
        <f aca="false">IFERROR(INDEX(02_轉折點45!B:B,MATCH(A1541,02_轉折點45!A:A,0)),"")</f>
        <v/>
      </c>
      <c r="AB1541" s="7" t="n">
        <f aca="false">COUNTIFS(05_訊號明細!A:A,A1541,05_訊號明細!C:C,"TOP")</f>
        <v>0</v>
      </c>
      <c r="AC1541" s="7" t="n">
        <f aca="false">COUNTIFS(05_訊號明細!A:A,A1541,05_訊號明細!C:C,"BOTTOM")</f>
        <v>0</v>
      </c>
    </row>
    <row r="1542" customFormat="false" ht="15" hidden="false" customHeight="false" outlineLevel="0" collapsed="false">
      <c r="A1542" s="7" t="s">
        <v>1583</v>
      </c>
      <c r="B1542" s="7" t="n">
        <v>24744.88</v>
      </c>
      <c r="C1542" s="7" t="n">
        <v>25057.21</v>
      </c>
      <c r="D1542" s="7" t="n">
        <v>24696.83</v>
      </c>
      <c r="E1542" s="7" t="n">
        <v>24898.87</v>
      </c>
      <c r="F1542" s="7" t="n">
        <v>7706</v>
      </c>
      <c r="G1542" s="7" t="n">
        <f aca="false">AVERAGE(E1538:E1542)</f>
        <v>24844.414</v>
      </c>
      <c r="H1542" s="7" t="n">
        <f aca="false">AVERAGE(E1533:E1542)</f>
        <v>24913.355</v>
      </c>
      <c r="I1542" s="7" t="n">
        <f aca="false">AVERAGE(E1523:E1542)</f>
        <v>25288.6805</v>
      </c>
      <c r="J1542" s="7" t="n">
        <f aca="false">AVERAGE(E1493:E1542)</f>
        <v>25389.1496</v>
      </c>
      <c r="K1542" s="7" t="n">
        <f aca="false">AVERAGE(E1443:E1542)</f>
        <v>25238.7505</v>
      </c>
      <c r="L1542" s="7" t="n">
        <f aca="false">AVERAGE(E1343:E1542)</f>
        <v>23935.71935</v>
      </c>
      <c r="M1542" s="7" t="n">
        <f aca="false">I1542</f>
        <v>25288.6805</v>
      </c>
      <c r="N1542" s="7" t="n">
        <f aca="false">I1542+2*STDEV(E1523:E1542)</f>
        <v>26192.3167656564</v>
      </c>
      <c r="O1542" s="7" t="n">
        <f aca="false">I1542-2*STDEV(E1523:E1542)</f>
        <v>24385.0442343436</v>
      </c>
      <c r="P1542" s="7" t="n">
        <f aca="false">MAX(E1542-E1541,0)</f>
        <v>197.27</v>
      </c>
      <c r="Q1542" s="7" t="n">
        <f aca="false">MAX(E1541-E1542,0)</f>
        <v>0</v>
      </c>
      <c r="R1542" s="7" t="n">
        <f aca="false">(R1541*13+P1542)/14</f>
        <v>94.5524641251325</v>
      </c>
      <c r="S1542" s="7" t="n">
        <f aca="false">(S1541*13+Q1542)/14</f>
        <v>118.899526095398</v>
      </c>
      <c r="T1542" s="7" t="n">
        <f aca="false">IF(S1542=0,100,100-100/(1+R1542/S1542))</f>
        <v>44.2968294778814</v>
      </c>
      <c r="U1542" s="7" t="n">
        <f aca="false">E1542*2/13+U1541*11/13</f>
        <v>25025.7104469338</v>
      </c>
      <c r="V1542" s="7" t="n">
        <f aca="false">E1542*2/27+V1541*25/27</f>
        <v>25208.6005209978</v>
      </c>
      <c r="W1542" s="7" t="n">
        <f aca="false">U1542-V1542</f>
        <v>-182.890074063998</v>
      </c>
      <c r="X1542" s="7" t="n">
        <f aca="false">W1542*2/10+X1541*8/10</f>
        <v>-119.21238552055</v>
      </c>
      <c r="Y1542" s="7" t="n">
        <f aca="false">W1542-X1542</f>
        <v>-63.6776885434488</v>
      </c>
      <c r="Z1542" s="8" t="s">
        <v>42</v>
      </c>
      <c r="AA1542" s="7" t="str">
        <f aca="false">IFERROR(INDEX(02_轉折點45!B:B,MATCH(A1542,02_轉折點45!A:A,0)),"")</f>
        <v/>
      </c>
      <c r="AB1542" s="7" t="n">
        <f aca="false">COUNTIFS(05_訊號明細!A:A,A1542,05_訊號明細!C:C,"TOP")</f>
        <v>1</v>
      </c>
      <c r="AC1542" s="7" t="n">
        <f aca="false">COUNTIFS(05_訊號明細!A:A,A1542,05_訊號明細!C:C,"BOTTOM")</f>
        <v>0</v>
      </c>
    </row>
    <row r="1543" customFormat="false" ht="15" hidden="false" customHeight="false" outlineLevel="0" collapsed="false">
      <c r="A1543" s="7" t="s">
        <v>1584</v>
      </c>
      <c r="B1543" s="7" t="n">
        <v>24771.65</v>
      </c>
      <c r="C1543" s="7" t="n">
        <v>24890.12</v>
      </c>
      <c r="D1543" s="7" t="n">
        <v>24690.87</v>
      </c>
      <c r="E1543" s="7" t="n">
        <v>24797.34</v>
      </c>
      <c r="F1543" s="7" t="n">
        <v>6985</v>
      </c>
      <c r="G1543" s="7" t="n">
        <f aca="false">AVERAGE(E1539:E1543)</f>
        <v>24763.63</v>
      </c>
      <c r="H1543" s="7" t="n">
        <f aca="false">AVERAGE(E1534:E1543)</f>
        <v>24903.965</v>
      </c>
      <c r="I1543" s="7" t="n">
        <f aca="false">AVERAGE(E1524:E1543)</f>
        <v>25262.2185</v>
      </c>
      <c r="J1543" s="7" t="n">
        <f aca="false">AVERAGE(E1494:E1543)</f>
        <v>25371.2554</v>
      </c>
      <c r="K1543" s="7" t="n">
        <f aca="false">AVERAGE(E1444:E1543)</f>
        <v>25242.7508</v>
      </c>
      <c r="L1543" s="7" t="n">
        <f aca="false">AVERAGE(E1344:E1543)</f>
        <v>23959.193</v>
      </c>
      <c r="M1543" s="7" t="n">
        <f aca="false">I1543</f>
        <v>25262.2185</v>
      </c>
      <c r="N1543" s="7" t="n">
        <f aca="false">I1543+2*STDEV(E1524:E1543)</f>
        <v>26191.805532686</v>
      </c>
      <c r="O1543" s="7" t="n">
        <f aca="false">I1543-2*STDEV(E1524:E1543)</f>
        <v>24332.631467314</v>
      </c>
      <c r="P1543" s="7" t="n">
        <f aca="false">MAX(E1543-E1542,0)</f>
        <v>0</v>
      </c>
      <c r="Q1543" s="7" t="n">
        <f aca="false">MAX(E1542-E1543,0)</f>
        <v>101.529999999999</v>
      </c>
      <c r="R1543" s="7" t="n">
        <f aca="false">(R1542*13+P1543)/14</f>
        <v>87.798716687623</v>
      </c>
      <c r="S1543" s="7" t="n">
        <f aca="false">(S1542*13+Q1543)/14</f>
        <v>117.658845660012</v>
      </c>
      <c r="T1543" s="7" t="n">
        <f aca="false">IF(S1543=0,100,100-100/(1+R1543/S1543))</f>
        <v>42.7332611583637</v>
      </c>
      <c r="U1543" s="7" t="n">
        <f aca="false">E1543*2/13+U1542*11/13</f>
        <v>24990.5765320209</v>
      </c>
      <c r="V1543" s="7" t="n">
        <f aca="false">E1543*2/27+V1542*25/27</f>
        <v>25178.1367787016</v>
      </c>
      <c r="W1543" s="7" t="n">
        <f aca="false">U1543-V1543</f>
        <v>-187.560246680758</v>
      </c>
      <c r="X1543" s="7" t="n">
        <f aca="false">W1543*2/10+X1542*8/10</f>
        <v>-132.881957752591</v>
      </c>
      <c r="Y1543" s="7" t="n">
        <f aca="false">W1543-X1543</f>
        <v>-54.6782889281665</v>
      </c>
      <c r="Z1543" s="8" t="s">
        <v>42</v>
      </c>
      <c r="AA1543" s="7" t="str">
        <f aca="false">IFERROR(INDEX(02_轉折點45!B:B,MATCH(A1543,02_轉折點45!A:A,0)),"")</f>
        <v/>
      </c>
      <c r="AB1543" s="7" t="n">
        <f aca="false">COUNTIFS(05_訊號明細!A:A,A1543,05_訊號明細!C:C,"TOP")</f>
        <v>0</v>
      </c>
      <c r="AC1543" s="7" t="n">
        <f aca="false">COUNTIFS(05_訊號明細!A:A,A1543,05_訊號明細!C:C,"BOTTOM")</f>
        <v>0</v>
      </c>
    </row>
    <row r="1544" customFormat="false" ht="15" hidden="false" customHeight="false" outlineLevel="0" collapsed="false">
      <c r="A1544" s="7" t="s">
        <v>1585</v>
      </c>
      <c r="B1544" s="7" t="n">
        <v>24637.32</v>
      </c>
      <c r="C1544" s="7" t="n">
        <v>25077.56</v>
      </c>
      <c r="D1544" s="7" t="n">
        <v>24633.6</v>
      </c>
      <c r="E1544" s="7" t="n">
        <v>25012.62</v>
      </c>
      <c r="F1544" s="7" t="n">
        <v>8063</v>
      </c>
      <c r="G1544" s="7" t="n">
        <f aca="false">AVERAGE(E1540:E1544)</f>
        <v>24828.632</v>
      </c>
      <c r="H1544" s="7" t="n">
        <f aca="false">AVERAGE(E1535:E1544)</f>
        <v>24950.358</v>
      </c>
      <c r="I1544" s="7" t="n">
        <f aca="false">AVERAGE(E1525:E1544)</f>
        <v>25236.932</v>
      </c>
      <c r="J1544" s="7" t="n">
        <f aca="false">AVERAGE(E1495:E1544)</f>
        <v>25358.9488</v>
      </c>
      <c r="K1544" s="7" t="n">
        <f aca="false">AVERAGE(E1445:E1544)</f>
        <v>25247.8385</v>
      </c>
      <c r="L1544" s="7" t="n">
        <f aca="false">AVERAGE(E1345:E1544)</f>
        <v>23984.4164</v>
      </c>
      <c r="M1544" s="7" t="n">
        <f aca="false">I1544</f>
        <v>25236.932</v>
      </c>
      <c r="N1544" s="7" t="n">
        <f aca="false">I1544+2*STDEV(E1525:E1544)</f>
        <v>26164.6950332795</v>
      </c>
      <c r="O1544" s="7" t="n">
        <f aca="false">I1544-2*STDEV(E1525:E1544)</f>
        <v>24309.1689667205</v>
      </c>
      <c r="P1544" s="7" t="n">
        <f aca="false">MAX(E1544-E1543,0)</f>
        <v>215.279999999999</v>
      </c>
      <c r="Q1544" s="7" t="n">
        <f aca="false">MAX(E1543-E1544,0)</f>
        <v>0</v>
      </c>
      <c r="R1544" s="7" t="n">
        <f aca="false">(R1543*13+P1544)/14</f>
        <v>96.904522638507</v>
      </c>
      <c r="S1544" s="7" t="n">
        <f aca="false">(S1543*13+Q1544)/14</f>
        <v>109.254642398583</v>
      </c>
      <c r="T1544" s="7" t="n">
        <f aca="false">IF(S1544=0,100,100-100/(1+R1544/S1544))</f>
        <v>47.0047124128937</v>
      </c>
      <c r="U1544" s="7" t="n">
        <f aca="false">E1544*2/13+U1543*11/13</f>
        <v>24993.9678347869</v>
      </c>
      <c r="V1544" s="7" t="n">
        <f aca="false">E1544*2/27+V1543*25/27</f>
        <v>25165.8762765756</v>
      </c>
      <c r="W1544" s="7" t="n">
        <f aca="false">U1544-V1544</f>
        <v>-171.908441788688</v>
      </c>
      <c r="X1544" s="7" t="n">
        <f aca="false">W1544*2/10+X1543*8/10</f>
        <v>-140.687254559811</v>
      </c>
      <c r="Y1544" s="7" t="n">
        <f aca="false">W1544-X1544</f>
        <v>-31.2211872288774</v>
      </c>
      <c r="Z1544" s="8" t="s">
        <v>42</v>
      </c>
      <c r="AA1544" s="7" t="str">
        <f aca="false">IFERROR(INDEX(02_轉折點45!B:B,MATCH(A1544,02_轉折點45!A:A,0)),"")</f>
        <v/>
      </c>
      <c r="AB1544" s="7" t="n">
        <f aca="false">COUNTIFS(05_訊號明細!A:A,A1544,05_訊號明細!C:C,"TOP")</f>
        <v>1</v>
      </c>
      <c r="AC1544" s="7" t="n">
        <f aca="false">COUNTIFS(05_訊號明細!A:A,A1544,05_訊號明細!C:C,"BOTTOM")</f>
        <v>0</v>
      </c>
    </row>
    <row r="1545" customFormat="false" ht="15" hidden="false" customHeight="false" outlineLevel="0" collapsed="false">
      <c r="A1545" s="7" t="s">
        <v>1586</v>
      </c>
      <c r="B1545" s="7" t="n">
        <v>24935.52</v>
      </c>
      <c r="C1545" s="7" t="n">
        <v>24984.82</v>
      </c>
      <c r="D1545" s="7" t="n">
        <v>24618.23</v>
      </c>
      <c r="E1545" s="7" t="n">
        <v>24708.94</v>
      </c>
      <c r="F1545" s="7" t="n">
        <v>8264</v>
      </c>
      <c r="G1545" s="7" t="n">
        <f aca="false">AVERAGE(E1541:E1545)</f>
        <v>24823.874</v>
      </c>
      <c r="H1545" s="7" t="n">
        <f aca="false">AVERAGE(E1536:E1545)</f>
        <v>24913.675</v>
      </c>
      <c r="I1545" s="7" t="n">
        <f aca="false">AVERAGE(E1526:E1545)</f>
        <v>25192.1055</v>
      </c>
      <c r="J1545" s="7" t="n">
        <f aca="false">AVERAGE(E1496:E1545)</f>
        <v>25339.7538</v>
      </c>
      <c r="K1545" s="7" t="n">
        <f aca="false">AVERAGE(E1446:E1545)</f>
        <v>25248.8144</v>
      </c>
      <c r="L1545" s="7" t="n">
        <f aca="false">AVERAGE(E1346:E1545)</f>
        <v>24009.00435</v>
      </c>
      <c r="M1545" s="7" t="n">
        <f aca="false">I1545</f>
        <v>25192.1055</v>
      </c>
      <c r="N1545" s="7" t="n">
        <f aca="false">I1545+2*STDEV(E1526:E1545)</f>
        <v>26131.4560215049</v>
      </c>
      <c r="O1545" s="7" t="n">
        <f aca="false">I1545-2*STDEV(E1526:E1545)</f>
        <v>24252.7549784951</v>
      </c>
      <c r="P1545" s="7" t="n">
        <f aca="false">MAX(E1545-E1544,0)</f>
        <v>0</v>
      </c>
      <c r="Q1545" s="7" t="n">
        <f aca="false">MAX(E1544-E1545,0)</f>
        <v>303.68</v>
      </c>
      <c r="R1545" s="7" t="n">
        <f aca="false">(R1544*13+P1545)/14</f>
        <v>89.9827710214708</v>
      </c>
      <c r="S1545" s="7" t="n">
        <f aca="false">(S1544*13+Q1545)/14</f>
        <v>123.142167941541</v>
      </c>
      <c r="T1545" s="7" t="n">
        <f aca="false">IF(S1545=0,100,100-100/(1+R1545/S1545))</f>
        <v>42.2206671163375</v>
      </c>
      <c r="U1545" s="7" t="n">
        <f aca="false">E1545*2/13+U1544*11/13</f>
        <v>24950.1173986658</v>
      </c>
      <c r="V1545" s="7" t="n">
        <f aca="false">E1545*2/27+V1544*25/27</f>
        <v>25132.0291449774</v>
      </c>
      <c r="W1545" s="7" t="n">
        <f aca="false">U1545-V1545</f>
        <v>-181.911746311554</v>
      </c>
      <c r="X1545" s="7" t="n">
        <f aca="false">W1545*2/10+X1544*8/10</f>
        <v>-148.932152910159</v>
      </c>
      <c r="Y1545" s="7" t="n">
        <f aca="false">W1545-X1545</f>
        <v>-32.9795934013951</v>
      </c>
      <c r="Z1545" s="8" t="s">
        <v>42</v>
      </c>
      <c r="AA1545" s="7" t="str">
        <f aca="false">IFERROR(INDEX(02_轉折點45!B:B,MATCH(A1545,02_轉折點45!A:A,0)),"")</f>
        <v/>
      </c>
      <c r="AB1545" s="7" t="n">
        <f aca="false">COUNTIFS(05_訊號明細!A:A,A1545,05_訊號明細!C:C,"TOP")</f>
        <v>0</v>
      </c>
      <c r="AC1545" s="7" t="n">
        <f aca="false">COUNTIFS(05_訊號明細!A:A,A1545,05_訊號明細!C:C,"BOTTOM")</f>
        <v>0</v>
      </c>
    </row>
    <row r="1546" customFormat="false" ht="15" hidden="false" customHeight="false" outlineLevel="0" collapsed="false">
      <c r="A1546" s="7" t="s">
        <v>1587</v>
      </c>
      <c r="B1546" s="7" t="n">
        <v>24763.84</v>
      </c>
      <c r="C1546" s="7" t="n">
        <v>25022.92</v>
      </c>
      <c r="D1546" s="7" t="n">
        <v>24643.69</v>
      </c>
      <c r="E1546" s="7" t="n">
        <v>24977.04</v>
      </c>
      <c r="F1546" s="7" t="n">
        <v>7932</v>
      </c>
      <c r="G1546" s="7" t="n">
        <f aca="false">AVERAGE(E1542:E1546)</f>
        <v>24878.962</v>
      </c>
      <c r="H1546" s="7" t="n">
        <f aca="false">AVERAGE(E1537:E1546)</f>
        <v>24884.565</v>
      </c>
      <c r="I1546" s="7" t="n">
        <f aca="false">AVERAGE(E1527:E1546)</f>
        <v>25155.297</v>
      </c>
      <c r="J1546" s="7" t="n">
        <f aca="false">AVERAGE(E1497:E1546)</f>
        <v>25323.7658</v>
      </c>
      <c r="K1546" s="7" t="n">
        <f aca="false">AVERAGE(E1447:E1546)</f>
        <v>25251.7849</v>
      </c>
      <c r="L1546" s="7" t="n">
        <f aca="false">AVERAGE(E1347:E1546)</f>
        <v>24034.5497</v>
      </c>
      <c r="M1546" s="7" t="n">
        <f aca="false">I1546</f>
        <v>25155.297</v>
      </c>
      <c r="N1546" s="7" t="n">
        <f aca="false">I1546+2*STDEV(E1527:E1546)</f>
        <v>26065.9252523759</v>
      </c>
      <c r="O1546" s="7" t="n">
        <f aca="false">I1546-2*STDEV(E1527:E1546)</f>
        <v>24244.6687476241</v>
      </c>
      <c r="P1546" s="7" t="n">
        <f aca="false">MAX(E1546-E1545,0)</f>
        <v>268.100000000002</v>
      </c>
      <c r="Q1546" s="7" t="n">
        <f aca="false">MAX(E1545-E1546,0)</f>
        <v>0</v>
      </c>
      <c r="R1546" s="7" t="n">
        <f aca="false">(R1545*13+P1546)/14</f>
        <v>102.705430234223</v>
      </c>
      <c r="S1546" s="7" t="n">
        <f aca="false">(S1545*13+Q1546)/14</f>
        <v>114.34629880286</v>
      </c>
      <c r="T1546" s="7" t="n">
        <f aca="false">IF(S1546=0,100,100-100/(1+R1546/S1546))</f>
        <v>47.3184114634148</v>
      </c>
      <c r="U1546" s="7" t="n">
        <f aca="false">E1546*2/13+U1545*11/13</f>
        <v>24954.2593373326</v>
      </c>
      <c r="V1546" s="7" t="n">
        <f aca="false">E1546*2/27+V1545*25/27</f>
        <v>25120.5484675716</v>
      </c>
      <c r="W1546" s="7" t="n">
        <f aca="false">U1546-V1546</f>
        <v>-166.289130239024</v>
      </c>
      <c r="X1546" s="7" t="n">
        <f aca="false">W1546*2/10+X1545*8/10</f>
        <v>-152.403548375932</v>
      </c>
      <c r="Y1546" s="7" t="n">
        <f aca="false">W1546-X1546</f>
        <v>-13.8855818630913</v>
      </c>
      <c r="Z1546" s="8" t="s">
        <v>42</v>
      </c>
      <c r="AA1546" s="7" t="str">
        <f aca="false">IFERROR(INDEX(02_轉折點45!B:B,MATCH(A1546,02_轉折點45!A:A,0)),"")</f>
        <v/>
      </c>
      <c r="AB1546" s="7" t="n">
        <f aca="false">COUNTIFS(05_訊號明細!A:A,A1546,05_訊號明細!C:C,"TOP")</f>
        <v>1</v>
      </c>
      <c r="AC1546" s="7" t="n">
        <f aca="false">COUNTIFS(05_訊號明細!A:A,A1546,05_訊號明細!C:C,"BOTTOM")</f>
        <v>0</v>
      </c>
    </row>
    <row r="1547" customFormat="false" ht="15" hidden="false" customHeight="false" outlineLevel="0" collapsed="false">
      <c r="A1547" s="7" t="s">
        <v>1588</v>
      </c>
      <c r="B1547" s="7" t="n">
        <v>25137.72</v>
      </c>
      <c r="C1547" s="7" t="n">
        <v>25343.97</v>
      </c>
      <c r="D1547" s="7" t="n">
        <v>25137.62</v>
      </c>
      <c r="E1547" s="7" t="n">
        <v>25329.04</v>
      </c>
      <c r="F1547" s="7" t="n">
        <v>8427</v>
      </c>
      <c r="G1547" s="7" t="n">
        <f aca="false">AVERAGE(E1543:E1547)</f>
        <v>24964.996</v>
      </c>
      <c r="H1547" s="7" t="n">
        <f aca="false">AVERAGE(E1538:E1547)</f>
        <v>24904.705</v>
      </c>
      <c r="I1547" s="7" t="n">
        <f aca="false">AVERAGE(E1528:E1547)</f>
        <v>25124.762</v>
      </c>
      <c r="J1547" s="7" t="n">
        <f aca="false">AVERAGE(E1498:E1547)</f>
        <v>25316.6128</v>
      </c>
      <c r="K1547" s="7" t="n">
        <f aca="false">AVERAGE(E1448:E1547)</f>
        <v>25257.0667</v>
      </c>
      <c r="L1547" s="7" t="n">
        <f aca="false">AVERAGE(E1348:E1547)</f>
        <v>24060.8771</v>
      </c>
      <c r="M1547" s="7" t="n">
        <f aca="false">I1547</f>
        <v>25124.762</v>
      </c>
      <c r="N1547" s="7" t="n">
        <f aca="false">I1547+2*STDEV(E1528:E1547)</f>
        <v>25962.6913026227</v>
      </c>
      <c r="O1547" s="7" t="n">
        <f aca="false">I1547-2*STDEV(E1528:E1547)</f>
        <v>24286.8326973773</v>
      </c>
      <c r="P1547" s="7" t="n">
        <f aca="false">MAX(E1547-E1546,0)</f>
        <v>352</v>
      </c>
      <c r="Q1547" s="7" t="n">
        <f aca="false">MAX(E1546-E1547,0)</f>
        <v>0</v>
      </c>
      <c r="R1547" s="7" t="n">
        <f aca="false">(R1546*13+P1547)/14</f>
        <v>120.512185217493</v>
      </c>
      <c r="S1547" s="7" t="n">
        <f aca="false">(S1546*13+Q1547)/14</f>
        <v>106.178706031227</v>
      </c>
      <c r="T1547" s="7" t="n">
        <f aca="false">IF(S1547=0,100,100-100/(1+R1547/S1547))</f>
        <v>53.1614590042216</v>
      </c>
      <c r="U1547" s="7" t="n">
        <f aca="false">E1547*2/13+U1546*11/13</f>
        <v>25011.9179008199</v>
      </c>
      <c r="V1547" s="7" t="n">
        <f aca="false">E1547*2/27+V1546*25/27</f>
        <v>25135.9922847886</v>
      </c>
      <c r="W1547" s="7" t="n">
        <f aca="false">U1547-V1547</f>
        <v>-124.074383968647</v>
      </c>
      <c r="X1547" s="7" t="n">
        <f aca="false">W1547*2/10+X1546*8/10</f>
        <v>-146.737715494475</v>
      </c>
      <c r="Y1547" s="7" t="n">
        <f aca="false">W1547-X1547</f>
        <v>22.6633315258278</v>
      </c>
      <c r="Z1547" s="8" t="s">
        <v>42</v>
      </c>
      <c r="AA1547" s="7" t="str">
        <f aca="false">IFERROR(INDEX(02_轉折點45!B:B,MATCH(A1547,02_轉折點45!A:A,0)),"")</f>
        <v/>
      </c>
      <c r="AB1547" s="7" t="n">
        <f aca="false">COUNTIFS(05_訊號明細!A:A,A1547,05_訊號明細!C:C,"TOP")</f>
        <v>0</v>
      </c>
      <c r="AC1547" s="7" t="n">
        <f aca="false">COUNTIFS(05_訊號明細!A:A,A1547,05_訊號明細!C:C,"BOTTOM")</f>
        <v>0</v>
      </c>
    </row>
    <row r="1548" customFormat="false" ht="15" hidden="false" customHeight="false" outlineLevel="0" collapsed="false">
      <c r="A1548" s="7" t="s">
        <v>1589</v>
      </c>
      <c r="B1548" s="7" t="n">
        <v>25278.25</v>
      </c>
      <c r="C1548" s="7" t="n">
        <v>25288.23</v>
      </c>
      <c r="D1548" s="7" t="n">
        <v>24820.55</v>
      </c>
      <c r="E1548" s="7" t="n">
        <v>25034.37</v>
      </c>
      <c r="F1548" s="7" t="n">
        <v>9033</v>
      </c>
      <c r="G1548" s="7" t="n">
        <f aca="false">AVERAGE(E1544:E1548)</f>
        <v>25012.402</v>
      </c>
      <c r="H1548" s="7" t="n">
        <f aca="false">AVERAGE(E1539:E1548)</f>
        <v>24888.016</v>
      </c>
      <c r="I1548" s="7" t="n">
        <f aca="false">AVERAGE(E1529:E1548)</f>
        <v>25075.341</v>
      </c>
      <c r="J1548" s="7" t="n">
        <f aca="false">AVERAGE(E1499:E1548)</f>
        <v>25313.3656</v>
      </c>
      <c r="K1548" s="7" t="n">
        <f aca="false">AVERAGE(E1449:E1548)</f>
        <v>25258.4828</v>
      </c>
      <c r="L1548" s="7" t="n">
        <f aca="false">AVERAGE(E1349:E1548)</f>
        <v>24085.7417</v>
      </c>
      <c r="M1548" s="7" t="n">
        <f aca="false">I1548</f>
        <v>25075.341</v>
      </c>
      <c r="N1548" s="7" t="n">
        <f aca="false">I1548+2*STDEV(E1529:E1548)</f>
        <v>25799.0687653314</v>
      </c>
      <c r="O1548" s="7" t="n">
        <f aca="false">I1548-2*STDEV(E1529:E1548)</f>
        <v>24351.6132346686</v>
      </c>
      <c r="P1548" s="7" t="n">
        <f aca="false">MAX(E1548-E1547,0)</f>
        <v>0</v>
      </c>
      <c r="Q1548" s="7" t="n">
        <f aca="false">MAX(E1547-E1548,0)</f>
        <v>294.670000000002</v>
      </c>
      <c r="R1548" s="7" t="n">
        <f aca="false">(R1547*13+P1548)/14</f>
        <v>111.904171987672</v>
      </c>
      <c r="S1548" s="7" t="n">
        <f aca="false">(S1547*13+Q1548)/14</f>
        <v>119.642369886139</v>
      </c>
      <c r="T1548" s="7" t="n">
        <f aca="false">IF(S1548=0,100,100-100/(1+R1548/S1548))</f>
        <v>48.3290189013739</v>
      </c>
      <c r="U1548" s="7" t="n">
        <f aca="false">E1548*2/13+U1547*11/13</f>
        <v>25015.3720699245</v>
      </c>
      <c r="V1548" s="7" t="n">
        <f aca="false">E1548*2/27+V1547*25/27</f>
        <v>25128.4647081376</v>
      </c>
      <c r="W1548" s="7" t="n">
        <f aca="false">U1548-V1548</f>
        <v>-113.092638213013</v>
      </c>
      <c r="X1548" s="7" t="n">
        <f aca="false">W1548*2/10+X1547*8/10</f>
        <v>-140.008700038183</v>
      </c>
      <c r="Y1548" s="7" t="n">
        <f aca="false">W1548-X1548</f>
        <v>26.9160618251699</v>
      </c>
      <c r="Z1548" s="8" t="s">
        <v>42</v>
      </c>
      <c r="AA1548" s="7" t="str">
        <f aca="false">IFERROR(INDEX(02_轉折點45!B:B,MATCH(A1548,02_轉折點45!A:A,0)),"")</f>
        <v/>
      </c>
      <c r="AB1548" s="7" t="n">
        <f aca="false">COUNTIFS(05_訊號明細!A:A,A1548,05_訊號明細!C:C,"TOP")</f>
        <v>0</v>
      </c>
      <c r="AC1548" s="7" t="n">
        <f aca="false">COUNTIFS(05_訊號明細!A:A,A1548,05_訊號明細!C:C,"BOTTOM")</f>
        <v>0</v>
      </c>
    </row>
    <row r="1549" customFormat="false" ht="15" hidden="false" customHeight="false" outlineLevel="0" collapsed="false">
      <c r="A1549" s="7" t="s">
        <v>1590</v>
      </c>
      <c r="B1549" s="7" t="n">
        <v>24808</v>
      </c>
      <c r="C1549" s="7" t="n">
        <v>24987.96</v>
      </c>
      <c r="D1549" s="7" t="n">
        <v>24747.25</v>
      </c>
      <c r="E1549" s="7" t="n">
        <v>24960.04</v>
      </c>
      <c r="F1549" s="7" t="n">
        <v>9553</v>
      </c>
      <c r="G1549" s="7" t="n">
        <f aca="false">AVERAGE(E1545:E1549)</f>
        <v>25001.886</v>
      </c>
      <c r="H1549" s="7" t="n">
        <f aca="false">AVERAGE(E1540:E1549)</f>
        <v>24915.259</v>
      </c>
      <c r="I1549" s="7" t="n">
        <f aca="false">AVERAGE(E1530:E1549)</f>
        <v>25029.128</v>
      </c>
      <c r="J1549" s="7" t="n">
        <f aca="false">AVERAGE(E1500:E1549)</f>
        <v>25311.221</v>
      </c>
      <c r="K1549" s="7" t="n">
        <f aca="false">AVERAGE(E1450:E1549)</f>
        <v>25260.228</v>
      </c>
      <c r="L1549" s="7" t="n">
        <f aca="false">AVERAGE(E1350:E1549)</f>
        <v>24106.20115</v>
      </c>
      <c r="M1549" s="7" t="n">
        <f aca="false">I1549</f>
        <v>25029.128</v>
      </c>
      <c r="N1549" s="7" t="n">
        <f aca="false">I1549+2*STDEV(E1530:E1549)</f>
        <v>25645.4209500814</v>
      </c>
      <c r="O1549" s="7" t="n">
        <f aca="false">I1549-2*STDEV(E1530:E1549)</f>
        <v>24412.8350499186</v>
      </c>
      <c r="P1549" s="7" t="n">
        <f aca="false">MAX(E1549-E1548,0)</f>
        <v>0</v>
      </c>
      <c r="Q1549" s="7" t="n">
        <f aca="false">MAX(E1548-E1549,0)</f>
        <v>74.3299999999981</v>
      </c>
      <c r="R1549" s="7" t="n">
        <f aca="false">(R1548*13+P1549)/14</f>
        <v>103.911016845695</v>
      </c>
      <c r="S1549" s="7" t="n">
        <f aca="false">(S1548*13+Q1549)/14</f>
        <v>116.405772037129</v>
      </c>
      <c r="T1549" s="7" t="n">
        <f aca="false">IF(S1549=0,100,100-100/(1+R1549/S1549))</f>
        <v>47.1643660805897</v>
      </c>
      <c r="U1549" s="7" t="n">
        <f aca="false">E1549*2/13+U1548*11/13</f>
        <v>25006.8594437823</v>
      </c>
      <c r="V1549" s="7" t="n">
        <f aca="false">E1549*2/27+V1548*25/27</f>
        <v>25115.9888038311</v>
      </c>
      <c r="W1549" s="7" t="n">
        <f aca="false">U1549-V1549</f>
        <v>-109.129360048762</v>
      </c>
      <c r="X1549" s="7" t="n">
        <f aca="false">W1549*2/10+X1548*8/10</f>
        <v>-133.832832040299</v>
      </c>
      <c r="Y1549" s="7" t="n">
        <f aca="false">W1549-X1549</f>
        <v>24.7034719915362</v>
      </c>
      <c r="Z1549" s="8" t="s">
        <v>42</v>
      </c>
      <c r="AA1549" s="7" t="str">
        <f aca="false">IFERROR(INDEX(02_轉折點45!B:B,MATCH(A1549,02_轉折點45!A:A,0)),"")</f>
        <v/>
      </c>
      <c r="AB1549" s="7" t="n">
        <f aca="false">COUNTIFS(05_訊號明細!A:A,A1549,05_訊號明細!C:C,"TOP")</f>
        <v>0</v>
      </c>
      <c r="AC1549" s="7" t="n">
        <f aca="false">COUNTIFS(05_訊號明細!A:A,A1549,05_訊號明細!C:C,"BOTTOM")</f>
        <v>0</v>
      </c>
    </row>
    <row r="1550" customFormat="false" ht="15" hidden="false" customHeight="false" outlineLevel="0" collapsed="false">
      <c r="A1550" s="7" t="s">
        <v>1591</v>
      </c>
      <c r="B1550" s="7" t="n">
        <v>24599.41</v>
      </c>
      <c r="C1550" s="7" t="n">
        <v>25059.17</v>
      </c>
      <c r="D1550" s="7" t="n">
        <v>24575.54</v>
      </c>
      <c r="E1550" s="7" t="n">
        <v>24992.6</v>
      </c>
      <c r="F1550" s="7" t="n">
        <v>8303</v>
      </c>
      <c r="G1550" s="7" t="n">
        <f aca="false">AVERAGE(E1546:E1550)</f>
        <v>25058.618</v>
      </c>
      <c r="H1550" s="7" t="n">
        <f aca="false">AVERAGE(E1541:E1550)</f>
        <v>24941.246</v>
      </c>
      <c r="I1550" s="7" t="n">
        <f aca="false">AVERAGE(E1531:E1550)</f>
        <v>25001.1385</v>
      </c>
      <c r="J1550" s="7" t="n">
        <f aca="false">AVERAGE(E1501:E1550)</f>
        <v>25308.4142</v>
      </c>
      <c r="K1550" s="7" t="n">
        <f aca="false">AVERAGE(E1451:E1550)</f>
        <v>25260.3684</v>
      </c>
      <c r="L1550" s="7" t="n">
        <f aca="false">AVERAGE(E1351:E1550)</f>
        <v>24125.17565</v>
      </c>
      <c r="M1550" s="7" t="n">
        <f aca="false">I1550</f>
        <v>25001.1385</v>
      </c>
      <c r="N1550" s="7" t="n">
        <f aca="false">I1550+2*STDEV(E1531:E1550)</f>
        <v>25566.077934752</v>
      </c>
      <c r="O1550" s="7" t="n">
        <f aca="false">I1550-2*STDEV(E1531:E1550)</f>
        <v>24436.199065248</v>
      </c>
      <c r="P1550" s="7" t="n">
        <f aca="false">MAX(E1550-E1549,0)</f>
        <v>32.5599999999977</v>
      </c>
      <c r="Q1550" s="7" t="n">
        <f aca="false">MAX(E1549-E1550,0)</f>
        <v>0</v>
      </c>
      <c r="R1550" s="7" t="n">
        <f aca="false">(R1549*13+P1550)/14</f>
        <v>98.8145156424313</v>
      </c>
      <c r="S1550" s="7" t="n">
        <f aca="false">(S1549*13+Q1550)/14</f>
        <v>108.091074034477</v>
      </c>
      <c r="T1550" s="7" t="n">
        <f aca="false">IF(S1550=0,100,100-100/(1+R1550/S1550))</f>
        <v>47.7582629820365</v>
      </c>
      <c r="U1550" s="7" t="n">
        <f aca="false">E1550*2/13+U1549*11/13</f>
        <v>25004.6656832004</v>
      </c>
      <c r="V1550" s="7" t="n">
        <f aca="false">E1550*2/27+V1549*25/27</f>
        <v>25106.8488924362</v>
      </c>
      <c r="W1550" s="7" t="n">
        <f aca="false">U1550-V1550</f>
        <v>-102.183209235762</v>
      </c>
      <c r="X1550" s="7" t="n">
        <f aca="false">W1550*2/10+X1549*8/10</f>
        <v>-127.502907479391</v>
      </c>
      <c r="Y1550" s="7" t="n">
        <f aca="false">W1550-X1550</f>
        <v>25.3196982436296</v>
      </c>
      <c r="Z1550" s="8" t="s">
        <v>42</v>
      </c>
      <c r="AA1550" s="7" t="str">
        <f aca="false">IFERROR(INDEX(02_轉折點45!B:B,MATCH(A1550,02_轉折點45!A:A,0)),"")</f>
        <v/>
      </c>
      <c r="AB1550" s="7" t="n">
        <f aca="false">COUNTIFS(05_訊號明細!A:A,A1550,05_訊號明細!C:C,"TOP")</f>
        <v>0</v>
      </c>
      <c r="AC1550" s="7" t="n">
        <f aca="false">COUNTIFS(05_訊號明細!A:A,A1550,05_訊號明細!C:C,"BOTTOM")</f>
        <v>0</v>
      </c>
    </row>
    <row r="1551" customFormat="false" ht="15" hidden="false" customHeight="false" outlineLevel="0" collapsed="false">
      <c r="A1551" s="7" t="s">
        <v>1592</v>
      </c>
      <c r="B1551" s="7" t="n">
        <v>24497.38</v>
      </c>
      <c r="C1551" s="7" t="n">
        <v>24810.25</v>
      </c>
      <c r="D1551" s="7" t="n">
        <v>24315.84</v>
      </c>
      <c r="E1551" s="7" t="n">
        <v>24720.08</v>
      </c>
      <c r="F1551" s="7" t="n">
        <v>9706</v>
      </c>
      <c r="G1551" s="7" t="n">
        <f aca="false">AVERAGE(E1547:E1551)</f>
        <v>25007.226</v>
      </c>
      <c r="H1551" s="7" t="n">
        <f aca="false">AVERAGE(E1542:E1551)</f>
        <v>24943.094</v>
      </c>
      <c r="I1551" s="7" t="n">
        <f aca="false">AVERAGE(E1532:E1551)</f>
        <v>24950.212</v>
      </c>
      <c r="J1551" s="7" t="n">
        <f aca="false">AVERAGE(E1502:E1551)</f>
        <v>25309.8636</v>
      </c>
      <c r="K1551" s="7" t="n">
        <f aca="false">AVERAGE(E1452:E1551)</f>
        <v>25259.1669</v>
      </c>
      <c r="L1551" s="7" t="n">
        <f aca="false">AVERAGE(E1352:E1551)</f>
        <v>24142.18</v>
      </c>
      <c r="M1551" s="7" t="n">
        <f aca="false">I1551</f>
        <v>24950.212</v>
      </c>
      <c r="N1551" s="7" t="n">
        <f aca="false">I1551+2*STDEV(E1532:E1551)</f>
        <v>25408.8721040606</v>
      </c>
      <c r="O1551" s="7" t="n">
        <f aca="false">I1551-2*STDEV(E1532:E1551)</f>
        <v>24491.5518959394</v>
      </c>
      <c r="P1551" s="7" t="n">
        <f aca="false">MAX(E1551-E1550,0)</f>
        <v>0</v>
      </c>
      <c r="Q1551" s="7" t="n">
        <f aca="false">MAX(E1550-E1551,0)</f>
        <v>272.519999999997</v>
      </c>
      <c r="R1551" s="7" t="n">
        <f aca="false">(R1550*13+P1551)/14</f>
        <v>91.7563359536862</v>
      </c>
      <c r="S1551" s="7" t="n">
        <f aca="false">(S1550*13+Q1551)/14</f>
        <v>119.835997317729</v>
      </c>
      <c r="T1551" s="7" t="n">
        <f aca="false">IF(S1551=0,100,100-100/(1+R1551/S1551))</f>
        <v>43.3646789252936</v>
      </c>
      <c r="U1551" s="7" t="n">
        <f aca="false">E1551*2/13+U1550*11/13</f>
        <v>24960.8832704004</v>
      </c>
      <c r="V1551" s="7" t="n">
        <f aca="false">E1551*2/27+V1550*25/27</f>
        <v>25078.1993448483</v>
      </c>
      <c r="W1551" s="7" t="n">
        <f aca="false">U1551-V1551</f>
        <v>-117.316074447957</v>
      </c>
      <c r="X1551" s="7" t="n">
        <f aca="false">W1551*2/10+X1550*8/10</f>
        <v>-125.465540873105</v>
      </c>
      <c r="Y1551" s="7" t="n">
        <f aca="false">W1551-X1551</f>
        <v>8.14946642514717</v>
      </c>
      <c r="Z1551" s="8" t="s">
        <v>42</v>
      </c>
      <c r="AA1551" s="7" t="str">
        <f aca="false">IFERROR(INDEX(02_轉折點45!B:B,MATCH(A1551,02_轉折點45!A:A,0)),"")</f>
        <v/>
      </c>
      <c r="AB1551" s="7" t="n">
        <f aca="false">COUNTIFS(05_訊號明細!A:A,A1551,05_訊號明細!C:C,"TOP")</f>
        <v>0</v>
      </c>
      <c r="AC1551" s="7" t="n">
        <f aca="false">COUNTIFS(05_訊號明細!A:A,A1551,05_訊號明細!C:C,"BOTTOM")</f>
        <v>0</v>
      </c>
    </row>
    <row r="1552" customFormat="false" ht="15" hidden="false" customHeight="false" outlineLevel="0" collapsed="false">
      <c r="A1552" s="7" t="s">
        <v>1593</v>
      </c>
      <c r="B1552" s="7" t="n">
        <v>24850.94</v>
      </c>
      <c r="C1552" s="7" t="n">
        <v>25179.36</v>
      </c>
      <c r="D1552" s="7" t="n">
        <v>24795.53</v>
      </c>
      <c r="E1552" s="7" t="n">
        <v>25093.68</v>
      </c>
      <c r="F1552" s="7" t="n">
        <v>10918</v>
      </c>
      <c r="G1552" s="7" t="n">
        <f aca="false">AVERAGE(E1548:E1552)</f>
        <v>24960.154</v>
      </c>
      <c r="H1552" s="7" t="n">
        <f aca="false">AVERAGE(E1543:E1552)</f>
        <v>24962.575</v>
      </c>
      <c r="I1552" s="7" t="n">
        <f aca="false">AVERAGE(E1533:E1552)</f>
        <v>24937.965</v>
      </c>
      <c r="J1552" s="7" t="n">
        <f aca="false">AVERAGE(E1503:E1552)</f>
        <v>25311.3498</v>
      </c>
      <c r="K1552" s="7" t="n">
        <f aca="false">AVERAGE(E1453:E1552)</f>
        <v>25258.7375</v>
      </c>
      <c r="L1552" s="7" t="n">
        <f aca="false">AVERAGE(E1353:E1552)</f>
        <v>24160.9693</v>
      </c>
      <c r="M1552" s="7" t="n">
        <f aca="false">I1552</f>
        <v>24937.965</v>
      </c>
      <c r="N1552" s="7" t="n">
        <f aca="false">I1552+2*STDEV(E1533:E1552)</f>
        <v>25364.9435388173</v>
      </c>
      <c r="O1552" s="7" t="n">
        <f aca="false">I1552-2*STDEV(E1533:E1552)</f>
        <v>24510.9864611827</v>
      </c>
      <c r="P1552" s="7" t="n">
        <f aca="false">MAX(E1552-E1551,0)</f>
        <v>373.599999999999</v>
      </c>
      <c r="Q1552" s="7" t="n">
        <f aca="false">MAX(E1551-E1552,0)</f>
        <v>0</v>
      </c>
      <c r="R1552" s="7" t="n">
        <f aca="false">(R1551*13+P1552)/14</f>
        <v>111.888026242708</v>
      </c>
      <c r="S1552" s="7" t="n">
        <f aca="false">(S1551*13+Q1552)/14</f>
        <v>111.276283223605</v>
      </c>
      <c r="T1552" s="7" t="n">
        <f aca="false">IF(S1552=0,100,100-100/(1+R1552/S1552))</f>
        <v>50.1370611233862</v>
      </c>
      <c r="U1552" s="7" t="n">
        <f aca="false">E1552*2/13+U1551*11/13</f>
        <v>24981.3135364926</v>
      </c>
      <c r="V1552" s="7" t="n">
        <f aca="false">E1552*2/27+V1551*25/27</f>
        <v>25079.3460600447</v>
      </c>
      <c r="W1552" s="7" t="n">
        <f aca="false">U1552-V1552</f>
        <v>-98.0325235521232</v>
      </c>
      <c r="X1552" s="7" t="n">
        <f aca="false">W1552*2/10+X1551*8/10</f>
        <v>-119.978937408908</v>
      </c>
      <c r="Y1552" s="7" t="n">
        <f aca="false">W1552-X1552</f>
        <v>21.9464138567851</v>
      </c>
      <c r="Z1552" s="8" t="s">
        <v>42</v>
      </c>
      <c r="AA1552" s="7" t="str">
        <f aca="false">IFERROR(INDEX(02_轉折點45!B:B,MATCH(A1552,02_轉折點45!A:A,0)),"")</f>
        <v/>
      </c>
      <c r="AB1552" s="7" t="n">
        <f aca="false">COUNTIFS(05_訊號明細!A:A,A1552,05_訊號明細!C:C,"TOP")</f>
        <v>2</v>
      </c>
      <c r="AC1552" s="7" t="n">
        <f aca="false">COUNTIFS(05_訊號明細!A:A,A1552,05_訊號明細!C:C,"BOTTOM")</f>
        <v>0</v>
      </c>
    </row>
    <row r="1553" customFormat="false" ht="15" hidden="false" customHeight="false" outlineLevel="0" collapsed="false">
      <c r="A1553" s="7" t="s">
        <v>1594</v>
      </c>
      <c r="B1553" s="7" t="n">
        <v>24992.73</v>
      </c>
      <c r="C1553" s="7" t="n">
        <v>25174.31</v>
      </c>
      <c r="D1553" s="7" t="n">
        <v>24744.56</v>
      </c>
      <c r="E1553" s="7" t="n">
        <v>25020.41</v>
      </c>
      <c r="F1553" s="7" t="n">
        <v>10995</v>
      </c>
      <c r="G1553" s="7" t="n">
        <f aca="false">AVERAGE(E1549:E1553)</f>
        <v>24957.362</v>
      </c>
      <c r="H1553" s="7" t="n">
        <f aca="false">AVERAGE(E1544:E1553)</f>
        <v>24984.882</v>
      </c>
      <c r="I1553" s="7" t="n">
        <f aca="false">AVERAGE(E1534:E1553)</f>
        <v>24944.4235</v>
      </c>
      <c r="J1553" s="7" t="n">
        <f aca="false">AVERAGE(E1504:E1553)</f>
        <v>25304.8344</v>
      </c>
      <c r="K1553" s="7" t="n">
        <f aca="false">AVERAGE(E1454:E1553)</f>
        <v>25257.9598</v>
      </c>
      <c r="L1553" s="7" t="n">
        <f aca="false">AVERAGE(E1354:E1553)</f>
        <v>24178.93165</v>
      </c>
      <c r="M1553" s="7" t="n">
        <f aca="false">I1553</f>
        <v>24944.4235</v>
      </c>
      <c r="N1553" s="7" t="n">
        <f aca="false">I1553+2*STDEV(E1534:E1553)</f>
        <v>25372.332836894</v>
      </c>
      <c r="O1553" s="7" t="n">
        <f aca="false">I1553-2*STDEV(E1534:E1553)</f>
        <v>24516.514163106</v>
      </c>
      <c r="P1553" s="7" t="n">
        <f aca="false">MAX(E1553-E1552,0)</f>
        <v>0</v>
      </c>
      <c r="Q1553" s="7" t="n">
        <f aca="false">MAX(E1552-E1553,0)</f>
        <v>73.2700000000004</v>
      </c>
      <c r="R1553" s="7" t="n">
        <f aca="false">(R1552*13+P1553)/14</f>
        <v>103.896024368229</v>
      </c>
      <c r="S1553" s="7" t="n">
        <f aca="false">(S1552*13+Q1553)/14</f>
        <v>108.561548707633</v>
      </c>
      <c r="T1553" s="7" t="n">
        <f aca="false">IF(S1553=0,100,100-100/(1+R1553/S1553))</f>
        <v>48.9020103468521</v>
      </c>
      <c r="U1553" s="7" t="n">
        <f aca="false">E1553*2/13+U1552*11/13</f>
        <v>24987.3283770322</v>
      </c>
      <c r="V1553" s="7" t="n">
        <f aca="false">E1553*2/27+V1552*25/27</f>
        <v>25074.9804259673</v>
      </c>
      <c r="W1553" s="7" t="n">
        <f aca="false">U1553-V1553</f>
        <v>-87.6520489351351</v>
      </c>
      <c r="X1553" s="7" t="n">
        <f aca="false">W1553*2/10+X1552*8/10</f>
        <v>-113.513559714154</v>
      </c>
      <c r="Y1553" s="7" t="n">
        <f aca="false">W1553-X1553</f>
        <v>25.8615107790185</v>
      </c>
      <c r="Z1553" s="8" t="s">
        <v>42</v>
      </c>
      <c r="AA1553" s="7" t="str">
        <f aca="false">IFERROR(INDEX(02_轉折點45!B:B,MATCH(A1553,02_轉折點45!A:A,0)),"")</f>
        <v/>
      </c>
      <c r="AB1553" s="7" t="n">
        <f aca="false">COUNTIFS(05_訊號明細!A:A,A1553,05_訊號明細!C:C,"TOP")</f>
        <v>0</v>
      </c>
      <c r="AC1553" s="7" t="n">
        <f aca="false">COUNTIFS(05_訊號明細!A:A,A1553,05_訊號明細!C:C,"BOTTOM")</f>
        <v>0</v>
      </c>
    </row>
    <row r="1554" customFormat="false" ht="15" hidden="false" customHeight="false" outlineLevel="0" collapsed="false">
      <c r="A1554" s="7" t="s">
        <v>1595</v>
      </c>
      <c r="B1554" s="7" t="n">
        <v>24663.74</v>
      </c>
      <c r="C1554" s="7" t="n">
        <v>24886.7</v>
      </c>
      <c r="D1554" s="7" t="n">
        <v>24579.86</v>
      </c>
      <c r="E1554" s="7" t="n">
        <v>24643.02</v>
      </c>
      <c r="F1554" s="7" t="n">
        <v>9300</v>
      </c>
      <c r="G1554" s="7" t="n">
        <f aca="false">AVERAGE(E1550:E1554)</f>
        <v>24893.958</v>
      </c>
      <c r="H1554" s="7" t="n">
        <f aca="false">AVERAGE(E1545:E1554)</f>
        <v>24947.922</v>
      </c>
      <c r="I1554" s="7" t="n">
        <f aca="false">AVERAGE(E1535:E1554)</f>
        <v>24949.14</v>
      </c>
      <c r="J1554" s="7" t="n">
        <f aca="false">AVERAGE(E1505:E1554)</f>
        <v>25288.4608</v>
      </c>
      <c r="K1554" s="7" t="n">
        <f aca="false">AVERAGE(E1455:E1554)</f>
        <v>25262.1726</v>
      </c>
      <c r="L1554" s="7" t="n">
        <f aca="false">AVERAGE(E1355:E1554)</f>
        <v>24194.9115</v>
      </c>
      <c r="M1554" s="7" t="n">
        <f aca="false">I1554</f>
        <v>24949.14</v>
      </c>
      <c r="N1554" s="7" t="n">
        <f aca="false">I1554+2*STDEV(E1535:E1554)</f>
        <v>25360.4407766638</v>
      </c>
      <c r="O1554" s="7" t="n">
        <f aca="false">I1554-2*STDEV(E1535:E1554)</f>
        <v>24537.8392233362</v>
      </c>
      <c r="P1554" s="7" t="n">
        <f aca="false">MAX(E1554-E1553,0)</f>
        <v>0</v>
      </c>
      <c r="Q1554" s="7" t="n">
        <f aca="false">MAX(E1553-E1554,0)</f>
        <v>377.389999999999</v>
      </c>
      <c r="R1554" s="7" t="n">
        <f aca="false">(R1553*13+P1554)/14</f>
        <v>96.4748797704987</v>
      </c>
      <c r="S1554" s="7" t="n">
        <f aca="false">(S1553*13+Q1554)/14</f>
        <v>127.763580942802</v>
      </c>
      <c r="T1554" s="7" t="n">
        <f aca="false">IF(S1554=0,100,100-100/(1+R1554/S1554))</f>
        <v>43.0233419653402</v>
      </c>
      <c r="U1554" s="7" t="n">
        <f aca="false">E1554*2/13+U1553*11/13</f>
        <v>24934.3578574888</v>
      </c>
      <c r="V1554" s="7" t="n">
        <f aca="false">E1554*2/27+V1553*25/27</f>
        <v>25042.9833573772</v>
      </c>
      <c r="W1554" s="7" t="n">
        <f aca="false">U1554-V1554</f>
        <v>-108.625499888374</v>
      </c>
      <c r="X1554" s="7" t="n">
        <f aca="false">W1554*2/10+X1553*8/10</f>
        <v>-112.535947748998</v>
      </c>
      <c r="Y1554" s="7" t="n">
        <f aca="false">W1554-X1554</f>
        <v>3.91044786062355</v>
      </c>
      <c r="Z1554" s="8" t="s">
        <v>42</v>
      </c>
      <c r="AA1554" s="7" t="str">
        <f aca="false">IFERROR(INDEX(02_轉折點45!B:B,MATCH(A1554,02_轉折點45!A:A,0)),"")</f>
        <v/>
      </c>
      <c r="AB1554" s="7" t="n">
        <f aca="false">COUNTIFS(05_訊號明細!A:A,A1554,05_訊號明細!C:C,"TOP")</f>
        <v>0</v>
      </c>
      <c r="AC1554" s="7" t="n">
        <f aca="false">COUNTIFS(05_訊號明細!A:A,A1554,05_訊號明細!C:C,"BOTTOM")</f>
        <v>0</v>
      </c>
    </row>
    <row r="1555" customFormat="false" ht="15" hidden="false" customHeight="false" outlineLevel="0" collapsed="false">
      <c r="A1555" s="7" t="s">
        <v>1596</v>
      </c>
      <c r="B1555" s="7" t="n">
        <v>24429.67</v>
      </c>
      <c r="C1555" s="7" t="n">
        <v>25019.16</v>
      </c>
      <c r="D1555" s="7" t="n">
        <v>24289.22</v>
      </c>
      <c r="E1555" s="7" t="n">
        <v>24967.25</v>
      </c>
      <c r="F1555" s="7" t="n">
        <v>9798</v>
      </c>
      <c r="G1555" s="7" t="n">
        <f aca="false">AVERAGE(E1551:E1555)</f>
        <v>24888.888</v>
      </c>
      <c r="H1555" s="7" t="n">
        <f aca="false">AVERAGE(E1546:E1555)</f>
        <v>24973.753</v>
      </c>
      <c r="I1555" s="7" t="n">
        <f aca="false">AVERAGE(E1536:E1555)</f>
        <v>24943.714</v>
      </c>
      <c r="J1555" s="7" t="n">
        <f aca="false">AVERAGE(E1506:E1555)</f>
        <v>25276.0492</v>
      </c>
      <c r="K1555" s="7" t="n">
        <f aca="false">AVERAGE(E1456:E1555)</f>
        <v>25264.3426</v>
      </c>
      <c r="L1555" s="7" t="n">
        <f aca="false">AVERAGE(E1356:E1555)</f>
        <v>24212.9109</v>
      </c>
      <c r="M1555" s="7" t="n">
        <f aca="false">I1555</f>
        <v>24943.714</v>
      </c>
      <c r="N1555" s="7" t="n">
        <f aca="false">I1555+2*STDEV(E1536:E1555)</f>
        <v>25350.8228171821</v>
      </c>
      <c r="O1555" s="7" t="n">
        <f aca="false">I1555-2*STDEV(E1536:E1555)</f>
        <v>24536.6051828179</v>
      </c>
      <c r="P1555" s="7" t="n">
        <f aca="false">MAX(E1555-E1554,0)</f>
        <v>324.23</v>
      </c>
      <c r="Q1555" s="7" t="n">
        <f aca="false">MAX(E1554-E1555,0)</f>
        <v>0</v>
      </c>
      <c r="R1555" s="7" t="n">
        <f aca="false">(R1554*13+P1555)/14</f>
        <v>112.743102644034</v>
      </c>
      <c r="S1555" s="7" t="n">
        <f aca="false">(S1554*13+Q1555)/14</f>
        <v>118.637610875459</v>
      </c>
      <c r="T1555" s="7" t="n">
        <f aca="false">IF(S1555=0,100,100-100/(1+R1555/S1555))</f>
        <v>48.7262317282706</v>
      </c>
      <c r="U1555" s="7" t="n">
        <f aca="false">E1555*2/13+U1554*11/13</f>
        <v>24939.4181871059</v>
      </c>
      <c r="V1555" s="7" t="n">
        <f aca="false">E1555*2/27+V1554*25/27</f>
        <v>25037.3734790529</v>
      </c>
      <c r="W1555" s="7" t="n">
        <f aca="false">U1555-V1555</f>
        <v>-97.9552919470298</v>
      </c>
      <c r="X1555" s="7" t="n">
        <f aca="false">W1555*2/10+X1554*8/10</f>
        <v>-109.619816588604</v>
      </c>
      <c r="Y1555" s="7" t="n">
        <f aca="false">W1555-X1555</f>
        <v>11.6645246415744</v>
      </c>
      <c r="Z1555" s="8" t="s">
        <v>42</v>
      </c>
      <c r="AA1555" s="7" t="str">
        <f aca="false">IFERROR(INDEX(02_轉折點45!B:B,MATCH(A1555,02_轉折點45!A:A,0)),"")</f>
        <v/>
      </c>
      <c r="AB1555" s="7" t="n">
        <f aca="false">COUNTIFS(05_訊號明細!A:A,A1555,05_訊號明細!C:C,"TOP")</f>
        <v>2</v>
      </c>
      <c r="AC1555" s="7" t="n">
        <f aca="false">COUNTIFS(05_訊號明細!A:A,A1555,05_訊號明細!C:C,"BOTTOM")</f>
        <v>0</v>
      </c>
    </row>
    <row r="1556" customFormat="false" ht="15" hidden="false" customHeight="false" outlineLevel="0" collapsed="false">
      <c r="A1556" s="7" t="s">
        <v>1597</v>
      </c>
      <c r="B1556" s="7" t="n">
        <v>25002.61</v>
      </c>
      <c r="C1556" s="7" t="n">
        <v>25189.17</v>
      </c>
      <c r="D1556" s="7" t="n">
        <v>24871.44</v>
      </c>
      <c r="E1556" s="7" t="n">
        <v>24956.47</v>
      </c>
      <c r="F1556" s="7" t="n">
        <v>8801</v>
      </c>
      <c r="G1556" s="7" t="n">
        <f aca="false">AVERAGE(E1552:E1556)</f>
        <v>24936.166</v>
      </c>
      <c r="H1556" s="7" t="n">
        <f aca="false">AVERAGE(E1547:E1556)</f>
        <v>24971.696</v>
      </c>
      <c r="I1556" s="7" t="n">
        <f aca="false">AVERAGE(E1537:E1556)</f>
        <v>24928.1305</v>
      </c>
      <c r="J1556" s="7" t="n">
        <f aca="false">AVERAGE(E1507:E1556)</f>
        <v>25262.0556</v>
      </c>
      <c r="K1556" s="7" t="n">
        <f aca="false">AVERAGE(E1457:E1556)</f>
        <v>25268.1141</v>
      </c>
      <c r="L1556" s="7" t="n">
        <f aca="false">AVERAGE(E1357:E1556)</f>
        <v>24232.29145</v>
      </c>
      <c r="M1556" s="7" t="n">
        <f aca="false">I1556</f>
        <v>24928.1305</v>
      </c>
      <c r="N1556" s="7" t="n">
        <f aca="false">I1556+2*STDEV(E1537:E1556)</f>
        <v>25305.7426999855</v>
      </c>
      <c r="O1556" s="7" t="n">
        <f aca="false">I1556-2*STDEV(E1537:E1556)</f>
        <v>24550.5183000145</v>
      </c>
      <c r="P1556" s="7" t="n">
        <f aca="false">MAX(E1556-E1555,0)</f>
        <v>0</v>
      </c>
      <c r="Q1556" s="7" t="n">
        <f aca="false">MAX(E1555-E1556,0)</f>
        <v>10.7799999999988</v>
      </c>
      <c r="R1556" s="7" t="n">
        <f aca="false">(R1555*13+P1556)/14</f>
        <v>104.690023883746</v>
      </c>
      <c r="S1556" s="7" t="n">
        <f aca="false">(S1555*13+Q1556)/14</f>
        <v>110.933495812927</v>
      </c>
      <c r="T1556" s="7" t="n">
        <f aca="false">IF(S1556=0,100,100-100/(1+R1556/S1556))</f>
        <v>48.5522284540288</v>
      </c>
      <c r="U1556" s="7" t="n">
        <f aca="false">E1556*2/13+U1555*11/13</f>
        <v>24942.0415429358</v>
      </c>
      <c r="V1556" s="7" t="n">
        <f aca="false">E1556*2/27+V1555*25/27</f>
        <v>25031.3806287527</v>
      </c>
      <c r="W1556" s="7" t="n">
        <f aca="false">U1556-V1556</f>
        <v>-89.3390858169514</v>
      </c>
      <c r="X1556" s="7" t="n">
        <f aca="false">W1556*2/10+X1555*8/10</f>
        <v>-105.563670434274</v>
      </c>
      <c r="Y1556" s="7" t="n">
        <f aca="false">W1556-X1556</f>
        <v>16.2245846173222</v>
      </c>
      <c r="Z1556" s="8" t="s">
        <v>42</v>
      </c>
      <c r="AA1556" s="7" t="str">
        <f aca="false">IFERROR(INDEX(02_轉折點45!B:B,MATCH(A1556,02_轉折點45!A:A,0)),"")</f>
        <v/>
      </c>
      <c r="AB1556" s="7" t="n">
        <f aca="false">COUNTIFS(05_訊號明細!A:A,A1556,05_訊號明細!C:C,"TOP")</f>
        <v>0</v>
      </c>
      <c r="AC1556" s="7" t="n">
        <f aca="false">COUNTIFS(05_訊號明細!A:A,A1556,05_訊號明細!C:C,"BOTTOM")</f>
        <v>0</v>
      </c>
    </row>
    <row r="1557" customFormat="false" ht="15" hidden="false" customHeight="false" outlineLevel="0" collapsed="false">
      <c r="A1557" s="7" t="s">
        <v>1598</v>
      </c>
      <c r="B1557" s="7" t="n">
        <v>25053.24</v>
      </c>
      <c r="C1557" s="7" t="n">
        <v>25152.12</v>
      </c>
      <c r="D1557" s="7" t="n">
        <v>24856.6</v>
      </c>
      <c r="E1557" s="7" t="n">
        <v>24965.01</v>
      </c>
      <c r="F1557" s="7" t="n">
        <v>8349</v>
      </c>
      <c r="G1557" s="7" t="n">
        <f aca="false">AVERAGE(E1553:E1557)</f>
        <v>24910.432</v>
      </c>
      <c r="H1557" s="7" t="n">
        <f aca="false">AVERAGE(E1548:E1557)</f>
        <v>24935.293</v>
      </c>
      <c r="I1557" s="7" t="n">
        <f aca="false">AVERAGE(E1538:E1557)</f>
        <v>24919.999</v>
      </c>
      <c r="J1557" s="7" t="n">
        <f aca="false">AVERAGE(E1508:E1557)</f>
        <v>25248.468</v>
      </c>
      <c r="K1557" s="7" t="n">
        <f aca="false">AVERAGE(E1458:E1557)</f>
        <v>25270.3106</v>
      </c>
      <c r="L1557" s="7" t="n">
        <f aca="false">AVERAGE(E1358:E1557)</f>
        <v>24251.55415</v>
      </c>
      <c r="M1557" s="7" t="n">
        <f aca="false">I1557</f>
        <v>24919.999</v>
      </c>
      <c r="N1557" s="7" t="n">
        <f aca="false">I1557+2*STDEV(E1538:E1557)</f>
        <v>25286.3582587037</v>
      </c>
      <c r="O1557" s="7" t="n">
        <f aca="false">I1557-2*STDEV(E1538:E1557)</f>
        <v>24553.6397412963</v>
      </c>
      <c r="P1557" s="7" t="n">
        <f aca="false">MAX(E1557-E1556,0)</f>
        <v>8.53999999999724</v>
      </c>
      <c r="Q1557" s="7" t="n">
        <f aca="false">MAX(E1556-E1557,0)</f>
        <v>0</v>
      </c>
      <c r="R1557" s="7" t="n">
        <f aca="false">(R1556*13+P1557)/14</f>
        <v>97.822165034907</v>
      </c>
      <c r="S1557" s="7" t="n">
        <f aca="false">(S1556*13+Q1557)/14</f>
        <v>103.009674683432</v>
      </c>
      <c r="T1557" s="7" t="n">
        <f aca="false">IF(S1557=0,100,100-100/(1+R1557/S1557))</f>
        <v>48.708494216903</v>
      </c>
      <c r="U1557" s="7" t="n">
        <f aca="false">E1557*2/13+U1556*11/13</f>
        <v>24945.5751517149</v>
      </c>
      <c r="V1557" s="7" t="n">
        <f aca="false">E1557*2/27+V1556*25/27</f>
        <v>25026.4642858821</v>
      </c>
      <c r="W1557" s="7" t="n">
        <f aca="false">U1557-V1557</f>
        <v>-80.8891341672643</v>
      </c>
      <c r="X1557" s="7" t="n">
        <f aca="false">W1557*2/10+X1556*8/10</f>
        <v>-100.628763180872</v>
      </c>
      <c r="Y1557" s="7" t="n">
        <f aca="false">W1557-X1557</f>
        <v>19.7396290136075</v>
      </c>
      <c r="Z1557" s="8" t="s">
        <v>42</v>
      </c>
      <c r="AA1557" s="7" t="str">
        <f aca="false">IFERROR(INDEX(02_轉折點45!B:B,MATCH(A1557,02_轉折點45!A:A,0)),"")</f>
        <v/>
      </c>
      <c r="AB1557" s="7" t="n">
        <f aca="false">COUNTIFS(05_訊號明細!A:A,A1557,05_訊號明細!C:C,"TOP")</f>
        <v>0</v>
      </c>
      <c r="AC1557" s="7" t="n">
        <f aca="false">COUNTIFS(05_訊號明細!A:A,A1557,05_訊號明細!C:C,"BOTTOM")</f>
        <v>0</v>
      </c>
    </row>
    <row r="1558" customFormat="false" ht="15" hidden="false" customHeight="false" outlineLevel="0" collapsed="false">
      <c r="A1558" s="7" t="s">
        <v>1599</v>
      </c>
      <c r="B1558" s="7" t="n">
        <v>24771.32</v>
      </c>
      <c r="C1558" s="7" t="n">
        <v>24809.27</v>
      </c>
      <c r="D1558" s="7" t="n">
        <v>24522.24</v>
      </c>
      <c r="E1558" s="7" t="n">
        <v>24533.58</v>
      </c>
      <c r="F1558" s="7" t="n">
        <v>8491</v>
      </c>
      <c r="G1558" s="7" t="n">
        <f aca="false">AVERAGE(E1554:E1558)</f>
        <v>24813.066</v>
      </c>
      <c r="H1558" s="7" t="n">
        <f aca="false">AVERAGE(E1549:E1558)</f>
        <v>24885.214</v>
      </c>
      <c r="I1558" s="7" t="n">
        <f aca="false">AVERAGE(E1539:E1558)</f>
        <v>24886.615</v>
      </c>
      <c r="J1558" s="7" t="n">
        <f aca="false">AVERAGE(E1509:E1558)</f>
        <v>25228.6284</v>
      </c>
      <c r="K1558" s="7" t="n">
        <f aca="false">AVERAGE(E1459:E1558)</f>
        <v>25269.074</v>
      </c>
      <c r="L1558" s="7" t="n">
        <f aca="false">AVERAGE(E1359:E1558)</f>
        <v>24269.64375</v>
      </c>
      <c r="M1558" s="7" t="n">
        <f aca="false">I1558</f>
        <v>24886.615</v>
      </c>
      <c r="N1558" s="7" t="n">
        <f aca="false">I1558+2*STDEV(E1539:E1558)</f>
        <v>25266.4938781759</v>
      </c>
      <c r="O1558" s="7" t="n">
        <f aca="false">I1558-2*STDEV(E1539:E1558)</f>
        <v>24506.7361218241</v>
      </c>
      <c r="P1558" s="7" t="n">
        <f aca="false">MAX(E1558-E1557,0)</f>
        <v>0</v>
      </c>
      <c r="Q1558" s="7" t="n">
        <f aca="false">MAX(E1557-E1558,0)</f>
        <v>431.429999999997</v>
      </c>
      <c r="R1558" s="7" t="n">
        <f aca="false">(R1557*13+P1558)/14</f>
        <v>90.8348675324137</v>
      </c>
      <c r="S1558" s="7" t="n">
        <f aca="false">(S1557*13+Q1558)/14</f>
        <v>126.468269348901</v>
      </c>
      <c r="T1558" s="7" t="n">
        <f aca="false">IF(S1558=0,100,100-100/(1+R1558/S1558))</f>
        <v>41.8009923078218</v>
      </c>
      <c r="U1558" s="7" t="n">
        <f aca="false">E1558*2/13+U1557*11/13</f>
        <v>24882.1912822203</v>
      </c>
      <c r="V1558" s="7" t="n">
        <f aca="false">E1558*2/27+V1557*25/27</f>
        <v>24989.9543387798</v>
      </c>
      <c r="W1558" s="7" t="n">
        <f aca="false">U1558-V1558</f>
        <v>-107.763056559474</v>
      </c>
      <c r="X1558" s="7" t="n">
        <f aca="false">W1558*2/10+X1557*8/10</f>
        <v>-102.055621856592</v>
      </c>
      <c r="Y1558" s="7" t="n">
        <f aca="false">W1558-X1558</f>
        <v>-5.70743470288151</v>
      </c>
      <c r="Z1558" s="8" t="s">
        <v>42</v>
      </c>
      <c r="AA1558" s="7" t="str">
        <f aca="false">IFERROR(INDEX(02_轉折點45!B:B,MATCH(A1558,02_轉折點45!A:A,0)),"")</f>
        <v/>
      </c>
      <c r="AB1558" s="7" t="n">
        <f aca="false">COUNTIFS(05_訊號明細!A:A,A1558,05_訊號明細!C:C,"TOP")</f>
        <v>2</v>
      </c>
      <c r="AC1558" s="7" t="n">
        <f aca="false">COUNTIFS(05_訊號明細!A:A,A1558,05_訊號明細!C:C,"BOTTOM")</f>
        <v>0</v>
      </c>
    </row>
    <row r="1559" customFormat="false" ht="15" hidden="false" customHeight="false" outlineLevel="0" collapsed="false">
      <c r="A1559" s="7" t="s">
        <v>1600</v>
      </c>
      <c r="B1559" s="7" t="n">
        <v>24660.19</v>
      </c>
      <c r="C1559" s="7" t="n">
        <v>24786.65</v>
      </c>
      <c r="D1559" s="7" t="n">
        <v>24336.53</v>
      </c>
      <c r="E1559" s="7" t="n">
        <v>24380.73</v>
      </c>
      <c r="F1559" s="7" t="n">
        <v>8279</v>
      </c>
      <c r="G1559" s="7" t="n">
        <f aca="false">AVERAGE(E1555:E1559)</f>
        <v>24760.608</v>
      </c>
      <c r="H1559" s="7" t="n">
        <f aca="false">AVERAGE(E1550:E1559)</f>
        <v>24827.283</v>
      </c>
      <c r="I1559" s="7" t="n">
        <f aca="false">AVERAGE(E1540:E1559)</f>
        <v>24871.271</v>
      </c>
      <c r="J1559" s="7" t="n">
        <f aca="false">AVERAGE(E1510:E1559)</f>
        <v>25206.9918</v>
      </c>
      <c r="K1559" s="7" t="n">
        <f aca="false">AVERAGE(E1460:E1559)</f>
        <v>25264.7018</v>
      </c>
      <c r="L1559" s="7" t="n">
        <f aca="false">AVERAGE(E1360:E1559)</f>
        <v>24284.47245</v>
      </c>
      <c r="M1559" s="7" t="n">
        <f aca="false">I1559</f>
        <v>24871.271</v>
      </c>
      <c r="N1559" s="7" t="n">
        <f aca="false">I1559+2*STDEV(E1540:E1559)</f>
        <v>25305.8477926519</v>
      </c>
      <c r="O1559" s="7" t="n">
        <f aca="false">I1559-2*STDEV(E1540:E1559)</f>
        <v>24436.6942073481</v>
      </c>
      <c r="P1559" s="7" t="n">
        <f aca="false">MAX(E1559-E1558,0)</f>
        <v>0</v>
      </c>
      <c r="Q1559" s="7" t="n">
        <f aca="false">MAX(E1558-E1559,0)</f>
        <v>152.850000000002</v>
      </c>
      <c r="R1559" s="7" t="n">
        <f aca="false">(R1558*13+P1559)/14</f>
        <v>84.3466627086699</v>
      </c>
      <c r="S1559" s="7" t="n">
        <f aca="false">(S1558*13+Q1559)/14</f>
        <v>128.352678681122</v>
      </c>
      <c r="T1559" s="7" t="n">
        <f aca="false">IF(S1559=0,100,100-100/(1+R1559/S1559))</f>
        <v>39.6553473826214</v>
      </c>
      <c r="U1559" s="7" t="n">
        <f aca="false">E1559*2/13+U1558*11/13</f>
        <v>24805.0433926479</v>
      </c>
      <c r="V1559" s="7" t="n">
        <f aca="false">E1559*2/27+V1558*25/27</f>
        <v>24944.8266099813</v>
      </c>
      <c r="W1559" s="7" t="n">
        <f aca="false">U1559-V1559</f>
        <v>-139.783217333323</v>
      </c>
      <c r="X1559" s="7" t="n">
        <f aca="false">W1559*2/10+X1558*8/10</f>
        <v>-109.601140951938</v>
      </c>
      <c r="Y1559" s="7" t="n">
        <f aca="false">W1559-X1559</f>
        <v>-30.1820763813845</v>
      </c>
      <c r="Z1559" s="7" t="s">
        <v>78</v>
      </c>
      <c r="AA1559" s="7" t="str">
        <f aca="false">IFERROR(INDEX(02_轉折點45!B:B,MATCH(A1559,02_轉折點45!A:A,0)),"")</f>
        <v/>
      </c>
      <c r="AB1559" s="7" t="n">
        <f aca="false">COUNTIFS(05_訊號明細!A:A,A1559,05_訊號明細!C:C,"TOP")</f>
        <v>1</v>
      </c>
      <c r="AC1559" s="7" t="n">
        <f aca="false">COUNTIFS(05_訊號明細!A:A,A1559,05_訊號明細!C:C,"BOTTOM")</f>
        <v>0</v>
      </c>
    </row>
    <row r="1560" customFormat="false" ht="15" hidden="false" customHeight="false" outlineLevel="0" collapsed="false">
      <c r="A1560" s="7" t="s">
        <v>1601</v>
      </c>
      <c r="B1560" s="7" t="n">
        <v>24646.18</v>
      </c>
      <c r="C1560" s="7" t="n">
        <v>24794.29</v>
      </c>
      <c r="D1560" s="7" t="n">
        <v>24606.46</v>
      </c>
      <c r="E1560" s="7" t="n">
        <v>24655.34</v>
      </c>
      <c r="F1560" s="7" t="n">
        <v>8209</v>
      </c>
      <c r="G1560" s="7" t="n">
        <f aca="false">AVERAGE(E1556:E1560)</f>
        <v>24698.226</v>
      </c>
      <c r="H1560" s="7" t="n">
        <f aca="false">AVERAGE(E1551:E1560)</f>
        <v>24793.557</v>
      </c>
      <c r="I1560" s="7" t="n">
        <f aca="false">AVERAGE(E1541:E1560)</f>
        <v>24867.4015</v>
      </c>
      <c r="J1560" s="7" t="n">
        <f aca="false">AVERAGE(E1511:E1560)</f>
        <v>25195.1016</v>
      </c>
      <c r="K1560" s="7" t="n">
        <f aca="false">AVERAGE(E1461:E1560)</f>
        <v>25259.845</v>
      </c>
      <c r="L1560" s="7" t="n">
        <f aca="false">AVERAGE(E1361:E1560)</f>
        <v>24301.1583</v>
      </c>
      <c r="M1560" s="7" t="n">
        <f aca="false">I1560</f>
        <v>24867.4015</v>
      </c>
      <c r="N1560" s="7" t="n">
        <f aca="false">I1560+2*STDEV(E1541:E1560)</f>
        <v>25308.5015182212</v>
      </c>
      <c r="O1560" s="7" t="n">
        <f aca="false">I1560-2*STDEV(E1541:E1560)</f>
        <v>24426.3014817788</v>
      </c>
      <c r="P1560" s="7" t="n">
        <f aca="false">MAX(E1560-E1559,0)</f>
        <v>274.610000000001</v>
      </c>
      <c r="Q1560" s="7" t="n">
        <f aca="false">MAX(E1559-E1560,0)</f>
        <v>0</v>
      </c>
      <c r="R1560" s="7" t="n">
        <f aca="false">(R1559*13+P1560)/14</f>
        <v>97.936901086622</v>
      </c>
      <c r="S1560" s="7" t="n">
        <f aca="false">(S1559*13+Q1560)/14</f>
        <v>119.184630203899</v>
      </c>
      <c r="T1560" s="7" t="n">
        <f aca="false">IF(S1560=0,100,100-100/(1+R1560/S1560))</f>
        <v>45.1069502432611</v>
      </c>
      <c r="U1560" s="7" t="n">
        <f aca="false">E1560*2/13+U1559*11/13</f>
        <v>24782.0121014713</v>
      </c>
      <c r="V1560" s="7" t="n">
        <f aca="false">E1560*2/27+V1559*25/27</f>
        <v>24923.38315739</v>
      </c>
      <c r="W1560" s="7" t="n">
        <f aca="false">U1560-V1560</f>
        <v>-141.371055918724</v>
      </c>
      <c r="X1560" s="7" t="n">
        <f aca="false">W1560*2/10+X1559*8/10</f>
        <v>-115.955123945295</v>
      </c>
      <c r="Y1560" s="7" t="n">
        <f aca="false">W1560-X1560</f>
        <v>-25.4159319734285</v>
      </c>
      <c r="Z1560" s="8" t="s">
        <v>42</v>
      </c>
      <c r="AA1560" s="7" t="str">
        <f aca="false">IFERROR(INDEX(02_轉折點45!B:B,MATCH(A1560,02_轉折點45!A:A,0)),"")</f>
        <v/>
      </c>
      <c r="AB1560" s="7" t="n">
        <f aca="false">COUNTIFS(05_訊號明細!A:A,A1560,05_訊號明細!C:C,"TOP")</f>
        <v>0</v>
      </c>
      <c r="AC1560" s="7" t="n">
        <f aca="false">COUNTIFS(05_訊號明細!A:A,A1560,05_訊號明細!C:C,"BOTTOM")</f>
        <v>0</v>
      </c>
    </row>
    <row r="1561" customFormat="false" ht="15" hidden="false" customHeight="false" outlineLevel="0" collapsed="false">
      <c r="A1561" s="7" t="s">
        <v>1602</v>
      </c>
      <c r="B1561" s="7" t="n">
        <v>24760.27</v>
      </c>
      <c r="C1561" s="7" t="n">
        <v>24884.68</v>
      </c>
      <c r="D1561" s="7" t="n">
        <v>24721.56</v>
      </c>
      <c r="E1561" s="7" t="n">
        <v>24780.42</v>
      </c>
      <c r="F1561" s="7" t="n">
        <v>8505</v>
      </c>
      <c r="G1561" s="7" t="n">
        <f aca="false">AVERAGE(E1557:E1561)</f>
        <v>24663.016</v>
      </c>
      <c r="H1561" s="7" t="n">
        <f aca="false">AVERAGE(E1552:E1561)</f>
        <v>24799.591</v>
      </c>
      <c r="I1561" s="7" t="n">
        <f aca="false">AVERAGE(E1542:E1561)</f>
        <v>24871.3425</v>
      </c>
      <c r="J1561" s="7" t="n">
        <f aca="false">AVERAGE(E1512:E1561)</f>
        <v>25186.5866</v>
      </c>
      <c r="K1561" s="7" t="n">
        <f aca="false">AVERAGE(E1462:E1561)</f>
        <v>25256.3779</v>
      </c>
      <c r="L1561" s="7" t="n">
        <f aca="false">AVERAGE(E1362:E1561)</f>
        <v>24318.24065</v>
      </c>
      <c r="M1561" s="7" t="n">
        <f aca="false">I1561</f>
        <v>24871.3425</v>
      </c>
      <c r="N1561" s="7" t="n">
        <f aca="false">I1561+2*STDEV(E1542:E1561)</f>
        <v>25307.5869602393</v>
      </c>
      <c r="O1561" s="7" t="n">
        <f aca="false">I1561-2*STDEV(E1542:E1561)</f>
        <v>24435.0980397607</v>
      </c>
      <c r="P1561" s="7" t="n">
        <f aca="false">MAX(E1561-E1560,0)</f>
        <v>125.079999999998</v>
      </c>
      <c r="Q1561" s="7" t="n">
        <f aca="false">MAX(E1560-E1561,0)</f>
        <v>0</v>
      </c>
      <c r="R1561" s="7" t="n">
        <f aca="false">(R1560*13+P1561)/14</f>
        <v>99.8756938661489</v>
      </c>
      <c r="S1561" s="7" t="n">
        <f aca="false">(S1560*13+Q1561)/14</f>
        <v>110.671442332192</v>
      </c>
      <c r="T1561" s="7" t="n">
        <f aca="false">IF(S1561=0,100,100-100/(1+R1561/S1561))</f>
        <v>47.4362632850363</v>
      </c>
      <c r="U1561" s="7" t="n">
        <f aca="false">E1561*2/13+U1560*11/13</f>
        <v>24781.7671627834</v>
      </c>
      <c r="V1561" s="7" t="n">
        <f aca="false">E1561*2/27+V1560*25/27</f>
        <v>24912.7932938797</v>
      </c>
      <c r="W1561" s="7" t="n">
        <f aca="false">U1561-V1561</f>
        <v>-131.026131096241</v>
      </c>
      <c r="X1561" s="7" t="n">
        <f aca="false">W1561*2/10+X1560*8/10</f>
        <v>-118.969325375485</v>
      </c>
      <c r="Y1561" s="7" t="n">
        <f aca="false">W1561-X1561</f>
        <v>-12.0568057207569</v>
      </c>
      <c r="Z1561" s="8" t="s">
        <v>42</v>
      </c>
      <c r="AA1561" s="7" t="str">
        <f aca="false">IFERROR(INDEX(02_轉折點45!B:B,MATCH(A1561,02_轉折點45!A:A,0)),"")</f>
        <v/>
      </c>
      <c r="AB1561" s="7" t="n">
        <f aca="false">COUNTIFS(05_訊號明細!A:A,A1561,05_訊號明細!C:C,"TOP")</f>
        <v>0</v>
      </c>
      <c r="AC1561" s="7" t="n">
        <f aca="false">COUNTIFS(05_訊號明細!A:A,A1561,05_訊號明細!C:C,"BOTTOM")</f>
        <v>0</v>
      </c>
    </row>
    <row r="1562" customFormat="false" ht="15" hidden="false" customHeight="false" outlineLevel="0" collapsed="false">
      <c r="A1562" s="7" t="s">
        <v>1603</v>
      </c>
      <c r="B1562" s="7" t="n">
        <v>24727.07</v>
      </c>
      <c r="C1562" s="7" t="n">
        <v>24763.58</v>
      </c>
      <c r="D1562" s="7" t="n">
        <v>24417.38</v>
      </c>
      <c r="E1562" s="7" t="n">
        <v>24425.09</v>
      </c>
      <c r="F1562" s="7" t="n">
        <v>9325</v>
      </c>
      <c r="G1562" s="7" t="n">
        <f aca="false">AVERAGE(E1558:E1562)</f>
        <v>24555.032</v>
      </c>
      <c r="H1562" s="7" t="n">
        <f aca="false">AVERAGE(E1553:E1562)</f>
        <v>24732.732</v>
      </c>
      <c r="I1562" s="7" t="n">
        <f aca="false">AVERAGE(E1543:E1562)</f>
        <v>24847.6535</v>
      </c>
      <c r="J1562" s="7" t="n">
        <f aca="false">AVERAGE(E1513:E1562)</f>
        <v>25167.062</v>
      </c>
      <c r="K1562" s="7" t="n">
        <f aca="false">AVERAGE(E1463:E1562)</f>
        <v>25251.8387</v>
      </c>
      <c r="L1562" s="7" t="n">
        <f aca="false">AVERAGE(E1363:E1562)</f>
        <v>24333.66115</v>
      </c>
      <c r="M1562" s="7" t="n">
        <f aca="false">I1562</f>
        <v>24847.6535</v>
      </c>
      <c r="N1562" s="7" t="n">
        <f aca="false">I1562+2*STDEV(E1543:E1562)</f>
        <v>25326.93563738</v>
      </c>
      <c r="O1562" s="7" t="n">
        <f aca="false">I1562-2*STDEV(E1543:E1562)</f>
        <v>24368.37136262</v>
      </c>
      <c r="P1562" s="7" t="n">
        <f aca="false">MAX(E1562-E1561,0)</f>
        <v>0</v>
      </c>
      <c r="Q1562" s="7" t="n">
        <f aca="false">MAX(E1561-E1562,0)</f>
        <v>355.329999999998</v>
      </c>
      <c r="R1562" s="7" t="n">
        <f aca="false">(R1561*13+P1562)/14</f>
        <v>92.7417157328526</v>
      </c>
      <c r="S1562" s="7" t="n">
        <f aca="false">(S1561*13+Q1562)/14</f>
        <v>128.147053594178</v>
      </c>
      <c r="T1562" s="7" t="n">
        <f aca="false">IF(S1562=0,100,100-100/(1+R1562/S1562))</f>
        <v>41.9857089228228</v>
      </c>
      <c r="U1562" s="7" t="n">
        <f aca="false">E1562*2/13+U1561*11/13</f>
        <v>24726.8937531244</v>
      </c>
      <c r="V1562" s="7" t="n">
        <f aca="false">E1562*2/27+V1561*25/27</f>
        <v>24876.6671239627</v>
      </c>
      <c r="W1562" s="7" t="n">
        <f aca="false">U1562-V1562</f>
        <v>-149.773370838222</v>
      </c>
      <c r="X1562" s="7" t="n">
        <f aca="false">W1562*2/10+X1561*8/10</f>
        <v>-125.130134468032</v>
      </c>
      <c r="Y1562" s="7" t="n">
        <f aca="false">W1562-X1562</f>
        <v>-24.64323637019</v>
      </c>
      <c r="Z1562" s="7" t="s">
        <v>78</v>
      </c>
      <c r="AA1562" s="7" t="str">
        <f aca="false">IFERROR(INDEX(02_轉折點45!B:B,MATCH(A1562,02_轉折點45!A:A,0)),"")</f>
        <v/>
      </c>
      <c r="AB1562" s="7" t="n">
        <f aca="false">COUNTIFS(05_訊號明細!A:A,A1562,05_訊號明細!C:C,"TOP")</f>
        <v>3</v>
      </c>
      <c r="AC1562" s="7" t="n">
        <f aca="false">COUNTIFS(05_訊號明細!A:A,A1562,05_訊號明細!C:C,"BOTTOM")</f>
        <v>0</v>
      </c>
    </row>
    <row r="1563" customFormat="false" ht="15" hidden="false" customHeight="false" outlineLevel="0" collapsed="false">
      <c r="A1563" s="7" t="s">
        <v>1604</v>
      </c>
      <c r="B1563" s="7" t="n">
        <v>24119.37</v>
      </c>
      <c r="C1563" s="7" t="n">
        <v>24462.15</v>
      </c>
      <c r="D1563" s="7" t="n">
        <v>24100.88</v>
      </c>
      <c r="E1563" s="7" t="n">
        <v>24355.28</v>
      </c>
      <c r="F1563" s="7" t="n">
        <v>8548</v>
      </c>
      <c r="G1563" s="7" t="n">
        <f aca="false">AVERAGE(E1559:E1563)</f>
        <v>24519.372</v>
      </c>
      <c r="H1563" s="7" t="n">
        <f aca="false">AVERAGE(E1554:E1563)</f>
        <v>24666.219</v>
      </c>
      <c r="I1563" s="7" t="n">
        <f aca="false">AVERAGE(E1544:E1563)</f>
        <v>24825.5505</v>
      </c>
      <c r="J1563" s="7" t="n">
        <f aca="false">AVERAGE(E1514:E1563)</f>
        <v>25141.3734</v>
      </c>
      <c r="K1563" s="7" t="n">
        <f aca="false">AVERAGE(E1464:E1563)</f>
        <v>25244.4174</v>
      </c>
      <c r="L1563" s="7" t="n">
        <f aca="false">AVERAGE(E1364:E1563)</f>
        <v>24347.9788</v>
      </c>
      <c r="M1563" s="7" t="n">
        <f aca="false">I1563</f>
        <v>24825.5505</v>
      </c>
      <c r="N1563" s="7" t="n">
        <f aca="false">I1563+2*STDEV(E1544:E1563)</f>
        <v>25352.9589320215</v>
      </c>
      <c r="O1563" s="7" t="n">
        <f aca="false">I1563-2*STDEV(E1544:E1563)</f>
        <v>24298.1420679785</v>
      </c>
      <c r="P1563" s="7" t="n">
        <f aca="false">MAX(E1563-E1562,0)</f>
        <v>0</v>
      </c>
      <c r="Q1563" s="7" t="n">
        <f aca="false">MAX(E1562-E1563,0)</f>
        <v>69.8100000000013</v>
      </c>
      <c r="R1563" s="7" t="n">
        <f aca="false">(R1562*13+P1563)/14</f>
        <v>86.1173074662202</v>
      </c>
      <c r="S1563" s="7" t="n">
        <f aca="false">(S1562*13+Q1563)/14</f>
        <v>123.980121194594</v>
      </c>
      <c r="T1563" s="7" t="n">
        <f aca="false">IF(S1563=0,100,100-100/(1+R1563/S1563))</f>
        <v>40.9892248635036</v>
      </c>
      <c r="U1563" s="7" t="n">
        <f aca="false">E1563*2/13+U1562*11/13</f>
        <v>24669.7224064899</v>
      </c>
      <c r="V1563" s="7" t="n">
        <f aca="false">E1563*2/27+V1562*25/27</f>
        <v>24838.045855521</v>
      </c>
      <c r="W1563" s="7" t="n">
        <f aca="false">U1563-V1563</f>
        <v>-168.323449031072</v>
      </c>
      <c r="X1563" s="7" t="n">
        <f aca="false">W1563*2/10+X1562*8/10</f>
        <v>-133.76879738064</v>
      </c>
      <c r="Y1563" s="7" t="n">
        <f aca="false">W1563-X1563</f>
        <v>-34.5546516504316</v>
      </c>
      <c r="Z1563" s="7" t="s">
        <v>78</v>
      </c>
      <c r="AA1563" s="7" t="str">
        <f aca="false">IFERROR(INDEX(02_轉折點45!B:B,MATCH(A1563,02_轉折點45!A:A,0)),"")</f>
        <v/>
      </c>
      <c r="AB1563" s="7" t="n">
        <f aca="false">COUNTIFS(05_訊號明細!A:A,A1563,05_訊號明細!C:C,"TOP")</f>
        <v>0</v>
      </c>
      <c r="AC1563" s="7" t="n">
        <f aca="false">COUNTIFS(05_訊號明細!A:A,A1563,05_訊號明細!C:C,"BOTTOM")</f>
        <v>0</v>
      </c>
    </row>
    <row r="1564" customFormat="false" ht="15" hidden="false" customHeight="false" outlineLevel="0" collapsed="false">
      <c r="A1564" s="7" t="s">
        <v>1605</v>
      </c>
      <c r="B1564" s="7" t="n">
        <v>24257.56</v>
      </c>
      <c r="C1564" s="7" t="n">
        <v>24267.34</v>
      </c>
      <c r="D1564" s="7" t="n">
        <v>23759.97</v>
      </c>
      <c r="E1564" s="7" t="n">
        <v>23898.15</v>
      </c>
      <c r="F1564" s="7" t="n">
        <v>11743</v>
      </c>
      <c r="G1564" s="7" t="n">
        <f aca="false">AVERAGE(E1560:E1564)</f>
        <v>24422.856</v>
      </c>
      <c r="H1564" s="7" t="n">
        <f aca="false">AVERAGE(E1555:E1564)</f>
        <v>24591.732</v>
      </c>
      <c r="I1564" s="7" t="n">
        <f aca="false">AVERAGE(E1545:E1564)</f>
        <v>24769.827</v>
      </c>
      <c r="J1564" s="7" t="n">
        <f aca="false">AVERAGE(E1515:E1564)</f>
        <v>25106.2584</v>
      </c>
      <c r="K1564" s="7" t="n">
        <f aca="false">AVERAGE(E1465:E1564)</f>
        <v>25229.8173</v>
      </c>
      <c r="L1564" s="7" t="n">
        <f aca="false">AVERAGE(E1365:E1564)</f>
        <v>24359.15665</v>
      </c>
      <c r="M1564" s="7" t="n">
        <f aca="false">I1564</f>
        <v>24769.827</v>
      </c>
      <c r="N1564" s="7" t="n">
        <f aca="false">I1564+2*STDEV(E1545:E1564)</f>
        <v>25432.2361401956</v>
      </c>
      <c r="O1564" s="7" t="n">
        <f aca="false">I1564-2*STDEV(E1545:E1564)</f>
        <v>24107.4178598044</v>
      </c>
      <c r="P1564" s="7" t="n">
        <f aca="false">MAX(E1564-E1563,0)</f>
        <v>0</v>
      </c>
      <c r="Q1564" s="7" t="n">
        <f aca="false">MAX(E1563-E1564,0)</f>
        <v>457.129999999997</v>
      </c>
      <c r="R1564" s="7" t="n">
        <f aca="false">(R1563*13+P1564)/14</f>
        <v>79.9660712186331</v>
      </c>
      <c r="S1564" s="7" t="n">
        <f aca="false">(S1563*13+Q1564)/14</f>
        <v>147.776541109266</v>
      </c>
      <c r="T1564" s="7" t="n">
        <f aca="false">IF(S1564=0,100,100-100/(1+R1564/S1564))</f>
        <v>35.1124764932</v>
      </c>
      <c r="U1564" s="7" t="n">
        <f aca="false">E1564*2/13+U1563*11/13</f>
        <v>24551.0189593376</v>
      </c>
      <c r="V1564" s="7" t="n">
        <f aca="false">E1564*2/27+V1563*25/27</f>
        <v>24768.4239402972</v>
      </c>
      <c r="W1564" s="7" t="n">
        <f aca="false">U1564-V1564</f>
        <v>-217.404980959589</v>
      </c>
      <c r="X1564" s="7" t="n">
        <f aca="false">W1564*2/10+X1563*8/10</f>
        <v>-150.49603409643</v>
      </c>
      <c r="Y1564" s="7" t="n">
        <f aca="false">W1564-X1564</f>
        <v>-66.9089468631593</v>
      </c>
      <c r="Z1564" s="7" t="s">
        <v>78</v>
      </c>
      <c r="AA1564" s="7" t="str">
        <f aca="false">IFERROR(INDEX(02_轉折點45!B:B,MATCH(A1564,02_轉折點45!A:A,0)),"")</f>
        <v/>
      </c>
      <c r="AB1564" s="7" t="n">
        <f aca="false">COUNTIFS(05_訊號明細!A:A,A1564,05_訊號明細!C:C,"TOP")</f>
        <v>2</v>
      </c>
      <c r="AC1564" s="7" t="n">
        <f aca="false">COUNTIFS(05_訊號明細!A:A,A1564,05_訊號明細!C:C,"BOTTOM")</f>
        <v>0</v>
      </c>
    </row>
    <row r="1565" customFormat="false" ht="15" hidden="false" customHeight="false" outlineLevel="0" collapsed="false">
      <c r="A1565" s="7" t="s">
        <v>1606</v>
      </c>
      <c r="B1565" s="7" t="n">
        <v>24270.77</v>
      </c>
      <c r="C1565" s="7" t="n">
        <v>24465.16</v>
      </c>
      <c r="D1565" s="7" t="n">
        <v>24097.68</v>
      </c>
      <c r="E1565" s="7" t="n">
        <v>24188.59</v>
      </c>
      <c r="F1565" s="7" t="n">
        <v>8896</v>
      </c>
      <c r="G1565" s="7" t="n">
        <f aca="false">AVERAGE(E1561:E1565)</f>
        <v>24329.506</v>
      </c>
      <c r="H1565" s="7" t="n">
        <f aca="false">AVERAGE(E1556:E1565)</f>
        <v>24513.866</v>
      </c>
      <c r="I1565" s="7" t="n">
        <f aca="false">AVERAGE(E1546:E1565)</f>
        <v>24743.8095</v>
      </c>
      <c r="J1565" s="7" t="n">
        <f aca="false">AVERAGE(E1516:E1565)</f>
        <v>25079.8882</v>
      </c>
      <c r="K1565" s="7" t="n">
        <f aca="false">AVERAGE(E1466:E1565)</f>
        <v>25213.4877</v>
      </c>
      <c r="L1565" s="7" t="n">
        <f aca="false">AVERAGE(E1366:E1565)</f>
        <v>24371.49</v>
      </c>
      <c r="M1565" s="7" t="n">
        <f aca="false">I1565</f>
        <v>24743.8095</v>
      </c>
      <c r="N1565" s="7" t="n">
        <f aca="false">I1565+2*STDEV(E1546:E1565)</f>
        <v>25455.342151926</v>
      </c>
      <c r="O1565" s="7" t="n">
        <f aca="false">I1565-2*STDEV(E1546:E1565)</f>
        <v>24032.276848074</v>
      </c>
      <c r="P1565" s="7" t="n">
        <f aca="false">MAX(E1565-E1564,0)</f>
        <v>290.439999999999</v>
      </c>
      <c r="Q1565" s="7" t="n">
        <f aca="false">MAX(E1564-E1565,0)</f>
        <v>0</v>
      </c>
      <c r="R1565" s="7" t="n">
        <f aca="false">(R1564*13+P1565)/14</f>
        <v>94.9999232744449</v>
      </c>
      <c r="S1565" s="7" t="n">
        <f aca="false">(S1564*13+Q1565)/14</f>
        <v>137.221073887175</v>
      </c>
      <c r="T1565" s="7" t="n">
        <f aca="false">IF(S1565=0,100,100-100/(1+R1565/S1565))</f>
        <v>40.9092736813662</v>
      </c>
      <c r="U1565" s="7" t="n">
        <f aca="false">E1565*2/13+U1564*11/13</f>
        <v>24495.2606579011</v>
      </c>
      <c r="V1565" s="7" t="n">
        <f aca="false">E1565*2/27+V1564*25/27</f>
        <v>24725.473278053</v>
      </c>
      <c r="W1565" s="7" t="n">
        <f aca="false">U1565-V1565</f>
        <v>-230.21262015191</v>
      </c>
      <c r="X1565" s="7" t="n">
        <f aca="false">W1565*2/10+X1564*8/10</f>
        <v>-166.439351307526</v>
      </c>
      <c r="Y1565" s="7" t="n">
        <f aca="false">W1565-X1565</f>
        <v>-63.7732688443838</v>
      </c>
      <c r="Z1565" s="7" t="s">
        <v>78</v>
      </c>
      <c r="AA1565" s="7" t="str">
        <f aca="false">IFERROR(INDEX(02_轉折點45!B:B,MATCH(A1565,02_轉折點45!A:A,0)),"")</f>
        <v/>
      </c>
      <c r="AB1565" s="7" t="n">
        <f aca="false">COUNTIFS(05_訊號明細!A:A,A1565,05_訊號明細!C:C,"TOP")</f>
        <v>0</v>
      </c>
      <c r="AC1565" s="7" t="n">
        <f aca="false">COUNTIFS(05_訊號明細!A:A,A1565,05_訊號明細!C:C,"BOTTOM")</f>
        <v>0</v>
      </c>
    </row>
    <row r="1566" customFormat="false" ht="15" hidden="false" customHeight="false" outlineLevel="0" collapsed="false">
      <c r="A1566" s="7" t="s">
        <v>1607</v>
      </c>
      <c r="B1566" s="7" t="n">
        <v>24042.23</v>
      </c>
      <c r="C1566" s="7" t="n">
        <v>24170.83</v>
      </c>
      <c r="D1566" s="7" t="n">
        <v>23927.69</v>
      </c>
      <c r="E1566" s="7" t="n">
        <v>24002.45</v>
      </c>
      <c r="F1566" s="7" t="n">
        <v>8488</v>
      </c>
      <c r="G1566" s="7" t="n">
        <f aca="false">AVERAGE(E1562:E1566)</f>
        <v>24173.912</v>
      </c>
      <c r="H1566" s="7" t="n">
        <f aca="false">AVERAGE(E1557:E1566)</f>
        <v>24418.464</v>
      </c>
      <c r="I1566" s="7" t="n">
        <f aca="false">AVERAGE(E1547:E1566)</f>
        <v>24695.08</v>
      </c>
      <c r="J1566" s="7" t="n">
        <f aca="false">AVERAGE(E1517:E1566)</f>
        <v>25044.612</v>
      </c>
      <c r="K1566" s="7" t="n">
        <f aca="false">AVERAGE(E1467:E1566)</f>
        <v>25193.3907</v>
      </c>
      <c r="L1566" s="7" t="n">
        <f aca="false">AVERAGE(E1367:E1566)</f>
        <v>24383.7651</v>
      </c>
      <c r="M1566" s="7" t="n">
        <f aca="false">I1566</f>
        <v>24695.08</v>
      </c>
      <c r="N1566" s="7" t="n">
        <f aca="false">I1566+2*STDEV(E1547:E1566)</f>
        <v>25470.0231291595</v>
      </c>
      <c r="O1566" s="7" t="n">
        <f aca="false">I1566-2*STDEV(E1547:E1566)</f>
        <v>23920.1368708405</v>
      </c>
      <c r="P1566" s="7" t="n">
        <f aca="false">MAX(E1566-E1565,0)</f>
        <v>0</v>
      </c>
      <c r="Q1566" s="7" t="n">
        <f aca="false">MAX(E1565-E1566,0)</f>
        <v>186.139999999999</v>
      </c>
      <c r="R1566" s="7" t="n">
        <f aca="false">(R1565*13+P1566)/14</f>
        <v>88.2142144691274</v>
      </c>
      <c r="S1566" s="7" t="n">
        <f aca="false">(S1565*13+Q1566)/14</f>
        <v>140.715282895234</v>
      </c>
      <c r="T1566" s="7" t="n">
        <f aca="false">IF(S1566=0,100,100-100/(1+R1566/S1566))</f>
        <v>38.5333543666182</v>
      </c>
      <c r="U1566" s="7" t="n">
        <f aca="false">E1566*2/13+U1565*11/13</f>
        <v>24419.4436336086</v>
      </c>
      <c r="V1566" s="7" t="n">
        <f aca="false">E1566*2/27+V1565*25/27</f>
        <v>24671.9159981972</v>
      </c>
      <c r="W1566" s="7" t="n">
        <f aca="false">U1566-V1566</f>
        <v>-252.472364588604</v>
      </c>
      <c r="X1566" s="7" t="n">
        <f aca="false">W1566*2/10+X1565*8/10</f>
        <v>-183.645953963741</v>
      </c>
      <c r="Y1566" s="7" t="n">
        <f aca="false">W1566-X1566</f>
        <v>-68.8264106248628</v>
      </c>
      <c r="Z1566" s="7" t="s">
        <v>78</v>
      </c>
      <c r="AA1566" s="7" t="str">
        <f aca="false">IFERROR(INDEX(02_轉折點45!B:B,MATCH(A1566,02_轉折點45!A:A,0)),"")</f>
        <v/>
      </c>
      <c r="AB1566" s="7" t="n">
        <f aca="false">COUNTIFS(05_訊號明細!A:A,A1566,05_訊號明細!C:C,"TOP")</f>
        <v>0</v>
      </c>
      <c r="AC1566" s="7" t="n">
        <f aca="false">COUNTIFS(05_訊號明細!A:A,A1566,05_訊號明細!C:C,"BOTTOM")</f>
        <v>0</v>
      </c>
    </row>
    <row r="1567" customFormat="false" ht="15" hidden="false" customHeight="false" outlineLevel="0" collapsed="false">
      <c r="A1567" s="7" t="s">
        <v>1608</v>
      </c>
      <c r="B1567" s="7" t="n">
        <v>24236.4</v>
      </c>
      <c r="C1567" s="7" t="n">
        <v>24314.25</v>
      </c>
      <c r="D1567" s="7" t="n">
        <v>24081.38</v>
      </c>
      <c r="E1567" s="7" t="n">
        <v>24162.98</v>
      </c>
      <c r="F1567" s="7" t="n">
        <v>8057</v>
      </c>
      <c r="G1567" s="7" t="n">
        <f aca="false">AVERAGE(E1563:E1567)</f>
        <v>24121.49</v>
      </c>
      <c r="H1567" s="7" t="n">
        <f aca="false">AVERAGE(E1558:E1567)</f>
        <v>24338.261</v>
      </c>
      <c r="I1567" s="7" t="n">
        <f aca="false">AVERAGE(E1548:E1567)</f>
        <v>24636.777</v>
      </c>
      <c r="J1567" s="7" t="n">
        <f aca="false">AVERAGE(E1518:E1567)</f>
        <v>25012.1184</v>
      </c>
      <c r="K1567" s="7" t="n">
        <f aca="false">AVERAGE(E1468:E1567)</f>
        <v>25173.822</v>
      </c>
      <c r="L1567" s="7" t="n">
        <f aca="false">AVERAGE(E1368:E1567)</f>
        <v>24395.77105</v>
      </c>
      <c r="M1567" s="7" t="n">
        <f aca="false">I1567</f>
        <v>24636.777</v>
      </c>
      <c r="N1567" s="7" t="n">
        <f aca="false">I1567+2*STDEV(E1548:E1567)</f>
        <v>25385.9225323472</v>
      </c>
      <c r="O1567" s="7" t="n">
        <f aca="false">I1567-2*STDEV(E1548:E1567)</f>
        <v>23887.6314676528</v>
      </c>
      <c r="P1567" s="7" t="n">
        <f aca="false">MAX(E1567-E1566,0)</f>
        <v>160.529999999999</v>
      </c>
      <c r="Q1567" s="7" t="n">
        <f aca="false">MAX(E1566-E1567,0)</f>
        <v>0</v>
      </c>
      <c r="R1567" s="7" t="n">
        <f aca="false">(R1566*13+P1567)/14</f>
        <v>93.3796277213325</v>
      </c>
      <c r="S1567" s="7" t="n">
        <f aca="false">(S1566*13+Q1567)/14</f>
        <v>130.66419125986</v>
      </c>
      <c r="T1567" s="7" t="n">
        <f aca="false">IF(S1567=0,100,100-100/(1+R1567/S1567))</f>
        <v>41.6791805040474</v>
      </c>
      <c r="U1567" s="7" t="n">
        <f aca="false">E1567*2/13+U1566*11/13</f>
        <v>24379.9876899765</v>
      </c>
      <c r="V1567" s="7" t="n">
        <f aca="false">E1567*2/27+V1566*25/27</f>
        <v>24634.2170353678</v>
      </c>
      <c r="W1567" s="7" t="n">
        <f aca="false">U1567-V1567</f>
        <v>-254.229345391275</v>
      </c>
      <c r="X1567" s="7" t="n">
        <f aca="false">W1567*2/10+X1566*8/10</f>
        <v>-197.762632249248</v>
      </c>
      <c r="Y1567" s="7" t="n">
        <f aca="false">W1567-X1567</f>
        <v>-56.4667131420271</v>
      </c>
      <c r="Z1567" s="7" t="s">
        <v>78</v>
      </c>
      <c r="AA1567" s="7" t="str">
        <f aca="false">IFERROR(INDEX(02_轉折點45!B:B,MATCH(A1567,02_轉折點45!A:A,0)),"")</f>
        <v/>
      </c>
      <c r="AB1567" s="7" t="n">
        <f aca="false">COUNTIFS(05_訊號明細!A:A,A1567,05_訊號明細!C:C,"TOP")</f>
        <v>0</v>
      </c>
      <c r="AC1567" s="7" t="n">
        <f aca="false">COUNTIFS(05_訊號明細!A:A,A1567,05_訊號明細!C:C,"BOTTOM")</f>
        <v>0</v>
      </c>
    </row>
    <row r="1568" customFormat="false" ht="15" hidden="false" customHeight="false" outlineLevel="0" collapsed="false">
      <c r="A1568" s="7" t="s">
        <v>1609</v>
      </c>
      <c r="B1568" s="7" t="n">
        <v>23913.19</v>
      </c>
      <c r="C1568" s="7" t="n">
        <v>24029.51</v>
      </c>
      <c r="D1568" s="7" t="n">
        <v>23574.72</v>
      </c>
      <c r="E1568" s="7" t="n">
        <v>23586.99</v>
      </c>
      <c r="F1568" s="7" t="n">
        <v>7727</v>
      </c>
      <c r="G1568" s="7" t="n">
        <f aca="false">AVERAGE(E1564:E1568)</f>
        <v>23967.832</v>
      </c>
      <c r="H1568" s="7" t="n">
        <f aca="false">AVERAGE(E1559:E1568)</f>
        <v>24243.602</v>
      </c>
      <c r="I1568" s="7" t="n">
        <f aca="false">AVERAGE(E1549:E1568)</f>
        <v>24564.408</v>
      </c>
      <c r="J1568" s="7" t="n">
        <f aca="false">AVERAGE(E1519:E1568)</f>
        <v>24969.0192</v>
      </c>
      <c r="K1568" s="7" t="n">
        <f aca="false">AVERAGE(E1469:E1568)</f>
        <v>25152.3438</v>
      </c>
      <c r="L1568" s="7" t="n">
        <f aca="false">AVERAGE(E1369:E1568)</f>
        <v>24404.71665</v>
      </c>
      <c r="M1568" s="7" t="n">
        <f aca="false">I1568</f>
        <v>24564.408</v>
      </c>
      <c r="N1568" s="7" t="n">
        <f aca="false">I1568+2*STDEV(E1549:E1568)</f>
        <v>25423.4181395787</v>
      </c>
      <c r="O1568" s="7" t="n">
        <f aca="false">I1568-2*STDEV(E1549:E1568)</f>
        <v>23705.3978604213</v>
      </c>
      <c r="P1568" s="7" t="n">
        <f aca="false">MAX(E1568-E1567,0)</f>
        <v>0</v>
      </c>
      <c r="Q1568" s="7" t="n">
        <f aca="false">MAX(E1567-E1568,0)</f>
        <v>575.989999999998</v>
      </c>
      <c r="R1568" s="7" t="n">
        <f aca="false">(R1567*13+P1568)/14</f>
        <v>86.7096543126659</v>
      </c>
      <c r="S1568" s="7" t="n">
        <f aca="false">(S1567*13+Q1568)/14</f>
        <v>162.473177598442</v>
      </c>
      <c r="T1568" s="7" t="n">
        <f aca="false">IF(S1568=0,100,100-100/(1+R1568/S1568))</f>
        <v>34.7976036902889</v>
      </c>
      <c r="U1568" s="7" t="n">
        <f aca="false">E1568*2/13+U1567*11/13</f>
        <v>24257.9880453647</v>
      </c>
      <c r="V1568" s="7" t="n">
        <f aca="false">E1568*2/27+V1567*25/27</f>
        <v>24556.6446623776</v>
      </c>
      <c r="W1568" s="7" t="n">
        <f aca="false">U1568-V1568</f>
        <v>-298.656617012839</v>
      </c>
      <c r="X1568" s="7" t="n">
        <f aca="false">W1568*2/10+X1567*8/10</f>
        <v>-217.941429201966</v>
      </c>
      <c r="Y1568" s="7" t="n">
        <f aca="false">W1568-X1568</f>
        <v>-80.7151878108726</v>
      </c>
      <c r="Z1568" s="7" t="s">
        <v>78</v>
      </c>
      <c r="AA1568" s="7" t="str">
        <f aca="false">IFERROR(INDEX(02_轉折點45!B:B,MATCH(A1568,02_轉折點45!A:A,0)),"")</f>
        <v/>
      </c>
      <c r="AB1568" s="7" t="n">
        <f aca="false">COUNTIFS(05_訊號明細!A:A,A1568,05_訊號明細!C:C,"TOP")</f>
        <v>0</v>
      </c>
      <c r="AC1568" s="7" t="n">
        <f aca="false">COUNTIFS(05_訊號明細!A:A,A1568,05_訊號明細!C:C,"BOTTOM")</f>
        <v>0</v>
      </c>
    </row>
    <row r="1569" customFormat="false" ht="15" hidden="false" customHeight="false" outlineLevel="0" collapsed="false">
      <c r="A1569" s="7" t="s">
        <v>1610</v>
      </c>
      <c r="B1569" s="7" t="n">
        <v>23463.74</v>
      </c>
      <c r="C1569" s="7" t="n">
        <v>23472.89</v>
      </c>
      <c r="D1569" s="7" t="n">
        <v>23088.99</v>
      </c>
      <c r="E1569" s="7" t="n">
        <v>23132.77</v>
      </c>
      <c r="F1569" s="7" t="n">
        <v>8713</v>
      </c>
      <c r="G1569" s="7" t="n">
        <f aca="false">AVERAGE(E1565:E1569)</f>
        <v>23814.756</v>
      </c>
      <c r="H1569" s="7" t="n">
        <f aca="false">AVERAGE(E1560:E1569)</f>
        <v>24118.806</v>
      </c>
      <c r="I1569" s="7" t="n">
        <f aca="false">AVERAGE(E1550:E1569)</f>
        <v>24473.0445</v>
      </c>
      <c r="J1569" s="7" t="n">
        <f aca="false">AVERAGE(E1520:E1569)</f>
        <v>24922.3558</v>
      </c>
      <c r="K1569" s="7" t="n">
        <f aca="false">AVERAGE(E1470:E1569)</f>
        <v>25125.0902</v>
      </c>
      <c r="L1569" s="7" t="n">
        <f aca="false">AVERAGE(E1370:E1569)</f>
        <v>24410.6709</v>
      </c>
      <c r="M1569" s="7" t="n">
        <f aca="false">I1569</f>
        <v>24473.0445</v>
      </c>
      <c r="N1569" s="7" t="n">
        <f aca="false">I1569+2*STDEV(E1550:E1569)</f>
        <v>25522.468843001</v>
      </c>
      <c r="O1569" s="7" t="n">
        <f aca="false">I1569-2*STDEV(E1550:E1569)</f>
        <v>23423.620156999</v>
      </c>
      <c r="P1569" s="7" t="n">
        <f aca="false">MAX(E1569-E1568,0)</f>
        <v>0</v>
      </c>
      <c r="Q1569" s="7" t="n">
        <f aca="false">MAX(E1568-E1569,0)</f>
        <v>454.220000000001</v>
      </c>
      <c r="R1569" s="7" t="n">
        <f aca="false">(R1568*13+P1569)/14</f>
        <v>80.5161075760469</v>
      </c>
      <c r="S1569" s="7" t="n">
        <f aca="false">(S1568*13+Q1569)/14</f>
        <v>183.31223634141</v>
      </c>
      <c r="T1569" s="7" t="n">
        <f aca="false">IF(S1569=0,100,100-100/(1+R1569/S1569))</f>
        <v>30.5183690199858</v>
      </c>
      <c r="U1569" s="7" t="n">
        <f aca="false">E1569*2/13+U1568*11/13</f>
        <v>24084.8775768471</v>
      </c>
      <c r="V1569" s="7" t="n">
        <f aca="false">E1569*2/27+V1568*25/27</f>
        <v>24451.1724651644</v>
      </c>
      <c r="W1569" s="7" t="n">
        <f aca="false">U1569-V1569</f>
        <v>-366.29488831733</v>
      </c>
      <c r="X1569" s="7" t="n">
        <f aca="false">W1569*2/10+X1568*8/10</f>
        <v>-247.612121025039</v>
      </c>
      <c r="Y1569" s="7" t="n">
        <f aca="false">W1569-X1569</f>
        <v>-118.682767292291</v>
      </c>
      <c r="Z1569" s="7" t="s">
        <v>78</v>
      </c>
      <c r="AA1569" s="7" t="str">
        <f aca="false">IFERROR(INDEX(02_轉折點45!B:B,MATCH(A1569,02_轉折點45!A:A,0)),"")</f>
        <v/>
      </c>
      <c r="AB1569" s="7" t="n">
        <f aca="false">COUNTIFS(05_訊號明細!A:A,A1569,05_訊號明細!C:C,"TOP")</f>
        <v>1</v>
      </c>
      <c r="AC1569" s="7" t="n">
        <f aca="false">COUNTIFS(05_訊號明細!A:A,A1569,05_訊號明細!C:C,"BOTTOM")</f>
        <v>0</v>
      </c>
    </row>
    <row r="1570" customFormat="false" ht="15" hidden="false" customHeight="false" outlineLevel="0" collapsed="false">
      <c r="A1570" s="7" t="s">
        <v>1611</v>
      </c>
      <c r="B1570" s="7" t="n">
        <v>23307.75</v>
      </c>
      <c r="C1570" s="7" t="n">
        <v>23356.75</v>
      </c>
      <c r="D1570" s="7" t="n">
        <v>22841.42</v>
      </c>
      <c r="E1570" s="7" t="n">
        <v>22953.38</v>
      </c>
      <c r="F1570" s="7" t="n">
        <v>9234</v>
      </c>
      <c r="G1570" s="7" t="n">
        <f aca="false">AVERAGE(E1566:E1570)</f>
        <v>23567.714</v>
      </c>
      <c r="H1570" s="7" t="n">
        <f aca="false">AVERAGE(E1561:E1570)</f>
        <v>23948.61</v>
      </c>
      <c r="I1570" s="7" t="n">
        <f aca="false">AVERAGE(E1551:E1570)</f>
        <v>24371.0835</v>
      </c>
      <c r="J1570" s="7" t="n">
        <f aca="false">AVERAGE(E1521:E1570)</f>
        <v>24870.482</v>
      </c>
      <c r="K1570" s="7" t="n">
        <f aca="false">AVERAGE(E1471:E1570)</f>
        <v>25094.8946</v>
      </c>
      <c r="L1570" s="7" t="n">
        <f aca="false">AVERAGE(E1371:E1570)</f>
        <v>24416.1338</v>
      </c>
      <c r="M1570" s="7" t="n">
        <f aca="false">I1570</f>
        <v>24371.0835</v>
      </c>
      <c r="N1570" s="7" t="n">
        <f aca="false">I1570+2*STDEV(E1551:E1570)</f>
        <v>25590.458297531</v>
      </c>
      <c r="O1570" s="7" t="n">
        <f aca="false">I1570-2*STDEV(E1551:E1570)</f>
        <v>23151.708702469</v>
      </c>
      <c r="P1570" s="7" t="n">
        <f aca="false">MAX(E1570-E1569,0)</f>
        <v>0</v>
      </c>
      <c r="Q1570" s="7" t="n">
        <f aca="false">MAX(E1569-E1570,0)</f>
        <v>179.389999999999</v>
      </c>
      <c r="R1570" s="7" t="n">
        <f aca="false">(R1569*13+P1570)/14</f>
        <v>74.7649570349007</v>
      </c>
      <c r="S1570" s="7" t="n">
        <f aca="false">(S1569*13+Q1570)/14</f>
        <v>183.032076602738</v>
      </c>
      <c r="T1570" s="7" t="n">
        <f aca="false">IF(S1570=0,100,100-100/(1+R1570/S1570))</f>
        <v>29.0014807307639</v>
      </c>
      <c r="U1570" s="7" t="n">
        <f aca="false">E1570*2/13+U1569*11/13</f>
        <v>23910.8010265629</v>
      </c>
      <c r="V1570" s="7" t="n">
        <f aca="false">E1570*2/27+V1569*25/27</f>
        <v>24340.2248751522</v>
      </c>
      <c r="W1570" s="7" t="n">
        <f aca="false">U1570-V1570</f>
        <v>-429.423848589318</v>
      </c>
      <c r="X1570" s="7" t="n">
        <f aca="false">W1570*2/10+X1569*8/10</f>
        <v>-283.974466537895</v>
      </c>
      <c r="Y1570" s="7" t="n">
        <f aca="false">W1570-X1570</f>
        <v>-145.449382051423</v>
      </c>
      <c r="Z1570" s="7" t="s">
        <v>78</v>
      </c>
      <c r="AA1570" s="7" t="str">
        <f aca="false">IFERROR(INDEX(02_轉折點45!B:B,MATCH(A1570,02_轉折點45!A:A,0)),"")</f>
        <v/>
      </c>
      <c r="AB1570" s="7" t="n">
        <f aca="false">COUNTIFS(05_訊號明細!A:A,A1570,05_訊號明細!C:C,"TOP")</f>
        <v>0</v>
      </c>
      <c r="AC1570" s="7" t="n">
        <f aca="false">COUNTIFS(05_訊號明細!A:A,A1570,05_訊號明細!C:C,"BOTTOM")</f>
        <v>0</v>
      </c>
    </row>
    <row r="1571" customFormat="false" ht="15" hidden="false" customHeight="false" outlineLevel="0" collapsed="false">
      <c r="A1571" s="7" t="s">
        <v>1612</v>
      </c>
      <c r="B1571" s="7" t="n">
        <v>23208</v>
      </c>
      <c r="C1571" s="7" t="n">
        <v>23789.6</v>
      </c>
      <c r="D1571" s="7" t="n">
        <v>23198.64</v>
      </c>
      <c r="E1571" s="7" t="n">
        <v>23740.19</v>
      </c>
      <c r="F1571" s="7" t="n">
        <v>10645</v>
      </c>
      <c r="G1571" s="7" t="n">
        <f aca="false">AVERAGE(E1567:E1571)</f>
        <v>23515.262</v>
      </c>
      <c r="H1571" s="7" t="n">
        <f aca="false">AVERAGE(E1562:E1571)</f>
        <v>23844.587</v>
      </c>
      <c r="I1571" s="7" t="n">
        <f aca="false">AVERAGE(E1552:E1571)</f>
        <v>24322.089</v>
      </c>
      <c r="J1571" s="7" t="n">
        <f aca="false">AVERAGE(E1522:E1571)</f>
        <v>24834.7006</v>
      </c>
      <c r="K1571" s="7" t="n">
        <f aca="false">AVERAGE(E1472:E1571)</f>
        <v>25077.9395</v>
      </c>
      <c r="L1571" s="7" t="n">
        <f aca="false">AVERAGE(E1372:E1571)</f>
        <v>24425.26815</v>
      </c>
      <c r="M1571" s="7" t="n">
        <f aca="false">I1571</f>
        <v>24322.089</v>
      </c>
      <c r="N1571" s="7" t="n">
        <f aca="false">I1571+2*STDEV(E1552:E1571)</f>
        <v>25561.0082735929</v>
      </c>
      <c r="O1571" s="7" t="n">
        <f aca="false">I1571-2*STDEV(E1552:E1571)</f>
        <v>23083.1697264071</v>
      </c>
      <c r="P1571" s="7" t="n">
        <f aca="false">MAX(E1571-E1570,0)</f>
        <v>786.809999999998</v>
      </c>
      <c r="Q1571" s="7" t="n">
        <f aca="false">MAX(E1570-E1571,0)</f>
        <v>0</v>
      </c>
      <c r="R1571" s="7" t="n">
        <f aca="false">(R1570*13+P1571)/14</f>
        <v>125.625317246693</v>
      </c>
      <c r="S1571" s="7" t="n">
        <f aca="false">(S1570*13+Q1571)/14</f>
        <v>169.9583568454</v>
      </c>
      <c r="T1571" s="7" t="n">
        <f aca="false">IF(S1571=0,100,100-100/(1+R1571/S1571))</f>
        <v>42.5007631536352</v>
      </c>
      <c r="U1571" s="7" t="n">
        <f aca="false">E1571*2/13+U1570*11/13</f>
        <v>23884.5531763225</v>
      </c>
      <c r="V1571" s="7" t="n">
        <f aca="false">E1571*2/27+V1570*25/27</f>
        <v>24295.7778473632</v>
      </c>
      <c r="W1571" s="7" t="n">
        <f aca="false">U1571-V1571</f>
        <v>-411.224671040716</v>
      </c>
      <c r="X1571" s="7" t="n">
        <f aca="false">W1571*2/10+X1570*8/10</f>
        <v>-309.424507438459</v>
      </c>
      <c r="Y1571" s="7" t="n">
        <f aca="false">W1571-X1571</f>
        <v>-101.800163602257</v>
      </c>
      <c r="Z1571" s="7" t="s">
        <v>78</v>
      </c>
      <c r="AA1571" s="7" t="str">
        <f aca="false">IFERROR(INDEX(02_轉折點45!B:B,MATCH(A1571,02_轉折點45!A:A,0)),"")</f>
        <v/>
      </c>
      <c r="AB1571" s="7" t="n">
        <f aca="false">COUNTIFS(05_訊號明細!A:A,A1571,05_訊號明細!C:C,"TOP")</f>
        <v>0</v>
      </c>
      <c r="AC1571" s="7" t="n">
        <f aca="false">COUNTIFS(05_訊號明細!A:A,A1571,05_訊號明細!C:C,"BOTTOM")</f>
        <v>0</v>
      </c>
    </row>
    <row r="1572" customFormat="false" ht="15" hidden="false" customHeight="false" outlineLevel="0" collapsed="false">
      <c r="A1572" s="7" t="s">
        <v>1613</v>
      </c>
      <c r="B1572" s="7" t="n">
        <v>23883.29</v>
      </c>
      <c r="C1572" s="7" t="n">
        <v>24162.68</v>
      </c>
      <c r="D1572" s="7" t="n">
        <v>23871.61</v>
      </c>
      <c r="E1572" s="7" t="n">
        <v>24019.99</v>
      </c>
      <c r="F1572" s="7" t="n">
        <v>8802</v>
      </c>
      <c r="G1572" s="7" t="n">
        <f aca="false">AVERAGE(E1568:E1572)</f>
        <v>23486.664</v>
      </c>
      <c r="H1572" s="7" t="n">
        <f aca="false">AVERAGE(E1563:E1572)</f>
        <v>23804.077</v>
      </c>
      <c r="I1572" s="7" t="n">
        <f aca="false">AVERAGE(E1553:E1572)</f>
        <v>24268.4045</v>
      </c>
      <c r="J1572" s="7" t="n">
        <f aca="false">AVERAGE(E1523:E1572)</f>
        <v>24815.349</v>
      </c>
      <c r="K1572" s="7" t="n">
        <f aca="false">AVERAGE(E1473:E1572)</f>
        <v>25061.9391</v>
      </c>
      <c r="L1572" s="7" t="n">
        <f aca="false">AVERAGE(E1373:E1572)</f>
        <v>24437.2129</v>
      </c>
      <c r="M1572" s="7" t="n">
        <f aca="false">I1572</f>
        <v>24268.4045</v>
      </c>
      <c r="N1572" s="7" t="n">
        <f aca="false">I1572+2*STDEV(E1553:E1572)</f>
        <v>25458.6406742192</v>
      </c>
      <c r="O1572" s="7" t="n">
        <f aca="false">I1572-2*STDEV(E1553:E1572)</f>
        <v>23078.1683257808</v>
      </c>
      <c r="P1572" s="7" t="n">
        <f aca="false">MAX(E1572-E1571,0)</f>
        <v>279.800000000003</v>
      </c>
      <c r="Q1572" s="7" t="n">
        <f aca="false">MAX(E1571-E1572,0)</f>
        <v>0</v>
      </c>
      <c r="R1572" s="7" t="n">
        <f aca="false">(R1571*13+P1572)/14</f>
        <v>136.637794586215</v>
      </c>
      <c r="S1572" s="7" t="n">
        <f aca="false">(S1571*13+Q1572)/14</f>
        <v>157.818474213585</v>
      </c>
      <c r="T1572" s="7" t="n">
        <f aca="false">IF(S1572=0,100,100-100/(1+R1572/S1572))</f>
        <v>46.4034252499188</v>
      </c>
      <c r="U1572" s="7" t="n">
        <f aca="false">E1572*2/13+U1571*11/13</f>
        <v>23905.3896107344</v>
      </c>
      <c r="V1572" s="7" t="n">
        <f aca="false">E1572*2/27+V1571*25/27</f>
        <v>24275.3491179289</v>
      </c>
      <c r="W1572" s="7" t="n">
        <f aca="false">U1572-V1572</f>
        <v>-369.959507194479</v>
      </c>
      <c r="X1572" s="7" t="n">
        <f aca="false">W1572*2/10+X1571*8/10</f>
        <v>-321.531507389663</v>
      </c>
      <c r="Y1572" s="7" t="n">
        <f aca="false">W1572-X1572</f>
        <v>-48.4279998048156</v>
      </c>
      <c r="Z1572" s="7" t="s">
        <v>78</v>
      </c>
      <c r="AA1572" s="7" t="str">
        <f aca="false">IFERROR(INDEX(02_轉折點45!B:B,MATCH(A1572,02_轉折點45!A:A,0)),"")</f>
        <v/>
      </c>
      <c r="AB1572" s="7" t="n">
        <f aca="false">COUNTIFS(05_訊號明細!A:A,A1572,05_訊號明細!C:C,"TOP")</f>
        <v>0</v>
      </c>
      <c r="AC1572" s="7" t="n">
        <f aca="false">COUNTIFS(05_訊號明細!A:A,A1572,05_訊號明細!C:C,"BOTTOM")</f>
        <v>0</v>
      </c>
    </row>
    <row r="1573" customFormat="false" ht="15" hidden="false" customHeight="false" outlineLevel="0" collapsed="false">
      <c r="A1573" s="7" t="s">
        <v>1614</v>
      </c>
      <c r="B1573" s="7" t="n">
        <v>23621.73</v>
      </c>
      <c r="C1573" s="7" t="n">
        <v>24076.35</v>
      </c>
      <c r="D1573" s="7" t="n">
        <v>23512.6</v>
      </c>
      <c r="E1573" s="7" t="n">
        <v>24045.53</v>
      </c>
      <c r="F1573" s="7" t="n">
        <v>8135</v>
      </c>
      <c r="G1573" s="7" t="n">
        <f aca="false">AVERAGE(E1569:E1573)</f>
        <v>23578.372</v>
      </c>
      <c r="H1573" s="7" t="n">
        <f aca="false">AVERAGE(E1564:E1573)</f>
        <v>23773.102</v>
      </c>
      <c r="I1573" s="7" t="n">
        <f aca="false">AVERAGE(E1554:E1573)</f>
        <v>24219.6605</v>
      </c>
      <c r="J1573" s="7" t="n">
        <f aca="false">AVERAGE(E1524:E1573)</f>
        <v>24789.728</v>
      </c>
      <c r="K1573" s="7" t="n">
        <f aca="false">AVERAGE(E1474:E1573)</f>
        <v>25051.094</v>
      </c>
      <c r="L1573" s="7" t="n">
        <f aca="false">AVERAGE(E1374:E1573)</f>
        <v>24447.7527</v>
      </c>
      <c r="M1573" s="7" t="n">
        <f aca="false">I1573</f>
        <v>24219.6605</v>
      </c>
      <c r="N1573" s="7" t="n">
        <f aca="false">I1573+2*STDEV(E1554:E1573)</f>
        <v>25358.9849937238</v>
      </c>
      <c r="O1573" s="7" t="n">
        <f aca="false">I1573-2*STDEV(E1554:E1573)</f>
        <v>23080.3360062762</v>
      </c>
      <c r="P1573" s="7" t="n">
        <f aca="false">MAX(E1573-E1572,0)</f>
        <v>25.5399999999972</v>
      </c>
      <c r="Q1573" s="7" t="n">
        <f aca="false">MAX(E1572-E1573,0)</f>
        <v>0</v>
      </c>
      <c r="R1573" s="7" t="n">
        <f aca="false">(R1572*13+P1573)/14</f>
        <v>128.702237830057</v>
      </c>
      <c r="S1573" s="7" t="n">
        <f aca="false">(S1572*13+Q1573)/14</f>
        <v>146.545726055472</v>
      </c>
      <c r="T1573" s="7" t="n">
        <f aca="false">IF(S1573=0,100,100-100/(1+R1573/S1573))</f>
        <v>46.7586520943646</v>
      </c>
      <c r="U1573" s="7" t="n">
        <f aca="false">E1573*2/13+U1572*11/13</f>
        <v>23926.9496706214</v>
      </c>
      <c r="V1573" s="7" t="n">
        <f aca="false">E1573*2/27+V1572*25/27</f>
        <v>24258.3254795638</v>
      </c>
      <c r="W1573" s="7" t="n">
        <f aca="false">U1573-V1573</f>
        <v>-331.375808942365</v>
      </c>
      <c r="X1573" s="7" t="n">
        <f aca="false">W1573*2/10+X1572*8/10</f>
        <v>-323.500367700203</v>
      </c>
      <c r="Y1573" s="7" t="n">
        <f aca="false">W1573-X1573</f>
        <v>-7.87544124216117</v>
      </c>
      <c r="Z1573" s="7" t="s">
        <v>78</v>
      </c>
      <c r="AA1573" s="7" t="str">
        <f aca="false">IFERROR(INDEX(02_轉折點45!B:B,MATCH(A1573,02_轉折點45!A:A,0)),"")</f>
        <v/>
      </c>
      <c r="AB1573" s="7" t="n">
        <f aca="false">COUNTIFS(05_訊號明細!A:A,A1573,05_訊號明細!C:C,"TOP")</f>
        <v>0</v>
      </c>
      <c r="AC1573" s="7" t="n">
        <f aca="false">COUNTIFS(05_訊號明細!A:A,A1573,05_訊號明細!C:C,"BOTTOM")</f>
        <v>0</v>
      </c>
    </row>
    <row r="1574" customFormat="false" ht="15" hidden="false" customHeight="false" outlineLevel="0" collapsed="false">
      <c r="A1574" s="7" t="s">
        <v>1615</v>
      </c>
      <c r="B1574" s="7" t="n">
        <v>24143.02</v>
      </c>
      <c r="C1574" s="7" t="n">
        <v>24265.14</v>
      </c>
      <c r="D1574" s="7" t="n">
        <v>24039.03</v>
      </c>
      <c r="E1574" s="7" t="n">
        <v>24192.17</v>
      </c>
      <c r="F1574" s="7" t="n">
        <v>7907</v>
      </c>
      <c r="G1574" s="7" t="n">
        <f aca="false">AVERAGE(E1570:E1574)</f>
        <v>23790.252</v>
      </c>
      <c r="H1574" s="7" t="n">
        <f aca="false">AVERAGE(E1565:E1574)</f>
        <v>23802.504</v>
      </c>
      <c r="I1574" s="7" t="n">
        <f aca="false">AVERAGE(E1555:E1574)</f>
        <v>24197.118</v>
      </c>
      <c r="J1574" s="7" t="n">
        <f aca="false">AVERAGE(E1525:E1574)</f>
        <v>24763.2044</v>
      </c>
      <c r="K1574" s="7" t="n">
        <f aca="false">AVERAGE(E1475:E1574)</f>
        <v>25042.4176</v>
      </c>
      <c r="L1574" s="7" t="n">
        <f aca="false">AVERAGE(E1375:E1574)</f>
        <v>24460.11815</v>
      </c>
      <c r="M1574" s="7" t="n">
        <f aca="false">I1574</f>
        <v>24197.118</v>
      </c>
      <c r="N1574" s="7" t="n">
        <f aca="false">I1574+2*STDEV(E1555:E1574)</f>
        <v>25318.8784219046</v>
      </c>
      <c r="O1574" s="7" t="n">
        <f aca="false">I1574-2*STDEV(E1555:E1574)</f>
        <v>23075.3575780954</v>
      </c>
      <c r="P1574" s="7" t="n">
        <f aca="false">MAX(E1574-E1573,0)</f>
        <v>146.639999999999</v>
      </c>
      <c r="Q1574" s="7" t="n">
        <f aca="false">MAX(E1573-E1574,0)</f>
        <v>0</v>
      </c>
      <c r="R1574" s="7" t="n">
        <f aca="false">(R1573*13+P1574)/14</f>
        <v>129.983506556481</v>
      </c>
      <c r="S1574" s="7" t="n">
        <f aca="false">(S1573*13+Q1574)/14</f>
        <v>136.078174194367</v>
      </c>
      <c r="T1574" s="7" t="n">
        <f aca="false">IF(S1574=0,100,100-100/(1+R1574/S1574))</f>
        <v>48.8546513686815</v>
      </c>
      <c r="U1574" s="7" t="n">
        <f aca="false">E1574*2/13+U1573*11/13</f>
        <v>23967.7527982181</v>
      </c>
      <c r="V1574" s="7" t="n">
        <f aca="false">E1574*2/27+V1573*25/27</f>
        <v>24253.4250736702</v>
      </c>
      <c r="W1574" s="7" t="n">
        <f aca="false">U1574-V1574</f>
        <v>-285.672275452045</v>
      </c>
      <c r="X1574" s="7" t="n">
        <f aca="false">W1574*2/10+X1573*8/10</f>
        <v>-315.934749250572</v>
      </c>
      <c r="Y1574" s="7" t="n">
        <f aca="false">W1574-X1574</f>
        <v>30.2624737985266</v>
      </c>
      <c r="Z1574" s="7" t="s">
        <v>78</v>
      </c>
      <c r="AA1574" s="7" t="str">
        <f aca="false">IFERROR(INDEX(02_轉折點45!B:B,MATCH(A1574,02_轉折點45!A:A,0)),"")</f>
        <v/>
      </c>
      <c r="AB1574" s="7" t="n">
        <f aca="false">COUNTIFS(05_訊號明細!A:A,A1574,05_訊號明細!C:C,"TOP")</f>
        <v>0</v>
      </c>
      <c r="AC1574" s="7" t="n">
        <f aca="false">COUNTIFS(05_訊號明細!A:A,A1574,05_訊號明細!C:C,"BOTTOM")</f>
        <v>0</v>
      </c>
    </row>
    <row r="1575" customFormat="false" ht="15" hidden="false" customHeight="false" outlineLevel="0" collapsed="false">
      <c r="A1575" s="7" t="s">
        <v>1616</v>
      </c>
      <c r="B1575" s="7" t="n">
        <v>24109.57</v>
      </c>
      <c r="C1575" s="7" t="n">
        <v>24209.28</v>
      </c>
      <c r="D1575" s="7" t="n">
        <v>23779.85</v>
      </c>
      <c r="E1575" s="7" t="n">
        <v>24202.37</v>
      </c>
      <c r="F1575" s="7" t="n">
        <v>10796</v>
      </c>
      <c r="G1575" s="7" t="n">
        <f aca="false">AVERAGE(E1571:E1575)</f>
        <v>24040.05</v>
      </c>
      <c r="H1575" s="7" t="n">
        <f aca="false">AVERAGE(E1566:E1575)</f>
        <v>23803.882</v>
      </c>
      <c r="I1575" s="7" t="n">
        <f aca="false">AVERAGE(E1556:E1575)</f>
        <v>24158.874</v>
      </c>
      <c r="J1575" s="7" t="n">
        <f aca="false">AVERAGE(E1526:E1575)</f>
        <v>24735.1424</v>
      </c>
      <c r="K1575" s="7" t="n">
        <f aca="false">AVERAGE(E1476:E1575)</f>
        <v>25028.3239</v>
      </c>
      <c r="L1575" s="7" t="n">
        <f aca="false">AVERAGE(E1376:E1575)</f>
        <v>24472.53155</v>
      </c>
      <c r="M1575" s="7" t="n">
        <f aca="false">I1575</f>
        <v>24158.874</v>
      </c>
      <c r="N1575" s="7" t="n">
        <f aca="false">I1575+2*STDEV(E1556:E1575)</f>
        <v>25220.6320084171</v>
      </c>
      <c r="O1575" s="7" t="n">
        <f aca="false">I1575-2*STDEV(E1556:E1575)</f>
        <v>23097.1159915829</v>
      </c>
      <c r="P1575" s="7" t="n">
        <f aca="false">MAX(E1575-E1574,0)</f>
        <v>10.2000000000007</v>
      </c>
      <c r="Q1575" s="7" t="n">
        <f aca="false">MAX(E1574-E1575,0)</f>
        <v>0</v>
      </c>
      <c r="R1575" s="7" t="n">
        <f aca="false">(R1574*13+P1575)/14</f>
        <v>121.427541802447</v>
      </c>
      <c r="S1575" s="7" t="n">
        <f aca="false">(S1574*13+Q1575)/14</f>
        <v>126.358304609055</v>
      </c>
      <c r="T1575" s="7" t="n">
        <f aca="false">IF(S1575=0,100,100-100/(1+R1575/S1575))</f>
        <v>49.0050354211073</v>
      </c>
      <c r="U1575" s="7" t="n">
        <f aca="false">E1575*2/13+U1574*11/13</f>
        <v>24003.8477523384</v>
      </c>
      <c r="V1575" s="7" t="n">
        <f aca="false">E1575*2/27+V1574*25/27</f>
        <v>24249.6432163613</v>
      </c>
      <c r="W1575" s="7" t="n">
        <f aca="false">U1575-V1575</f>
        <v>-245.795464022856</v>
      </c>
      <c r="X1575" s="7" t="n">
        <f aca="false">W1575*2/10+X1574*8/10</f>
        <v>-301.906892205029</v>
      </c>
      <c r="Y1575" s="7" t="n">
        <f aca="false">W1575-X1575</f>
        <v>56.1114281821724</v>
      </c>
      <c r="Z1575" s="7" t="s">
        <v>78</v>
      </c>
      <c r="AA1575" s="7" t="str">
        <f aca="false">IFERROR(INDEX(02_轉折點45!B:B,MATCH(A1575,02_轉折點45!A:A,0)),"")</f>
        <v/>
      </c>
      <c r="AB1575" s="7" t="n">
        <f aca="false">COUNTIFS(05_訊號明細!A:A,A1575,05_訊號明細!C:C,"TOP")</f>
        <v>0</v>
      </c>
      <c r="AC1575" s="7" t="n">
        <f aca="false">COUNTIFS(05_訊號明細!A:A,A1575,05_訊號明細!C:C,"BOTTOM")</f>
        <v>0</v>
      </c>
    </row>
    <row r="1576" customFormat="false" ht="15" hidden="false" customHeight="false" outlineLevel="0" collapsed="false">
      <c r="A1576" s="7" t="s">
        <v>1617</v>
      </c>
      <c r="B1576" s="7" t="n">
        <v>25045.36</v>
      </c>
      <c r="C1576" s="7" t="n">
        <v>25045.36</v>
      </c>
      <c r="D1576" s="7" t="n">
        <v>24756.93</v>
      </c>
      <c r="E1576" s="7" t="n">
        <v>24903.17</v>
      </c>
      <c r="F1576" s="7" t="n">
        <v>10412</v>
      </c>
      <c r="G1576" s="7" t="n">
        <f aca="false">AVERAGE(E1572:E1576)</f>
        <v>24272.646</v>
      </c>
      <c r="H1576" s="7" t="n">
        <f aca="false">AVERAGE(E1567:E1576)</f>
        <v>23893.954</v>
      </c>
      <c r="I1576" s="7" t="n">
        <f aca="false">AVERAGE(E1557:E1576)</f>
        <v>24156.209</v>
      </c>
      <c r="J1576" s="7" t="n">
        <f aca="false">AVERAGE(E1527:E1576)</f>
        <v>24718.9416</v>
      </c>
      <c r="K1576" s="7" t="n">
        <f aca="false">AVERAGE(E1477:E1576)</f>
        <v>25022.0207</v>
      </c>
      <c r="L1576" s="7" t="n">
        <f aca="false">AVERAGE(E1377:E1576)</f>
        <v>24488.91545</v>
      </c>
      <c r="M1576" s="7" t="n">
        <f aca="false">I1576</f>
        <v>24156.209</v>
      </c>
      <c r="N1576" s="7" t="n">
        <f aca="false">I1576+2*STDEV(E1557:E1576)</f>
        <v>25209.773669609</v>
      </c>
      <c r="O1576" s="7" t="n">
        <f aca="false">I1576-2*STDEV(E1557:E1576)</f>
        <v>23102.644330391</v>
      </c>
      <c r="P1576" s="7" t="n">
        <f aca="false">MAX(E1576-E1575,0)</f>
        <v>700.799999999999</v>
      </c>
      <c r="Q1576" s="7" t="n">
        <f aca="false">MAX(E1575-E1576,0)</f>
        <v>0</v>
      </c>
      <c r="R1576" s="7" t="n">
        <f aca="false">(R1575*13+P1576)/14</f>
        <v>162.811288816558</v>
      </c>
      <c r="S1576" s="7" t="n">
        <f aca="false">(S1575*13+Q1576)/14</f>
        <v>117.332711422694</v>
      </c>
      <c r="T1576" s="7" t="n">
        <f aca="false">IF(S1576=0,100,100-100/(1+R1576/S1576))</f>
        <v>58.1170000705037</v>
      </c>
      <c r="U1576" s="7" t="n">
        <f aca="false">E1576*2/13+U1575*11/13</f>
        <v>24142.2050212094</v>
      </c>
      <c r="V1576" s="7" t="n">
        <f aca="false">E1576*2/27+V1575*25/27</f>
        <v>24298.0526077419</v>
      </c>
      <c r="W1576" s="7" t="n">
        <f aca="false">U1576-V1576</f>
        <v>-155.847586532491</v>
      </c>
      <c r="X1576" s="7" t="n">
        <f aca="false">W1576*2/10+X1575*8/10</f>
        <v>-272.695031070521</v>
      </c>
      <c r="Y1576" s="7" t="n">
        <f aca="false">W1576-X1576</f>
        <v>116.84744453803</v>
      </c>
      <c r="Z1576" s="8" t="s">
        <v>42</v>
      </c>
      <c r="AA1576" s="7" t="str">
        <f aca="false">IFERROR(INDEX(02_轉折點45!B:B,MATCH(A1576,02_轉折點45!A:A,0)),"")</f>
        <v/>
      </c>
      <c r="AB1576" s="7" t="n">
        <f aca="false">COUNTIFS(05_訊號明細!A:A,A1576,05_訊號明細!C:C,"TOP")</f>
        <v>1</v>
      </c>
      <c r="AC1576" s="7" t="n">
        <f aca="false">COUNTIFS(05_訊號明細!A:A,A1576,05_訊號明細!C:C,"BOTTOM")</f>
        <v>1</v>
      </c>
    </row>
    <row r="1577" customFormat="false" ht="15" hidden="false" customHeight="false" outlineLevel="0" collapsed="false">
      <c r="A1577" s="7" t="s">
        <v>1618</v>
      </c>
      <c r="B1577" s="7" t="n">
        <v>24918.28</v>
      </c>
      <c r="C1577" s="7" t="n">
        <v>25097.45</v>
      </c>
      <c r="D1577" s="7" t="n">
        <v>24788.92</v>
      </c>
      <c r="E1577" s="7" t="n">
        <v>25082.09</v>
      </c>
      <c r="F1577" s="7" t="n">
        <v>8662</v>
      </c>
      <c r="G1577" s="7" t="n">
        <f aca="false">AVERAGE(E1573:E1577)</f>
        <v>24485.066</v>
      </c>
      <c r="H1577" s="7" t="n">
        <f aca="false">AVERAGE(E1568:E1577)</f>
        <v>23985.865</v>
      </c>
      <c r="I1577" s="7" t="n">
        <f aca="false">AVERAGE(E1558:E1577)</f>
        <v>24162.063</v>
      </c>
      <c r="J1577" s="7" t="n">
        <f aca="false">AVERAGE(E1528:E1577)</f>
        <v>24701.7886</v>
      </c>
      <c r="K1577" s="7" t="n">
        <f aca="false">AVERAGE(E1478:E1577)</f>
        <v>25017.6683</v>
      </c>
      <c r="L1577" s="7" t="n">
        <f aca="false">AVERAGE(E1378:E1577)</f>
        <v>24505.04425</v>
      </c>
      <c r="M1577" s="7" t="n">
        <f aca="false">I1577</f>
        <v>24162.063</v>
      </c>
      <c r="N1577" s="7" t="n">
        <f aca="false">I1577+2*STDEV(E1558:E1577)</f>
        <v>25235.6604075602</v>
      </c>
      <c r="O1577" s="7" t="n">
        <f aca="false">I1577-2*STDEV(E1558:E1577)</f>
        <v>23088.4655924398</v>
      </c>
      <c r="P1577" s="7" t="n">
        <f aca="false">MAX(E1577-E1576,0)</f>
        <v>178.920000000002</v>
      </c>
      <c r="Q1577" s="7" t="n">
        <f aca="false">MAX(E1576-E1577,0)</f>
        <v>0</v>
      </c>
      <c r="R1577" s="7" t="n">
        <f aca="false">(R1576*13+P1577)/14</f>
        <v>163.961911043947</v>
      </c>
      <c r="S1577" s="7" t="n">
        <f aca="false">(S1576*13+Q1577)/14</f>
        <v>108.95180346393</v>
      </c>
      <c r="T1577" s="7" t="n">
        <f aca="false">IF(S1577=0,100,100-100/(1+R1577/S1577))</f>
        <v>60.0782966658916</v>
      </c>
      <c r="U1577" s="7" t="n">
        <f aca="false">E1577*2/13+U1576*11/13</f>
        <v>24286.8027102541</v>
      </c>
      <c r="V1577" s="7" t="n">
        <f aca="false">E1577*2/27+V1576*25/27</f>
        <v>24356.1294516129</v>
      </c>
      <c r="W1577" s="7" t="n">
        <f aca="false">U1577-V1577</f>
        <v>-69.3267413587601</v>
      </c>
      <c r="X1577" s="7" t="n">
        <f aca="false">W1577*2/10+X1576*8/10</f>
        <v>-232.021373128169</v>
      </c>
      <c r="Y1577" s="7" t="n">
        <f aca="false">W1577-X1577</f>
        <v>162.694631769409</v>
      </c>
      <c r="Z1577" s="8" t="s">
        <v>42</v>
      </c>
      <c r="AA1577" s="7" t="str">
        <f aca="false">IFERROR(INDEX(02_轉折點45!B:B,MATCH(A1577,02_轉折點45!A:A,0)),"")</f>
        <v/>
      </c>
      <c r="AB1577" s="7" t="n">
        <f aca="false">COUNTIFS(05_訊號明細!A:A,A1577,05_訊號明細!C:C,"TOP")</f>
        <v>0</v>
      </c>
      <c r="AC1577" s="7" t="n">
        <f aca="false">COUNTIFS(05_訊號明細!A:A,A1577,05_訊號明細!C:C,"BOTTOM")</f>
        <v>0</v>
      </c>
    </row>
    <row r="1578" customFormat="false" ht="15" hidden="false" customHeight="false" outlineLevel="0" collapsed="false">
      <c r="A1578" s="7" t="s">
        <v>1619</v>
      </c>
      <c r="B1578" s="7" t="n">
        <v>25165.06</v>
      </c>
      <c r="C1578" s="7" t="n">
        <v>25226.06</v>
      </c>
      <c r="D1578" s="7" t="n">
        <v>25057.65</v>
      </c>
      <c r="E1578" s="7" t="n">
        <v>25116.34</v>
      </c>
      <c r="F1578" s="7" t="n">
        <v>8701</v>
      </c>
      <c r="G1578" s="7" t="n">
        <f aca="false">AVERAGE(E1574:E1578)</f>
        <v>24699.228</v>
      </c>
      <c r="H1578" s="7" t="n">
        <f aca="false">AVERAGE(E1569:E1578)</f>
        <v>24138.8</v>
      </c>
      <c r="I1578" s="7" t="n">
        <f aca="false">AVERAGE(E1559:E1578)</f>
        <v>24191.201</v>
      </c>
      <c r="J1578" s="7" t="n">
        <f aca="false">AVERAGE(E1529:E1578)</f>
        <v>24683.6596</v>
      </c>
      <c r="K1578" s="7" t="n">
        <f aca="false">AVERAGE(E1479:E1578)</f>
        <v>25018.8971</v>
      </c>
      <c r="L1578" s="7" t="n">
        <f aca="false">AVERAGE(E1379:E1578)</f>
        <v>24519.67335</v>
      </c>
      <c r="M1578" s="7" t="n">
        <f aca="false">I1578</f>
        <v>24191.201</v>
      </c>
      <c r="N1578" s="7" t="n">
        <f aca="false">I1578+2*STDEV(E1559:E1578)</f>
        <v>25336.4928147819</v>
      </c>
      <c r="O1578" s="7" t="n">
        <f aca="false">I1578-2*STDEV(E1559:E1578)</f>
        <v>23045.9091852181</v>
      </c>
      <c r="P1578" s="7" t="n">
        <f aca="false">MAX(E1578-E1577,0)</f>
        <v>34.25</v>
      </c>
      <c r="Q1578" s="7" t="n">
        <f aca="false">MAX(E1577-E1578,0)</f>
        <v>0</v>
      </c>
      <c r="R1578" s="7" t="n">
        <f aca="false">(R1577*13+P1578)/14</f>
        <v>154.696774540808</v>
      </c>
      <c r="S1578" s="7" t="n">
        <f aca="false">(S1577*13+Q1578)/14</f>
        <v>101.169531787935</v>
      </c>
      <c r="T1578" s="7" t="n">
        <f aca="false">IF(S1578=0,100,100-100/(1+R1578/S1578))</f>
        <v>60.4600022411899</v>
      </c>
      <c r="U1578" s="7" t="n">
        <f aca="false">E1578*2/13+U1577*11/13</f>
        <v>24414.4238317535</v>
      </c>
      <c r="V1578" s="7" t="n">
        <f aca="false">E1578*2/27+V1577*25/27</f>
        <v>24412.441344086</v>
      </c>
      <c r="W1578" s="7" t="n">
        <f aca="false">U1578-V1578</f>
        <v>1.98248766748657</v>
      </c>
      <c r="X1578" s="7" t="n">
        <f aca="false">W1578*2/10+X1577*8/10</f>
        <v>-185.220600969038</v>
      </c>
      <c r="Y1578" s="7" t="n">
        <f aca="false">W1578-X1578</f>
        <v>187.203088636524</v>
      </c>
      <c r="Z1578" s="8" t="s">
        <v>42</v>
      </c>
      <c r="AA1578" s="7" t="str">
        <f aca="false">IFERROR(INDEX(02_轉折點45!B:B,MATCH(A1578,02_轉折點45!A:A,0)),"")</f>
        <v/>
      </c>
      <c r="AB1578" s="7" t="n">
        <f aca="false">COUNTIFS(05_訊號明細!A:A,A1578,05_訊號明細!C:C,"TOP")</f>
        <v>1</v>
      </c>
      <c r="AC1578" s="7" t="n">
        <f aca="false">COUNTIFS(05_訊號明細!A:A,A1578,05_訊號明細!C:C,"BOTTOM")</f>
        <v>0</v>
      </c>
    </row>
    <row r="1579" customFormat="false" ht="15" hidden="false" customHeight="false" outlineLevel="0" collapsed="false">
      <c r="A1579" s="7" t="s">
        <v>1620</v>
      </c>
      <c r="B1579" s="7" t="n">
        <v>25069.07</v>
      </c>
      <c r="C1579" s="7" t="n">
        <v>25387.69</v>
      </c>
      <c r="D1579" s="7" t="n">
        <v>24999.2</v>
      </c>
      <c r="E1579" s="7" t="n">
        <v>25383.72</v>
      </c>
      <c r="F1579" s="7" t="n">
        <v>7925</v>
      </c>
      <c r="G1579" s="7" t="n">
        <f aca="false">AVERAGE(E1575:E1579)</f>
        <v>24937.538</v>
      </c>
      <c r="H1579" s="7" t="n">
        <f aca="false">AVERAGE(E1570:E1579)</f>
        <v>24363.895</v>
      </c>
      <c r="I1579" s="7" t="n">
        <f aca="false">AVERAGE(E1560:E1579)</f>
        <v>24241.3505</v>
      </c>
      <c r="J1579" s="7" t="n">
        <f aca="false">AVERAGE(E1530:E1579)</f>
        <v>24673.648</v>
      </c>
      <c r="K1579" s="7" t="n">
        <f aca="false">AVERAGE(E1480:E1579)</f>
        <v>25022.6519</v>
      </c>
      <c r="L1579" s="7" t="n">
        <f aca="false">AVERAGE(E1380:E1579)</f>
        <v>24535.40325</v>
      </c>
      <c r="M1579" s="7" t="n">
        <f aca="false">I1579</f>
        <v>24241.3505</v>
      </c>
      <c r="N1579" s="7" t="n">
        <f aca="false">I1579+2*STDEV(E1560:E1579)</f>
        <v>25503.4643697727</v>
      </c>
      <c r="O1579" s="7" t="n">
        <f aca="false">I1579-2*STDEV(E1560:E1579)</f>
        <v>22979.2366302273</v>
      </c>
      <c r="P1579" s="7" t="n">
        <f aca="false">MAX(E1579-E1578,0)</f>
        <v>267.380000000001</v>
      </c>
      <c r="Q1579" s="7" t="n">
        <f aca="false">MAX(E1578-E1579,0)</f>
        <v>0</v>
      </c>
      <c r="R1579" s="7" t="n">
        <f aca="false">(R1578*13+P1579)/14</f>
        <v>162.745576359322</v>
      </c>
      <c r="S1579" s="7" t="n">
        <f aca="false">(S1578*13+Q1579)/14</f>
        <v>93.9431366602255</v>
      </c>
      <c r="T1579" s="7" t="n">
        <f aca="false">IF(S1579=0,100,100-100/(1+R1579/S1579))</f>
        <v>63.4019215121969</v>
      </c>
      <c r="U1579" s="7" t="n">
        <f aca="false">E1579*2/13+U1578*11/13</f>
        <v>24563.546319176</v>
      </c>
      <c r="V1579" s="7" t="n">
        <f aca="false">E1579*2/27+V1578*25/27</f>
        <v>24484.3879111907</v>
      </c>
      <c r="W1579" s="7" t="n">
        <f aca="false">U1579-V1579</f>
        <v>79.1584079852873</v>
      </c>
      <c r="X1579" s="7" t="n">
        <f aca="false">W1579*2/10+X1578*8/10</f>
        <v>-132.344799178173</v>
      </c>
      <c r="Y1579" s="7" t="n">
        <f aca="false">W1579-X1579</f>
        <v>211.50320716346</v>
      </c>
      <c r="Z1579" s="8" t="s">
        <v>42</v>
      </c>
      <c r="AA1579" s="7" t="str">
        <f aca="false">IFERROR(INDEX(02_轉折點45!B:B,MATCH(A1579,02_轉折點45!A:A,0)),"")</f>
        <v/>
      </c>
      <c r="AB1579" s="7" t="n">
        <f aca="false">COUNTIFS(05_訊號明細!A:A,A1579,05_訊號明細!C:C,"TOP")</f>
        <v>0</v>
      </c>
      <c r="AC1579" s="7" t="n">
        <f aca="false">COUNTIFS(05_訊號明細!A:A,A1579,05_訊號明細!C:C,"BOTTOM")</f>
        <v>0</v>
      </c>
    </row>
    <row r="1580" customFormat="false" ht="15" hidden="false" customHeight="false" outlineLevel="0" collapsed="false">
      <c r="A1580" s="7" t="s">
        <v>1621</v>
      </c>
      <c r="B1580" s="7" t="n">
        <v>25514.55</v>
      </c>
      <c r="C1580" s="7" t="n">
        <v>25842</v>
      </c>
      <c r="D1580" s="7" t="n">
        <v>25514.55</v>
      </c>
      <c r="E1580" s="7" t="n">
        <v>25842</v>
      </c>
      <c r="F1580" s="7" t="n">
        <v>9106</v>
      </c>
      <c r="G1580" s="7" t="n">
        <f aca="false">AVERAGE(E1576:E1580)</f>
        <v>25265.464</v>
      </c>
      <c r="H1580" s="7" t="n">
        <f aca="false">AVERAGE(E1571:E1580)</f>
        <v>24652.757</v>
      </c>
      <c r="I1580" s="7" t="n">
        <f aca="false">AVERAGE(E1561:E1580)</f>
        <v>24300.6835</v>
      </c>
      <c r="J1580" s="7" t="n">
        <f aca="false">AVERAGE(E1531:E1580)</f>
        <v>24679.4402</v>
      </c>
      <c r="K1580" s="7" t="n">
        <f aca="false">AVERAGE(E1481:E1580)</f>
        <v>25033.0727</v>
      </c>
      <c r="L1580" s="7" t="n">
        <f aca="false">AVERAGE(E1381:E1580)</f>
        <v>24552.3768</v>
      </c>
      <c r="M1580" s="7" t="n">
        <f aca="false">I1580</f>
        <v>24300.6835</v>
      </c>
      <c r="N1580" s="7" t="n">
        <f aca="false">I1580+2*STDEV(E1561:E1580)</f>
        <v>25743.3934985247</v>
      </c>
      <c r="O1580" s="7" t="n">
        <f aca="false">I1580-2*STDEV(E1561:E1580)</f>
        <v>22857.9735014753</v>
      </c>
      <c r="P1580" s="7" t="n">
        <f aca="false">MAX(E1580-E1579,0)</f>
        <v>458.279999999999</v>
      </c>
      <c r="Q1580" s="7" t="n">
        <f aca="false">MAX(E1579-E1580,0)</f>
        <v>0</v>
      </c>
      <c r="R1580" s="7" t="n">
        <f aca="false">(R1579*13+P1580)/14</f>
        <v>183.855178047941</v>
      </c>
      <c r="S1580" s="7" t="n">
        <f aca="false">(S1579*13+Q1580)/14</f>
        <v>87.2329126130665</v>
      </c>
      <c r="T1580" s="7" t="n">
        <f aca="false">IF(S1580=0,100,100-100/(1+R1580/S1580))</f>
        <v>67.8211933248849</v>
      </c>
      <c r="U1580" s="7" t="n">
        <f aca="false">E1580*2/13+U1579*11/13</f>
        <v>24760.2315008413</v>
      </c>
      <c r="V1580" s="7" t="n">
        <f aca="false">E1580*2/27+V1579*25/27</f>
        <v>24584.9517696211</v>
      </c>
      <c r="W1580" s="7" t="n">
        <f aca="false">U1580-V1580</f>
        <v>175.279731220198</v>
      </c>
      <c r="X1580" s="7" t="n">
        <f aca="false">W1580*2/10+X1579*8/10</f>
        <v>-70.8198930984986</v>
      </c>
      <c r="Y1580" s="7" t="n">
        <f aca="false">W1580-X1580</f>
        <v>246.099624318697</v>
      </c>
      <c r="Z1580" s="8" t="s">
        <v>42</v>
      </c>
      <c r="AA1580" s="7" t="str">
        <f aca="false">IFERROR(INDEX(02_轉折點45!B:B,MATCH(A1580,02_轉折點45!A:A,0)),"")</f>
        <v/>
      </c>
      <c r="AB1580" s="7" t="n">
        <f aca="false">COUNTIFS(05_訊號明細!A:A,A1580,05_訊號明細!C:C,"TOP")</f>
        <v>0</v>
      </c>
      <c r="AC1580" s="7" t="n">
        <f aca="false">COUNTIFS(05_訊號明細!A:A,A1580,05_訊號明細!C:C,"BOTTOM")</f>
        <v>0</v>
      </c>
    </row>
    <row r="1581" customFormat="false" ht="15" hidden="false" customHeight="false" outlineLevel="0" collapsed="false">
      <c r="A1581" s="7" t="s">
        <v>1622</v>
      </c>
      <c r="B1581" s="7" t="n">
        <v>25859.19</v>
      </c>
      <c r="C1581" s="7" t="n">
        <v>26214.57</v>
      </c>
      <c r="D1581" s="7" t="n">
        <v>25828.76</v>
      </c>
      <c r="E1581" s="7" t="n">
        <v>26204.58</v>
      </c>
      <c r="F1581" s="7" t="n">
        <v>10206</v>
      </c>
      <c r="G1581" s="7" t="n">
        <f aca="false">AVERAGE(E1577:E1581)</f>
        <v>25525.746</v>
      </c>
      <c r="H1581" s="7" t="n">
        <f aca="false">AVERAGE(E1572:E1581)</f>
        <v>24899.196</v>
      </c>
      <c r="I1581" s="7" t="n">
        <f aca="false">AVERAGE(E1562:E1581)</f>
        <v>24371.8915</v>
      </c>
      <c r="J1581" s="7" t="n">
        <f aca="false">AVERAGE(E1532:E1581)</f>
        <v>24688.7596</v>
      </c>
      <c r="K1581" s="7" t="n">
        <f aca="false">AVERAGE(E1482:E1581)</f>
        <v>25050.0875</v>
      </c>
      <c r="L1581" s="7" t="n">
        <f aca="false">AVERAGE(E1382:E1581)</f>
        <v>24570.7287</v>
      </c>
      <c r="M1581" s="7" t="n">
        <f aca="false">I1581</f>
        <v>24371.8915</v>
      </c>
      <c r="N1581" s="7" t="n">
        <f aca="false">I1581+2*STDEV(E1562:E1581)</f>
        <v>26037.6437942316</v>
      </c>
      <c r="O1581" s="7" t="n">
        <f aca="false">I1581-2*STDEV(E1562:E1581)</f>
        <v>22706.1392057684</v>
      </c>
      <c r="P1581" s="7" t="n">
        <f aca="false">MAX(E1581-E1580,0)</f>
        <v>362.580000000002</v>
      </c>
      <c r="Q1581" s="7" t="n">
        <f aca="false">MAX(E1580-E1581,0)</f>
        <v>0</v>
      </c>
      <c r="R1581" s="7" t="n">
        <f aca="false">(R1580*13+P1581)/14</f>
        <v>196.621236758803</v>
      </c>
      <c r="S1581" s="7" t="n">
        <f aca="false">(S1580*13+Q1581)/14</f>
        <v>81.0019902835618</v>
      </c>
      <c r="T1581" s="7" t="n">
        <f aca="false">IF(S1581=0,100,100-100/(1+R1581/S1581))</f>
        <v>70.8230499492029</v>
      </c>
      <c r="U1581" s="7" t="n">
        <f aca="false">E1581*2/13+U1580*11/13</f>
        <v>24982.4389622503</v>
      </c>
      <c r="V1581" s="7" t="n">
        <f aca="false">E1581*2/27+V1580*25/27</f>
        <v>24704.9242311306</v>
      </c>
      <c r="W1581" s="7" t="n">
        <f aca="false">U1581-V1581</f>
        <v>277.514731119682</v>
      </c>
      <c r="X1581" s="7" t="n">
        <f aca="false">W1581*2/10+X1580*8/10</f>
        <v>-1.15296825486254</v>
      </c>
      <c r="Y1581" s="7" t="n">
        <f aca="false">W1581-X1581</f>
        <v>278.667699374544</v>
      </c>
      <c r="Z1581" s="8" t="s">
        <v>42</v>
      </c>
      <c r="AA1581" s="7" t="str">
        <f aca="false">IFERROR(INDEX(02_轉折點45!B:B,MATCH(A1581,02_轉折點45!A:A,0)),"")</f>
        <v/>
      </c>
      <c r="AB1581" s="7" t="n">
        <f aca="false">COUNTIFS(05_訊號明細!A:A,A1581,05_訊號明細!C:C,"TOP")</f>
        <v>0</v>
      </c>
      <c r="AC1581" s="7" t="n">
        <f aca="false">COUNTIFS(05_訊號明細!A:A,A1581,05_訊號明細!C:C,"BOTTOM")</f>
        <v>0</v>
      </c>
    </row>
    <row r="1582" customFormat="false" ht="15" hidden="false" customHeight="false" outlineLevel="0" collapsed="false">
      <c r="A1582" s="7" t="s">
        <v>1623</v>
      </c>
      <c r="B1582" s="7" t="n">
        <v>26256.88</v>
      </c>
      <c r="C1582" s="7" t="n">
        <v>26400.52</v>
      </c>
      <c r="D1582" s="7" t="n">
        <v>26113.65</v>
      </c>
      <c r="E1582" s="7" t="n">
        <v>26333</v>
      </c>
      <c r="F1582" s="7" t="n">
        <v>9964</v>
      </c>
      <c r="G1582" s="7" t="n">
        <f aca="false">AVERAGE(E1578:E1582)</f>
        <v>25775.928</v>
      </c>
      <c r="H1582" s="7" t="n">
        <f aca="false">AVERAGE(E1573:E1582)</f>
        <v>25130.497</v>
      </c>
      <c r="I1582" s="7" t="n">
        <f aca="false">AVERAGE(E1563:E1582)</f>
        <v>24467.287</v>
      </c>
      <c r="J1582" s="7" t="n">
        <f aca="false">AVERAGE(E1533:E1582)</f>
        <v>24708.6472</v>
      </c>
      <c r="K1582" s="7" t="n">
        <f aca="false">AVERAGE(E1483:E1582)</f>
        <v>25067.0123</v>
      </c>
      <c r="L1582" s="7" t="n">
        <f aca="false">AVERAGE(E1383:E1582)</f>
        <v>24588.99865</v>
      </c>
      <c r="M1582" s="7" t="n">
        <f aca="false">I1582</f>
        <v>24467.287</v>
      </c>
      <c r="N1582" s="7" t="n">
        <f aca="false">I1582+2*STDEV(E1563:E1582)</f>
        <v>26350.2343700457</v>
      </c>
      <c r="O1582" s="7" t="n">
        <f aca="false">I1582-2*STDEV(E1563:E1582)</f>
        <v>22584.3396299543</v>
      </c>
      <c r="P1582" s="7" t="n">
        <f aca="false">MAX(E1582-E1581,0)</f>
        <v>128.419999999998</v>
      </c>
      <c r="Q1582" s="7" t="n">
        <f aca="false">MAX(E1581-E1582,0)</f>
        <v>0</v>
      </c>
      <c r="R1582" s="7" t="n">
        <f aca="false">(R1581*13+P1582)/14</f>
        <v>191.74971984746</v>
      </c>
      <c r="S1582" s="7" t="n">
        <f aca="false">(S1581*13+Q1582)/14</f>
        <v>75.2161338347359</v>
      </c>
      <c r="T1582" s="7" t="n">
        <f aca="false">IF(S1582=0,100,100-100/(1+R1582/S1582))</f>
        <v>71.8255601616095</v>
      </c>
      <c r="U1582" s="7" t="n">
        <f aca="false">E1582*2/13+U1581*11/13</f>
        <v>25190.2175834426</v>
      </c>
      <c r="V1582" s="7" t="n">
        <f aca="false">E1582*2/27+V1581*25/27</f>
        <v>24825.5224362321</v>
      </c>
      <c r="W1582" s="7" t="n">
        <f aca="false">U1582-V1582</f>
        <v>364.69514721051</v>
      </c>
      <c r="X1582" s="7" t="n">
        <f aca="false">W1582*2/10+X1581*8/10</f>
        <v>72.016654838212</v>
      </c>
      <c r="Y1582" s="7" t="n">
        <f aca="false">W1582-X1582</f>
        <v>292.678492372298</v>
      </c>
      <c r="Z1582" s="8" t="s">
        <v>42</v>
      </c>
      <c r="AA1582" s="7" t="str">
        <f aca="false">IFERROR(INDEX(02_轉折點45!B:B,MATCH(A1582,02_轉折點45!A:A,0)),"")</f>
        <v/>
      </c>
      <c r="AB1582" s="7" t="n">
        <f aca="false">COUNTIFS(05_訊號明細!A:A,A1582,05_訊號明細!C:C,"TOP")</f>
        <v>0</v>
      </c>
      <c r="AC1582" s="7" t="n">
        <f aca="false">COUNTIFS(05_訊號明細!A:A,A1582,05_訊號明細!C:C,"BOTTOM")</f>
        <v>0</v>
      </c>
    </row>
    <row r="1583" customFormat="false" ht="15" hidden="false" customHeight="false" outlineLevel="0" collapsed="false">
      <c r="A1583" s="7" t="s">
        <v>1624</v>
      </c>
      <c r="B1583" s="7" t="n">
        <v>26551.16</v>
      </c>
      <c r="C1583" s="7" t="n">
        <v>26719.56</v>
      </c>
      <c r="D1583" s="7" t="n">
        <v>26481.24</v>
      </c>
      <c r="E1583" s="7" t="n">
        <v>26672.43</v>
      </c>
      <c r="F1583" s="7" t="n">
        <v>10159</v>
      </c>
      <c r="G1583" s="7" t="n">
        <f aca="false">AVERAGE(E1579:E1583)</f>
        <v>26087.146</v>
      </c>
      <c r="H1583" s="7" t="n">
        <f aca="false">AVERAGE(E1574:E1583)</f>
        <v>25393.187</v>
      </c>
      <c r="I1583" s="7" t="n">
        <f aca="false">AVERAGE(E1564:E1583)</f>
        <v>24583.1445</v>
      </c>
      <c r="J1583" s="7" t="n">
        <f aca="false">AVERAGE(E1534:E1583)</f>
        <v>24744.271</v>
      </c>
      <c r="K1583" s="7" t="n">
        <f aca="false">AVERAGE(E1484:E1583)</f>
        <v>25093.1928</v>
      </c>
      <c r="L1583" s="7" t="n">
        <f aca="false">AVERAGE(E1384:E1583)</f>
        <v>24609.97015</v>
      </c>
      <c r="M1583" s="7" t="n">
        <f aca="false">I1583</f>
        <v>24583.1445</v>
      </c>
      <c r="N1583" s="7" t="n">
        <f aca="false">I1583+2*STDEV(E1564:E1583)</f>
        <v>26706.8320659046</v>
      </c>
      <c r="O1583" s="7" t="n">
        <f aca="false">I1583-2*STDEV(E1564:E1583)</f>
        <v>22459.4569340954</v>
      </c>
      <c r="P1583" s="7" t="n">
        <f aca="false">MAX(E1583-E1582,0)</f>
        <v>339.43</v>
      </c>
      <c r="Q1583" s="7" t="n">
        <f aca="false">MAX(E1582-E1583,0)</f>
        <v>0</v>
      </c>
      <c r="R1583" s="7" t="n">
        <f aca="false">(R1582*13+P1583)/14</f>
        <v>202.298311286927</v>
      </c>
      <c r="S1583" s="7" t="n">
        <f aca="false">(S1582*13+Q1583)/14</f>
        <v>69.8435528465405</v>
      </c>
      <c r="T1583" s="7" t="n">
        <f aca="false">IF(S1583=0,100,100-100/(1+R1583/S1583))</f>
        <v>74.3356087204992</v>
      </c>
      <c r="U1583" s="7" t="n">
        <f aca="false">E1583*2/13+U1582*11/13</f>
        <v>25418.2502629129</v>
      </c>
      <c r="V1583" s="7" t="n">
        <f aca="false">E1583*2/27+V1582*25/27</f>
        <v>24962.3304039186</v>
      </c>
      <c r="W1583" s="7" t="n">
        <f aca="false">U1583-V1583</f>
        <v>455.91985899437</v>
      </c>
      <c r="X1583" s="7" t="n">
        <f aca="false">W1583*2/10+X1582*8/10</f>
        <v>148.797295669444</v>
      </c>
      <c r="Y1583" s="7" t="n">
        <f aca="false">W1583-X1583</f>
        <v>307.122563324926</v>
      </c>
      <c r="Z1583" s="8" t="s">
        <v>42</v>
      </c>
      <c r="AA1583" s="7" t="str">
        <f aca="false">IFERROR(INDEX(02_轉折點45!B:B,MATCH(A1583,02_轉折點45!A:A,0)),"")</f>
        <v/>
      </c>
      <c r="AB1583" s="7" t="n">
        <f aca="false">COUNTIFS(05_訊號明細!A:A,A1583,05_訊號明細!C:C,"TOP")</f>
        <v>0</v>
      </c>
      <c r="AC1583" s="7" t="n">
        <f aca="false">COUNTIFS(05_訊號明細!A:A,A1583,05_訊號明細!C:C,"BOTTOM")</f>
        <v>1</v>
      </c>
    </row>
    <row r="1584" customFormat="false" ht="15" hidden="false" customHeight="false" outlineLevel="0" collapsed="false">
      <c r="A1584" s="7" t="s">
        <v>1625</v>
      </c>
      <c r="B1584" s="7" t="n">
        <v>26662.32</v>
      </c>
      <c r="C1584" s="7" t="n">
        <v>26670.12</v>
      </c>
      <c r="D1584" s="7" t="n">
        <v>26412.52</v>
      </c>
      <c r="E1584" s="7" t="n">
        <v>26590.34</v>
      </c>
      <c r="F1584" s="7" t="n">
        <v>8380</v>
      </c>
      <c r="G1584" s="7" t="n">
        <f aca="false">AVERAGE(E1580:E1584)</f>
        <v>26328.47</v>
      </c>
      <c r="H1584" s="7" t="n">
        <f aca="false">AVERAGE(E1575:E1584)</f>
        <v>25633.004</v>
      </c>
      <c r="I1584" s="7" t="n">
        <f aca="false">AVERAGE(E1565:E1584)</f>
        <v>24717.754</v>
      </c>
      <c r="J1584" s="7" t="n">
        <f aca="false">AVERAGE(E1535:E1584)</f>
        <v>24785.104</v>
      </c>
      <c r="K1584" s="7" t="n">
        <f aca="false">AVERAGE(E1485:E1584)</f>
        <v>25116.7005</v>
      </c>
      <c r="L1584" s="7" t="n">
        <f aca="false">AVERAGE(E1385:E1584)</f>
        <v>24629.7124</v>
      </c>
      <c r="M1584" s="7" t="n">
        <f aca="false">I1584</f>
        <v>24717.754</v>
      </c>
      <c r="N1584" s="7" t="n">
        <f aca="false">I1584+2*STDEV(E1565:E1584)</f>
        <v>26994.4068583996</v>
      </c>
      <c r="O1584" s="7" t="n">
        <f aca="false">I1584-2*STDEV(E1565:E1584)</f>
        <v>22441.1011416004</v>
      </c>
      <c r="P1584" s="7" t="n">
        <f aca="false">MAX(E1584-E1583,0)</f>
        <v>0</v>
      </c>
      <c r="Q1584" s="7" t="n">
        <f aca="false">MAX(E1583-E1584,0)</f>
        <v>82.0900000000002</v>
      </c>
      <c r="R1584" s="7" t="n">
        <f aca="false">(R1583*13+P1584)/14</f>
        <v>187.848431909289</v>
      </c>
      <c r="S1584" s="7" t="n">
        <f aca="false">(S1583*13+Q1584)/14</f>
        <v>70.7182990717876</v>
      </c>
      <c r="T1584" s="7" t="n">
        <f aca="false">IF(S1584=0,100,100-100/(1+R1584/S1584))</f>
        <v>72.6498846918697</v>
      </c>
      <c r="U1584" s="7" t="n">
        <f aca="false">E1584*2/13+U1583*11/13</f>
        <v>25598.5717609263</v>
      </c>
      <c r="V1584" s="7" t="n">
        <f aca="false">E1584*2/27+V1583*25/27</f>
        <v>25082.923707332</v>
      </c>
      <c r="W1584" s="7" t="n">
        <f aca="false">U1584-V1584</f>
        <v>515.648053594327</v>
      </c>
      <c r="X1584" s="7" t="n">
        <f aca="false">W1584*2/10+X1583*8/10</f>
        <v>222.16744725442</v>
      </c>
      <c r="Y1584" s="7" t="n">
        <f aca="false">W1584-X1584</f>
        <v>293.480606339906</v>
      </c>
      <c r="Z1584" s="8" t="s">
        <v>42</v>
      </c>
      <c r="AA1584" s="7" t="str">
        <f aca="false">IFERROR(INDEX(02_轉折點45!B:B,MATCH(A1584,02_轉折點45!A:A,0)),"")</f>
        <v/>
      </c>
      <c r="AB1584" s="7" t="n">
        <f aca="false">COUNTIFS(05_訊號明細!A:A,A1584,05_訊號明細!C:C,"TOP")</f>
        <v>0</v>
      </c>
      <c r="AC1584" s="7" t="n">
        <f aca="false">COUNTIFS(05_訊號明細!A:A,A1584,05_訊號明細!C:C,"BOTTOM")</f>
        <v>0</v>
      </c>
    </row>
    <row r="1585" customFormat="false" ht="15" hidden="false" customHeight="false" outlineLevel="0" collapsed="false">
      <c r="A1585" s="7" t="s">
        <v>1626</v>
      </c>
      <c r="B1585" s="7" t="n">
        <v>26658.85</v>
      </c>
      <c r="C1585" s="7" t="n">
        <v>26730.64</v>
      </c>
      <c r="D1585" s="7" t="n">
        <v>26405.3</v>
      </c>
      <c r="E1585" s="7" t="n">
        <v>26479.47</v>
      </c>
      <c r="F1585" s="7" t="n">
        <v>9310</v>
      </c>
      <c r="G1585" s="7" t="n">
        <f aca="false">AVERAGE(E1581:E1585)</f>
        <v>26455.964</v>
      </c>
      <c r="H1585" s="7" t="n">
        <f aca="false">AVERAGE(E1576:E1585)</f>
        <v>25860.714</v>
      </c>
      <c r="I1585" s="7" t="n">
        <f aca="false">AVERAGE(E1566:E1585)</f>
        <v>24832.298</v>
      </c>
      <c r="J1585" s="7" t="n">
        <f aca="false">AVERAGE(E1536:E1585)</f>
        <v>24813.178</v>
      </c>
      <c r="K1585" s="7" t="n">
        <f aca="false">AVERAGE(E1486:E1585)</f>
        <v>25132.7567</v>
      </c>
      <c r="L1585" s="7" t="n">
        <f aca="false">AVERAGE(E1386:E1585)</f>
        <v>24647.7749</v>
      </c>
      <c r="M1585" s="7" t="n">
        <f aca="false">I1585</f>
        <v>24832.298</v>
      </c>
      <c r="N1585" s="7" t="n">
        <f aca="false">I1585+2*STDEV(E1566:E1585)</f>
        <v>27224.4419974224</v>
      </c>
      <c r="O1585" s="7" t="n">
        <f aca="false">I1585-2*STDEV(E1566:E1585)</f>
        <v>22440.1540025776</v>
      </c>
      <c r="P1585" s="7" t="n">
        <f aca="false">MAX(E1585-E1584,0)</f>
        <v>0</v>
      </c>
      <c r="Q1585" s="7" t="n">
        <f aca="false">MAX(E1584-E1585,0)</f>
        <v>110.869999999999</v>
      </c>
      <c r="R1585" s="7" t="n">
        <f aca="false">(R1584*13+P1585)/14</f>
        <v>174.430686772911</v>
      </c>
      <c r="S1585" s="7" t="n">
        <f aca="false">(S1584*13+Q1585)/14</f>
        <v>73.586277709517</v>
      </c>
      <c r="T1585" s="7" t="n">
        <f aca="false">IF(S1585=0,100,100-100/(1+R1585/S1585))</f>
        <v>70.3301433984245</v>
      </c>
      <c r="U1585" s="7" t="n">
        <f aca="false">E1585*2/13+U1584*11/13</f>
        <v>25734.0945669377</v>
      </c>
      <c r="V1585" s="7" t="n">
        <f aca="false">E1585*2/27+V1584*25/27</f>
        <v>25186.371580863</v>
      </c>
      <c r="W1585" s="7" t="n">
        <f aca="false">U1585-V1585</f>
        <v>547.722986074692</v>
      </c>
      <c r="X1585" s="7" t="n">
        <f aca="false">W1585*2/10+X1584*8/10</f>
        <v>287.278555018475</v>
      </c>
      <c r="Y1585" s="7" t="n">
        <f aca="false">W1585-X1585</f>
        <v>260.444431056217</v>
      </c>
      <c r="Z1585" s="8" t="s">
        <v>42</v>
      </c>
      <c r="AA1585" s="7" t="str">
        <f aca="false">IFERROR(INDEX(02_轉折點45!B:B,MATCH(A1585,02_轉折點45!A:A,0)),"")</f>
        <v/>
      </c>
      <c r="AB1585" s="7" t="n">
        <f aca="false">COUNTIFS(05_訊號明細!A:A,A1585,05_訊號明細!C:C,"TOP")</f>
        <v>0</v>
      </c>
      <c r="AC1585" s="7" t="n">
        <f aca="false">COUNTIFS(05_訊號明細!A:A,A1585,05_訊號明細!C:C,"BOTTOM")</f>
        <v>0</v>
      </c>
    </row>
    <row r="1586" customFormat="false" ht="15" hidden="false" customHeight="false" outlineLevel="0" collapsed="false">
      <c r="A1586" s="7" t="s">
        <v>1627</v>
      </c>
      <c r="B1586" s="7" t="n">
        <v>26715.92</v>
      </c>
      <c r="C1586" s="7" t="n">
        <v>26942.13</v>
      </c>
      <c r="D1586" s="7" t="n">
        <v>26662.88</v>
      </c>
      <c r="E1586" s="7" t="n">
        <v>26937.28</v>
      </c>
      <c r="F1586" s="7" t="n">
        <v>8081</v>
      </c>
      <c r="G1586" s="7" t="n">
        <f aca="false">AVERAGE(E1582:E1586)</f>
        <v>26602.504</v>
      </c>
      <c r="H1586" s="7" t="n">
        <f aca="false">AVERAGE(E1577:E1586)</f>
        <v>26064.125</v>
      </c>
      <c r="I1586" s="7" t="n">
        <f aca="false">AVERAGE(E1567:E1586)</f>
        <v>24979.0395</v>
      </c>
      <c r="J1586" s="7" t="n">
        <f aca="false">AVERAGE(E1537:E1586)</f>
        <v>24846.5608</v>
      </c>
      <c r="K1586" s="7" t="n">
        <f aca="false">AVERAGE(E1487:E1586)</f>
        <v>25151.9459</v>
      </c>
      <c r="L1586" s="7" t="n">
        <f aca="false">AVERAGE(E1387:E1586)</f>
        <v>24669.03345</v>
      </c>
      <c r="M1586" s="7" t="n">
        <f aca="false">I1586</f>
        <v>24979.0395</v>
      </c>
      <c r="N1586" s="7" t="n">
        <f aca="false">I1586+2*STDEV(E1567:E1586)</f>
        <v>27512.7206769977</v>
      </c>
      <c r="O1586" s="7" t="n">
        <f aca="false">I1586-2*STDEV(E1567:E1586)</f>
        <v>22445.3583230023</v>
      </c>
      <c r="P1586" s="7" t="n">
        <f aca="false">MAX(E1586-E1585,0)</f>
        <v>457.809999999998</v>
      </c>
      <c r="Q1586" s="7" t="n">
        <f aca="false">MAX(E1585-E1586,0)</f>
        <v>0</v>
      </c>
      <c r="R1586" s="7" t="n">
        <f aca="false">(R1585*13+P1586)/14</f>
        <v>194.672066289132</v>
      </c>
      <c r="S1586" s="7" t="n">
        <f aca="false">(S1585*13+Q1586)/14</f>
        <v>68.3301150159801</v>
      </c>
      <c r="T1586" s="7" t="n">
        <f aca="false">IF(S1586=0,100,100-100/(1+R1586/S1586))</f>
        <v>74.0191831577589</v>
      </c>
      <c r="U1586" s="7" t="n">
        <f aca="false">E1586*2/13+U1585*11/13</f>
        <v>25919.200018178</v>
      </c>
      <c r="V1586" s="7" t="n">
        <f aca="false">E1586*2/27+V1585*25/27</f>
        <v>25316.068500799</v>
      </c>
      <c r="W1586" s="7" t="n">
        <f aca="false">U1586-V1586</f>
        <v>603.131517378977</v>
      </c>
      <c r="X1586" s="7" t="n">
        <f aca="false">W1586*2/10+X1585*8/10</f>
        <v>350.449147490575</v>
      </c>
      <c r="Y1586" s="7" t="n">
        <f aca="false">W1586-X1586</f>
        <v>252.682369888402</v>
      </c>
      <c r="Z1586" s="8" t="s">
        <v>42</v>
      </c>
      <c r="AA1586" s="7" t="str">
        <f aca="false">IFERROR(INDEX(02_轉折點45!B:B,MATCH(A1586,02_轉折點45!A:A,0)),"")</f>
        <v/>
      </c>
      <c r="AB1586" s="7" t="n">
        <f aca="false">COUNTIFS(05_訊號明細!A:A,A1586,05_訊號明細!C:C,"TOP")</f>
        <v>0</v>
      </c>
      <c r="AC1586" s="7" t="n">
        <f aca="false">COUNTIFS(05_訊號明細!A:A,A1586,05_訊號明細!C:C,"BOTTOM")</f>
        <v>0</v>
      </c>
    </row>
    <row r="1587" customFormat="false" ht="15" hidden="false" customHeight="false" outlineLevel="0" collapsed="false">
      <c r="A1587" s="7" t="s">
        <v>1628</v>
      </c>
      <c r="B1587" s="7" t="n">
        <v>26844.61</v>
      </c>
      <c r="C1587" s="7" t="n">
        <v>27007.87</v>
      </c>
      <c r="D1587" s="7" t="n">
        <v>26540.32</v>
      </c>
      <c r="E1587" s="7" t="n">
        <v>26782.63</v>
      </c>
      <c r="F1587" s="7" t="n">
        <v>7957</v>
      </c>
      <c r="G1587" s="7" t="n">
        <f aca="false">AVERAGE(E1583:E1587)</f>
        <v>26692.43</v>
      </c>
      <c r="H1587" s="7" t="n">
        <f aca="false">AVERAGE(E1578:E1587)</f>
        <v>26234.179</v>
      </c>
      <c r="I1587" s="7" t="n">
        <f aca="false">AVERAGE(E1568:E1587)</f>
        <v>25110.022</v>
      </c>
      <c r="J1587" s="7" t="n">
        <f aca="false">AVERAGE(E1538:E1587)</f>
        <v>24879.6606</v>
      </c>
      <c r="K1587" s="7" t="n">
        <f aca="false">AVERAGE(E1488:E1587)</f>
        <v>25167.4028</v>
      </c>
      <c r="L1587" s="7" t="n">
        <f aca="false">AVERAGE(E1388:E1587)</f>
        <v>24689.43535</v>
      </c>
      <c r="M1587" s="7" t="n">
        <f aca="false">I1587</f>
        <v>25110.022</v>
      </c>
      <c r="N1587" s="7" t="n">
        <f aca="false">I1587+2*STDEV(E1568:E1587)</f>
        <v>27735.2708096507</v>
      </c>
      <c r="O1587" s="7" t="n">
        <f aca="false">I1587-2*STDEV(E1568:E1587)</f>
        <v>22484.7731903493</v>
      </c>
      <c r="P1587" s="7" t="n">
        <f aca="false">MAX(E1587-E1586,0)</f>
        <v>0</v>
      </c>
      <c r="Q1587" s="7" t="n">
        <f aca="false">MAX(E1586-E1587,0)</f>
        <v>154.649999999998</v>
      </c>
      <c r="R1587" s="7" t="n">
        <f aca="false">(R1586*13+P1587)/14</f>
        <v>180.766918697051</v>
      </c>
      <c r="S1587" s="7" t="n">
        <f aca="false">(S1586*13+Q1587)/14</f>
        <v>74.4958210862671</v>
      </c>
      <c r="T1587" s="7" t="n">
        <f aca="false">IF(S1587=0,100,100-100/(1+R1587/S1587))</f>
        <v>70.8160222876619</v>
      </c>
      <c r="U1587" s="7" t="n">
        <f aca="false">E1587*2/13+U1586*11/13</f>
        <v>26052.0353999968</v>
      </c>
      <c r="V1587" s="7" t="n">
        <f aca="false">E1587*2/27+V1586*25/27</f>
        <v>25424.702685925</v>
      </c>
      <c r="W1587" s="7" t="n">
        <f aca="false">U1587-V1587</f>
        <v>627.332714071748</v>
      </c>
      <c r="X1587" s="7" t="n">
        <f aca="false">W1587*2/10+X1586*8/10</f>
        <v>405.82586080681</v>
      </c>
      <c r="Y1587" s="7" t="n">
        <f aca="false">W1587-X1587</f>
        <v>221.506853264939</v>
      </c>
      <c r="Z1587" s="8" t="s">
        <v>42</v>
      </c>
      <c r="AA1587" s="7" t="str">
        <f aca="false">IFERROR(INDEX(02_轉折點45!B:B,MATCH(A1587,02_轉折點45!A:A,0)),"")</f>
        <v/>
      </c>
      <c r="AB1587" s="7" t="n">
        <f aca="false">COUNTIFS(05_訊號明細!A:A,A1587,05_訊號明細!C:C,"TOP")</f>
        <v>0</v>
      </c>
      <c r="AC1587" s="7" t="n">
        <f aca="false">COUNTIFS(05_訊號明細!A:A,A1587,05_訊號明細!C:C,"BOTTOM")</f>
        <v>0</v>
      </c>
    </row>
    <row r="1588" customFormat="false" ht="15" hidden="false" customHeight="false" outlineLevel="0" collapsed="false">
      <c r="A1588" s="7" t="s">
        <v>1629</v>
      </c>
      <c r="B1588" s="7" t="n">
        <v>27082.42</v>
      </c>
      <c r="C1588" s="7" t="n">
        <v>27314.21</v>
      </c>
      <c r="D1588" s="7" t="n">
        <v>26986.39</v>
      </c>
      <c r="E1588" s="7" t="n">
        <v>27303.67</v>
      </c>
      <c r="F1588" s="7" t="n">
        <v>10203</v>
      </c>
      <c r="G1588" s="7" t="n">
        <f aca="false">AVERAGE(E1584:E1588)</f>
        <v>26818.678</v>
      </c>
      <c r="H1588" s="7" t="n">
        <f aca="false">AVERAGE(E1579:E1588)</f>
        <v>26452.912</v>
      </c>
      <c r="I1588" s="7" t="n">
        <f aca="false">AVERAGE(E1569:E1588)</f>
        <v>25295.856</v>
      </c>
      <c r="J1588" s="7" t="n">
        <f aca="false">AVERAGE(E1539:E1588)</f>
        <v>24921.7088</v>
      </c>
      <c r="K1588" s="7" t="n">
        <f aca="false">AVERAGE(E1489:E1588)</f>
        <v>25186.0906</v>
      </c>
      <c r="L1588" s="7" t="n">
        <f aca="false">AVERAGE(E1389:E1588)</f>
        <v>24711.62915</v>
      </c>
      <c r="M1588" s="7" t="n">
        <f aca="false">I1588</f>
        <v>25295.856</v>
      </c>
      <c r="N1588" s="7" t="n">
        <f aca="false">I1588+2*STDEV(E1569:E1588)</f>
        <v>27992.3821589675</v>
      </c>
      <c r="O1588" s="7" t="n">
        <f aca="false">I1588-2*STDEV(E1569:E1588)</f>
        <v>22599.3298410325</v>
      </c>
      <c r="P1588" s="7" t="n">
        <f aca="false">MAX(E1588-E1587,0)</f>
        <v>521.039999999997</v>
      </c>
      <c r="Q1588" s="7" t="n">
        <f aca="false">MAX(E1587-E1588,0)</f>
        <v>0</v>
      </c>
      <c r="R1588" s="7" t="n">
        <f aca="false">(R1587*13+P1588)/14</f>
        <v>205.072138790119</v>
      </c>
      <c r="S1588" s="7" t="n">
        <f aca="false">(S1587*13+Q1588)/14</f>
        <v>69.1746910086766</v>
      </c>
      <c r="T1588" s="7" t="n">
        <f aca="false">IF(S1588=0,100,100-100/(1+R1588/S1588))</f>
        <v>74.7764847238426</v>
      </c>
      <c r="U1588" s="7" t="n">
        <f aca="false">E1588*2/13+U1587*11/13</f>
        <v>26244.5945692281</v>
      </c>
      <c r="V1588" s="7" t="n">
        <f aca="false">E1588*2/27+V1587*25/27</f>
        <v>25563.8854499306</v>
      </c>
      <c r="W1588" s="7" t="n">
        <f aca="false">U1588-V1588</f>
        <v>680.709119297462</v>
      </c>
      <c r="X1588" s="7" t="n">
        <f aca="false">W1588*2/10+X1587*8/10</f>
        <v>460.80251250494</v>
      </c>
      <c r="Y1588" s="7" t="n">
        <f aca="false">W1588-X1588</f>
        <v>219.906606792522</v>
      </c>
      <c r="Z1588" s="8" t="s">
        <v>42</v>
      </c>
      <c r="AA1588" s="7" t="str">
        <f aca="false">IFERROR(INDEX(02_轉折點45!B:B,MATCH(A1588,02_轉折點45!A:A,0)),"")</f>
        <v/>
      </c>
      <c r="AB1588" s="7" t="n">
        <f aca="false">COUNTIFS(05_訊號明細!A:A,A1588,05_訊號明細!C:C,"TOP")</f>
        <v>0</v>
      </c>
      <c r="AC1588" s="7" t="n">
        <f aca="false">COUNTIFS(05_訊號明細!A:A,A1588,05_訊號明細!C:C,"BOTTOM")</f>
        <v>0</v>
      </c>
    </row>
    <row r="1589" customFormat="false" ht="15" hidden="false" customHeight="false" outlineLevel="0" collapsed="false">
      <c r="A1589" s="7" t="s">
        <v>1630</v>
      </c>
      <c r="B1589" s="7" t="n">
        <v>27278.28</v>
      </c>
      <c r="C1589" s="7" t="n">
        <v>27315.23</v>
      </c>
      <c r="D1589" s="7" t="n">
        <v>27158.88</v>
      </c>
      <c r="E1589" s="7" t="n">
        <v>27305.68</v>
      </c>
      <c r="F1589" s="7" t="n">
        <v>8127</v>
      </c>
      <c r="G1589" s="7" t="n">
        <f aca="false">AVERAGE(E1585:E1589)</f>
        <v>26961.746</v>
      </c>
      <c r="H1589" s="7" t="n">
        <f aca="false">AVERAGE(E1580:E1589)</f>
        <v>26645.108</v>
      </c>
      <c r="I1589" s="7" t="n">
        <f aca="false">AVERAGE(E1570:E1589)</f>
        <v>25504.5015</v>
      </c>
      <c r="J1589" s="7" t="n">
        <f aca="false">AVERAGE(E1540:E1589)</f>
        <v>24974.0702</v>
      </c>
      <c r="K1589" s="7" t="n">
        <f aca="false">AVERAGE(E1490:E1589)</f>
        <v>25205.7189</v>
      </c>
      <c r="L1589" s="7" t="n">
        <f aca="false">AVERAGE(E1390:E1589)</f>
        <v>24734.01125</v>
      </c>
      <c r="M1589" s="7" t="n">
        <f aca="false">I1589</f>
        <v>25504.5015</v>
      </c>
      <c r="N1589" s="7" t="n">
        <f aca="false">I1589+2*STDEV(E1570:E1589)</f>
        <v>28141.4154008619</v>
      </c>
      <c r="O1589" s="7" t="n">
        <f aca="false">I1589-2*STDEV(E1570:E1589)</f>
        <v>22867.5875991381</v>
      </c>
      <c r="P1589" s="7" t="n">
        <f aca="false">MAX(E1589-E1588,0)</f>
        <v>2.01000000000204</v>
      </c>
      <c r="Q1589" s="7" t="n">
        <f aca="false">MAX(E1588-E1589,0)</f>
        <v>0</v>
      </c>
      <c r="R1589" s="7" t="n">
        <f aca="false">(R1588*13+P1589)/14</f>
        <v>190.56770030511</v>
      </c>
      <c r="S1589" s="7" t="n">
        <f aca="false">(S1588*13+Q1589)/14</f>
        <v>64.233641650914</v>
      </c>
      <c r="T1589" s="7" t="n">
        <f aca="false">IF(S1589=0,100,100-100/(1+R1589/S1589))</f>
        <v>74.7906972711314</v>
      </c>
      <c r="U1589" s="7" t="n">
        <f aca="false">E1589*2/13+U1588*11/13</f>
        <v>26407.8384816545</v>
      </c>
      <c r="V1589" s="7" t="n">
        <f aca="false">E1589*2/27+V1588*25/27</f>
        <v>25692.9072684543</v>
      </c>
      <c r="W1589" s="7" t="n">
        <f aca="false">U1589-V1589</f>
        <v>714.931213200252</v>
      </c>
      <c r="X1589" s="7" t="n">
        <f aca="false">W1589*2/10+X1588*8/10</f>
        <v>511.628252644003</v>
      </c>
      <c r="Y1589" s="7" t="n">
        <f aca="false">W1589-X1589</f>
        <v>203.30296055625</v>
      </c>
      <c r="Z1589" s="8" t="s">
        <v>42</v>
      </c>
      <c r="AA1589" s="7" t="str">
        <f aca="false">IFERROR(INDEX(02_轉折點45!B:B,MATCH(A1589,02_轉折點45!A:A,0)),"")</f>
        <v/>
      </c>
      <c r="AB1589" s="7" t="n">
        <f aca="false">COUNTIFS(05_訊號明細!A:A,A1589,05_訊號明細!C:C,"TOP")</f>
        <v>0</v>
      </c>
      <c r="AC1589" s="7" t="n">
        <f aca="false">COUNTIFS(05_訊號明細!A:A,A1589,05_訊號明細!C:C,"BOTTOM")</f>
        <v>0</v>
      </c>
    </row>
    <row r="1590" customFormat="false" ht="15" hidden="false" customHeight="false" outlineLevel="0" collapsed="false">
      <c r="A1590" s="7" t="s">
        <v>1631</v>
      </c>
      <c r="B1590" s="7" t="n">
        <v>26988.77</v>
      </c>
      <c r="C1590" s="7" t="n">
        <v>27115.77</v>
      </c>
      <c r="D1590" s="7" t="n">
        <v>26877.59</v>
      </c>
      <c r="E1590" s="7" t="n">
        <v>27029.01</v>
      </c>
      <c r="F1590" s="7" t="n">
        <v>7442</v>
      </c>
      <c r="G1590" s="7" t="n">
        <f aca="false">AVERAGE(E1586:E1590)</f>
        <v>27071.654</v>
      </c>
      <c r="H1590" s="7" t="n">
        <f aca="false">AVERAGE(E1581:E1590)</f>
        <v>26763.809</v>
      </c>
      <c r="I1590" s="7" t="n">
        <f aca="false">AVERAGE(E1571:E1590)</f>
        <v>25708.283</v>
      </c>
      <c r="J1590" s="7" t="n">
        <f aca="false">AVERAGE(E1541:E1590)</f>
        <v>25019.9958</v>
      </c>
      <c r="K1590" s="7" t="n">
        <f aca="false">AVERAGE(E1491:E1590)</f>
        <v>25220.4504</v>
      </c>
      <c r="L1590" s="7" t="n">
        <f aca="false">AVERAGE(E1391:E1590)</f>
        <v>24755.2533</v>
      </c>
      <c r="M1590" s="7" t="n">
        <f aca="false">I1590</f>
        <v>25708.283</v>
      </c>
      <c r="N1590" s="7" t="n">
        <f aca="false">I1590+2*STDEV(E1571:E1590)</f>
        <v>28136.7810472721</v>
      </c>
      <c r="O1590" s="7" t="n">
        <f aca="false">I1590-2*STDEV(E1571:E1590)</f>
        <v>23279.7849527279</v>
      </c>
      <c r="P1590" s="7" t="n">
        <f aca="false">MAX(E1590-E1589,0)</f>
        <v>0</v>
      </c>
      <c r="Q1590" s="7" t="n">
        <f aca="false">MAX(E1589-E1590,0)</f>
        <v>276.670000000002</v>
      </c>
      <c r="R1590" s="7" t="n">
        <f aca="false">(R1589*13+P1590)/14</f>
        <v>176.955721711888</v>
      </c>
      <c r="S1590" s="7" t="n">
        <f aca="false">(S1589*13+Q1590)/14</f>
        <v>79.4076672472774</v>
      </c>
      <c r="T1590" s="7" t="n">
        <f aca="false">IF(S1590=0,100,100-100/(1+R1590/S1590))</f>
        <v>69.025348131934</v>
      </c>
      <c r="U1590" s="7" t="n">
        <f aca="false">E1590*2/13+U1589*11/13</f>
        <v>26503.4033306307</v>
      </c>
      <c r="V1590" s="7" t="n">
        <f aca="false">E1590*2/27+V1589*25/27</f>
        <v>25791.8778411614</v>
      </c>
      <c r="W1590" s="7" t="n">
        <f aca="false">U1590-V1590</f>
        <v>711.52548946939</v>
      </c>
      <c r="X1590" s="7" t="n">
        <f aca="false">W1590*2/10+X1589*8/10</f>
        <v>551.60770000908</v>
      </c>
      <c r="Y1590" s="7" t="n">
        <f aca="false">W1590-X1590</f>
        <v>159.91778946031</v>
      </c>
      <c r="Z1590" s="8" t="s">
        <v>42</v>
      </c>
      <c r="AA1590" s="7" t="str">
        <f aca="false">IFERROR(INDEX(02_轉折點45!B:B,MATCH(A1590,02_轉折點45!A:A,0)),"")</f>
        <v/>
      </c>
      <c r="AB1590" s="7" t="n">
        <f aca="false">COUNTIFS(05_訊號明細!A:A,A1590,05_訊號明細!C:C,"TOP")</f>
        <v>0</v>
      </c>
      <c r="AC1590" s="7" t="n">
        <f aca="false">COUNTIFS(05_訊號明細!A:A,A1590,05_訊號明細!C:C,"BOTTOM")</f>
        <v>0</v>
      </c>
    </row>
    <row r="1591" customFormat="false" ht="15" hidden="false" customHeight="false" outlineLevel="0" collapsed="false">
      <c r="A1591" s="7" t="s">
        <v>1632</v>
      </c>
      <c r="B1591" s="7" t="n">
        <v>27069.36</v>
      </c>
      <c r="C1591" s="7" t="n">
        <v>27199.72</v>
      </c>
      <c r="D1591" s="7" t="n">
        <v>26995.38</v>
      </c>
      <c r="E1591" s="7" t="n">
        <v>27186.98</v>
      </c>
      <c r="F1591" s="7" t="n">
        <v>8147</v>
      </c>
      <c r="G1591" s="7" t="n">
        <f aca="false">AVERAGE(E1587:E1591)</f>
        <v>27121.594</v>
      </c>
      <c r="H1591" s="7" t="n">
        <f aca="false">AVERAGE(E1582:E1591)</f>
        <v>26862.049</v>
      </c>
      <c r="I1591" s="7" t="n">
        <f aca="false">AVERAGE(E1572:E1591)</f>
        <v>25880.6225</v>
      </c>
      <c r="J1591" s="7" t="n">
        <f aca="false">AVERAGE(E1542:E1591)</f>
        <v>25069.7034</v>
      </c>
      <c r="K1591" s="7" t="n">
        <f aca="false">AVERAGE(E1492:E1591)</f>
        <v>25236.2548</v>
      </c>
      <c r="L1591" s="7" t="n">
        <f aca="false">AVERAGE(E1392:E1591)</f>
        <v>24776.91005</v>
      </c>
      <c r="M1591" s="7" t="n">
        <f aca="false">I1591</f>
        <v>25880.6225</v>
      </c>
      <c r="N1591" s="7" t="n">
        <f aca="false">I1591+2*STDEV(E1572:E1591)</f>
        <v>28208.1578955169</v>
      </c>
      <c r="O1591" s="7" t="n">
        <f aca="false">I1591-2*STDEV(E1572:E1591)</f>
        <v>23553.0871044831</v>
      </c>
      <c r="P1591" s="7" t="n">
        <f aca="false">MAX(E1591-E1590,0)</f>
        <v>157.970000000001</v>
      </c>
      <c r="Q1591" s="7" t="n">
        <f aca="false">MAX(E1590-E1591,0)</f>
        <v>0</v>
      </c>
      <c r="R1591" s="7" t="n">
        <f aca="false">(R1590*13+P1591)/14</f>
        <v>175.599598732468</v>
      </c>
      <c r="S1591" s="7" t="n">
        <f aca="false">(S1590*13+Q1591)/14</f>
        <v>73.735691015329</v>
      </c>
      <c r="T1591" s="7" t="n">
        <f aca="false">IF(S1591=0,100,100-100/(1+R1591/S1591))</f>
        <v>70.4270939384823</v>
      </c>
      <c r="U1591" s="7" t="n">
        <f aca="false">E1591*2/13+U1590*11/13</f>
        <v>26608.5689720722</v>
      </c>
      <c r="V1591" s="7" t="n">
        <f aca="false">E1591*2/27+V1590*25/27</f>
        <v>25895.2187418161</v>
      </c>
      <c r="W1591" s="7" t="n">
        <f aca="false">U1591-V1591</f>
        <v>713.350230256096</v>
      </c>
      <c r="X1591" s="7" t="n">
        <f aca="false">W1591*2/10+X1590*8/10</f>
        <v>583.956206058483</v>
      </c>
      <c r="Y1591" s="7" t="n">
        <f aca="false">W1591-X1591</f>
        <v>129.394024197612</v>
      </c>
      <c r="Z1591" s="8" t="s">
        <v>42</v>
      </c>
      <c r="AA1591" s="7" t="str">
        <f aca="false">IFERROR(INDEX(02_轉折點45!B:B,MATCH(A1591,02_轉折點45!A:A,0)),"")</f>
        <v/>
      </c>
      <c r="AB1591" s="7" t="n">
        <f aca="false">COUNTIFS(05_訊號明細!A:A,A1591,05_訊號明細!C:C,"TOP")</f>
        <v>0</v>
      </c>
      <c r="AC1591" s="7" t="n">
        <f aca="false">COUNTIFS(05_訊號明細!A:A,A1591,05_訊號明細!C:C,"BOTTOM")</f>
        <v>0</v>
      </c>
    </row>
    <row r="1592" customFormat="false" ht="15" hidden="false" customHeight="false" outlineLevel="0" collapsed="false">
      <c r="A1592" s="7" t="s">
        <v>1633</v>
      </c>
      <c r="B1592" s="7" t="n">
        <v>27328.98</v>
      </c>
      <c r="C1592" s="7" t="n">
        <v>27488.03</v>
      </c>
      <c r="D1592" s="7" t="n">
        <v>27029.41</v>
      </c>
      <c r="E1592" s="7" t="n">
        <v>27452.12</v>
      </c>
      <c r="F1592" s="7" t="n">
        <v>8139</v>
      </c>
      <c r="G1592" s="7" t="n">
        <f aca="false">AVERAGE(E1588:E1592)</f>
        <v>27255.492</v>
      </c>
      <c r="H1592" s="7" t="n">
        <f aca="false">AVERAGE(E1583:E1592)</f>
        <v>26973.961</v>
      </c>
      <c r="I1592" s="7" t="n">
        <f aca="false">AVERAGE(E1573:E1592)</f>
        <v>26052.229</v>
      </c>
      <c r="J1592" s="7" t="n">
        <f aca="false">AVERAGE(E1543:E1592)</f>
        <v>25120.7684</v>
      </c>
      <c r="K1592" s="7" t="n">
        <f aca="false">AVERAGE(E1493:E1592)</f>
        <v>25254.959</v>
      </c>
      <c r="L1592" s="7" t="n">
        <f aca="false">AVERAGE(E1393:E1592)</f>
        <v>24799.7477</v>
      </c>
      <c r="M1592" s="7" t="n">
        <f aca="false">I1592</f>
        <v>26052.229</v>
      </c>
      <c r="N1592" s="7" t="n">
        <f aca="false">I1592+2*STDEV(E1573:E1592)</f>
        <v>28307.114928177</v>
      </c>
      <c r="O1592" s="7" t="n">
        <f aca="false">I1592-2*STDEV(E1573:E1592)</f>
        <v>23797.343071823</v>
      </c>
      <c r="P1592" s="7" t="n">
        <f aca="false">MAX(E1592-E1591,0)</f>
        <v>265.139999999999</v>
      </c>
      <c r="Q1592" s="7" t="n">
        <f aca="false">MAX(E1591-E1592,0)</f>
        <v>0</v>
      </c>
      <c r="R1592" s="7" t="n">
        <f aca="false">(R1591*13+P1592)/14</f>
        <v>181.995341680148</v>
      </c>
      <c r="S1592" s="7" t="n">
        <f aca="false">(S1591*13+Q1592)/14</f>
        <v>68.4688559428055</v>
      </c>
      <c r="T1592" s="7" t="n">
        <f aca="false">IF(S1592=0,100,100-100/(1+R1592/S1592))</f>
        <v>72.6632163029234</v>
      </c>
      <c r="U1592" s="7" t="n">
        <f aca="false">E1592*2/13+U1591*11/13</f>
        <v>26738.3460532918</v>
      </c>
      <c r="V1592" s="7" t="n">
        <f aca="false">E1592*2/27+V1591*25/27</f>
        <v>26010.5447609408</v>
      </c>
      <c r="W1592" s="7" t="n">
        <f aca="false">U1592-V1592</f>
        <v>727.801292351029</v>
      </c>
      <c r="X1592" s="7" t="n">
        <f aca="false">W1592*2/10+X1591*8/10</f>
        <v>612.725223316992</v>
      </c>
      <c r="Y1592" s="7" t="n">
        <f aca="false">W1592-X1592</f>
        <v>115.076069034036</v>
      </c>
      <c r="Z1592" s="8" t="s">
        <v>42</v>
      </c>
      <c r="AA1592" s="7" t="str">
        <f aca="false">IFERROR(INDEX(02_轉折點45!B:B,MATCH(A1592,02_轉折點45!A:A,0)),"")</f>
        <v/>
      </c>
      <c r="AB1592" s="7" t="n">
        <f aca="false">COUNTIFS(05_訊號明細!A:A,A1592,05_訊號明細!C:C,"TOP")</f>
        <v>0</v>
      </c>
      <c r="AC1592" s="7" t="n">
        <f aca="false">COUNTIFS(05_訊號明細!A:A,A1592,05_訊號明細!C:C,"BOTTOM")</f>
        <v>0</v>
      </c>
    </row>
    <row r="1593" customFormat="false" ht="15" hidden="false" customHeight="false" outlineLevel="0" collapsed="false">
      <c r="A1593" s="7" t="s">
        <v>1634</v>
      </c>
      <c r="B1593" s="7" t="n">
        <v>27508.57</v>
      </c>
      <c r="C1593" s="7" t="n">
        <v>27787.12</v>
      </c>
      <c r="D1593" s="7" t="n">
        <v>27501.43</v>
      </c>
      <c r="E1593" s="7" t="n">
        <v>27710.36</v>
      </c>
      <c r="F1593" s="7" t="n">
        <v>7534</v>
      </c>
      <c r="G1593" s="7" t="n">
        <f aca="false">AVERAGE(E1589:E1593)</f>
        <v>27336.83</v>
      </c>
      <c r="H1593" s="7" t="n">
        <f aca="false">AVERAGE(E1584:E1593)</f>
        <v>27077.754</v>
      </c>
      <c r="I1593" s="7" t="n">
        <f aca="false">AVERAGE(E1574:E1593)</f>
        <v>26235.4705</v>
      </c>
      <c r="J1593" s="7" t="n">
        <f aca="false">AVERAGE(E1544:E1593)</f>
        <v>25179.0288</v>
      </c>
      <c r="K1593" s="7" t="n">
        <f aca="false">AVERAGE(E1494:E1593)</f>
        <v>25275.1421</v>
      </c>
      <c r="L1593" s="7" t="n">
        <f aca="false">AVERAGE(E1394:E1593)</f>
        <v>24823.75965</v>
      </c>
      <c r="M1593" s="7" t="n">
        <f aca="false">I1593</f>
        <v>26235.4705</v>
      </c>
      <c r="N1593" s="7" t="n">
        <f aca="false">I1593+2*STDEV(E1574:E1593)</f>
        <v>28397.4595305138</v>
      </c>
      <c r="O1593" s="7" t="n">
        <f aca="false">I1593-2*STDEV(E1574:E1593)</f>
        <v>24073.4814694862</v>
      </c>
      <c r="P1593" s="7" t="n">
        <f aca="false">MAX(E1593-E1592,0)</f>
        <v>258.240000000002</v>
      </c>
      <c r="Q1593" s="7" t="n">
        <f aca="false">MAX(E1592-E1593,0)</f>
        <v>0</v>
      </c>
      <c r="R1593" s="7" t="n">
        <f aca="false">(R1592*13+P1593)/14</f>
        <v>187.441388702995</v>
      </c>
      <c r="S1593" s="7" t="n">
        <f aca="false">(S1592*13+Q1593)/14</f>
        <v>63.5782233754622</v>
      </c>
      <c r="T1593" s="7" t="n">
        <f aca="false">IF(S1593=0,100,100-100/(1+R1593/S1593))</f>
        <v>74.6720095497596</v>
      </c>
      <c r="U1593" s="7" t="n">
        <f aca="false">E1593*2/13+U1592*11/13</f>
        <v>26887.8866604777</v>
      </c>
      <c r="V1593" s="7" t="n">
        <f aca="false">E1593*2/27+V1592*25/27</f>
        <v>26136.4570008711</v>
      </c>
      <c r="W1593" s="7" t="n">
        <f aca="false">U1593-V1593</f>
        <v>751.429659606591</v>
      </c>
      <c r="X1593" s="7" t="n">
        <f aca="false">W1593*2/10+X1592*8/10</f>
        <v>640.466110574912</v>
      </c>
      <c r="Y1593" s="7" t="n">
        <f aca="false">W1593-X1593</f>
        <v>110.963549031679</v>
      </c>
      <c r="Z1593" s="8" t="s">
        <v>42</v>
      </c>
      <c r="AA1593" s="7" t="str">
        <f aca="false">IFERROR(INDEX(02_轉折點45!B:B,MATCH(A1593,02_轉折點45!A:A,0)),"")</f>
        <v/>
      </c>
      <c r="AB1593" s="7" t="n">
        <f aca="false">COUNTIFS(05_訊號明細!A:A,A1593,05_訊號明細!C:C,"TOP")</f>
        <v>0</v>
      </c>
      <c r="AC1593" s="7" t="n">
        <f aca="false">COUNTIFS(05_訊號明細!A:A,A1593,05_訊號明細!C:C,"BOTTOM")</f>
        <v>0</v>
      </c>
    </row>
    <row r="1594" customFormat="false" ht="15" hidden="false" customHeight="false" outlineLevel="0" collapsed="false">
      <c r="A1594" s="7" t="s">
        <v>1635</v>
      </c>
      <c r="B1594" s="7" t="n">
        <v>27731.34</v>
      </c>
      <c r="C1594" s="7" t="n">
        <v>27822.37</v>
      </c>
      <c r="D1594" s="7" t="n">
        <v>27504.09</v>
      </c>
      <c r="E1594" s="7" t="n">
        <v>27651.82</v>
      </c>
      <c r="F1594" s="7" t="n">
        <v>7849</v>
      </c>
      <c r="G1594" s="7" t="n">
        <f aca="false">AVERAGE(E1590:E1594)</f>
        <v>27406.058</v>
      </c>
      <c r="H1594" s="7" t="n">
        <f aca="false">AVERAGE(E1585:E1594)</f>
        <v>27183.902</v>
      </c>
      <c r="I1594" s="7" t="n">
        <f aca="false">AVERAGE(E1575:E1594)</f>
        <v>26408.453</v>
      </c>
      <c r="J1594" s="7" t="n">
        <f aca="false">AVERAGE(E1545:E1594)</f>
        <v>25231.8128</v>
      </c>
      <c r="K1594" s="7" t="n">
        <f aca="false">AVERAGE(E1495:E1594)</f>
        <v>25295.3808</v>
      </c>
      <c r="L1594" s="7" t="n">
        <f aca="false">AVERAGE(E1395:E1594)</f>
        <v>24846.6135</v>
      </c>
      <c r="M1594" s="7" t="n">
        <f aca="false">I1594</f>
        <v>26408.453</v>
      </c>
      <c r="N1594" s="7" t="n">
        <f aca="false">I1594+2*STDEV(E1575:E1594)</f>
        <v>28431.2152471327</v>
      </c>
      <c r="O1594" s="7" t="n">
        <f aca="false">I1594-2*STDEV(E1575:E1594)</f>
        <v>24385.6907528673</v>
      </c>
      <c r="P1594" s="7" t="n">
        <f aca="false">MAX(E1594-E1593,0)</f>
        <v>0</v>
      </c>
      <c r="Q1594" s="7" t="n">
        <f aca="false">MAX(E1593-E1594,0)</f>
        <v>58.5400000000009</v>
      </c>
      <c r="R1594" s="7" t="n">
        <f aca="false">(R1593*13+P1594)/14</f>
        <v>174.052718081353</v>
      </c>
      <c r="S1594" s="7" t="n">
        <f aca="false">(S1593*13+Q1594)/14</f>
        <v>63.218350277215</v>
      </c>
      <c r="T1594" s="7" t="n">
        <f aca="false">IF(S1594=0,100,100-100/(1+R1594/S1594))</f>
        <v>73.3560645574881</v>
      </c>
      <c r="U1594" s="7" t="n">
        <f aca="false">E1594*2/13+U1593*11/13</f>
        <v>27005.4148665581</v>
      </c>
      <c r="V1594" s="7" t="n">
        <f aca="false">E1594*2/27+V1593*25/27</f>
        <v>26248.7061119177</v>
      </c>
      <c r="W1594" s="7" t="n">
        <f aca="false">U1594-V1594</f>
        <v>756.708754640364</v>
      </c>
      <c r="X1594" s="7" t="n">
        <f aca="false">W1594*2/10+X1593*8/10</f>
        <v>663.714639388002</v>
      </c>
      <c r="Y1594" s="7" t="n">
        <f aca="false">W1594-X1594</f>
        <v>92.9941152523613</v>
      </c>
      <c r="Z1594" s="8" t="s">
        <v>42</v>
      </c>
      <c r="AA1594" s="7" t="str">
        <f aca="false">IFERROR(INDEX(02_轉折點45!B:B,MATCH(A1594,02_轉折點45!A:A,0)),"")</f>
        <v/>
      </c>
      <c r="AB1594" s="7" t="n">
        <f aca="false">COUNTIFS(05_訊號明細!A:A,A1594,05_訊號明細!C:C,"TOP")</f>
        <v>0</v>
      </c>
      <c r="AC1594" s="7" t="n">
        <f aca="false">COUNTIFS(05_訊號明細!A:A,A1594,05_訊號明細!C:C,"BOTTOM")</f>
        <v>0</v>
      </c>
    </row>
    <row r="1595" customFormat="false" ht="15" hidden="false" customHeight="false" outlineLevel="0" collapsed="false">
      <c r="A1595" s="7" t="s">
        <v>1636</v>
      </c>
      <c r="B1595" s="7" t="n">
        <v>27895.05</v>
      </c>
      <c r="C1595" s="7" t="n">
        <v>28065.63</v>
      </c>
      <c r="D1595" s="7" t="n">
        <v>27844.23</v>
      </c>
      <c r="E1595" s="7" t="n">
        <v>28015.06</v>
      </c>
      <c r="F1595" s="7" t="n">
        <v>8090</v>
      </c>
      <c r="G1595" s="7" t="n">
        <f aca="false">AVERAGE(E1591:E1595)</f>
        <v>27603.268</v>
      </c>
      <c r="H1595" s="7" t="n">
        <f aca="false">AVERAGE(E1586:E1595)</f>
        <v>27337.461</v>
      </c>
      <c r="I1595" s="7" t="n">
        <f aca="false">AVERAGE(E1576:E1595)</f>
        <v>26599.0875</v>
      </c>
      <c r="J1595" s="7" t="n">
        <f aca="false">AVERAGE(E1546:E1595)</f>
        <v>25297.9352</v>
      </c>
      <c r="K1595" s="7" t="n">
        <f aca="false">AVERAGE(E1496:E1595)</f>
        <v>25318.8445</v>
      </c>
      <c r="L1595" s="7" t="n">
        <f aca="false">AVERAGE(E1396:E1595)</f>
        <v>24871.36145</v>
      </c>
      <c r="M1595" s="7" t="n">
        <f aca="false">I1595</f>
        <v>26599.0875</v>
      </c>
      <c r="N1595" s="7" t="n">
        <f aca="false">I1595+2*STDEV(E1576:E1595)</f>
        <v>28458.4873671204</v>
      </c>
      <c r="O1595" s="7" t="n">
        <f aca="false">I1595-2*STDEV(E1576:E1595)</f>
        <v>24739.6876328796</v>
      </c>
      <c r="P1595" s="7" t="n">
        <f aca="false">MAX(E1595-E1594,0)</f>
        <v>363.240000000002</v>
      </c>
      <c r="Q1595" s="7" t="n">
        <f aca="false">MAX(E1594-E1595,0)</f>
        <v>0</v>
      </c>
      <c r="R1595" s="7" t="n">
        <f aca="false">(R1594*13+P1595)/14</f>
        <v>187.566095361256</v>
      </c>
      <c r="S1595" s="7" t="n">
        <f aca="false">(S1594*13+Q1595)/14</f>
        <v>58.7027538288425</v>
      </c>
      <c r="T1595" s="7" t="n">
        <f aca="false">IF(S1595=0,100,100-100/(1+R1595/S1595))</f>
        <v>76.1631428327628</v>
      </c>
      <c r="U1595" s="7" t="n">
        <f aca="false">E1595*2/13+U1594*11/13</f>
        <v>27160.7448870876</v>
      </c>
      <c r="V1595" s="7" t="n">
        <f aca="false">E1595*2/27+V1594*25/27</f>
        <v>26379.5471406645</v>
      </c>
      <c r="W1595" s="7" t="n">
        <f aca="false">U1595-V1595</f>
        <v>781.197746423055</v>
      </c>
      <c r="X1595" s="7" t="n">
        <f aca="false">W1595*2/10+X1594*8/10</f>
        <v>687.211260795013</v>
      </c>
      <c r="Y1595" s="7" t="n">
        <f aca="false">W1595-X1595</f>
        <v>93.9864856280422</v>
      </c>
      <c r="Z1595" s="8" t="s">
        <v>42</v>
      </c>
      <c r="AA1595" s="7" t="str">
        <f aca="false">IFERROR(INDEX(02_轉折點45!B:B,MATCH(A1595,02_轉折點45!A:A,0)),"")</f>
        <v/>
      </c>
      <c r="AB1595" s="7" t="n">
        <f aca="false">COUNTIFS(05_訊號明細!A:A,A1595,05_訊號明細!C:C,"TOP")</f>
        <v>0</v>
      </c>
      <c r="AC1595" s="7" t="n">
        <f aca="false">COUNTIFS(05_訊號明細!A:A,A1595,05_訊號明細!C:C,"BOTTOM")</f>
        <v>0</v>
      </c>
    </row>
    <row r="1596" customFormat="false" ht="15" hidden="false" customHeight="false" outlineLevel="0" collapsed="false">
      <c r="A1596" s="7" t="s">
        <v>1637</v>
      </c>
      <c r="B1596" s="7" t="n">
        <v>28234.02</v>
      </c>
      <c r="C1596" s="7" t="n">
        <v>28608.68</v>
      </c>
      <c r="D1596" s="7" t="n">
        <v>28208.23</v>
      </c>
      <c r="E1596" s="7" t="n">
        <v>28599.17</v>
      </c>
      <c r="F1596" s="7" t="n">
        <v>8864</v>
      </c>
      <c r="G1596" s="7" t="n">
        <f aca="false">AVERAGE(E1592:E1596)</f>
        <v>27885.706</v>
      </c>
      <c r="H1596" s="7" t="n">
        <f aca="false">AVERAGE(E1587:E1596)</f>
        <v>27503.65</v>
      </c>
      <c r="I1596" s="7" t="n">
        <f aca="false">AVERAGE(E1577:E1596)</f>
        <v>26783.8875</v>
      </c>
      <c r="J1596" s="7" t="n">
        <f aca="false">AVERAGE(E1547:E1596)</f>
        <v>25370.3778</v>
      </c>
      <c r="K1596" s="7" t="n">
        <f aca="false">AVERAGE(E1497:E1596)</f>
        <v>25347.0718</v>
      </c>
      <c r="L1596" s="7" t="n">
        <f aca="false">AVERAGE(E1397:E1596)</f>
        <v>24898.457</v>
      </c>
      <c r="M1596" s="7" t="n">
        <f aca="false">I1596</f>
        <v>26783.8875</v>
      </c>
      <c r="N1596" s="7" t="n">
        <f aca="false">I1596+2*STDEV(E1577:E1596)</f>
        <v>28668.0972549329</v>
      </c>
      <c r="O1596" s="7" t="n">
        <f aca="false">I1596-2*STDEV(E1577:E1596)</f>
        <v>24899.6777450671</v>
      </c>
      <c r="P1596" s="7" t="n">
        <f aca="false">MAX(E1596-E1595,0)</f>
        <v>584.109999999997</v>
      </c>
      <c r="Q1596" s="7" t="n">
        <f aca="false">MAX(E1595-E1596,0)</f>
        <v>0</v>
      </c>
      <c r="R1596" s="7" t="n">
        <f aca="false">(R1595*13+P1596)/14</f>
        <v>215.890659978309</v>
      </c>
      <c r="S1596" s="7" t="n">
        <f aca="false">(S1595*13+Q1596)/14</f>
        <v>54.5096999839252</v>
      </c>
      <c r="T1596" s="7" t="n">
        <f aca="false">IF(S1596=0,100,100-100/(1+R1596/S1596))</f>
        <v>79.8411141199892</v>
      </c>
      <c r="U1596" s="7" t="n">
        <f aca="false">E1596*2/13+U1595*11/13</f>
        <v>27382.0410583049</v>
      </c>
      <c r="V1596" s="7" t="n">
        <f aca="false">E1596*2/27+V1595*25/27</f>
        <v>26543.9636487635</v>
      </c>
      <c r="W1596" s="7" t="n">
        <f aca="false">U1596-V1596</f>
        <v>838.077409541424</v>
      </c>
      <c r="X1596" s="7" t="n">
        <f aca="false">W1596*2/10+X1595*8/10</f>
        <v>717.384490544295</v>
      </c>
      <c r="Y1596" s="7" t="n">
        <f aca="false">W1596-X1596</f>
        <v>120.692918997129</v>
      </c>
      <c r="Z1596" s="8" t="s">
        <v>42</v>
      </c>
      <c r="AA1596" s="7" t="str">
        <f aca="false">IFERROR(INDEX(02_轉折點45!B:B,MATCH(A1596,02_轉折點45!A:A,0)),"")</f>
        <v/>
      </c>
      <c r="AB1596" s="7" t="n">
        <f aca="false">COUNTIFS(05_訊號明細!A:A,A1596,05_訊號明細!C:C,"TOP")</f>
        <v>0</v>
      </c>
      <c r="AC1596" s="7" t="n">
        <f aca="false">COUNTIFS(05_訊號明細!A:A,A1596,05_訊號明細!C:C,"BOTTOM")</f>
        <v>0</v>
      </c>
    </row>
    <row r="1597" customFormat="false" ht="15" hidden="false" customHeight="false" outlineLevel="0" collapsed="false">
      <c r="A1597" s="7" t="s">
        <v>1638</v>
      </c>
      <c r="B1597" s="7" t="n">
        <v>28612.54</v>
      </c>
      <c r="C1597" s="7" t="n">
        <v>28825.52</v>
      </c>
      <c r="D1597" s="7" t="n">
        <v>28440.05</v>
      </c>
      <c r="E1597" s="7" t="n">
        <v>28563.95</v>
      </c>
      <c r="F1597" s="7" t="n">
        <v>9119</v>
      </c>
      <c r="G1597" s="7" t="n">
        <f aca="false">AVERAGE(E1593:E1597)</f>
        <v>28108.072</v>
      </c>
      <c r="H1597" s="7" t="n">
        <f aca="false">AVERAGE(E1588:E1597)</f>
        <v>27681.782</v>
      </c>
      <c r="I1597" s="7" t="n">
        <f aca="false">AVERAGE(E1578:E1597)</f>
        <v>26957.9805</v>
      </c>
      <c r="J1597" s="7" t="n">
        <f aca="false">AVERAGE(E1548:E1597)</f>
        <v>25435.076</v>
      </c>
      <c r="K1597" s="7" t="n">
        <f aca="false">AVERAGE(E1498:E1597)</f>
        <v>25375.8444</v>
      </c>
      <c r="L1597" s="7" t="n">
        <f aca="false">AVERAGE(E1398:E1597)</f>
        <v>24925.95885</v>
      </c>
      <c r="M1597" s="7" t="n">
        <f aca="false">I1597</f>
        <v>26957.9805</v>
      </c>
      <c r="N1597" s="7" t="n">
        <f aca="false">I1597+2*STDEV(E1578:E1597)</f>
        <v>28823.4569156669</v>
      </c>
      <c r="O1597" s="7" t="n">
        <f aca="false">I1597-2*STDEV(E1578:E1597)</f>
        <v>25092.5040843331</v>
      </c>
      <c r="P1597" s="7" t="n">
        <f aca="false">MAX(E1597-E1596,0)</f>
        <v>0</v>
      </c>
      <c r="Q1597" s="7" t="n">
        <f aca="false">MAX(E1596-E1597,0)</f>
        <v>35.2199999999975</v>
      </c>
      <c r="R1597" s="7" t="n">
        <f aca="false">(R1596*13+P1597)/14</f>
        <v>200.469898551287</v>
      </c>
      <c r="S1597" s="7" t="n">
        <f aca="false">(S1596*13+Q1597)/14</f>
        <v>53.1318642707875</v>
      </c>
      <c r="T1597" s="7" t="n">
        <f aca="false">IF(S1597=0,100,100-100/(1+R1597/S1597))</f>
        <v>79.0490950537814</v>
      </c>
      <c r="U1597" s="7" t="n">
        <f aca="false">E1597*2/13+U1596*11/13</f>
        <v>27563.8732031811</v>
      </c>
      <c r="V1597" s="7" t="n">
        <f aca="false">E1597*2/27+V1596*25/27</f>
        <v>26693.5922673736</v>
      </c>
      <c r="W1597" s="7" t="n">
        <f aca="false">U1597-V1597</f>
        <v>870.280935807481</v>
      </c>
      <c r="X1597" s="7" t="n">
        <f aca="false">W1597*2/10+X1596*8/10</f>
        <v>747.963779596932</v>
      </c>
      <c r="Y1597" s="7" t="n">
        <f aca="false">W1597-X1597</f>
        <v>122.317156210549</v>
      </c>
      <c r="Z1597" s="8" t="s">
        <v>42</v>
      </c>
      <c r="AA1597" s="7" t="str">
        <f aca="false">IFERROR(INDEX(02_轉折點45!B:B,MATCH(A1597,02_轉折點45!A:A,0)),"")</f>
        <v/>
      </c>
      <c r="AB1597" s="7" t="n">
        <f aca="false">COUNTIFS(05_訊號明細!A:A,A1597,05_訊號明細!C:C,"TOP")</f>
        <v>0</v>
      </c>
      <c r="AC1597" s="7" t="n">
        <f aca="false">COUNTIFS(05_訊號明細!A:A,A1597,05_訊號明細!C:C,"BOTTOM")</f>
        <v>0</v>
      </c>
    </row>
    <row r="1598" customFormat="false" ht="15" hidden="false" customHeight="false" outlineLevel="0" collapsed="false">
      <c r="A1598" s="7" t="s">
        <v>1639</v>
      </c>
      <c r="B1598" s="7" t="n">
        <v>28768.12</v>
      </c>
      <c r="C1598" s="7" t="n">
        <v>29234.99</v>
      </c>
      <c r="D1598" s="7" t="n">
        <v>28751.21</v>
      </c>
      <c r="E1598" s="7" t="n">
        <v>29234.99</v>
      </c>
      <c r="F1598" s="7" t="n">
        <v>9577</v>
      </c>
      <c r="G1598" s="7" t="n">
        <f aca="false">AVERAGE(E1594:E1598)</f>
        <v>28412.998</v>
      </c>
      <c r="H1598" s="7" t="n">
        <f aca="false">AVERAGE(E1589:E1598)</f>
        <v>27874.914</v>
      </c>
      <c r="I1598" s="7" t="n">
        <f aca="false">AVERAGE(E1579:E1598)</f>
        <v>27163.913</v>
      </c>
      <c r="J1598" s="7" t="n">
        <f aca="false">AVERAGE(E1549:E1598)</f>
        <v>25519.0884</v>
      </c>
      <c r="K1598" s="7" t="n">
        <f aca="false">AVERAGE(E1499:E1598)</f>
        <v>25416.227</v>
      </c>
      <c r="L1598" s="7" t="n">
        <f aca="false">AVERAGE(E1399:E1598)</f>
        <v>24956.32175</v>
      </c>
      <c r="M1598" s="7" t="n">
        <f aca="false">I1598</f>
        <v>27163.913</v>
      </c>
      <c r="N1598" s="7" t="n">
        <f aca="false">I1598+2*STDEV(E1579:E1598)</f>
        <v>29081.9700960944</v>
      </c>
      <c r="O1598" s="7" t="n">
        <f aca="false">I1598-2*STDEV(E1579:E1598)</f>
        <v>25245.8559039057</v>
      </c>
      <c r="P1598" s="7" t="n">
        <f aca="false">MAX(E1598-E1597,0)</f>
        <v>671.040000000001</v>
      </c>
      <c r="Q1598" s="7" t="n">
        <f aca="false">MAX(E1597-E1598,0)</f>
        <v>0</v>
      </c>
      <c r="R1598" s="7" t="n">
        <f aca="false">(R1597*13+P1598)/14</f>
        <v>234.082048654767</v>
      </c>
      <c r="S1598" s="7" t="n">
        <f aca="false">(S1597*13+Q1598)/14</f>
        <v>49.3367311085884</v>
      </c>
      <c r="T1598" s="7" t="n">
        <f aca="false">IF(S1598=0,100,100-100/(1+R1598/S1598))</f>
        <v>82.5922858217854</v>
      </c>
      <c r="U1598" s="7" t="n">
        <f aca="false">E1598*2/13+U1597*11/13</f>
        <v>27820.9680949994</v>
      </c>
      <c r="V1598" s="7" t="n">
        <f aca="false">E1598*2/27+V1597*25/27</f>
        <v>26881.8439512718</v>
      </c>
      <c r="W1598" s="7" t="n">
        <f aca="false">U1598-V1598</f>
        <v>939.124143727528</v>
      </c>
      <c r="X1598" s="7" t="n">
        <f aca="false">W1598*2/10+X1597*8/10</f>
        <v>786.195852423051</v>
      </c>
      <c r="Y1598" s="7" t="n">
        <f aca="false">W1598-X1598</f>
        <v>152.928291304476</v>
      </c>
      <c r="Z1598" s="8" t="s">
        <v>42</v>
      </c>
      <c r="AA1598" s="7" t="str">
        <f aca="false">IFERROR(INDEX(02_轉折點45!B:B,MATCH(A1598,02_轉折點45!A:A,0)),"")</f>
        <v/>
      </c>
      <c r="AB1598" s="7" t="n">
        <f aca="false">COUNTIFS(05_訊號明細!A:A,A1598,05_訊號明細!C:C,"TOP")</f>
        <v>0</v>
      </c>
      <c r="AC1598" s="7" t="n">
        <f aca="false">COUNTIFS(05_訊號明細!A:A,A1598,05_訊號明細!C:C,"BOTTOM")</f>
        <v>0</v>
      </c>
    </row>
    <row r="1599" customFormat="false" ht="15" hidden="false" customHeight="false" outlineLevel="0" collapsed="false">
      <c r="A1599" s="7" t="s">
        <v>1640</v>
      </c>
      <c r="B1599" s="7" t="n">
        <v>29185.83</v>
      </c>
      <c r="C1599" s="7" t="n">
        <v>29372.43</v>
      </c>
      <c r="D1599" s="7" t="n">
        <v>29143.2</v>
      </c>
      <c r="E1599" s="7" t="n">
        <v>29320.66</v>
      </c>
      <c r="F1599" s="7" t="n">
        <v>11990</v>
      </c>
      <c r="G1599" s="7" t="n">
        <f aca="false">AVERAGE(E1595:E1599)</f>
        <v>28746.766</v>
      </c>
      <c r="H1599" s="7" t="n">
        <f aca="false">AVERAGE(E1590:E1599)</f>
        <v>28076.412</v>
      </c>
      <c r="I1599" s="7" t="n">
        <f aca="false">AVERAGE(E1580:E1599)</f>
        <v>27360.76</v>
      </c>
      <c r="J1599" s="7" t="n">
        <f aca="false">AVERAGE(E1550:E1599)</f>
        <v>25606.3008</v>
      </c>
      <c r="K1599" s="7" t="n">
        <f aca="false">AVERAGE(E1500:E1599)</f>
        <v>25458.7609</v>
      </c>
      <c r="L1599" s="7" t="n">
        <f aca="false">AVERAGE(E1400:E1599)</f>
        <v>24986.8257</v>
      </c>
      <c r="M1599" s="7" t="n">
        <f aca="false">I1599</f>
        <v>27360.76</v>
      </c>
      <c r="N1599" s="7" t="n">
        <f aca="false">I1599+2*STDEV(E1580:E1599)</f>
        <v>29317.2592926411</v>
      </c>
      <c r="O1599" s="7" t="n">
        <f aca="false">I1599-2*STDEV(E1580:E1599)</f>
        <v>25404.2607073589</v>
      </c>
      <c r="P1599" s="7" t="n">
        <f aca="false">MAX(E1599-E1598,0)</f>
        <v>85.6699999999983</v>
      </c>
      <c r="Q1599" s="7" t="n">
        <f aca="false">MAX(E1598-E1599,0)</f>
        <v>0</v>
      </c>
      <c r="R1599" s="7" t="n">
        <f aca="false">(R1598*13+P1599)/14</f>
        <v>223.481188036569</v>
      </c>
      <c r="S1599" s="7" t="n">
        <f aca="false">(S1598*13+Q1599)/14</f>
        <v>45.8126788865464</v>
      </c>
      <c r="T1599" s="7" t="n">
        <f aca="false">IF(S1599=0,100,100-100/(1+R1599/S1599))</f>
        <v>82.9878491441374</v>
      </c>
      <c r="U1599" s="7" t="n">
        <f aca="false">E1599*2/13+U1598*11/13</f>
        <v>28051.6899265379</v>
      </c>
      <c r="V1599" s="7" t="n">
        <f aca="false">E1599*2/27+V1598*25/27</f>
        <v>27062.4969919184</v>
      </c>
      <c r="W1599" s="7" t="n">
        <f aca="false">U1599-V1599</f>
        <v>989.192934619558</v>
      </c>
      <c r="X1599" s="7" t="n">
        <f aca="false">W1599*2/10+X1598*8/10</f>
        <v>826.795268862353</v>
      </c>
      <c r="Y1599" s="7" t="n">
        <f aca="false">W1599-X1599</f>
        <v>162.397665757205</v>
      </c>
      <c r="Z1599" s="8" t="s">
        <v>42</v>
      </c>
      <c r="AA1599" s="7" t="str">
        <f aca="false">IFERROR(INDEX(02_轉折點45!B:B,MATCH(A1599,02_轉折點45!A:A,0)),"")</f>
        <v/>
      </c>
      <c r="AB1599" s="7" t="n">
        <f aca="false">COUNTIFS(05_訊號明細!A:A,A1599,05_訊號明細!C:C,"TOP")</f>
        <v>0</v>
      </c>
      <c r="AC1599" s="7" t="n">
        <f aca="false">COUNTIFS(05_訊號明細!A:A,A1599,05_訊號明細!C:C,"BOTTOM")</f>
        <v>0</v>
      </c>
    </row>
    <row r="1600" customFormat="false" ht="15" hidden="false" customHeight="false" outlineLevel="0" collapsed="false">
      <c r="A1600" s="7" t="s">
        <v>1641</v>
      </c>
      <c r="B1600" s="7" t="n">
        <v>29067.36</v>
      </c>
      <c r="C1600" s="7" t="n">
        <v>29188.07</v>
      </c>
      <c r="D1600" s="7" t="n">
        <v>28628.64</v>
      </c>
      <c r="E1600" s="7" t="n">
        <v>29064.8</v>
      </c>
      <c r="F1600" s="7" t="n">
        <v>9632</v>
      </c>
      <c r="G1600" s="7" t="n">
        <f aca="false">AVERAGE(E1596:E1600)</f>
        <v>28956.714</v>
      </c>
      <c r="H1600" s="7" t="n">
        <f aca="false">AVERAGE(E1591:E1600)</f>
        <v>28279.991</v>
      </c>
      <c r="I1600" s="7" t="n">
        <f aca="false">AVERAGE(E1581:E1600)</f>
        <v>27521.9</v>
      </c>
      <c r="J1600" s="7" t="n">
        <f aca="false">AVERAGE(E1551:E1600)</f>
        <v>25687.7448</v>
      </c>
      <c r="K1600" s="7" t="n">
        <f aca="false">AVERAGE(E1501:E1600)</f>
        <v>25498.0795</v>
      </c>
      <c r="L1600" s="7" t="n">
        <f aca="false">AVERAGE(E1401:E1600)</f>
        <v>25015.78845</v>
      </c>
      <c r="M1600" s="7" t="n">
        <f aca="false">I1600</f>
        <v>27521.9</v>
      </c>
      <c r="N1600" s="7" t="n">
        <f aca="false">I1600+2*STDEV(E1581:E1600)</f>
        <v>29482.580517307</v>
      </c>
      <c r="O1600" s="7" t="n">
        <f aca="false">I1600-2*STDEV(E1581:E1600)</f>
        <v>25561.219482693</v>
      </c>
      <c r="P1600" s="7" t="n">
        <f aca="false">MAX(E1600-E1599,0)</f>
        <v>0</v>
      </c>
      <c r="Q1600" s="7" t="n">
        <f aca="false">MAX(E1599-E1600,0)</f>
        <v>255.860000000001</v>
      </c>
      <c r="R1600" s="7" t="n">
        <f aca="false">(R1599*13+P1600)/14</f>
        <v>207.518246033957</v>
      </c>
      <c r="S1600" s="7" t="n">
        <f aca="false">(S1599*13+Q1600)/14</f>
        <v>60.8160589660788</v>
      </c>
      <c r="T1600" s="7" t="n">
        <f aca="false">IF(S1600=0,100,100-100/(1+R1600/S1600))</f>
        <v>77.3357122690404</v>
      </c>
      <c r="U1600" s="7" t="n">
        <f aca="false">E1600*2/13+U1599*11/13</f>
        <v>28207.5530147629</v>
      </c>
      <c r="V1600" s="7" t="n">
        <f aca="false">E1600*2/27+V1599*25/27</f>
        <v>27210.8157332577</v>
      </c>
      <c r="W1600" s="7" t="n">
        <f aca="false">U1600-V1600</f>
        <v>996.737281505109</v>
      </c>
      <c r="X1600" s="7" t="n">
        <f aca="false">W1600*2/10+X1599*8/10</f>
        <v>860.783671390904</v>
      </c>
      <c r="Y1600" s="7" t="n">
        <f aca="false">W1600-X1600</f>
        <v>135.953610114205</v>
      </c>
      <c r="Z1600" s="8" t="s">
        <v>42</v>
      </c>
      <c r="AA1600" s="7" t="str">
        <f aca="false">IFERROR(INDEX(02_轉折點45!B:B,MATCH(A1600,02_轉折點45!A:A,0)),"")</f>
        <v/>
      </c>
      <c r="AB1600" s="7" t="n">
        <f aca="false">COUNTIFS(05_訊號明細!A:A,A1600,05_訊號明細!C:C,"TOP")</f>
        <v>0</v>
      </c>
      <c r="AC1600" s="7" t="n">
        <f aca="false">COUNTIFS(05_訊號明細!A:A,A1600,05_訊號明細!C:C,"BOTTOM")</f>
        <v>0</v>
      </c>
    </row>
    <row r="1601" customFormat="false" ht="15" hidden="false" customHeight="false" outlineLevel="0" collapsed="false">
      <c r="A1601" s="7" t="s">
        <v>1642</v>
      </c>
      <c r="B1601" s="7" t="n">
        <v>29159.95</v>
      </c>
      <c r="C1601" s="7" t="n">
        <v>29452.26</v>
      </c>
      <c r="D1601" s="7" t="n">
        <v>28968.55</v>
      </c>
      <c r="E1601" s="7" t="n">
        <v>29366.94</v>
      </c>
      <c r="F1601" s="7" t="n">
        <v>9735</v>
      </c>
      <c r="G1601" s="7" t="n">
        <f aca="false">AVERAGE(E1597:E1601)</f>
        <v>29110.268</v>
      </c>
      <c r="H1601" s="7" t="n">
        <f aca="false">AVERAGE(E1592:E1601)</f>
        <v>28497.987</v>
      </c>
      <c r="I1601" s="7" t="n">
        <f aca="false">AVERAGE(E1582:E1601)</f>
        <v>27680.018</v>
      </c>
      <c r="J1601" s="7" t="n">
        <f aca="false">AVERAGE(E1552:E1601)</f>
        <v>25780.682</v>
      </c>
      <c r="K1601" s="7" t="n">
        <f aca="false">AVERAGE(E1502:E1601)</f>
        <v>25545.2728</v>
      </c>
      <c r="L1601" s="7" t="n">
        <f aca="false">AVERAGE(E1402:E1601)</f>
        <v>25045.8418</v>
      </c>
      <c r="M1601" s="7" t="n">
        <f aca="false">I1601</f>
        <v>27680.018</v>
      </c>
      <c r="N1601" s="7" t="n">
        <f aca="false">I1601+2*STDEV(E1582:E1601)</f>
        <v>29702.4754948481</v>
      </c>
      <c r="O1601" s="7" t="n">
        <f aca="false">I1601-2*STDEV(E1582:E1601)</f>
        <v>25657.5605051519</v>
      </c>
      <c r="P1601" s="7" t="n">
        <f aca="false">MAX(E1601-E1600,0)</f>
        <v>302.139999999999</v>
      </c>
      <c r="Q1601" s="7" t="n">
        <f aca="false">MAX(E1600-E1601,0)</f>
        <v>0</v>
      </c>
      <c r="R1601" s="7" t="n">
        <f aca="false">(R1600*13+P1601)/14</f>
        <v>214.276942745817</v>
      </c>
      <c r="S1601" s="7" t="n">
        <f aca="false">(S1600*13+Q1601)/14</f>
        <v>56.472054754216</v>
      </c>
      <c r="T1601" s="7" t="n">
        <f aca="false">IF(S1601=0,100,100-100/(1+R1601/S1601))</f>
        <v>79.142284818909</v>
      </c>
      <c r="U1601" s="7" t="n">
        <f aca="false">E1601*2/13+U1600*11/13</f>
        <v>28385.9202432609</v>
      </c>
      <c r="V1601" s="7" t="n">
        <f aca="false">E1601*2/27+V1600*25/27</f>
        <v>27370.5286419053</v>
      </c>
      <c r="W1601" s="7" t="n">
        <f aca="false">U1601-V1601</f>
        <v>1015.39160135556</v>
      </c>
      <c r="X1601" s="7" t="n">
        <f aca="false">W1601*2/10+X1600*8/10</f>
        <v>891.705257383835</v>
      </c>
      <c r="Y1601" s="7" t="n">
        <f aca="false">W1601-X1601</f>
        <v>123.686343971723</v>
      </c>
      <c r="Z1601" s="8" t="s">
        <v>42</v>
      </c>
      <c r="AA1601" s="7" t="str">
        <f aca="false">IFERROR(INDEX(02_轉折點45!B:B,MATCH(A1601,02_轉折點45!A:A,0)),"")</f>
        <v/>
      </c>
      <c r="AB1601" s="7" t="n">
        <f aca="false">COUNTIFS(05_訊號明細!A:A,A1601,05_訊號明細!C:C,"TOP")</f>
        <v>0</v>
      </c>
      <c r="AC1601" s="7" t="n">
        <f aca="false">COUNTIFS(05_訊號明細!A:A,A1601,05_訊號明細!C:C,"BOTTOM")</f>
        <v>0</v>
      </c>
    </row>
    <row r="1602" customFormat="false" ht="15" hidden="false" customHeight="false" outlineLevel="0" collapsed="false">
      <c r="A1602" s="7" t="s">
        <v>1643</v>
      </c>
      <c r="B1602" s="7" t="n">
        <v>29372.65</v>
      </c>
      <c r="C1602" s="7" t="n">
        <v>29678.89</v>
      </c>
      <c r="D1602" s="7" t="n">
        <v>29350.1</v>
      </c>
      <c r="E1602" s="7" t="n">
        <v>29580.3</v>
      </c>
      <c r="F1602" s="7" t="n">
        <v>9860</v>
      </c>
      <c r="G1602" s="7" t="n">
        <f aca="false">AVERAGE(E1598:E1602)</f>
        <v>29313.538</v>
      </c>
      <c r="H1602" s="7" t="n">
        <f aca="false">AVERAGE(E1593:E1602)</f>
        <v>28710.805</v>
      </c>
      <c r="I1602" s="7" t="n">
        <f aca="false">AVERAGE(E1583:E1602)</f>
        <v>27842.383</v>
      </c>
      <c r="J1602" s="7" t="n">
        <f aca="false">AVERAGE(E1553:E1602)</f>
        <v>25870.4144</v>
      </c>
      <c r="K1602" s="7" t="n">
        <f aca="false">AVERAGE(E1503:E1602)</f>
        <v>25590.8821</v>
      </c>
      <c r="L1602" s="7" t="n">
        <f aca="false">AVERAGE(E1403:E1602)</f>
        <v>25077.2018</v>
      </c>
      <c r="M1602" s="7" t="n">
        <f aca="false">I1602</f>
        <v>27842.383</v>
      </c>
      <c r="N1602" s="7" t="n">
        <f aca="false">I1602+2*STDEV(E1583:E1602)</f>
        <v>29929.8621816381</v>
      </c>
      <c r="O1602" s="7" t="n">
        <f aca="false">I1602-2*STDEV(E1583:E1602)</f>
        <v>25754.9038183619</v>
      </c>
      <c r="P1602" s="7" t="n">
        <f aca="false">MAX(E1602-E1601,0)</f>
        <v>213.360000000001</v>
      </c>
      <c r="Q1602" s="7" t="n">
        <f aca="false">MAX(E1601-E1602,0)</f>
        <v>0</v>
      </c>
      <c r="R1602" s="7" t="n">
        <f aca="false">(R1601*13+P1602)/14</f>
        <v>214.211446835401</v>
      </c>
      <c r="S1602" s="7" t="n">
        <f aca="false">(S1601*13+Q1602)/14</f>
        <v>52.4383365574863</v>
      </c>
      <c r="T1602" s="7" t="n">
        <f aca="false">IF(S1602=0,100,100-100/(1+R1602/S1602))</f>
        <v>80.334378715687</v>
      </c>
      <c r="U1602" s="7" t="n">
        <f aca="false">E1602*2/13+U1601*11/13</f>
        <v>28569.6709750669</v>
      </c>
      <c r="V1602" s="7" t="n">
        <f aca="false">E1602*2/27+V1601*25/27</f>
        <v>27534.2154091716</v>
      </c>
      <c r="W1602" s="7" t="n">
        <f aca="false">U1602-V1602</f>
        <v>1035.4555658953</v>
      </c>
      <c r="X1602" s="7" t="n">
        <f aca="false">W1602*2/10+X1601*8/10</f>
        <v>920.455319086128</v>
      </c>
      <c r="Y1602" s="7" t="n">
        <f aca="false">W1602-X1602</f>
        <v>115.000246809175</v>
      </c>
      <c r="Z1602" s="8" t="s">
        <v>42</v>
      </c>
      <c r="AA1602" s="7" t="str">
        <f aca="false">IFERROR(INDEX(02_轉折點45!B:B,MATCH(A1602,02_轉折點45!A:A,0)),"")</f>
        <v/>
      </c>
      <c r="AB1602" s="7" t="n">
        <f aca="false">COUNTIFS(05_訊號明細!A:A,A1602,05_訊號明細!C:C,"TOP")</f>
        <v>0</v>
      </c>
      <c r="AC1602" s="7" t="n">
        <f aca="false">COUNTIFS(05_訊號明細!A:A,A1602,05_訊號明細!C:C,"BOTTOM")</f>
        <v>0</v>
      </c>
    </row>
    <row r="1603" customFormat="false" ht="15" hidden="false" customHeight="false" outlineLevel="0" collapsed="false">
      <c r="A1603" s="7" t="s">
        <v>1644</v>
      </c>
      <c r="B1603" s="7" t="n">
        <v>29191.36</v>
      </c>
      <c r="C1603" s="7" t="n">
        <v>29387.44</v>
      </c>
      <c r="D1603" s="7" t="n">
        <v>28991.42</v>
      </c>
      <c r="E1603" s="7" t="n">
        <v>29125.2</v>
      </c>
      <c r="F1603" s="7" t="n">
        <v>9584</v>
      </c>
      <c r="G1603" s="7" t="n">
        <f aca="false">AVERAGE(E1599:E1603)</f>
        <v>29291.58</v>
      </c>
      <c r="H1603" s="7" t="n">
        <f aca="false">AVERAGE(E1594:E1603)</f>
        <v>28852.289</v>
      </c>
      <c r="I1603" s="7" t="n">
        <f aca="false">AVERAGE(E1584:E1603)</f>
        <v>27965.0215</v>
      </c>
      <c r="J1603" s="7" t="n">
        <f aca="false">AVERAGE(E1554:E1603)</f>
        <v>25952.5102</v>
      </c>
      <c r="K1603" s="7" t="n">
        <f aca="false">AVERAGE(E1504:E1603)</f>
        <v>25628.6723</v>
      </c>
      <c r="L1603" s="7" t="n">
        <f aca="false">AVERAGE(E1404:E1603)</f>
        <v>25106.10075</v>
      </c>
      <c r="M1603" s="7" t="n">
        <f aca="false">I1603</f>
        <v>27965.0215</v>
      </c>
      <c r="N1603" s="7" t="n">
        <f aca="false">I1603+2*STDEV(E1584:E1603)</f>
        <v>30051.291388937</v>
      </c>
      <c r="O1603" s="7" t="n">
        <f aca="false">I1603-2*STDEV(E1584:E1603)</f>
        <v>25878.751611063</v>
      </c>
      <c r="P1603" s="7" t="n">
        <f aca="false">MAX(E1603-E1602,0)</f>
        <v>0</v>
      </c>
      <c r="Q1603" s="7" t="n">
        <f aca="false">MAX(E1602-E1603,0)</f>
        <v>455.099999999999</v>
      </c>
      <c r="R1603" s="7" t="n">
        <f aca="false">(R1602*13+P1603)/14</f>
        <v>198.910629204301</v>
      </c>
      <c r="S1603" s="7" t="n">
        <f aca="false">(S1602*13+Q1603)/14</f>
        <v>81.1998839462372</v>
      </c>
      <c r="T1603" s="7" t="n">
        <f aca="false">IF(S1603=0,100,100-100/(1+R1603/S1603))</f>
        <v>71.0114829204578</v>
      </c>
      <c r="U1603" s="7" t="n">
        <f aca="false">E1603*2/13+U1602*11/13</f>
        <v>28655.1369789028</v>
      </c>
      <c r="V1603" s="7" t="n">
        <f aca="false">E1603*2/27+V1602*25/27</f>
        <v>27652.0661196033</v>
      </c>
      <c r="W1603" s="7" t="n">
        <f aca="false">U1603-V1603</f>
        <v>1003.07085929943</v>
      </c>
      <c r="X1603" s="7" t="n">
        <f aca="false">W1603*2/10+X1602*8/10</f>
        <v>936.978427128789</v>
      </c>
      <c r="Y1603" s="7" t="n">
        <f aca="false">W1603-X1603</f>
        <v>66.0924321706417</v>
      </c>
      <c r="Z1603" s="7" t="s">
        <v>78</v>
      </c>
      <c r="AA1603" s="7" t="str">
        <f aca="false">IFERROR(INDEX(02_轉折點45!B:B,MATCH(A1603,02_轉折點45!A:A,0)),"")</f>
        <v/>
      </c>
      <c r="AB1603" s="7" t="n">
        <f aca="false">COUNTIFS(05_訊號明細!A:A,A1603,05_訊號明細!C:C,"TOP")</f>
        <v>1</v>
      </c>
      <c r="AC1603" s="7" t="n">
        <f aca="false">COUNTIFS(05_訊號明細!A:A,A1603,05_訊號明細!C:C,"BOTTOM")</f>
        <v>0</v>
      </c>
    </row>
    <row r="1604" customFormat="false" ht="15" hidden="false" customHeight="false" outlineLevel="0" collapsed="false">
      <c r="A1604" s="7" t="s">
        <v>1645</v>
      </c>
      <c r="B1604" s="7" t="n">
        <v>29246.2</v>
      </c>
      <c r="C1604" s="7" t="n">
        <v>29250.15</v>
      </c>
      <c r="D1604" s="7" t="n">
        <v>28717.57</v>
      </c>
      <c r="E1604" s="7" t="n">
        <v>28994.37</v>
      </c>
      <c r="F1604" s="7" t="n">
        <v>10328</v>
      </c>
      <c r="G1604" s="7" t="n">
        <f aca="false">AVERAGE(E1600:E1604)</f>
        <v>29226.322</v>
      </c>
      <c r="H1604" s="7" t="n">
        <f aca="false">AVERAGE(E1595:E1604)</f>
        <v>28986.544</v>
      </c>
      <c r="I1604" s="7" t="n">
        <f aca="false">AVERAGE(E1585:E1604)</f>
        <v>28085.223</v>
      </c>
      <c r="J1604" s="7" t="n">
        <f aca="false">AVERAGE(E1555:E1604)</f>
        <v>26039.5372</v>
      </c>
      <c r="K1604" s="7" t="n">
        <f aca="false">AVERAGE(E1505:E1604)</f>
        <v>25663.999</v>
      </c>
      <c r="L1604" s="7" t="n">
        <f aca="false">AVERAGE(E1405:E1604)</f>
        <v>25134.982</v>
      </c>
      <c r="M1604" s="7" t="n">
        <f aca="false">I1604</f>
        <v>28085.223</v>
      </c>
      <c r="N1604" s="7" t="n">
        <f aca="false">I1604+2*STDEV(E1585:E1604)</f>
        <v>30114.2399167939</v>
      </c>
      <c r="O1604" s="7" t="n">
        <f aca="false">I1604-2*STDEV(E1585:E1604)</f>
        <v>26056.2060832061</v>
      </c>
      <c r="P1604" s="7" t="n">
        <f aca="false">MAX(E1604-E1603,0)</f>
        <v>0</v>
      </c>
      <c r="Q1604" s="7" t="n">
        <f aca="false">MAX(E1603-E1604,0)</f>
        <v>130.830000000002</v>
      </c>
      <c r="R1604" s="7" t="n">
        <f aca="false">(R1603*13+P1604)/14</f>
        <v>184.70272711828</v>
      </c>
      <c r="S1604" s="7" t="n">
        <f aca="false">(S1603*13+Q1604)/14</f>
        <v>84.7448922357918</v>
      </c>
      <c r="T1604" s="7" t="n">
        <f aca="false">IF(S1604=0,100,100-100/(1+R1604/S1604))</f>
        <v>68.5486580141458</v>
      </c>
      <c r="U1604" s="7" t="n">
        <f aca="false">E1604*2/13+U1603*11/13</f>
        <v>28707.3266744562</v>
      </c>
      <c r="V1604" s="7" t="n">
        <f aca="false">E1604*2/27+V1603*25/27</f>
        <v>27751.4960366697</v>
      </c>
      <c r="W1604" s="7" t="n">
        <f aca="false">U1604-V1604</f>
        <v>955.830637786432</v>
      </c>
      <c r="X1604" s="7" t="n">
        <f aca="false">W1604*2/10+X1603*8/10</f>
        <v>940.748869260318</v>
      </c>
      <c r="Y1604" s="7" t="n">
        <f aca="false">W1604-X1604</f>
        <v>15.0817685261144</v>
      </c>
      <c r="Z1604" s="8" t="s">
        <v>42</v>
      </c>
      <c r="AA1604" s="7" t="str">
        <f aca="false">IFERROR(INDEX(02_轉折點45!B:B,MATCH(A1604,02_轉折點45!A:A,0)),"")</f>
        <v/>
      </c>
      <c r="AB1604" s="7" t="n">
        <f aca="false">COUNTIFS(05_訊號明細!A:A,A1604,05_訊號明細!C:C,"TOP")</f>
        <v>0</v>
      </c>
      <c r="AC1604" s="7" t="n">
        <f aca="false">COUNTIFS(05_訊號明細!A:A,A1604,05_訊號明細!C:C,"BOTTOM")</f>
        <v>0</v>
      </c>
    </row>
    <row r="1605" customFormat="false" ht="15" hidden="false" customHeight="false" outlineLevel="0" collapsed="false">
      <c r="A1605" s="7" t="s">
        <v>1646</v>
      </c>
      <c r="B1605" s="7" t="n">
        <v>28795.02</v>
      </c>
      <c r="C1605" s="7" t="n">
        <v>29031.92</v>
      </c>
      <c r="D1605" s="7" t="n">
        <v>28567.16</v>
      </c>
      <c r="E1605" s="7" t="n">
        <v>28818.84</v>
      </c>
      <c r="F1605" s="7" t="n">
        <v>9896</v>
      </c>
      <c r="G1605" s="7" t="n">
        <f aca="false">AVERAGE(E1601:E1605)</f>
        <v>29177.13</v>
      </c>
      <c r="H1605" s="7" t="n">
        <f aca="false">AVERAGE(E1596:E1605)</f>
        <v>29066.922</v>
      </c>
      <c r="I1605" s="7" t="n">
        <f aca="false">AVERAGE(E1586:E1605)</f>
        <v>28202.1915</v>
      </c>
      <c r="J1605" s="7" t="n">
        <f aca="false">AVERAGE(E1556:E1605)</f>
        <v>26116.569</v>
      </c>
      <c r="K1605" s="7" t="n">
        <f aca="false">AVERAGE(E1506:E1605)</f>
        <v>25696.3091</v>
      </c>
      <c r="L1605" s="7" t="n">
        <f aca="false">AVERAGE(E1406:E1605)</f>
        <v>25165.25965</v>
      </c>
      <c r="M1605" s="7" t="n">
        <f aca="false">I1605</f>
        <v>28202.1915</v>
      </c>
      <c r="N1605" s="7" t="n">
        <f aca="false">I1605+2*STDEV(E1586:E1605)</f>
        <v>30107.3887925522</v>
      </c>
      <c r="O1605" s="7" t="n">
        <f aca="false">I1605-2*STDEV(E1586:E1605)</f>
        <v>26296.9942074477</v>
      </c>
      <c r="P1605" s="7" t="n">
        <f aca="false">MAX(E1605-E1604,0)</f>
        <v>0</v>
      </c>
      <c r="Q1605" s="7" t="n">
        <f aca="false">MAX(E1604-E1605,0)</f>
        <v>175.529999999999</v>
      </c>
      <c r="R1605" s="7" t="n">
        <f aca="false">(R1604*13+P1605)/14</f>
        <v>171.50967518126</v>
      </c>
      <c r="S1605" s="7" t="n">
        <f aca="false">(S1604*13+Q1605)/14</f>
        <v>91.229542790378</v>
      </c>
      <c r="T1605" s="7" t="n">
        <f aca="false">IF(S1605=0,100,100-100/(1+R1605/S1605))</f>
        <v>65.2775312742896</v>
      </c>
      <c r="U1605" s="7" t="n">
        <f aca="false">E1605*2/13+U1604*11/13</f>
        <v>28724.4825706937</v>
      </c>
      <c r="V1605" s="7" t="n">
        <f aca="false">E1605*2/27+V1604*25/27</f>
        <v>27830.558552472</v>
      </c>
      <c r="W1605" s="7" t="n">
        <f aca="false">U1605-V1605</f>
        <v>893.924018221704</v>
      </c>
      <c r="X1605" s="7" t="n">
        <f aca="false">W1605*2/10+X1604*8/10</f>
        <v>931.383899052595</v>
      </c>
      <c r="Y1605" s="7" t="n">
        <f aca="false">W1605-X1605</f>
        <v>-37.4598808308912</v>
      </c>
      <c r="Z1605" s="8" t="s">
        <v>42</v>
      </c>
      <c r="AA1605" s="7" t="str">
        <f aca="false">IFERROR(INDEX(02_轉折點45!B:B,MATCH(A1605,02_轉折點45!A:A,0)),"")</f>
        <v/>
      </c>
      <c r="AB1605" s="7" t="n">
        <f aca="false">COUNTIFS(05_訊號明細!A:A,A1605,05_訊號明細!C:C,"TOP")</f>
        <v>0</v>
      </c>
      <c r="AC1605" s="7" t="n">
        <f aca="false">COUNTIFS(05_訊號明細!A:A,A1605,05_訊號明細!C:C,"BOTTOM")</f>
        <v>0</v>
      </c>
    </row>
    <row r="1606" customFormat="false" ht="15" hidden="false" customHeight="false" outlineLevel="0" collapsed="false">
      <c r="A1606" s="7" t="s">
        <v>1647</v>
      </c>
      <c r="B1606" s="7" t="n">
        <v>29006.57</v>
      </c>
      <c r="C1606" s="7" t="n">
        <v>29301.28</v>
      </c>
      <c r="D1606" s="7" t="n">
        <v>28919.44</v>
      </c>
      <c r="E1606" s="7" t="n">
        <v>29297.7</v>
      </c>
      <c r="F1606" s="7" t="n">
        <v>9268</v>
      </c>
      <c r="G1606" s="7" t="n">
        <f aca="false">AVERAGE(E1602:E1606)</f>
        <v>29163.282</v>
      </c>
      <c r="H1606" s="7" t="n">
        <f aca="false">AVERAGE(E1597:E1606)</f>
        <v>29136.775</v>
      </c>
      <c r="I1606" s="7" t="n">
        <f aca="false">AVERAGE(E1587:E1606)</f>
        <v>28320.2125</v>
      </c>
      <c r="J1606" s="7" t="n">
        <f aca="false">AVERAGE(E1557:E1606)</f>
        <v>26203.3936</v>
      </c>
      <c r="K1606" s="7" t="n">
        <f aca="false">AVERAGE(E1507:E1606)</f>
        <v>25732.7246</v>
      </c>
      <c r="L1606" s="7" t="n">
        <f aca="false">AVERAGE(E1407:E1606)</f>
        <v>25195.8051</v>
      </c>
      <c r="M1606" s="7" t="n">
        <f aca="false">I1606</f>
        <v>28320.2125</v>
      </c>
      <c r="N1606" s="7" t="n">
        <f aca="false">I1606+2*STDEV(E1587:E1606)</f>
        <v>30187.5493640801</v>
      </c>
      <c r="O1606" s="7" t="n">
        <f aca="false">I1606-2*STDEV(E1587:E1606)</f>
        <v>26452.8756359199</v>
      </c>
      <c r="P1606" s="7" t="n">
        <f aca="false">MAX(E1606-E1605,0)</f>
        <v>478.860000000001</v>
      </c>
      <c r="Q1606" s="7" t="n">
        <f aca="false">MAX(E1605-E1606,0)</f>
        <v>0</v>
      </c>
      <c r="R1606" s="7" t="n">
        <f aca="false">(R1605*13+P1606)/14</f>
        <v>193.46326981117</v>
      </c>
      <c r="S1606" s="7" t="n">
        <f aca="false">(S1605*13+Q1606)/14</f>
        <v>84.7131468767796</v>
      </c>
      <c r="T1606" s="7" t="n">
        <f aca="false">IF(S1606=0,100,100-100/(1+R1606/S1606))</f>
        <v>69.5469702696586</v>
      </c>
      <c r="U1606" s="7" t="n">
        <f aca="false">E1606*2/13+U1605*11/13</f>
        <v>28812.6698675101</v>
      </c>
      <c r="V1606" s="7" t="n">
        <f aca="false">E1606*2/27+V1605*25/27</f>
        <v>27939.2356967333</v>
      </c>
      <c r="W1606" s="7" t="n">
        <f aca="false">U1606-V1606</f>
        <v>873.434170776727</v>
      </c>
      <c r="X1606" s="7" t="n">
        <f aca="false">W1606*2/10+X1605*8/10</f>
        <v>919.793953397421</v>
      </c>
      <c r="Y1606" s="7" t="n">
        <f aca="false">W1606-X1606</f>
        <v>-46.3597826206941</v>
      </c>
      <c r="Z1606" s="8" t="s">
        <v>42</v>
      </c>
      <c r="AA1606" s="7" t="str">
        <f aca="false">IFERROR(INDEX(02_轉折點45!B:B,MATCH(A1606,02_轉折點45!A:A,0)),"")</f>
        <v/>
      </c>
      <c r="AB1606" s="7" t="n">
        <f aca="false">COUNTIFS(05_訊號明細!A:A,A1606,05_訊號明細!C:C,"TOP")</f>
        <v>0</v>
      </c>
      <c r="AC1606" s="7" t="n">
        <f aca="false">COUNTIFS(05_訊號明細!A:A,A1606,05_訊號明細!C:C,"BOTTOM")</f>
        <v>0</v>
      </c>
    </row>
    <row r="1607" customFormat="false" ht="15" hidden="false" customHeight="false" outlineLevel="0" collapsed="false">
      <c r="A1607" s="7" t="s">
        <v>1648</v>
      </c>
      <c r="B1607" s="7" t="n">
        <v>29150.13</v>
      </c>
      <c r="C1607" s="7" t="n">
        <v>29463.49</v>
      </c>
      <c r="D1607" s="7" t="n">
        <v>29040.04</v>
      </c>
      <c r="E1607" s="7" t="n">
        <v>29357.27</v>
      </c>
      <c r="F1607" s="7" t="n">
        <v>8628</v>
      </c>
      <c r="G1607" s="7" t="n">
        <f aca="false">AVERAGE(E1603:E1607)</f>
        <v>29118.676</v>
      </c>
      <c r="H1607" s="7" t="n">
        <f aca="false">AVERAGE(E1598:E1607)</f>
        <v>29216.107</v>
      </c>
      <c r="I1607" s="7" t="n">
        <f aca="false">AVERAGE(E1588:E1607)</f>
        <v>28448.9445</v>
      </c>
      <c r="J1607" s="7" t="n">
        <f aca="false">AVERAGE(E1558:E1607)</f>
        <v>26291.2388</v>
      </c>
      <c r="K1607" s="7" t="n">
        <f aca="false">AVERAGE(E1508:E1607)</f>
        <v>25769.8534</v>
      </c>
      <c r="L1607" s="7" t="n">
        <f aca="false">AVERAGE(E1408:E1607)</f>
        <v>25227.49865</v>
      </c>
      <c r="M1607" s="7" t="n">
        <f aca="false">I1607</f>
        <v>28448.9445</v>
      </c>
      <c r="N1607" s="7" t="n">
        <f aca="false">I1607+2*STDEV(E1588:E1607)</f>
        <v>30222.6048743193</v>
      </c>
      <c r="O1607" s="7" t="n">
        <f aca="false">I1607-2*STDEV(E1588:E1607)</f>
        <v>26675.2841256807</v>
      </c>
      <c r="P1607" s="7" t="n">
        <f aca="false">MAX(E1607-E1606,0)</f>
        <v>59.5699999999997</v>
      </c>
      <c r="Q1607" s="7" t="n">
        <f aca="false">MAX(E1606-E1607,0)</f>
        <v>0</v>
      </c>
      <c r="R1607" s="7" t="n">
        <f aca="false">(R1606*13+P1607)/14</f>
        <v>183.899464824658</v>
      </c>
      <c r="S1607" s="7" t="n">
        <f aca="false">(S1606*13+Q1607)/14</f>
        <v>78.6622078141525</v>
      </c>
      <c r="T1607" s="7" t="n">
        <f aca="false">IF(S1607=0,100,100-100/(1+R1607/S1607))</f>
        <v>70.0404834324912</v>
      </c>
      <c r="U1607" s="7" t="n">
        <f aca="false">E1607*2/13+U1606*11/13</f>
        <v>28896.4545032777</v>
      </c>
      <c r="V1607" s="7" t="n">
        <f aca="false">E1607*2/27+V1606*25/27</f>
        <v>28044.2752747531</v>
      </c>
      <c r="W1607" s="7" t="n">
        <f aca="false">U1607-V1607</f>
        <v>852.179228524659</v>
      </c>
      <c r="X1607" s="7" t="n">
        <f aca="false">W1607*2/10+X1606*8/10</f>
        <v>906.271008422869</v>
      </c>
      <c r="Y1607" s="7" t="n">
        <f aca="false">W1607-X1607</f>
        <v>-54.0917798982096</v>
      </c>
      <c r="Z1607" s="7" t="s">
        <v>78</v>
      </c>
      <c r="AA1607" s="7" t="str">
        <f aca="false">IFERROR(INDEX(02_轉折點45!B:B,MATCH(A1607,02_轉折點45!A:A,0)),"")</f>
        <v/>
      </c>
      <c r="AB1607" s="7" t="n">
        <f aca="false">COUNTIFS(05_訊號明細!A:A,A1607,05_訊號明細!C:C,"TOP")</f>
        <v>2</v>
      </c>
      <c r="AC1607" s="7" t="n">
        <f aca="false">COUNTIFS(05_訊號明細!A:A,A1607,05_訊號明細!C:C,"BOTTOM")</f>
        <v>0</v>
      </c>
    </row>
    <row r="1608" customFormat="false" ht="15" hidden="false" customHeight="false" outlineLevel="0" collapsed="false">
      <c r="A1608" s="7" t="s">
        <v>1649</v>
      </c>
      <c r="B1608" s="7" t="n">
        <v>29476.29</v>
      </c>
      <c r="C1608" s="7" t="n">
        <v>29663.89</v>
      </c>
      <c r="D1608" s="7" t="n">
        <v>29423.63</v>
      </c>
      <c r="E1608" s="7" t="n">
        <v>29481.64</v>
      </c>
      <c r="F1608" s="7" t="n">
        <v>9265</v>
      </c>
      <c r="G1608" s="7" t="n">
        <f aca="false">AVERAGE(E1604:E1608)</f>
        <v>29189.964</v>
      </c>
      <c r="H1608" s="7" t="n">
        <f aca="false">AVERAGE(E1599:E1608)</f>
        <v>29240.772</v>
      </c>
      <c r="I1608" s="7" t="n">
        <f aca="false">AVERAGE(E1589:E1608)</f>
        <v>28557.843</v>
      </c>
      <c r="J1608" s="7" t="n">
        <f aca="false">AVERAGE(E1559:E1608)</f>
        <v>26390.2</v>
      </c>
      <c r="K1608" s="7" t="n">
        <f aca="false">AVERAGE(E1509:E1608)</f>
        <v>25809.4142</v>
      </c>
      <c r="L1608" s="7" t="n">
        <f aca="false">AVERAGE(E1409:E1608)</f>
        <v>25258.33165</v>
      </c>
      <c r="M1608" s="7" t="n">
        <f aca="false">I1608</f>
        <v>28557.843</v>
      </c>
      <c r="N1608" s="7" t="n">
        <f aca="false">I1608+2*STDEV(E1589:E1608)</f>
        <v>30302.6407705541</v>
      </c>
      <c r="O1608" s="7" t="n">
        <f aca="false">I1608-2*STDEV(E1589:E1608)</f>
        <v>26813.0452294459</v>
      </c>
      <c r="P1608" s="7" t="n">
        <f aca="false">MAX(E1608-E1607,0)</f>
        <v>124.369999999999</v>
      </c>
      <c r="Q1608" s="7" t="n">
        <f aca="false">MAX(E1607-E1608,0)</f>
        <v>0</v>
      </c>
      <c r="R1608" s="7" t="n">
        <f aca="false">(R1607*13+P1608)/14</f>
        <v>179.647360194325</v>
      </c>
      <c r="S1608" s="7" t="n">
        <f aca="false">(S1607*13+Q1608)/14</f>
        <v>73.0434786845702</v>
      </c>
      <c r="T1608" s="7" t="n">
        <f aca="false">IF(S1608=0,100,100-100/(1+R1608/S1608))</f>
        <v>71.0937369124106</v>
      </c>
      <c r="U1608" s="7" t="n">
        <f aca="false">E1608*2/13+U1607*11/13</f>
        <v>28986.483041235</v>
      </c>
      <c r="V1608" s="7" t="n">
        <f aca="false">E1608*2/27+V1607*25/27</f>
        <v>28150.7467358825</v>
      </c>
      <c r="W1608" s="7" t="n">
        <f aca="false">U1608-V1608</f>
        <v>835.736305352526</v>
      </c>
      <c r="X1608" s="7" t="n">
        <f aca="false">W1608*2/10+X1607*8/10</f>
        <v>892.1640678088</v>
      </c>
      <c r="Y1608" s="7" t="n">
        <f aca="false">W1608-X1608</f>
        <v>-56.4277624562742</v>
      </c>
      <c r="Z1608" s="8" t="s">
        <v>42</v>
      </c>
      <c r="AA1608" s="7" t="str">
        <f aca="false">IFERROR(INDEX(02_轉折點45!B:B,MATCH(A1608,02_轉折點45!A:A,0)),"")</f>
        <v/>
      </c>
      <c r="AB1608" s="7" t="n">
        <f aca="false">COUNTIFS(05_訊號明細!A:A,A1608,05_訊號明細!C:C,"TOP")</f>
        <v>0</v>
      </c>
      <c r="AC1608" s="7" t="n">
        <f aca="false">COUNTIFS(05_訊號明細!A:A,A1608,05_訊號明細!C:C,"BOTTOM")</f>
        <v>0</v>
      </c>
    </row>
    <row r="1609" customFormat="false" ht="15" hidden="false" customHeight="false" outlineLevel="0" collapsed="false">
      <c r="A1609" s="7" t="s">
        <v>1650</v>
      </c>
      <c r="B1609" s="7" t="n">
        <v>29854.58</v>
      </c>
      <c r="C1609" s="7" t="n">
        <v>30044.49</v>
      </c>
      <c r="D1609" s="7" t="n">
        <v>29753.09</v>
      </c>
      <c r="E1609" s="7" t="n">
        <v>30001.32</v>
      </c>
      <c r="F1609" s="7" t="n">
        <v>9718</v>
      </c>
      <c r="G1609" s="7" t="n">
        <f aca="false">AVERAGE(E1605:E1609)</f>
        <v>29391.354</v>
      </c>
      <c r="H1609" s="7" t="n">
        <f aca="false">AVERAGE(E1600:E1609)</f>
        <v>29308.838</v>
      </c>
      <c r="I1609" s="7" t="n">
        <f aca="false">AVERAGE(E1590:E1609)</f>
        <v>28692.625</v>
      </c>
      <c r="J1609" s="7" t="n">
        <f aca="false">AVERAGE(E1560:E1609)</f>
        <v>26502.6118</v>
      </c>
      <c r="K1609" s="7" t="n">
        <f aca="false">AVERAGE(E1510:E1609)</f>
        <v>25854.8018</v>
      </c>
      <c r="L1609" s="7" t="n">
        <f aca="false">AVERAGE(E1410:E1609)</f>
        <v>25291.3906</v>
      </c>
      <c r="M1609" s="7" t="n">
        <f aca="false">I1609</f>
        <v>28692.625</v>
      </c>
      <c r="N1609" s="7" t="n">
        <f aca="false">I1609+2*STDEV(E1590:E1609)</f>
        <v>30446.5923168713</v>
      </c>
      <c r="O1609" s="7" t="n">
        <f aca="false">I1609-2*STDEV(E1590:E1609)</f>
        <v>26938.6576831287</v>
      </c>
      <c r="P1609" s="7" t="n">
        <f aca="false">MAX(E1609-E1608,0)</f>
        <v>519.68</v>
      </c>
      <c r="Q1609" s="7" t="n">
        <f aca="false">MAX(E1608-E1609,0)</f>
        <v>0</v>
      </c>
      <c r="R1609" s="7" t="n">
        <f aca="false">(R1608*13+P1609)/14</f>
        <v>203.93540589473</v>
      </c>
      <c r="S1609" s="7" t="n">
        <f aca="false">(S1608*13+Q1609)/14</f>
        <v>67.826087349958</v>
      </c>
      <c r="T1609" s="7" t="n">
        <f aca="false">IF(S1609=0,100,100-100/(1+R1609/S1609))</f>
        <v>75.0420537729057</v>
      </c>
      <c r="U1609" s="7" t="n">
        <f aca="false">E1609*2/13+U1608*11/13</f>
        <v>29142.6118041219</v>
      </c>
      <c r="V1609" s="7" t="n">
        <f aca="false">E1609*2/27+V1608*25/27</f>
        <v>28287.8262369282</v>
      </c>
      <c r="W1609" s="7" t="n">
        <f aca="false">U1609-V1609</f>
        <v>854.78556719371</v>
      </c>
      <c r="X1609" s="7" t="n">
        <f aca="false">W1609*2/10+X1608*8/10</f>
        <v>884.688367685782</v>
      </c>
      <c r="Y1609" s="7" t="n">
        <f aca="false">W1609-X1609</f>
        <v>-29.9028004920718</v>
      </c>
      <c r="Z1609" s="8" t="s">
        <v>42</v>
      </c>
      <c r="AA1609" s="7" t="str">
        <f aca="false">IFERROR(INDEX(02_轉折點45!B:B,MATCH(A1609,02_轉折點45!A:A,0)),"")</f>
        <v/>
      </c>
      <c r="AB1609" s="7" t="n">
        <f aca="false">COUNTIFS(05_訊號明細!A:A,A1609,05_訊號明細!C:C,"TOP")</f>
        <v>1</v>
      </c>
      <c r="AC1609" s="7" t="n">
        <f aca="false">COUNTIFS(05_訊號明細!A:A,A1609,05_訊號明細!C:C,"BOTTOM")</f>
        <v>0</v>
      </c>
    </row>
    <row r="1610" customFormat="false" ht="15" hidden="false" customHeight="false" outlineLevel="0" collapsed="false">
      <c r="A1610" s="7" t="s">
        <v>1651</v>
      </c>
      <c r="B1610" s="7" t="n">
        <v>30081.28</v>
      </c>
      <c r="C1610" s="7" t="n">
        <v>30099.79</v>
      </c>
      <c r="D1610" s="7" t="n">
        <v>29808.89</v>
      </c>
      <c r="E1610" s="7" t="n">
        <v>29973.57</v>
      </c>
      <c r="F1610" s="7" t="n">
        <v>9241</v>
      </c>
      <c r="G1610" s="7" t="n">
        <f aca="false">AVERAGE(E1606:E1610)</f>
        <v>29622.3</v>
      </c>
      <c r="H1610" s="7" t="n">
        <f aca="false">AVERAGE(E1601:E1610)</f>
        <v>29399.715</v>
      </c>
      <c r="I1610" s="7" t="n">
        <f aca="false">AVERAGE(E1591:E1610)</f>
        <v>28839.853</v>
      </c>
      <c r="J1610" s="7" t="n">
        <f aca="false">AVERAGE(E1561:E1610)</f>
        <v>26608.9764</v>
      </c>
      <c r="K1610" s="7" t="n">
        <f aca="false">AVERAGE(E1511:E1610)</f>
        <v>25902.039</v>
      </c>
      <c r="L1610" s="7" t="n">
        <f aca="false">AVERAGE(E1411:E1610)</f>
        <v>25323.2021</v>
      </c>
      <c r="M1610" s="7" t="n">
        <f aca="false">I1610</f>
        <v>28839.853</v>
      </c>
      <c r="N1610" s="7" t="n">
        <f aca="false">I1610+2*STDEV(E1591:E1610)</f>
        <v>30497.5362248476</v>
      </c>
      <c r="O1610" s="7" t="n">
        <f aca="false">I1610-2*STDEV(E1591:E1610)</f>
        <v>27182.1697751524</v>
      </c>
      <c r="P1610" s="7" t="n">
        <f aca="false">MAX(E1610-E1609,0)</f>
        <v>0</v>
      </c>
      <c r="Q1610" s="7" t="n">
        <f aca="false">MAX(E1609-E1610,0)</f>
        <v>27.75</v>
      </c>
      <c r="R1610" s="7" t="n">
        <f aca="false">(R1609*13+P1610)/14</f>
        <v>189.368591187964</v>
      </c>
      <c r="S1610" s="7" t="n">
        <f aca="false">(S1609*13+Q1610)/14</f>
        <v>64.9635096821039</v>
      </c>
      <c r="T1610" s="7" t="n">
        <f aca="false">IF(S1610=0,100,100-100/(1+R1610/S1610))</f>
        <v>74.4572118659563</v>
      </c>
      <c r="U1610" s="7" t="n">
        <f aca="false">E1610*2/13+U1609*11/13</f>
        <v>29270.4515265647</v>
      </c>
      <c r="V1610" s="7" t="n">
        <f aca="false">E1610*2/27+V1609*25/27</f>
        <v>28412.6961453039</v>
      </c>
      <c r="W1610" s="7" t="n">
        <f aca="false">U1610-V1610</f>
        <v>857.755381260802</v>
      </c>
      <c r="X1610" s="7" t="n">
        <f aca="false">W1610*2/10+X1609*8/10</f>
        <v>879.301770400786</v>
      </c>
      <c r="Y1610" s="7" t="n">
        <f aca="false">W1610-X1610</f>
        <v>-21.5463891399842</v>
      </c>
      <c r="Z1610" s="8" t="s">
        <v>42</v>
      </c>
      <c r="AA1610" s="7" t="str">
        <f aca="false">IFERROR(INDEX(02_轉折點45!B:B,MATCH(A1610,02_轉折點45!A:A,0)),"")</f>
        <v/>
      </c>
      <c r="AB1610" s="7" t="n">
        <f aca="false">COUNTIFS(05_訊號明細!A:A,A1610,05_訊號明細!C:C,"TOP")</f>
        <v>0</v>
      </c>
      <c r="AC1610" s="7" t="n">
        <f aca="false">COUNTIFS(05_訊號明細!A:A,A1610,05_訊號明細!C:C,"BOTTOM")</f>
        <v>0</v>
      </c>
    </row>
    <row r="1611" customFormat="false" ht="15" hidden="false" customHeight="false" outlineLevel="0" collapsed="false">
      <c r="A1611" s="7" t="s">
        <v>1652</v>
      </c>
      <c r="B1611" s="7" t="n">
        <v>30030.63</v>
      </c>
      <c r="C1611" s="7" t="n">
        <v>30263.19</v>
      </c>
      <c r="D1611" s="7" t="n">
        <v>29848.76</v>
      </c>
      <c r="E1611" s="7" t="n">
        <v>30223.89</v>
      </c>
      <c r="F1611" s="7" t="n">
        <v>9225</v>
      </c>
      <c r="G1611" s="7" t="n">
        <f aca="false">AVERAGE(E1607:E1611)</f>
        <v>29807.538</v>
      </c>
      <c r="H1611" s="7" t="n">
        <f aca="false">AVERAGE(E1602:E1611)</f>
        <v>29485.41</v>
      </c>
      <c r="I1611" s="7" t="n">
        <f aca="false">AVERAGE(E1592:E1611)</f>
        <v>28991.6985</v>
      </c>
      <c r="J1611" s="7" t="n">
        <f aca="false">AVERAGE(E1562:E1611)</f>
        <v>26717.8458</v>
      </c>
      <c r="K1611" s="7" t="n">
        <f aca="false">AVERAGE(E1512:E1611)</f>
        <v>25952.2162</v>
      </c>
      <c r="L1611" s="7" t="n">
        <f aca="false">AVERAGE(E1412:E1611)</f>
        <v>25356.6884</v>
      </c>
      <c r="M1611" s="7" t="n">
        <f aca="false">I1611</f>
        <v>28991.6985</v>
      </c>
      <c r="N1611" s="7" t="n">
        <f aca="false">I1611+2*STDEV(E1592:E1611)</f>
        <v>30566.1670383733</v>
      </c>
      <c r="O1611" s="7" t="n">
        <f aca="false">I1611-2*STDEV(E1592:E1611)</f>
        <v>27417.2299616267</v>
      </c>
      <c r="P1611" s="7" t="n">
        <f aca="false">MAX(E1611-E1610,0)</f>
        <v>250.32</v>
      </c>
      <c r="Q1611" s="7" t="n">
        <f aca="false">MAX(E1610-E1611,0)</f>
        <v>0</v>
      </c>
      <c r="R1611" s="7" t="n">
        <f aca="false">(R1610*13+P1611)/14</f>
        <v>193.722263245966</v>
      </c>
      <c r="S1611" s="7" t="n">
        <f aca="false">(S1610*13+Q1611)/14</f>
        <v>60.323258990525</v>
      </c>
      <c r="T1611" s="7" t="n">
        <f aca="false">IF(S1611=0,100,100-100/(1+R1611/S1611))</f>
        <v>76.2549410595909</v>
      </c>
      <c r="U1611" s="7" t="n">
        <f aca="false">E1611*2/13+U1610*11/13</f>
        <v>29417.1343686317</v>
      </c>
      <c r="V1611" s="7" t="n">
        <f aca="false">E1611*2/27+V1610*25/27</f>
        <v>28546.8586530592</v>
      </c>
      <c r="W1611" s="7" t="n">
        <f aca="false">U1611-V1611</f>
        <v>870.275715572505</v>
      </c>
      <c r="X1611" s="7" t="n">
        <f aca="false">W1611*2/10+X1610*8/10</f>
        <v>877.49655943513</v>
      </c>
      <c r="Y1611" s="7" t="n">
        <f aca="false">W1611-X1611</f>
        <v>-7.2208438626252</v>
      </c>
      <c r="Z1611" s="8" t="s">
        <v>42</v>
      </c>
      <c r="AA1611" s="7" t="str">
        <f aca="false">IFERROR(INDEX(02_轉折點45!B:B,MATCH(A1611,02_轉折點45!A:A,0)),"")</f>
        <v/>
      </c>
      <c r="AB1611" s="7" t="n">
        <f aca="false">COUNTIFS(05_訊號明細!A:A,A1611,05_訊號明細!C:C,"TOP")</f>
        <v>1</v>
      </c>
      <c r="AC1611" s="7" t="n">
        <f aca="false">COUNTIFS(05_訊號明細!A:A,A1611,05_訊號明細!C:C,"BOTTOM")</f>
        <v>0</v>
      </c>
    </row>
    <row r="1612" customFormat="false" ht="15" hidden="false" customHeight="false" outlineLevel="0" collapsed="false">
      <c r="A1612" s="7" t="s">
        <v>1653</v>
      </c>
      <c r="B1612" s="7" t="n">
        <v>30333.86</v>
      </c>
      <c r="C1612" s="7" t="n">
        <v>30470.03</v>
      </c>
      <c r="D1612" s="7" t="n">
        <v>30210.01</v>
      </c>
      <c r="E1612" s="7" t="n">
        <v>30333.18</v>
      </c>
      <c r="F1612" s="7" t="n">
        <v>11906</v>
      </c>
      <c r="G1612" s="7" t="n">
        <f aca="false">AVERAGE(E1608:E1612)</f>
        <v>30002.72</v>
      </c>
      <c r="H1612" s="7" t="n">
        <f aca="false">AVERAGE(E1603:E1612)</f>
        <v>29560.698</v>
      </c>
      <c r="I1612" s="7" t="n">
        <f aca="false">AVERAGE(E1593:E1612)</f>
        <v>29135.7515</v>
      </c>
      <c r="J1612" s="7" t="n">
        <f aca="false">AVERAGE(E1563:E1612)</f>
        <v>26836.0076</v>
      </c>
      <c r="K1612" s="7" t="n">
        <f aca="false">AVERAGE(E1513:E1612)</f>
        <v>26001.5348</v>
      </c>
      <c r="L1612" s="7" t="n">
        <f aca="false">AVERAGE(E1413:E1612)</f>
        <v>25389.1583</v>
      </c>
      <c r="M1612" s="7" t="n">
        <f aca="false">I1612</f>
        <v>29135.7515</v>
      </c>
      <c r="N1612" s="7" t="n">
        <f aca="false">I1612+2*STDEV(E1593:E1612)</f>
        <v>30642.8758735954</v>
      </c>
      <c r="O1612" s="7" t="n">
        <f aca="false">I1612-2*STDEV(E1593:E1612)</f>
        <v>27628.6271264046</v>
      </c>
      <c r="P1612" s="7" t="n">
        <f aca="false">MAX(E1612-E1611,0)</f>
        <v>109.290000000001</v>
      </c>
      <c r="Q1612" s="7" t="n">
        <f aca="false">MAX(E1611-E1612,0)</f>
        <v>0</v>
      </c>
      <c r="R1612" s="7" t="n">
        <f aca="false">(R1611*13+P1612)/14</f>
        <v>187.691387299826</v>
      </c>
      <c r="S1612" s="7" t="n">
        <f aca="false">(S1611*13+Q1612)/14</f>
        <v>56.0144547769161</v>
      </c>
      <c r="T1612" s="7" t="n">
        <f aca="false">IF(S1612=0,100,100-100/(1+R1612/S1612))</f>
        <v>77.0155469809061</v>
      </c>
      <c r="U1612" s="7" t="n">
        <f aca="false">E1612*2/13+U1611*11/13</f>
        <v>29558.0644657653</v>
      </c>
      <c r="V1612" s="7" t="n">
        <f aca="false">E1612*2/27+V1611*25/27</f>
        <v>28679.1787528326</v>
      </c>
      <c r="W1612" s="7" t="n">
        <f aca="false">U1612-V1612</f>
        <v>878.885712932693</v>
      </c>
      <c r="X1612" s="7" t="n">
        <f aca="false">W1612*2/10+X1611*8/10</f>
        <v>877.774390134643</v>
      </c>
      <c r="Y1612" s="7" t="n">
        <f aca="false">W1612-X1612</f>
        <v>1.11132279805065</v>
      </c>
      <c r="Z1612" s="8" t="s">
        <v>42</v>
      </c>
      <c r="AA1612" s="7" t="str">
        <f aca="false">IFERROR(INDEX(02_轉折點45!B:B,MATCH(A1612,02_轉折點45!A:A,0)),"")</f>
        <v/>
      </c>
      <c r="AB1612" s="7" t="n">
        <f aca="false">COUNTIFS(05_訊號明細!A:A,A1612,05_訊號明細!C:C,"TOP")</f>
        <v>1</v>
      </c>
      <c r="AC1612" s="7" t="n">
        <f aca="false">COUNTIFS(05_訊號明細!A:A,A1612,05_訊號明細!C:C,"BOTTOM")</f>
        <v>0</v>
      </c>
    </row>
    <row r="1613" customFormat="false" ht="15" hidden="false" customHeight="false" outlineLevel="0" collapsed="false">
      <c r="A1613" s="7" t="s">
        <v>1654</v>
      </c>
      <c r="B1613" s="7" t="n">
        <v>30295.25</v>
      </c>
      <c r="C1613" s="7" t="n">
        <v>30633.55</v>
      </c>
      <c r="D1613" s="7" t="n">
        <v>30241.2</v>
      </c>
      <c r="E1613" s="7" t="n">
        <v>30513.86</v>
      </c>
      <c r="F1613" s="7" t="n">
        <v>10199</v>
      </c>
      <c r="G1613" s="7" t="n">
        <f aca="false">AVERAGE(E1609:E1613)</f>
        <v>30209.164</v>
      </c>
      <c r="H1613" s="7" t="n">
        <f aca="false">AVERAGE(E1604:E1613)</f>
        <v>29699.564</v>
      </c>
      <c r="I1613" s="7" t="n">
        <f aca="false">AVERAGE(E1594:E1613)</f>
        <v>29275.9265</v>
      </c>
      <c r="J1613" s="7" t="n">
        <f aca="false">AVERAGE(E1564:E1613)</f>
        <v>26959.1792</v>
      </c>
      <c r="K1613" s="7" t="n">
        <f aca="false">AVERAGE(E1514:E1613)</f>
        <v>26050.2763</v>
      </c>
      <c r="L1613" s="7" t="n">
        <f aca="false">AVERAGE(E1414:E1613)</f>
        <v>25422.4824</v>
      </c>
      <c r="M1613" s="7" t="n">
        <f aca="false">I1613</f>
        <v>29275.9265</v>
      </c>
      <c r="N1613" s="7" t="n">
        <f aca="false">I1613+2*STDEV(E1594:E1613)</f>
        <v>30745.8871092148</v>
      </c>
      <c r="O1613" s="7" t="n">
        <f aca="false">I1613-2*STDEV(E1594:E1613)</f>
        <v>27805.9658907852</v>
      </c>
      <c r="P1613" s="7" t="n">
        <f aca="false">MAX(E1613-E1612,0)</f>
        <v>180.68</v>
      </c>
      <c r="Q1613" s="7" t="n">
        <f aca="false">MAX(E1612-E1613,0)</f>
        <v>0</v>
      </c>
      <c r="R1613" s="7" t="n">
        <f aca="false">(R1612*13+P1613)/14</f>
        <v>187.190573921267</v>
      </c>
      <c r="S1613" s="7" t="n">
        <f aca="false">(S1612*13+Q1613)/14</f>
        <v>52.0134222928506</v>
      </c>
      <c r="T1613" s="7" t="n">
        <f aca="false">IF(S1613=0,100,100-100/(1+R1613/S1613))</f>
        <v>78.2556215129901</v>
      </c>
      <c r="U1613" s="7" t="n">
        <f aca="false">E1613*2/13+U1612*11/13</f>
        <v>29705.1099325706</v>
      </c>
      <c r="V1613" s="7" t="n">
        <f aca="false">E1613*2/27+V1612*25/27</f>
        <v>28815.0810674376</v>
      </c>
      <c r="W1613" s="7" t="n">
        <f aca="false">U1613-V1613</f>
        <v>890.028865133041</v>
      </c>
      <c r="X1613" s="7" t="n">
        <f aca="false">W1613*2/10+X1612*8/10</f>
        <v>880.225285134322</v>
      </c>
      <c r="Y1613" s="7" t="n">
        <f aca="false">W1613-X1613</f>
        <v>9.80357999871876</v>
      </c>
      <c r="Z1613" s="8" t="s">
        <v>42</v>
      </c>
      <c r="AA1613" s="7" t="str">
        <f aca="false">IFERROR(INDEX(02_轉折點45!B:B,MATCH(A1613,02_轉折點45!A:A,0)),"")</f>
        <v/>
      </c>
      <c r="AB1613" s="7" t="n">
        <f aca="false">COUNTIFS(05_訊號明細!A:A,A1613,05_訊號明細!C:C,"TOP")</f>
        <v>1</v>
      </c>
      <c r="AC1613" s="7" t="n">
        <f aca="false">COUNTIFS(05_訊號明細!A:A,A1613,05_訊號明細!C:C,"BOTTOM")</f>
        <v>0</v>
      </c>
    </row>
    <row r="1614" customFormat="false" ht="15" hidden="false" customHeight="false" outlineLevel="0" collapsed="false">
      <c r="A1614" s="7" t="s">
        <v>1655</v>
      </c>
      <c r="B1614" s="7" t="n">
        <v>30471.61</v>
      </c>
      <c r="C1614" s="7" t="n">
        <v>30670.11</v>
      </c>
      <c r="D1614" s="7" t="n">
        <v>30372.96</v>
      </c>
      <c r="E1614" s="7" t="n">
        <v>30660.6</v>
      </c>
      <c r="F1614" s="7" t="n">
        <v>9676</v>
      </c>
      <c r="G1614" s="7" t="n">
        <f aca="false">AVERAGE(E1610:E1614)</f>
        <v>30341.02</v>
      </c>
      <c r="H1614" s="7" t="n">
        <f aca="false">AVERAGE(E1605:E1614)</f>
        <v>29866.187</v>
      </c>
      <c r="I1614" s="7" t="n">
        <f aca="false">AVERAGE(E1595:E1614)</f>
        <v>29426.3655</v>
      </c>
      <c r="J1614" s="7" t="n">
        <f aca="false">AVERAGE(E1565:E1614)</f>
        <v>27094.4282</v>
      </c>
      <c r="K1614" s="7" t="n">
        <f aca="false">AVERAGE(E1515:E1614)</f>
        <v>26100.3433</v>
      </c>
      <c r="L1614" s="7" t="n">
        <f aca="false">AVERAGE(E1415:E1614)</f>
        <v>25456.6232</v>
      </c>
      <c r="M1614" s="7" t="n">
        <f aca="false">I1614</f>
        <v>29426.3655</v>
      </c>
      <c r="N1614" s="7" t="n">
        <f aca="false">I1614+2*STDEV(E1595:E1614)</f>
        <v>30809.7774406967</v>
      </c>
      <c r="O1614" s="7" t="n">
        <f aca="false">I1614-2*STDEV(E1595:E1614)</f>
        <v>28042.9535593033</v>
      </c>
      <c r="P1614" s="7" t="n">
        <f aca="false">MAX(E1614-E1613,0)</f>
        <v>146.739999999998</v>
      </c>
      <c r="Q1614" s="7" t="n">
        <f aca="false">MAX(E1613-E1614,0)</f>
        <v>0</v>
      </c>
      <c r="R1614" s="7" t="n">
        <f aca="false">(R1613*13+P1614)/14</f>
        <v>184.301247212605</v>
      </c>
      <c r="S1614" s="7" t="n">
        <f aca="false">(S1613*13+Q1614)/14</f>
        <v>48.2981778433613</v>
      </c>
      <c r="T1614" s="7" t="n">
        <f aca="false">IF(S1614=0,100,100-100/(1+R1614/S1614))</f>
        <v>79.2354698074855</v>
      </c>
      <c r="U1614" s="7" t="n">
        <f aca="false">E1614*2/13+U1613*11/13</f>
        <v>29852.1084044828</v>
      </c>
      <c r="V1614" s="7" t="n">
        <f aca="false">E1614*2/27+V1613*25/27</f>
        <v>28951.7861735533</v>
      </c>
      <c r="W1614" s="7" t="n">
        <f aca="false">U1614-V1614</f>
        <v>900.322230929516</v>
      </c>
      <c r="X1614" s="7" t="n">
        <f aca="false">W1614*2/10+X1613*8/10</f>
        <v>884.244674293361</v>
      </c>
      <c r="Y1614" s="7" t="n">
        <f aca="false">W1614-X1614</f>
        <v>16.077556636155</v>
      </c>
      <c r="Z1614" s="8" t="s">
        <v>42</v>
      </c>
      <c r="AA1614" s="7" t="str">
        <f aca="false">IFERROR(INDEX(02_轉折點45!B:B,MATCH(A1614,02_轉折點45!A:A,0)),"")</f>
        <v/>
      </c>
      <c r="AB1614" s="7" t="n">
        <f aca="false">COUNTIFS(05_訊號明細!A:A,A1614,05_訊號明細!C:C,"TOP")</f>
        <v>1</v>
      </c>
      <c r="AC1614" s="7" t="n">
        <f aca="false">COUNTIFS(05_訊號明細!A:A,A1614,05_訊號明細!C:C,"BOTTOM")</f>
        <v>0</v>
      </c>
    </row>
    <row r="1615" customFormat="false" ht="15" hidden="false" customHeight="false" outlineLevel="0" collapsed="false">
      <c r="A1615" s="7" t="s">
        <v>1656</v>
      </c>
      <c r="B1615" s="7" t="n">
        <v>30730.11</v>
      </c>
      <c r="C1615" s="7" t="n">
        <v>30762.2</v>
      </c>
      <c r="D1615" s="7" t="n">
        <v>30441.8</v>
      </c>
      <c r="E1615" s="7" t="n">
        <v>30571.24</v>
      </c>
      <c r="F1615" s="7" t="n">
        <v>9268</v>
      </c>
      <c r="G1615" s="7" t="n">
        <f aca="false">AVERAGE(E1611:E1615)</f>
        <v>30460.554</v>
      </c>
      <c r="H1615" s="7" t="n">
        <f aca="false">AVERAGE(E1606:E1615)</f>
        <v>30041.427</v>
      </c>
      <c r="I1615" s="7" t="n">
        <f aca="false">AVERAGE(E1596:E1615)</f>
        <v>29554.1745</v>
      </c>
      <c r="J1615" s="7" t="n">
        <f aca="false">AVERAGE(E1566:E1615)</f>
        <v>27222.0812</v>
      </c>
      <c r="K1615" s="7" t="n">
        <f aca="false">AVERAGE(E1516:E1615)</f>
        <v>26150.9847</v>
      </c>
      <c r="L1615" s="7" t="n">
        <f aca="false">AVERAGE(E1416:E1615)</f>
        <v>25490.91905</v>
      </c>
      <c r="M1615" s="7" t="n">
        <f aca="false">I1615</f>
        <v>29554.1745</v>
      </c>
      <c r="N1615" s="7" t="n">
        <f aca="false">I1615+2*STDEV(E1596:E1615)</f>
        <v>30858.6556378834</v>
      </c>
      <c r="O1615" s="7" t="n">
        <f aca="false">I1615-2*STDEV(E1596:E1615)</f>
        <v>28249.6933621166</v>
      </c>
      <c r="P1615" s="7" t="n">
        <f aca="false">MAX(E1615-E1614,0)</f>
        <v>0</v>
      </c>
      <c r="Q1615" s="7" t="n">
        <f aca="false">MAX(E1614-E1615,0)</f>
        <v>89.3599999999969</v>
      </c>
      <c r="R1615" s="7" t="n">
        <f aca="false">(R1614*13+P1615)/14</f>
        <v>171.136872411705</v>
      </c>
      <c r="S1615" s="7" t="n">
        <f aca="false">(S1614*13+Q1615)/14</f>
        <v>51.2311651402639</v>
      </c>
      <c r="T1615" s="7" t="n">
        <f aca="false">IF(S1615=0,100,100-100/(1+R1615/S1615))</f>
        <v>76.9610931030091</v>
      </c>
      <c r="U1615" s="7" t="n">
        <f aca="false">E1615*2/13+U1614*11/13</f>
        <v>29962.7440345624</v>
      </c>
      <c r="V1615" s="7" t="n">
        <f aca="false">E1615*2/27+V1614*25/27</f>
        <v>29071.7457162531</v>
      </c>
      <c r="W1615" s="7" t="n">
        <f aca="false">U1615-V1615</f>
        <v>890.998318309325</v>
      </c>
      <c r="X1615" s="7" t="n">
        <f aca="false">W1615*2/10+X1614*8/10</f>
        <v>885.595403096554</v>
      </c>
      <c r="Y1615" s="7" t="n">
        <f aca="false">W1615-X1615</f>
        <v>5.40291521277072</v>
      </c>
      <c r="Z1615" s="8" t="s">
        <v>42</v>
      </c>
      <c r="AA1615" s="7" t="str">
        <f aca="false">IFERROR(INDEX(02_轉折點45!B:B,MATCH(A1615,02_轉折點45!A:A,0)),"")</f>
        <v/>
      </c>
      <c r="AB1615" s="7" t="n">
        <f aca="false">COUNTIFS(05_訊號明細!A:A,A1615,05_訊號明細!C:C,"TOP")</f>
        <v>0</v>
      </c>
      <c r="AC1615" s="7" t="n">
        <f aca="false">COUNTIFS(05_訊號明細!A:A,A1615,05_訊號明細!C:C,"BOTTOM")</f>
        <v>0</v>
      </c>
    </row>
    <row r="1616" customFormat="false" ht="15" hidden="false" customHeight="false" outlineLevel="0" collapsed="false">
      <c r="A1616" s="7" t="s">
        <v>1657</v>
      </c>
      <c r="B1616" s="7" t="n">
        <v>30174.59</v>
      </c>
      <c r="C1616" s="7" t="n">
        <v>30541.43</v>
      </c>
      <c r="D1616" s="7" t="n">
        <v>30092.23</v>
      </c>
      <c r="E1616" s="7" t="n">
        <v>30407.81</v>
      </c>
      <c r="F1616" s="7" t="n">
        <v>9000</v>
      </c>
      <c r="G1616" s="7" t="n">
        <f aca="false">AVERAGE(E1612:E1616)</f>
        <v>30497.338</v>
      </c>
      <c r="H1616" s="7" t="n">
        <f aca="false">AVERAGE(E1607:E1616)</f>
        <v>30152.438</v>
      </c>
      <c r="I1616" s="7" t="n">
        <f aca="false">AVERAGE(E1597:E1616)</f>
        <v>29644.6065</v>
      </c>
      <c r="J1616" s="7" t="n">
        <f aca="false">AVERAGE(E1567:E1616)</f>
        <v>27350.1884</v>
      </c>
      <c r="K1616" s="7" t="n">
        <f aca="false">AVERAGE(E1517:E1616)</f>
        <v>26197.4002</v>
      </c>
      <c r="L1616" s="7" t="n">
        <f aca="false">AVERAGE(E1417:E1616)</f>
        <v>25524.3893</v>
      </c>
      <c r="M1616" s="7" t="n">
        <f aca="false">I1616</f>
        <v>29644.6065</v>
      </c>
      <c r="N1616" s="7" t="n">
        <f aca="false">I1616+2*STDEV(E1597:E1616)</f>
        <v>30920.7881794481</v>
      </c>
      <c r="O1616" s="7" t="n">
        <f aca="false">I1616-2*STDEV(E1597:E1616)</f>
        <v>28368.4248205519</v>
      </c>
      <c r="P1616" s="7" t="n">
        <f aca="false">MAX(E1616-E1615,0)</f>
        <v>0</v>
      </c>
      <c r="Q1616" s="7" t="n">
        <f aca="false">MAX(E1615-E1616,0)</f>
        <v>163.43</v>
      </c>
      <c r="R1616" s="7" t="n">
        <f aca="false">(R1615*13+P1616)/14</f>
        <v>158.912810096583</v>
      </c>
      <c r="S1616" s="7" t="n">
        <f aca="false">(S1615*13+Q1616)/14</f>
        <v>59.245367630245</v>
      </c>
      <c r="T1616" s="7" t="n">
        <f aca="false">IF(S1616=0,100,100-100/(1+R1616/S1616))</f>
        <v>72.8429306443738</v>
      </c>
      <c r="U1616" s="7" t="n">
        <f aca="false">E1616*2/13+U1615*11/13</f>
        <v>30031.2157215528</v>
      </c>
      <c r="V1616" s="7" t="n">
        <f aca="false">E1616*2/27+V1615*25/27</f>
        <v>29170.7134409751</v>
      </c>
      <c r="W1616" s="7" t="n">
        <f aca="false">U1616-V1616</f>
        <v>860.50228057773</v>
      </c>
      <c r="X1616" s="7" t="n">
        <f aca="false">W1616*2/10+X1615*8/10</f>
        <v>880.576778592789</v>
      </c>
      <c r="Y1616" s="7" t="n">
        <f aca="false">W1616-X1616</f>
        <v>-20.0744980150591</v>
      </c>
      <c r="Z1616" s="7" t="s">
        <v>78</v>
      </c>
      <c r="AA1616" s="7" t="str">
        <f aca="false">IFERROR(INDEX(02_轉折點45!B:B,MATCH(A1616,02_轉折點45!A:A,0)),"")</f>
        <v/>
      </c>
      <c r="AB1616" s="7" t="n">
        <f aca="false">COUNTIFS(05_訊號明細!A:A,A1616,05_訊號明細!C:C,"TOP")</f>
        <v>1</v>
      </c>
      <c r="AC1616" s="7" t="n">
        <f aca="false">COUNTIFS(05_訊號明細!A:A,A1616,05_訊號明細!C:C,"BOTTOM")</f>
        <v>0</v>
      </c>
    </row>
    <row r="1617" customFormat="false" ht="15" hidden="false" customHeight="false" outlineLevel="0" collapsed="false">
      <c r="A1617" s="7" t="s">
        <v>1658</v>
      </c>
      <c r="B1617" s="7" t="n">
        <v>29992.37</v>
      </c>
      <c r="C1617" s="7" t="n">
        <v>30051.08</v>
      </c>
      <c r="D1617" s="7" t="n">
        <v>28929.88</v>
      </c>
      <c r="E1617" s="7" t="n">
        <v>28957.6</v>
      </c>
      <c r="F1617" s="7" t="n">
        <v>11550</v>
      </c>
      <c r="G1617" s="7" t="n">
        <f aca="false">AVERAGE(E1613:E1617)</f>
        <v>30222.222</v>
      </c>
      <c r="H1617" s="7" t="n">
        <f aca="false">AVERAGE(E1608:E1617)</f>
        <v>30112.471</v>
      </c>
      <c r="I1617" s="7" t="n">
        <f aca="false">AVERAGE(E1598:E1617)</f>
        <v>29664.289</v>
      </c>
      <c r="J1617" s="7" t="n">
        <f aca="false">AVERAGE(E1568:E1617)</f>
        <v>27446.0808</v>
      </c>
      <c r="K1617" s="7" t="n">
        <f aca="false">AVERAGE(E1518:E1617)</f>
        <v>26229.0996</v>
      </c>
      <c r="L1617" s="7" t="n">
        <f aca="false">AVERAGE(E1418:E1617)</f>
        <v>25552.25345</v>
      </c>
      <c r="M1617" s="7" t="n">
        <f aca="false">I1617</f>
        <v>29664.289</v>
      </c>
      <c r="N1617" s="7" t="n">
        <f aca="false">I1617+2*STDEV(E1598:E1617)</f>
        <v>30881.0534687518</v>
      </c>
      <c r="O1617" s="7" t="n">
        <f aca="false">I1617-2*STDEV(E1598:E1617)</f>
        <v>28447.5245312482</v>
      </c>
      <c r="P1617" s="7" t="n">
        <f aca="false">MAX(E1617-E1616,0)</f>
        <v>0</v>
      </c>
      <c r="Q1617" s="7" t="n">
        <f aca="false">MAX(E1616-E1617,0)</f>
        <v>1450.21</v>
      </c>
      <c r="R1617" s="7" t="n">
        <f aca="false">(R1616*13+P1617)/14</f>
        <v>147.561895089684</v>
      </c>
      <c r="S1617" s="7" t="n">
        <f aca="false">(S1616*13+Q1617)/14</f>
        <v>158.599984228085</v>
      </c>
      <c r="T1617" s="7" t="n">
        <f aca="false">IF(S1617=0,100,100-100/(1+R1617/S1617))</f>
        <v>48.1973442998525</v>
      </c>
      <c r="U1617" s="7" t="n">
        <f aca="false">E1617*2/13+U1616*11/13</f>
        <v>29866.0440720831</v>
      </c>
      <c r="V1617" s="7" t="n">
        <f aca="false">E1617*2/27+V1616*25/27</f>
        <v>29154.9272601621</v>
      </c>
      <c r="W1617" s="7" t="n">
        <f aca="false">U1617-V1617</f>
        <v>711.116811921038</v>
      </c>
      <c r="X1617" s="7" t="n">
        <f aca="false">W1617*2/10+X1616*8/10</f>
        <v>846.684785258439</v>
      </c>
      <c r="Y1617" s="7" t="n">
        <f aca="false">W1617-X1617</f>
        <v>-135.567973337401</v>
      </c>
      <c r="Z1617" s="7" t="s">
        <v>78</v>
      </c>
      <c r="AA1617" s="7" t="str">
        <f aca="false">IFERROR(INDEX(02_轉折點45!B:B,MATCH(A1617,02_轉折點45!A:A,0)),"")</f>
        <v/>
      </c>
      <c r="AB1617" s="7" t="n">
        <f aca="false">COUNTIFS(05_訊號明細!A:A,A1617,05_訊號明細!C:C,"TOP")</f>
        <v>0</v>
      </c>
      <c r="AC1617" s="7" t="n">
        <f aca="false">COUNTIFS(05_訊號明細!A:A,A1617,05_訊號明細!C:C,"BOTTOM")</f>
        <v>0</v>
      </c>
    </row>
    <row r="1618" customFormat="false" ht="15" hidden="false" customHeight="false" outlineLevel="0" collapsed="false">
      <c r="A1618" s="7" t="s">
        <v>1659</v>
      </c>
      <c r="B1618" s="7" t="n">
        <v>29482.19</v>
      </c>
      <c r="C1618" s="7" t="n">
        <v>29697.9</v>
      </c>
      <c r="D1618" s="7" t="n">
        <v>29294.02</v>
      </c>
      <c r="E1618" s="7" t="n">
        <v>29414.26</v>
      </c>
      <c r="F1618" s="7" t="n">
        <v>10078</v>
      </c>
      <c r="G1618" s="7" t="n">
        <f aca="false">AVERAGE(E1614:E1618)</f>
        <v>30002.302</v>
      </c>
      <c r="H1618" s="7" t="n">
        <f aca="false">AVERAGE(E1609:E1618)</f>
        <v>30105.733</v>
      </c>
      <c r="I1618" s="7" t="n">
        <f aca="false">AVERAGE(E1599:E1618)</f>
        <v>29673.2525</v>
      </c>
      <c r="J1618" s="7" t="n">
        <f aca="false">AVERAGE(E1569:E1618)</f>
        <v>27562.6262</v>
      </c>
      <c r="K1618" s="7" t="n">
        <f aca="false">AVERAGE(E1519:E1618)</f>
        <v>26265.8227</v>
      </c>
      <c r="L1618" s="7" t="n">
        <f aca="false">AVERAGE(E1419:E1618)</f>
        <v>25583.0769</v>
      </c>
      <c r="M1618" s="7" t="n">
        <f aca="false">I1618</f>
        <v>29673.2525</v>
      </c>
      <c r="N1618" s="7" t="n">
        <f aca="false">I1618+2*STDEV(E1599:E1618)</f>
        <v>30879.2951720019</v>
      </c>
      <c r="O1618" s="7" t="n">
        <f aca="false">I1618-2*STDEV(E1599:E1618)</f>
        <v>28467.2098279981</v>
      </c>
      <c r="P1618" s="7" t="n">
        <f aca="false">MAX(E1618-E1617,0)</f>
        <v>456.66</v>
      </c>
      <c r="Q1618" s="7" t="n">
        <f aca="false">MAX(E1617-E1618,0)</f>
        <v>0</v>
      </c>
      <c r="R1618" s="7" t="n">
        <f aca="false">(R1617*13+P1618)/14</f>
        <v>169.640331154707</v>
      </c>
      <c r="S1618" s="7" t="n">
        <f aca="false">(S1617*13+Q1618)/14</f>
        <v>147.271413926079</v>
      </c>
      <c r="T1618" s="7" t="n">
        <f aca="false">IF(S1618=0,100,100-100/(1+R1618/S1618))</f>
        <v>53.5292029367554</v>
      </c>
      <c r="U1618" s="7" t="n">
        <f aca="false">E1618*2/13+U1617*11/13</f>
        <v>29796.5388302242</v>
      </c>
      <c r="V1618" s="7" t="n">
        <f aca="false">E1618*2/27+V1617*25/27</f>
        <v>29174.1370927427</v>
      </c>
      <c r="W1618" s="7" t="n">
        <f aca="false">U1618-V1618</f>
        <v>622.401737481505</v>
      </c>
      <c r="X1618" s="7" t="n">
        <f aca="false">W1618*2/10+X1617*8/10</f>
        <v>801.828175703052</v>
      </c>
      <c r="Y1618" s="7" t="n">
        <f aca="false">W1618-X1618</f>
        <v>-179.426438221547</v>
      </c>
      <c r="Z1618" s="8" t="s">
        <v>42</v>
      </c>
      <c r="AA1618" s="7" t="str">
        <f aca="false">IFERROR(INDEX(02_轉折點45!B:B,MATCH(A1618,02_轉折點45!A:A,0)),"")</f>
        <v/>
      </c>
      <c r="AB1618" s="7" t="n">
        <f aca="false">COUNTIFS(05_訊號明細!A:A,A1618,05_訊號明細!C:C,"TOP")</f>
        <v>2</v>
      </c>
      <c r="AC1618" s="7" t="n">
        <f aca="false">COUNTIFS(05_訊號明細!A:A,A1618,05_訊號明細!C:C,"BOTTOM")</f>
        <v>0</v>
      </c>
    </row>
    <row r="1619" customFormat="false" ht="15" hidden="false" customHeight="false" outlineLevel="0" collapsed="false">
      <c r="A1619" s="7" t="s">
        <v>1660</v>
      </c>
      <c r="B1619" s="7" t="n">
        <v>29647.35</v>
      </c>
      <c r="C1619" s="7" t="n">
        <v>29805.3</v>
      </c>
      <c r="D1619" s="7" t="n">
        <v>28196.9</v>
      </c>
      <c r="E1619" s="7" t="n">
        <v>29084.5</v>
      </c>
      <c r="F1619" s="7" t="n">
        <v>12107</v>
      </c>
      <c r="G1619" s="7" t="n">
        <f aca="false">AVERAGE(E1615:E1619)</f>
        <v>29687.082</v>
      </c>
      <c r="H1619" s="7" t="n">
        <f aca="false">AVERAGE(E1610:E1619)</f>
        <v>30014.051</v>
      </c>
      <c r="I1619" s="7" t="n">
        <f aca="false">AVERAGE(E1600:E1619)</f>
        <v>29661.4445</v>
      </c>
      <c r="J1619" s="7" t="n">
        <f aca="false">AVERAGE(E1570:E1619)</f>
        <v>27681.6608</v>
      </c>
      <c r="K1619" s="7" t="n">
        <f aca="false">AVERAGE(E1520:E1619)</f>
        <v>26302.0083</v>
      </c>
      <c r="L1619" s="7" t="n">
        <f aca="false">AVERAGE(E1420:E1619)</f>
        <v>25612.7865</v>
      </c>
      <c r="M1619" s="7" t="n">
        <f aca="false">I1619</f>
        <v>29661.4445</v>
      </c>
      <c r="N1619" s="7" t="n">
        <f aca="false">I1619+2*STDEV(E1600:E1619)</f>
        <v>30886.4969680231</v>
      </c>
      <c r="O1619" s="7" t="n">
        <f aca="false">I1619-2*STDEV(E1600:E1619)</f>
        <v>28436.3920319769</v>
      </c>
      <c r="P1619" s="7" t="n">
        <f aca="false">MAX(E1619-E1618,0)</f>
        <v>0</v>
      </c>
      <c r="Q1619" s="7" t="n">
        <f aca="false">MAX(E1618-E1619,0)</f>
        <v>329.759999999998</v>
      </c>
      <c r="R1619" s="7" t="n">
        <f aca="false">(R1618*13+P1619)/14</f>
        <v>157.523164643656</v>
      </c>
      <c r="S1619" s="7" t="n">
        <f aca="false">(S1618*13+Q1619)/14</f>
        <v>160.306312931359</v>
      </c>
      <c r="T1619" s="7" t="n">
        <f aca="false">IF(S1619=0,100,100-100/(1+R1619/S1619))</f>
        <v>49.5621632850204</v>
      </c>
      <c r="U1619" s="7" t="n">
        <f aca="false">E1619*2/13+U1618*11/13</f>
        <v>29686.9943948051</v>
      </c>
      <c r="V1619" s="7" t="n">
        <f aca="false">E1619*2/27+V1618*25/27</f>
        <v>29167.4973080951</v>
      </c>
      <c r="W1619" s="7" t="n">
        <f aca="false">U1619-V1619</f>
        <v>519.497086710002</v>
      </c>
      <c r="X1619" s="7" t="n">
        <f aca="false">W1619*2/10+X1618*8/10</f>
        <v>745.361957904442</v>
      </c>
      <c r="Y1619" s="7" t="n">
        <f aca="false">W1619-X1619</f>
        <v>-225.86487119444</v>
      </c>
      <c r="Z1619" s="7" t="s">
        <v>78</v>
      </c>
      <c r="AA1619" s="7" t="str">
        <f aca="false">IFERROR(INDEX(02_轉折點45!B:B,MATCH(A1619,02_轉折點45!A:A,0)),"")</f>
        <v/>
      </c>
      <c r="AB1619" s="7" t="n">
        <f aca="false">COUNTIFS(05_訊號明細!A:A,A1619,05_訊號明細!C:C,"TOP")</f>
        <v>1</v>
      </c>
      <c r="AC1619" s="7" t="n">
        <f aca="false">COUNTIFS(05_訊號明細!A:A,A1619,05_訊號明細!C:C,"BOTTOM")</f>
        <v>0</v>
      </c>
    </row>
    <row r="1620" customFormat="false" ht="15" hidden="false" customHeight="false" outlineLevel="0" collapsed="false">
      <c r="A1620" s="7" t="s">
        <v>1661</v>
      </c>
      <c r="B1620" s="7" t="n">
        <v>28893.82</v>
      </c>
      <c r="C1620" s="7" t="n">
        <v>29212.38</v>
      </c>
      <c r="D1620" s="7" t="n">
        <v>28462.92</v>
      </c>
      <c r="E1620" s="7" t="n">
        <v>28508.03</v>
      </c>
      <c r="F1620" s="7" t="n">
        <v>9520</v>
      </c>
      <c r="G1620" s="7" t="n">
        <f aca="false">AVERAGE(E1616:E1620)</f>
        <v>29274.44</v>
      </c>
      <c r="H1620" s="7" t="n">
        <f aca="false">AVERAGE(E1611:E1620)</f>
        <v>29867.497</v>
      </c>
      <c r="I1620" s="7" t="n">
        <f aca="false">AVERAGE(E1601:E1620)</f>
        <v>29633.606</v>
      </c>
      <c r="J1620" s="7" t="n">
        <f aca="false">AVERAGE(E1571:E1620)</f>
        <v>27792.7538</v>
      </c>
      <c r="K1620" s="7" t="n">
        <f aca="false">AVERAGE(E1521:E1620)</f>
        <v>26331.6179</v>
      </c>
      <c r="L1620" s="7" t="n">
        <f aca="false">AVERAGE(E1421:E1620)</f>
        <v>25637.83605</v>
      </c>
      <c r="M1620" s="7" t="n">
        <f aca="false">I1620</f>
        <v>29633.606</v>
      </c>
      <c r="N1620" s="7" t="n">
        <f aca="false">I1620+2*STDEV(E1601:E1620)</f>
        <v>30938.452033868</v>
      </c>
      <c r="O1620" s="7" t="n">
        <f aca="false">I1620-2*STDEV(E1601:E1620)</f>
        <v>28328.759966132</v>
      </c>
      <c r="P1620" s="7" t="n">
        <f aca="false">MAX(E1620-E1619,0)</f>
        <v>0</v>
      </c>
      <c r="Q1620" s="7" t="n">
        <f aca="false">MAX(E1619-E1620,0)</f>
        <v>576.470000000001</v>
      </c>
      <c r="R1620" s="7" t="n">
        <f aca="false">(R1619*13+P1620)/14</f>
        <v>146.271510026252</v>
      </c>
      <c r="S1620" s="7" t="n">
        <f aca="false">(S1619*13+Q1620)/14</f>
        <v>190.032290579119</v>
      </c>
      <c r="T1620" s="7" t="n">
        <f aca="false">IF(S1620=0,100,100-100/(1+R1620/S1620))</f>
        <v>43.4938617294699</v>
      </c>
      <c r="U1620" s="7" t="n">
        <f aca="false">E1620*2/13+U1619*11/13</f>
        <v>29505.6152571428</v>
      </c>
      <c r="V1620" s="7" t="n">
        <f aca="false">E1620*2/27+V1619*25/27</f>
        <v>29118.6478778658</v>
      </c>
      <c r="W1620" s="7" t="n">
        <f aca="false">U1620-V1620</f>
        <v>386.967379276946</v>
      </c>
      <c r="X1620" s="7" t="n">
        <f aca="false">W1620*2/10+X1619*8/10</f>
        <v>673.683042178943</v>
      </c>
      <c r="Y1620" s="7" t="n">
        <f aca="false">W1620-X1620</f>
        <v>-286.715662901997</v>
      </c>
      <c r="Z1620" s="9" t="s">
        <v>89</v>
      </c>
      <c r="AA1620" s="7" t="str">
        <f aca="false">IFERROR(INDEX(02_轉折點45!B:B,MATCH(A1620,02_轉折點45!A:A,0)),"")</f>
        <v/>
      </c>
      <c r="AB1620" s="7" t="n">
        <f aca="false">COUNTIFS(05_訊號明細!A:A,A1620,05_訊號明細!C:C,"TOP")</f>
        <v>1</v>
      </c>
      <c r="AC1620" s="7" t="n">
        <f aca="false">COUNTIFS(05_訊號明細!A:A,A1620,05_訊號明細!C:C,"BOTTOM")</f>
        <v>0</v>
      </c>
    </row>
    <row r="1621" customFormat="false" ht="15" hidden="false" customHeight="false" outlineLevel="0" collapsed="false">
      <c r="A1621" s="7" t="s">
        <v>1662</v>
      </c>
      <c r="B1621" s="7" t="n">
        <v>28731.16</v>
      </c>
      <c r="C1621" s="7" t="n">
        <v>29506.67</v>
      </c>
      <c r="D1621" s="7" t="n">
        <v>28548.5</v>
      </c>
      <c r="E1621" s="7" t="n">
        <v>29446.18</v>
      </c>
      <c r="F1621" s="7" t="n">
        <v>10102</v>
      </c>
      <c r="G1621" s="7" t="n">
        <f aca="false">AVERAGE(E1617:E1621)</f>
        <v>29082.114</v>
      </c>
      <c r="H1621" s="7" t="n">
        <f aca="false">AVERAGE(E1612:E1621)</f>
        <v>29789.726</v>
      </c>
      <c r="I1621" s="7" t="n">
        <f aca="false">AVERAGE(E1602:E1621)</f>
        <v>29637.568</v>
      </c>
      <c r="J1621" s="7" t="n">
        <f aca="false">AVERAGE(E1572:E1621)</f>
        <v>27906.8736</v>
      </c>
      <c r="K1621" s="7" t="n">
        <f aca="false">AVERAGE(E1522:E1621)</f>
        <v>26370.7871</v>
      </c>
      <c r="L1621" s="7" t="n">
        <f aca="false">AVERAGE(E1422:E1621)</f>
        <v>25667.9389</v>
      </c>
      <c r="M1621" s="7" t="n">
        <f aca="false">I1621</f>
        <v>29637.568</v>
      </c>
      <c r="N1621" s="7" t="n">
        <f aca="false">I1621+2*STDEV(E1602:E1621)</f>
        <v>30939.4826926957</v>
      </c>
      <c r="O1621" s="7" t="n">
        <f aca="false">I1621-2*STDEV(E1602:E1621)</f>
        <v>28335.6533073043</v>
      </c>
      <c r="P1621" s="7" t="n">
        <f aca="false">MAX(E1621-E1620,0)</f>
        <v>938.150000000002</v>
      </c>
      <c r="Q1621" s="7" t="n">
        <f aca="false">MAX(E1620-E1621,0)</f>
        <v>0</v>
      </c>
      <c r="R1621" s="7" t="n">
        <f aca="false">(R1620*13+P1621)/14</f>
        <v>202.834259310091</v>
      </c>
      <c r="S1621" s="7" t="n">
        <f aca="false">(S1620*13+Q1621)/14</f>
        <v>176.458555537753</v>
      </c>
      <c r="T1621" s="7" t="n">
        <f aca="false">IF(S1621=0,100,100-100/(1+R1621/S1621))</f>
        <v>53.4769580044535</v>
      </c>
      <c r="U1621" s="7" t="n">
        <f aca="false">E1621*2/13+U1620*11/13</f>
        <v>29496.4713714285</v>
      </c>
      <c r="V1621" s="7" t="n">
        <f aca="false">E1621*2/27+V1620*25/27</f>
        <v>29142.9095165424</v>
      </c>
      <c r="W1621" s="7" t="n">
        <f aca="false">U1621-V1621</f>
        <v>353.561854886069</v>
      </c>
      <c r="X1621" s="7" t="n">
        <f aca="false">W1621*2/10+X1620*8/10</f>
        <v>609.658804720368</v>
      </c>
      <c r="Y1621" s="7" t="n">
        <f aca="false">W1621-X1621</f>
        <v>-256.096949834299</v>
      </c>
      <c r="Z1621" s="7" t="s">
        <v>78</v>
      </c>
      <c r="AA1621" s="7" t="str">
        <f aca="false">IFERROR(INDEX(02_轉折點45!B:B,MATCH(A1621,02_轉折點45!A:A,0)),"")</f>
        <v/>
      </c>
      <c r="AB1621" s="7" t="n">
        <f aca="false">COUNTIFS(05_訊號明細!A:A,A1621,05_訊號明細!C:C,"TOP")</f>
        <v>2</v>
      </c>
      <c r="AC1621" s="7" t="n">
        <f aca="false">COUNTIFS(05_訊號明細!A:A,A1621,05_訊號明細!C:C,"BOTTOM")</f>
        <v>1</v>
      </c>
    </row>
    <row r="1622" customFormat="false" ht="15" hidden="false" customHeight="false" outlineLevel="0" collapsed="false">
      <c r="A1622" s="7" t="s">
        <v>1663</v>
      </c>
      <c r="B1622" s="7" t="n">
        <v>29380.68</v>
      </c>
      <c r="C1622" s="7" t="n">
        <v>29733.89</v>
      </c>
      <c r="D1622" s="7" t="n">
        <v>29220.83</v>
      </c>
      <c r="E1622" s="7" t="n">
        <v>29635.95</v>
      </c>
      <c r="F1622" s="7" t="n">
        <v>10337</v>
      </c>
      <c r="G1622" s="7" t="n">
        <f aca="false">AVERAGE(E1618:E1622)</f>
        <v>29217.784</v>
      </c>
      <c r="H1622" s="7" t="n">
        <f aca="false">AVERAGE(E1613:E1622)</f>
        <v>29720.003</v>
      </c>
      <c r="I1622" s="7" t="n">
        <f aca="false">AVERAGE(E1603:E1622)</f>
        <v>29640.3505</v>
      </c>
      <c r="J1622" s="7" t="n">
        <f aca="false">AVERAGE(E1573:E1622)</f>
        <v>28019.1928</v>
      </c>
      <c r="K1622" s="7" t="n">
        <f aca="false">AVERAGE(E1523:E1622)</f>
        <v>26417.2709</v>
      </c>
      <c r="L1622" s="7" t="n">
        <f aca="false">AVERAGE(E1423:E1622)</f>
        <v>25698.4922</v>
      </c>
      <c r="M1622" s="7" t="n">
        <f aca="false">I1622</f>
        <v>29640.3505</v>
      </c>
      <c r="N1622" s="7" t="n">
        <f aca="false">I1622+2*STDEV(E1603:E1622)</f>
        <v>30941.9876890407</v>
      </c>
      <c r="O1622" s="7" t="n">
        <f aca="false">I1622-2*STDEV(E1603:E1622)</f>
        <v>28338.7133109593</v>
      </c>
      <c r="P1622" s="7" t="n">
        <f aca="false">MAX(E1622-E1621,0)</f>
        <v>189.77</v>
      </c>
      <c r="Q1622" s="7" t="n">
        <f aca="false">MAX(E1621-E1622,0)</f>
        <v>0</v>
      </c>
      <c r="R1622" s="7" t="n">
        <f aca="false">(R1621*13+P1622)/14</f>
        <v>201.901097930799</v>
      </c>
      <c r="S1622" s="7" t="n">
        <f aca="false">(S1621*13+Q1622)/14</f>
        <v>163.854372999342</v>
      </c>
      <c r="T1622" s="7" t="n">
        <f aca="false">IF(S1622=0,100,100-100/(1+R1622/S1622))</f>
        <v>55.2011149463741</v>
      </c>
      <c r="U1622" s="7" t="n">
        <f aca="false">E1622*2/13+U1621*11/13</f>
        <v>29517.9296219779</v>
      </c>
      <c r="V1622" s="7" t="n">
        <f aca="false">E1622*2/27+V1621*25/27</f>
        <v>29179.4310338356</v>
      </c>
      <c r="W1622" s="7" t="n">
        <f aca="false">U1622-V1622</f>
        <v>338.498588142378</v>
      </c>
      <c r="X1622" s="7" t="n">
        <f aca="false">W1622*2/10+X1621*8/10</f>
        <v>555.42676140477</v>
      </c>
      <c r="Y1622" s="7" t="n">
        <f aca="false">W1622-X1622</f>
        <v>-216.928173262392</v>
      </c>
      <c r="Z1622" s="7" t="s">
        <v>78</v>
      </c>
      <c r="AA1622" s="7" t="str">
        <f aca="false">IFERROR(INDEX(02_轉折點45!B:B,MATCH(A1622,02_轉折點45!A:A,0)),"")</f>
        <v/>
      </c>
      <c r="AB1622" s="7" t="n">
        <f aca="false">COUNTIFS(05_訊號明細!A:A,A1622,05_訊號明細!C:C,"TOP")</f>
        <v>0</v>
      </c>
      <c r="AC1622" s="7" t="n">
        <f aca="false">COUNTIFS(05_訊號明細!A:A,A1622,05_訊號明細!C:C,"BOTTOM")</f>
        <v>0</v>
      </c>
    </row>
    <row r="1623" customFormat="false" ht="15" hidden="false" customHeight="false" outlineLevel="0" collapsed="false">
      <c r="A1623" s="7" t="s">
        <v>1664</v>
      </c>
      <c r="B1623" s="7" t="n">
        <v>30289.97</v>
      </c>
      <c r="C1623" s="7" t="n">
        <v>30587.16</v>
      </c>
      <c r="D1623" s="7" t="n">
        <v>30285.63</v>
      </c>
      <c r="E1623" s="7" t="n">
        <v>30543.92</v>
      </c>
      <c r="F1623" s="7" t="n">
        <v>10590</v>
      </c>
      <c r="G1623" s="7" t="n">
        <f aca="false">AVERAGE(E1619:E1623)</f>
        <v>29443.716</v>
      </c>
      <c r="H1623" s="7" t="n">
        <f aca="false">AVERAGE(E1614:E1623)</f>
        <v>29723.009</v>
      </c>
      <c r="I1623" s="7" t="n">
        <f aca="false">AVERAGE(E1604:E1623)</f>
        <v>29711.2865</v>
      </c>
      <c r="J1623" s="7" t="n">
        <f aca="false">AVERAGE(E1574:E1623)</f>
        <v>28149.1606</v>
      </c>
      <c r="K1623" s="7" t="n">
        <f aca="false">AVERAGE(E1524:E1623)</f>
        <v>26469.4443</v>
      </c>
      <c r="L1623" s="7" t="n">
        <f aca="false">AVERAGE(E1424:E1623)</f>
        <v>25733.38255</v>
      </c>
      <c r="M1623" s="7" t="n">
        <f aca="false">I1623</f>
        <v>29711.2865</v>
      </c>
      <c r="N1623" s="7" t="n">
        <f aca="false">I1623+2*STDEV(E1604:E1623)</f>
        <v>31048.853143554</v>
      </c>
      <c r="O1623" s="7" t="n">
        <f aca="false">I1623-2*STDEV(E1604:E1623)</f>
        <v>28373.719856446</v>
      </c>
      <c r="P1623" s="7" t="n">
        <f aca="false">MAX(E1623-E1622,0)</f>
        <v>907.969999999998</v>
      </c>
      <c r="Q1623" s="7" t="n">
        <f aca="false">MAX(E1622-E1623,0)</f>
        <v>0</v>
      </c>
      <c r="R1623" s="7" t="n">
        <f aca="false">(R1622*13+P1623)/14</f>
        <v>252.334590935742</v>
      </c>
      <c r="S1623" s="7" t="n">
        <f aca="false">(S1622*13+Q1623)/14</f>
        <v>152.150489213675</v>
      </c>
      <c r="T1623" s="7" t="n">
        <f aca="false">IF(S1623=0,100,100-100/(1+R1623/S1623))</f>
        <v>62.3841529191953</v>
      </c>
      <c r="U1623" s="7" t="n">
        <f aca="false">E1623*2/13+U1622*11/13</f>
        <v>29675.7742955198</v>
      </c>
      <c r="V1623" s="7" t="n">
        <f aca="false">E1623*2/27+V1622*25/27</f>
        <v>29280.5042905885</v>
      </c>
      <c r="W1623" s="7" t="n">
        <f aca="false">U1623-V1623</f>
        <v>395.27000493131</v>
      </c>
      <c r="X1623" s="7" t="n">
        <f aca="false">W1623*2/10+X1622*8/10</f>
        <v>523.395410110078</v>
      </c>
      <c r="Y1623" s="7" t="n">
        <f aca="false">W1623-X1623</f>
        <v>-128.125405178768</v>
      </c>
      <c r="Z1623" s="7" t="s">
        <v>78</v>
      </c>
      <c r="AA1623" s="7" t="str">
        <f aca="false">IFERROR(INDEX(02_轉折點45!B:B,MATCH(A1623,02_轉折點45!A:A,0)),"")</f>
        <v/>
      </c>
      <c r="AB1623" s="7" t="n">
        <f aca="false">COUNTIFS(05_訊號明細!A:A,A1623,05_訊號明細!C:C,"TOP")</f>
        <v>0</v>
      </c>
      <c r="AC1623" s="7" t="n">
        <f aca="false">COUNTIFS(05_訊號明細!A:A,A1623,05_訊號明細!C:C,"BOTTOM")</f>
        <v>0</v>
      </c>
    </row>
    <row r="1624" customFormat="false" ht="15" hidden="false" customHeight="false" outlineLevel="0" collapsed="false">
      <c r="A1624" s="7" t="s">
        <v>1665</v>
      </c>
      <c r="B1624" s="7" t="n">
        <v>30455.49</v>
      </c>
      <c r="C1624" s="7" t="n">
        <v>30560.08</v>
      </c>
      <c r="D1624" s="7" t="n">
        <v>29962.87</v>
      </c>
      <c r="E1624" s="7" t="n">
        <v>29968.13</v>
      </c>
      <c r="F1624" s="7" t="n">
        <v>11133</v>
      </c>
      <c r="G1624" s="7" t="n">
        <f aca="false">AVERAGE(E1620:E1624)</f>
        <v>29620.442</v>
      </c>
      <c r="H1624" s="7" t="n">
        <f aca="false">AVERAGE(E1615:E1624)</f>
        <v>29653.762</v>
      </c>
      <c r="I1624" s="7" t="n">
        <f aca="false">AVERAGE(E1605:E1624)</f>
        <v>29759.9745</v>
      </c>
      <c r="J1624" s="7" t="n">
        <f aca="false">AVERAGE(E1575:E1624)</f>
        <v>28264.6798</v>
      </c>
      <c r="K1624" s="7" t="n">
        <f aca="false">AVERAGE(E1525:E1624)</f>
        <v>26513.9421</v>
      </c>
      <c r="L1624" s="7" t="n">
        <f aca="false">AVERAGE(E1425:E1624)</f>
        <v>25764.70595</v>
      </c>
      <c r="M1624" s="7" t="n">
        <f aca="false">I1624</f>
        <v>29759.9745</v>
      </c>
      <c r="N1624" s="7" t="n">
        <f aca="false">I1624+2*STDEV(E1605:E1624)</f>
        <v>31057.9681247427</v>
      </c>
      <c r="O1624" s="7" t="n">
        <f aca="false">I1624-2*STDEV(E1605:E1624)</f>
        <v>28461.9808752573</v>
      </c>
      <c r="P1624" s="7" t="n">
        <f aca="false">MAX(E1624-E1623,0)</f>
        <v>0</v>
      </c>
      <c r="Q1624" s="7" t="n">
        <f aca="false">MAX(E1623-E1624,0)</f>
        <v>575.789999999997</v>
      </c>
      <c r="R1624" s="7" t="n">
        <f aca="false">(R1623*13+P1624)/14</f>
        <v>234.310691583189</v>
      </c>
      <c r="S1624" s="7" t="n">
        <f aca="false">(S1623*13+Q1624)/14</f>
        <v>182.410454269841</v>
      </c>
      <c r="T1624" s="7" t="n">
        <f aca="false">IF(S1624=0,100,100-100/(1+R1624/S1624))</f>
        <v>56.2272142690417</v>
      </c>
      <c r="U1624" s="7" t="n">
        <f aca="false">E1624*2/13+U1623*11/13</f>
        <v>29720.7520962091</v>
      </c>
      <c r="V1624" s="7" t="n">
        <f aca="false">E1624*2/27+V1623*25/27</f>
        <v>29331.4395283227</v>
      </c>
      <c r="W1624" s="7" t="n">
        <f aca="false">U1624-V1624</f>
        <v>389.312567886384</v>
      </c>
      <c r="X1624" s="7" t="n">
        <f aca="false">W1624*2/10+X1623*8/10</f>
        <v>496.578841665339</v>
      </c>
      <c r="Y1624" s="7" t="n">
        <f aca="false">W1624-X1624</f>
        <v>-107.266273778956</v>
      </c>
      <c r="Z1624" s="7" t="s">
        <v>78</v>
      </c>
      <c r="AA1624" s="7" t="str">
        <f aca="false">IFERROR(INDEX(02_轉折點45!B:B,MATCH(A1624,02_轉折點45!A:A,0)),"")</f>
        <v/>
      </c>
      <c r="AB1624" s="7" t="n">
        <f aca="false">COUNTIFS(05_訊號明細!A:A,A1624,05_訊號明細!C:C,"TOP")</f>
        <v>0</v>
      </c>
      <c r="AC1624" s="7" t="n">
        <f aca="false">COUNTIFS(05_訊號明細!A:A,A1624,05_訊號明細!C:C,"BOTTOM")</f>
        <v>0</v>
      </c>
    </row>
    <row r="1625" customFormat="false" ht="15" hidden="false" customHeight="false" outlineLevel="0" collapsed="false">
      <c r="A1625" s="7" t="s">
        <v>1666</v>
      </c>
      <c r="B1625" s="7" t="n">
        <v>30160.74</v>
      </c>
      <c r="C1625" s="7" t="n">
        <v>30208.94</v>
      </c>
      <c r="D1625" s="7" t="n">
        <v>29604.93</v>
      </c>
      <c r="E1625" s="7" t="n">
        <v>29670.95</v>
      </c>
      <c r="F1625" s="7" t="n">
        <v>11444</v>
      </c>
      <c r="G1625" s="7" t="n">
        <f aca="false">AVERAGE(E1621:E1625)</f>
        <v>29853.026</v>
      </c>
      <c r="H1625" s="7" t="n">
        <f aca="false">AVERAGE(E1616:E1625)</f>
        <v>29563.733</v>
      </c>
      <c r="I1625" s="7" t="n">
        <f aca="false">AVERAGE(E1606:E1625)</f>
        <v>29802.58</v>
      </c>
      <c r="J1625" s="7" t="n">
        <f aca="false">AVERAGE(E1576:E1625)</f>
        <v>28374.0514</v>
      </c>
      <c r="K1625" s="7" t="n">
        <f aca="false">AVERAGE(E1526:E1625)</f>
        <v>26554.5969</v>
      </c>
      <c r="L1625" s="7" t="n">
        <f aca="false">AVERAGE(E1426:E1625)</f>
        <v>25795.9836</v>
      </c>
      <c r="M1625" s="7" t="n">
        <f aca="false">I1625</f>
        <v>29802.58</v>
      </c>
      <c r="N1625" s="7" t="n">
        <f aca="false">I1625+2*STDEV(E1606:E1625)</f>
        <v>31024.1947233801</v>
      </c>
      <c r="O1625" s="7" t="n">
        <f aca="false">I1625-2*STDEV(E1606:E1625)</f>
        <v>28580.9652766199</v>
      </c>
      <c r="P1625" s="7" t="n">
        <f aca="false">MAX(E1625-E1624,0)</f>
        <v>0</v>
      </c>
      <c r="Q1625" s="7" t="n">
        <f aca="false">MAX(E1624-E1625,0)</f>
        <v>297.18</v>
      </c>
      <c r="R1625" s="7" t="n">
        <f aca="false">(R1624*13+P1625)/14</f>
        <v>217.574213612961</v>
      </c>
      <c r="S1625" s="7" t="n">
        <f aca="false">(S1624*13+Q1625)/14</f>
        <v>190.608278964852</v>
      </c>
      <c r="T1625" s="7" t="n">
        <f aca="false">IF(S1625=0,100,100-100/(1+R1625/S1625))</f>
        <v>53.3031713925075</v>
      </c>
      <c r="U1625" s="7" t="n">
        <f aca="false">E1625*2/13+U1624*11/13</f>
        <v>29713.0902352538</v>
      </c>
      <c r="V1625" s="7" t="n">
        <f aca="false">E1625*2/27+V1624*25/27</f>
        <v>29356.5884521506</v>
      </c>
      <c r="W1625" s="7" t="n">
        <f aca="false">U1625-V1625</f>
        <v>356.501783103198</v>
      </c>
      <c r="X1625" s="7" t="n">
        <f aca="false">W1625*2/10+X1624*8/10</f>
        <v>468.563429952911</v>
      </c>
      <c r="Y1625" s="7" t="n">
        <f aca="false">W1625-X1625</f>
        <v>-112.061646849713</v>
      </c>
      <c r="Z1625" s="8" t="s">
        <v>42</v>
      </c>
      <c r="AA1625" s="7" t="str">
        <f aca="false">IFERROR(INDEX(02_轉折點45!B:B,MATCH(A1625,02_轉折點45!A:A,0)),"")</f>
        <v/>
      </c>
      <c r="AB1625" s="7" t="n">
        <f aca="false">COUNTIFS(05_訊號明細!A:A,A1625,05_訊號明細!C:C,"TOP")</f>
        <v>0</v>
      </c>
      <c r="AC1625" s="7" t="n">
        <f aca="false">COUNTIFS(05_訊號明細!A:A,A1625,05_訊號明細!C:C,"BOTTOM")</f>
        <v>0</v>
      </c>
    </row>
    <row r="1626" customFormat="false" ht="15" hidden="false" customHeight="false" outlineLevel="0" collapsed="false">
      <c r="A1626" s="7" t="s">
        <v>1667</v>
      </c>
      <c r="B1626" s="7" t="n">
        <v>30261.6</v>
      </c>
      <c r="C1626" s="7" t="n">
        <v>30463.77</v>
      </c>
      <c r="D1626" s="7" t="n">
        <v>30089.35</v>
      </c>
      <c r="E1626" s="7" t="n">
        <v>30406.19</v>
      </c>
      <c r="F1626" s="7" t="n">
        <v>18286</v>
      </c>
      <c r="G1626" s="7" t="n">
        <f aca="false">AVERAGE(E1622:E1626)</f>
        <v>30045.028</v>
      </c>
      <c r="H1626" s="7" t="n">
        <f aca="false">AVERAGE(E1617:E1626)</f>
        <v>29563.571</v>
      </c>
      <c r="I1626" s="7" t="n">
        <f aca="false">AVERAGE(E1607:E1626)</f>
        <v>29858.0045</v>
      </c>
      <c r="J1626" s="7" t="n">
        <f aca="false">AVERAGE(E1577:E1626)</f>
        <v>28484.1118</v>
      </c>
      <c r="K1626" s="7" t="n">
        <f aca="false">AVERAGE(E1527:E1626)</f>
        <v>26601.5267</v>
      </c>
      <c r="L1626" s="7" t="n">
        <f aca="false">AVERAGE(E1427:E1626)</f>
        <v>25831.859</v>
      </c>
      <c r="M1626" s="7" t="n">
        <f aca="false">I1626</f>
        <v>29858.0045</v>
      </c>
      <c r="N1626" s="7" t="n">
        <f aca="false">I1626+2*STDEV(E1607:E1626)</f>
        <v>31083.7485913043</v>
      </c>
      <c r="O1626" s="7" t="n">
        <f aca="false">I1626-2*STDEV(E1607:E1626)</f>
        <v>28632.2604086957</v>
      </c>
      <c r="P1626" s="7" t="n">
        <f aca="false">MAX(E1626-E1625,0)</f>
        <v>735.239999999998</v>
      </c>
      <c r="Q1626" s="7" t="n">
        <f aca="false">MAX(E1625-E1626,0)</f>
        <v>0</v>
      </c>
      <c r="R1626" s="7" t="n">
        <f aca="false">(R1625*13+P1626)/14</f>
        <v>254.550341212035</v>
      </c>
      <c r="S1626" s="7" t="n">
        <f aca="false">(S1625*13+Q1626)/14</f>
        <v>176.993401895934</v>
      </c>
      <c r="T1626" s="7" t="n">
        <f aca="false">IF(S1626=0,100,100-100/(1+R1626/S1626))</f>
        <v>58.985988159339</v>
      </c>
      <c r="U1626" s="7" t="n">
        <f aca="false">E1626*2/13+U1625*11/13</f>
        <v>29819.7209682917</v>
      </c>
      <c r="V1626" s="7" t="n">
        <f aca="false">E1626*2/27+V1625*25/27</f>
        <v>29434.3367149543</v>
      </c>
      <c r="W1626" s="7" t="n">
        <f aca="false">U1626-V1626</f>
        <v>385.384253337415</v>
      </c>
      <c r="X1626" s="7" t="n">
        <f aca="false">W1626*2/10+X1625*8/10</f>
        <v>451.927594629812</v>
      </c>
      <c r="Y1626" s="7" t="n">
        <f aca="false">W1626-X1626</f>
        <v>-66.5433412923965</v>
      </c>
      <c r="Z1626" s="8" t="s">
        <v>42</v>
      </c>
      <c r="AA1626" s="7" t="str">
        <f aca="false">IFERROR(INDEX(02_轉折點45!B:B,MATCH(A1626,02_轉折點45!A:A,0)),"")</f>
        <v/>
      </c>
      <c r="AB1626" s="7" t="n">
        <f aca="false">COUNTIFS(05_訊號明細!A:A,A1626,05_訊號明細!C:C,"TOP")</f>
        <v>0</v>
      </c>
      <c r="AC1626" s="7" t="n">
        <f aca="false">COUNTIFS(05_訊號明細!A:A,A1626,05_訊號明細!C:C,"BOTTOM")</f>
        <v>0</v>
      </c>
    </row>
    <row r="1627" customFormat="false" ht="15" hidden="false" customHeight="false" outlineLevel="0" collapsed="false">
      <c r="A1627" s="7" t="s">
        <v>1668</v>
      </c>
      <c r="B1627" s="7" t="n">
        <v>30529.99</v>
      </c>
      <c r="C1627" s="7" t="n">
        <v>30642.57</v>
      </c>
      <c r="D1627" s="7" t="n">
        <v>30194.25</v>
      </c>
      <c r="E1627" s="7" t="n">
        <v>30347.08</v>
      </c>
      <c r="F1627" s="7" t="n">
        <v>12844</v>
      </c>
      <c r="G1627" s="7" t="n">
        <f aca="false">AVERAGE(E1623:E1627)</f>
        <v>30187.254</v>
      </c>
      <c r="H1627" s="7" t="n">
        <f aca="false">AVERAGE(E1618:E1627)</f>
        <v>29702.519</v>
      </c>
      <c r="I1627" s="7" t="n">
        <f aca="false">AVERAGE(E1608:E1627)</f>
        <v>29907.495</v>
      </c>
      <c r="J1627" s="7" t="n">
        <f aca="false">AVERAGE(E1578:E1627)</f>
        <v>28589.4116</v>
      </c>
      <c r="K1627" s="7" t="n">
        <f aca="false">AVERAGE(E1528:E1627)</f>
        <v>26645.6001</v>
      </c>
      <c r="L1627" s="7" t="n">
        <f aca="false">AVERAGE(E1428:E1627)</f>
        <v>25866.5202</v>
      </c>
      <c r="M1627" s="7" t="n">
        <f aca="false">I1627</f>
        <v>29907.495</v>
      </c>
      <c r="N1627" s="7" t="n">
        <f aca="false">I1627+2*STDEV(E1608:E1627)</f>
        <v>31128.0302023557</v>
      </c>
      <c r="O1627" s="7" t="n">
        <f aca="false">I1627-2*STDEV(E1608:E1627)</f>
        <v>28686.9597976443</v>
      </c>
      <c r="P1627" s="7" t="n">
        <f aca="false">MAX(E1627-E1626,0)</f>
        <v>0</v>
      </c>
      <c r="Q1627" s="7" t="n">
        <f aca="false">MAX(E1626-E1627,0)</f>
        <v>59.1099999999969</v>
      </c>
      <c r="R1627" s="7" t="n">
        <f aca="false">(R1626*13+P1627)/14</f>
        <v>236.368173982604</v>
      </c>
      <c r="S1627" s="7" t="n">
        <f aca="false">(S1626*13+Q1627)/14</f>
        <v>168.573158903367</v>
      </c>
      <c r="T1627" s="7" t="n">
        <f aca="false">IF(S1627=0,100,100-100/(1+R1627/S1627))</f>
        <v>58.3709675418991</v>
      </c>
      <c r="U1627" s="7" t="n">
        <f aca="false">E1627*2/13+U1626*11/13</f>
        <v>29900.8531270161</v>
      </c>
      <c r="V1627" s="7" t="n">
        <f aca="false">E1627*2/27+V1626*25/27</f>
        <v>29501.9473286614</v>
      </c>
      <c r="W1627" s="7" t="n">
        <f aca="false">U1627-V1627</f>
        <v>398.905798354681</v>
      </c>
      <c r="X1627" s="7" t="n">
        <f aca="false">W1627*2/10+X1626*8/10</f>
        <v>441.323235374786</v>
      </c>
      <c r="Y1627" s="7" t="n">
        <f aca="false">W1627-X1627</f>
        <v>-42.4174370201048</v>
      </c>
      <c r="Z1627" s="8" t="s">
        <v>42</v>
      </c>
      <c r="AA1627" s="7" t="str">
        <f aca="false">IFERROR(INDEX(02_轉折點45!B:B,MATCH(A1627,02_轉折點45!A:A,0)),"")</f>
        <v/>
      </c>
      <c r="AB1627" s="7" t="n">
        <f aca="false">COUNTIFS(05_訊號明細!A:A,A1627,05_訊號明細!C:C,"TOP")</f>
        <v>0</v>
      </c>
      <c r="AC1627" s="7" t="n">
        <f aca="false">COUNTIFS(05_訊號明細!A:A,A1627,05_訊號明細!C:C,"BOTTOM")</f>
        <v>0</v>
      </c>
    </row>
    <row r="1628" customFormat="false" ht="15" hidden="false" customHeight="false" outlineLevel="0" collapsed="false">
      <c r="A1628" s="7" t="s">
        <v>1669</v>
      </c>
      <c r="B1628" s="7" t="n">
        <v>29369.25</v>
      </c>
      <c r="C1628" s="7" t="n">
        <v>29748.72</v>
      </c>
      <c r="D1628" s="7" t="n">
        <v>29276.98</v>
      </c>
      <c r="E1628" s="7" t="n">
        <v>29347.27</v>
      </c>
      <c r="F1628" s="7" t="n">
        <v>14632</v>
      </c>
      <c r="G1628" s="7" t="n">
        <f aca="false">AVERAGE(E1624:E1628)</f>
        <v>29947.924</v>
      </c>
      <c r="H1628" s="7" t="n">
        <f aca="false">AVERAGE(E1619:E1628)</f>
        <v>29695.82</v>
      </c>
      <c r="I1628" s="7" t="n">
        <f aca="false">AVERAGE(E1609:E1628)</f>
        <v>29900.7765</v>
      </c>
      <c r="J1628" s="7" t="n">
        <f aca="false">AVERAGE(E1579:E1628)</f>
        <v>28674.0302</v>
      </c>
      <c r="K1628" s="7" t="n">
        <f aca="false">AVERAGE(E1529:E1628)</f>
        <v>26678.8449</v>
      </c>
      <c r="L1628" s="7" t="n">
        <f aca="false">AVERAGE(E1429:E1628)</f>
        <v>25895.0915</v>
      </c>
      <c r="M1628" s="7" t="n">
        <f aca="false">I1628</f>
        <v>29900.7765</v>
      </c>
      <c r="N1628" s="7" t="n">
        <f aca="false">I1628+2*STDEV(E1609:E1628)</f>
        <v>31132.6087818729</v>
      </c>
      <c r="O1628" s="7" t="n">
        <f aca="false">I1628-2*STDEV(E1609:E1628)</f>
        <v>28668.9442181271</v>
      </c>
      <c r="P1628" s="7" t="n">
        <f aca="false">MAX(E1628-E1627,0)</f>
        <v>0</v>
      </c>
      <c r="Q1628" s="7" t="n">
        <f aca="false">MAX(E1627-E1628,0)</f>
        <v>999.810000000001</v>
      </c>
      <c r="R1628" s="7" t="n">
        <f aca="false">(R1627*13+P1628)/14</f>
        <v>219.484732983847</v>
      </c>
      <c r="S1628" s="7" t="n">
        <f aca="false">(S1627*13+Q1628)/14</f>
        <v>227.947218981698</v>
      </c>
      <c r="T1628" s="7" t="n">
        <f aca="false">IF(S1628=0,100,100-100/(1+R1628/S1628))</f>
        <v>49.054327036695</v>
      </c>
      <c r="U1628" s="7" t="n">
        <f aca="false">E1628*2/13+U1627*11/13</f>
        <v>29815.6864920905</v>
      </c>
      <c r="V1628" s="7" t="n">
        <f aca="false">E1628*2/27+V1627*25/27</f>
        <v>29490.4897487605</v>
      </c>
      <c r="W1628" s="7" t="n">
        <f aca="false">U1628-V1628</f>
        <v>325.196743329976</v>
      </c>
      <c r="X1628" s="7" t="n">
        <f aca="false">W1628*2/10+X1627*8/10</f>
        <v>418.097936965824</v>
      </c>
      <c r="Y1628" s="7" t="n">
        <f aca="false">W1628-X1628</f>
        <v>-92.9011936358477</v>
      </c>
      <c r="Z1628" s="7" t="s">
        <v>78</v>
      </c>
      <c r="AA1628" s="7" t="str">
        <f aca="false">IFERROR(INDEX(02_轉折點45!B:B,MATCH(A1628,02_轉折點45!A:A,0)),"")</f>
        <v/>
      </c>
      <c r="AB1628" s="7" t="n">
        <f aca="false">COUNTIFS(05_訊號明細!A:A,A1628,05_訊號明細!C:C,"TOP")</f>
        <v>1</v>
      </c>
      <c r="AC1628" s="7" t="n">
        <f aca="false">COUNTIFS(05_訊號明細!A:A,A1628,05_訊號明細!C:C,"BOTTOM")</f>
        <v>0</v>
      </c>
    </row>
    <row r="1629" customFormat="false" ht="15" hidden="false" customHeight="false" outlineLevel="0" collapsed="false">
      <c r="A1629" s="7" t="s">
        <v>1670</v>
      </c>
      <c r="B1629" s="7" t="n">
        <v>29328.4</v>
      </c>
      <c r="C1629" s="7" t="n">
        <v>29592.9</v>
      </c>
      <c r="D1629" s="7" t="n">
        <v>28963.1</v>
      </c>
      <c r="E1629" s="7" t="n">
        <v>29220.06</v>
      </c>
      <c r="F1629" s="7" t="n">
        <v>14936</v>
      </c>
      <c r="G1629" s="7" t="n">
        <f aca="false">AVERAGE(E1625:E1629)</f>
        <v>29798.31</v>
      </c>
      <c r="H1629" s="7" t="n">
        <f aca="false">AVERAGE(E1620:E1629)</f>
        <v>29709.376</v>
      </c>
      <c r="I1629" s="7" t="n">
        <f aca="false">AVERAGE(E1610:E1629)</f>
        <v>29861.7135</v>
      </c>
      <c r="J1629" s="7" t="n">
        <f aca="false">AVERAGE(E1580:E1629)</f>
        <v>28750.757</v>
      </c>
      <c r="K1629" s="7" t="n">
        <f aca="false">AVERAGE(E1530:E1629)</f>
        <v>26712.2025</v>
      </c>
      <c r="L1629" s="7" t="n">
        <f aca="false">AVERAGE(E1430:E1629)</f>
        <v>25922.9296</v>
      </c>
      <c r="M1629" s="7" t="n">
        <f aca="false">I1629</f>
        <v>29861.7135</v>
      </c>
      <c r="N1629" s="7" t="n">
        <f aca="false">I1629+2*STDEV(E1610:E1629)</f>
        <v>31129.1559109625</v>
      </c>
      <c r="O1629" s="7" t="n">
        <f aca="false">I1629-2*STDEV(E1610:E1629)</f>
        <v>28594.2710890376</v>
      </c>
      <c r="P1629" s="7" t="n">
        <f aca="false">MAX(E1629-E1628,0)</f>
        <v>0</v>
      </c>
      <c r="Q1629" s="7" t="n">
        <f aca="false">MAX(E1628-E1629,0)</f>
        <v>127.209999999999</v>
      </c>
      <c r="R1629" s="7" t="n">
        <f aca="false">(R1628*13+P1629)/14</f>
        <v>203.807252056429</v>
      </c>
      <c r="S1629" s="7" t="n">
        <f aca="false">(S1628*13+Q1629)/14</f>
        <v>220.751703340148</v>
      </c>
      <c r="T1629" s="7" t="n">
        <f aca="false">IF(S1629=0,100,100-100/(1+R1629/S1629))</f>
        <v>48.0044642718829</v>
      </c>
      <c r="U1629" s="7" t="n">
        <f aca="false">E1629*2/13+U1628*11/13</f>
        <v>29724.0516471535</v>
      </c>
      <c r="V1629" s="7" t="n">
        <f aca="false">E1629*2/27+V1628*25/27</f>
        <v>29470.457915519</v>
      </c>
      <c r="W1629" s="7" t="n">
        <f aca="false">U1629-V1629</f>
        <v>253.593731634501</v>
      </c>
      <c r="X1629" s="7" t="n">
        <f aca="false">W1629*2/10+X1628*8/10</f>
        <v>385.197095899559</v>
      </c>
      <c r="Y1629" s="7" t="n">
        <f aca="false">W1629-X1629</f>
        <v>-131.603364265058</v>
      </c>
      <c r="Z1629" s="8" t="s">
        <v>42</v>
      </c>
      <c r="AA1629" s="7" t="str">
        <f aca="false">IFERROR(INDEX(02_轉折點45!B:B,MATCH(A1629,02_轉折點45!A:A,0)),"")</f>
        <v/>
      </c>
      <c r="AB1629" s="7" t="n">
        <f aca="false">COUNTIFS(05_訊號明細!A:A,A1629,05_訊號明細!C:C,"TOP")</f>
        <v>0</v>
      </c>
      <c r="AC1629" s="7" t="n">
        <f aca="false">COUNTIFS(05_訊號明細!A:A,A1629,05_訊號明細!C:C,"BOTTOM")</f>
        <v>0</v>
      </c>
    </row>
    <row r="1630" customFormat="false" ht="15" hidden="false" customHeight="false" outlineLevel="0" collapsed="false">
      <c r="A1630" s="7" t="s">
        <v>1671</v>
      </c>
      <c r="B1630" s="7" t="n">
        <v>29843.89</v>
      </c>
      <c r="C1630" s="7" t="n">
        <v>29843.89</v>
      </c>
      <c r="D1630" s="7" t="n">
        <v>29000.55</v>
      </c>
      <c r="E1630" s="7" t="n">
        <v>29440.32</v>
      </c>
      <c r="F1630" s="7" t="n">
        <v>9871</v>
      </c>
      <c r="G1630" s="7" t="n">
        <f aca="false">AVERAGE(E1626:E1630)</f>
        <v>29752.184</v>
      </c>
      <c r="H1630" s="7" t="n">
        <f aca="false">AVERAGE(E1621:E1630)</f>
        <v>29802.605</v>
      </c>
      <c r="I1630" s="7" t="n">
        <f aca="false">AVERAGE(E1611:E1630)</f>
        <v>29835.051</v>
      </c>
      <c r="J1630" s="7" t="n">
        <f aca="false">AVERAGE(E1581:E1630)</f>
        <v>28822.7234</v>
      </c>
      <c r="K1630" s="7" t="n">
        <f aca="false">AVERAGE(E1531:E1630)</f>
        <v>26751.0818</v>
      </c>
      <c r="L1630" s="7" t="n">
        <f aca="false">AVERAGE(E1431:E1630)</f>
        <v>25951.3197</v>
      </c>
      <c r="M1630" s="7" t="n">
        <f aca="false">I1630</f>
        <v>29835.051</v>
      </c>
      <c r="N1630" s="7" t="n">
        <f aca="false">I1630+2*STDEV(E1611:E1630)</f>
        <v>31114.9598443183</v>
      </c>
      <c r="O1630" s="7" t="n">
        <f aca="false">I1630-2*STDEV(E1611:E1630)</f>
        <v>28555.1421556817</v>
      </c>
      <c r="P1630" s="7" t="n">
        <f aca="false">MAX(E1630-E1629,0)</f>
        <v>220.259999999998</v>
      </c>
      <c r="Q1630" s="7" t="n">
        <f aca="false">MAX(E1629-E1630,0)</f>
        <v>0</v>
      </c>
      <c r="R1630" s="7" t="n">
        <f aca="false">(R1629*13+P1630)/14</f>
        <v>204.982448338113</v>
      </c>
      <c r="S1630" s="7" t="n">
        <f aca="false">(S1629*13+Q1630)/14</f>
        <v>204.983724530138</v>
      </c>
      <c r="T1630" s="7" t="n">
        <f aca="false">IF(S1630=0,100,100-100/(1+R1630/S1630))</f>
        <v>49.9998443539846</v>
      </c>
      <c r="U1630" s="7" t="n">
        <f aca="false">E1630*2/13+U1629*11/13</f>
        <v>29680.4006245145</v>
      </c>
      <c r="V1630" s="7" t="n">
        <f aca="false">E1630*2/27+V1629*25/27</f>
        <v>29468.2254773324</v>
      </c>
      <c r="W1630" s="7" t="n">
        <f aca="false">U1630-V1630</f>
        <v>212.17514718209</v>
      </c>
      <c r="X1630" s="7" t="n">
        <f aca="false">W1630*2/10+X1629*8/10</f>
        <v>350.592706156065</v>
      </c>
      <c r="Y1630" s="7" t="n">
        <f aca="false">W1630-X1630</f>
        <v>-138.417558973975</v>
      </c>
      <c r="Z1630" s="8" t="s">
        <v>42</v>
      </c>
      <c r="AA1630" s="7" t="str">
        <f aca="false">IFERROR(INDEX(02_轉折點45!B:B,MATCH(A1630,02_轉折點45!A:A,0)),"")</f>
        <v/>
      </c>
      <c r="AB1630" s="7" t="n">
        <f aca="false">COUNTIFS(05_訊號明細!A:A,A1630,05_訊號明細!C:C,"TOP")</f>
        <v>1</v>
      </c>
      <c r="AC1630" s="7" t="n">
        <f aca="false">COUNTIFS(05_訊號明細!A:A,A1630,05_訊號明細!C:C,"BOTTOM")</f>
        <v>0</v>
      </c>
    </row>
    <row r="1631" customFormat="false" ht="15" hidden="false" customHeight="false" outlineLevel="0" collapsed="false">
      <c r="A1631" s="7" t="s">
        <v>1672</v>
      </c>
      <c r="B1631" s="7" t="n">
        <v>29040.12</v>
      </c>
      <c r="C1631" s="7" t="n">
        <v>29413.8</v>
      </c>
      <c r="D1631" s="7" t="n">
        <v>28890.74</v>
      </c>
      <c r="E1631" s="7" t="n">
        <v>29118.24</v>
      </c>
      <c r="F1631" s="7" t="n">
        <v>16595</v>
      </c>
      <c r="G1631" s="7" t="n">
        <f aca="false">AVERAGE(E1627:E1631)</f>
        <v>29494.594</v>
      </c>
      <c r="H1631" s="7" t="n">
        <f aca="false">AVERAGE(E1622:E1631)</f>
        <v>29769.811</v>
      </c>
      <c r="I1631" s="7" t="n">
        <f aca="false">AVERAGE(E1612:E1631)</f>
        <v>29779.7685</v>
      </c>
      <c r="J1631" s="7" t="n">
        <f aca="false">AVERAGE(E1582:E1631)</f>
        <v>28880.9966</v>
      </c>
      <c r="K1631" s="7" t="n">
        <f aca="false">AVERAGE(E1532:E1631)</f>
        <v>26784.8781</v>
      </c>
      <c r="L1631" s="7" t="n">
        <f aca="false">AVERAGE(E1432:E1631)</f>
        <v>25977.7119</v>
      </c>
      <c r="M1631" s="7" t="n">
        <f aca="false">I1631</f>
        <v>29779.7685</v>
      </c>
      <c r="N1631" s="7" t="n">
        <f aca="false">I1631+2*STDEV(E1612:E1631)</f>
        <v>31084.2377997985</v>
      </c>
      <c r="O1631" s="7" t="n">
        <f aca="false">I1631-2*STDEV(E1612:E1631)</f>
        <v>28475.2992002015</v>
      </c>
      <c r="P1631" s="7" t="n">
        <f aca="false">MAX(E1631-E1630,0)</f>
        <v>0</v>
      </c>
      <c r="Q1631" s="7" t="n">
        <f aca="false">MAX(E1630-E1631,0)</f>
        <v>322.079999999998</v>
      </c>
      <c r="R1631" s="7" t="n">
        <f aca="false">(R1630*13+P1631)/14</f>
        <v>190.34084488539</v>
      </c>
      <c r="S1631" s="7" t="n">
        <f aca="false">(S1630*13+Q1631)/14</f>
        <v>213.347744206556</v>
      </c>
      <c r="T1631" s="7" t="n">
        <f aca="false">IF(S1631=0,100,100-100/(1+R1631/S1631))</f>
        <v>47.1504149556323</v>
      </c>
      <c r="U1631" s="7" t="n">
        <f aca="false">E1631*2/13+U1630*11/13</f>
        <v>29593.9143745892</v>
      </c>
      <c r="V1631" s="7" t="n">
        <f aca="false">E1631*2/27+V1630*25/27</f>
        <v>29442.3006271596</v>
      </c>
      <c r="W1631" s="7" t="n">
        <f aca="false">U1631-V1631</f>
        <v>151.613747429561</v>
      </c>
      <c r="X1631" s="7" t="n">
        <f aca="false">W1631*2/10+X1630*8/10</f>
        <v>310.796914410764</v>
      </c>
      <c r="Y1631" s="7" t="n">
        <f aca="false">W1631-X1631</f>
        <v>-159.183166981203</v>
      </c>
      <c r="Z1631" s="7" t="s">
        <v>78</v>
      </c>
      <c r="AA1631" s="7" t="str">
        <f aca="false">IFERROR(INDEX(02_轉折點45!B:B,MATCH(A1631,02_轉折點45!A:A,0)),"")</f>
        <v/>
      </c>
      <c r="AB1631" s="7" t="n">
        <f aca="false">COUNTIFS(05_訊號明細!A:A,A1631,05_訊號明細!C:C,"TOP")</f>
        <v>1</v>
      </c>
      <c r="AC1631" s="7" t="n">
        <f aca="false">COUNTIFS(05_訊號明細!A:A,A1631,05_訊號明細!C:C,"BOTTOM")</f>
        <v>0</v>
      </c>
    </row>
    <row r="1632" customFormat="false" ht="15" hidden="false" customHeight="false" outlineLevel="0" collapsed="false">
      <c r="A1632" s="7" t="s">
        <v>1673</v>
      </c>
      <c r="B1632" s="7" t="n">
        <v>29310.26</v>
      </c>
      <c r="C1632" s="7" t="n">
        <v>29792.63</v>
      </c>
      <c r="D1632" s="7" t="n">
        <v>28991.52</v>
      </c>
      <c r="E1632" s="7" t="n">
        <v>29774.75</v>
      </c>
      <c r="F1632" s="7" t="n">
        <v>9776</v>
      </c>
      <c r="G1632" s="7" t="n">
        <f aca="false">AVERAGE(E1628:E1632)</f>
        <v>29380.128</v>
      </c>
      <c r="H1632" s="7" t="n">
        <f aca="false">AVERAGE(E1623:E1632)</f>
        <v>29783.691</v>
      </c>
      <c r="I1632" s="7" t="n">
        <f aca="false">AVERAGE(E1613:E1632)</f>
        <v>29751.847</v>
      </c>
      <c r="J1632" s="7" t="n">
        <f aca="false">AVERAGE(E1583:E1632)</f>
        <v>28949.8316</v>
      </c>
      <c r="K1632" s="7" t="n">
        <f aca="false">AVERAGE(E1533:E1632)</f>
        <v>26829.2394</v>
      </c>
      <c r="L1632" s="7" t="n">
        <f aca="false">AVERAGE(E1433:E1632)</f>
        <v>26007.3393</v>
      </c>
      <c r="M1632" s="7" t="n">
        <f aca="false">I1632</f>
        <v>29751.847</v>
      </c>
      <c r="N1632" s="7" t="n">
        <f aca="false">I1632+2*STDEV(E1613:E1632)</f>
        <v>31030.0825787997</v>
      </c>
      <c r="O1632" s="7" t="n">
        <f aca="false">I1632-2*STDEV(E1613:E1632)</f>
        <v>28473.6114212003</v>
      </c>
      <c r="P1632" s="7" t="n">
        <f aca="false">MAX(E1632-E1631,0)</f>
        <v>656.509999999998</v>
      </c>
      <c r="Q1632" s="7" t="n">
        <f aca="false">MAX(E1631-E1632,0)</f>
        <v>0</v>
      </c>
      <c r="R1632" s="7" t="n">
        <f aca="false">(R1631*13+P1632)/14</f>
        <v>223.638641679291</v>
      </c>
      <c r="S1632" s="7" t="n">
        <f aca="false">(S1631*13+Q1632)/14</f>
        <v>198.108619620374</v>
      </c>
      <c r="T1632" s="7" t="n">
        <f aca="false">IF(S1632=0,100,100-100/(1+R1632/S1632))</f>
        <v>53.0266968397428</v>
      </c>
      <c r="U1632" s="7" t="n">
        <f aca="false">E1632*2/13+U1631*11/13</f>
        <v>29621.735240037</v>
      </c>
      <c r="V1632" s="7" t="n">
        <f aca="false">E1632*2/27+V1631*25/27</f>
        <v>29466.9265066293</v>
      </c>
      <c r="W1632" s="7" t="n">
        <f aca="false">U1632-V1632</f>
        <v>154.808733407721</v>
      </c>
      <c r="X1632" s="7" t="n">
        <f aca="false">W1632*2/10+X1631*8/10</f>
        <v>279.599278210156</v>
      </c>
      <c r="Y1632" s="7" t="n">
        <f aca="false">W1632-X1632</f>
        <v>-124.790544802435</v>
      </c>
      <c r="Z1632" s="7" t="s">
        <v>78</v>
      </c>
      <c r="AA1632" s="7" t="str">
        <f aca="false">IFERROR(INDEX(02_轉折點45!B:B,MATCH(A1632,02_轉折點45!A:A,0)),"")</f>
        <v/>
      </c>
      <c r="AB1632" s="7" t="n">
        <f aca="false">COUNTIFS(05_訊號明細!A:A,A1632,05_訊號明細!C:C,"TOP")</f>
        <v>1</v>
      </c>
      <c r="AC1632" s="7" t="n">
        <f aca="false">COUNTIFS(05_訊號明細!A:A,A1632,05_訊號明細!C:C,"BOTTOM")</f>
        <v>0</v>
      </c>
    </row>
    <row r="1633" customFormat="false" ht="15" hidden="false" customHeight="false" outlineLevel="0" collapsed="false">
      <c r="A1633" s="7" t="s">
        <v>1674</v>
      </c>
      <c r="B1633" s="7" t="n">
        <v>29792.93</v>
      </c>
      <c r="C1633" s="7" t="n">
        <v>30328.79</v>
      </c>
      <c r="D1633" s="7" t="n">
        <v>29767.76</v>
      </c>
      <c r="E1633" s="7" t="n">
        <v>30276.35</v>
      </c>
      <c r="F1633" s="7" t="n">
        <v>9810</v>
      </c>
      <c r="G1633" s="7" t="n">
        <f aca="false">AVERAGE(E1629:E1633)</f>
        <v>29565.944</v>
      </c>
      <c r="H1633" s="7" t="n">
        <f aca="false">AVERAGE(E1624:E1633)</f>
        <v>29756.934</v>
      </c>
      <c r="I1633" s="7" t="n">
        <f aca="false">AVERAGE(E1614:E1633)</f>
        <v>29739.9715</v>
      </c>
      <c r="J1633" s="7" t="n">
        <f aca="false">AVERAGE(E1584:E1633)</f>
        <v>29021.91</v>
      </c>
      <c r="K1633" s="7" t="n">
        <f aca="false">AVERAGE(E1534:E1633)</f>
        <v>26883.0905</v>
      </c>
      <c r="L1633" s="7" t="n">
        <f aca="false">AVERAGE(E1434:E1633)</f>
        <v>26038.75825</v>
      </c>
      <c r="M1633" s="7" t="n">
        <f aca="false">I1633</f>
        <v>29739.9715</v>
      </c>
      <c r="N1633" s="7" t="n">
        <f aca="false">I1633+2*STDEV(E1614:E1633)</f>
        <v>30992.5543860613</v>
      </c>
      <c r="O1633" s="7" t="n">
        <f aca="false">I1633-2*STDEV(E1614:E1633)</f>
        <v>28487.3886139387</v>
      </c>
      <c r="P1633" s="7" t="n">
        <f aca="false">MAX(E1633-E1632,0)</f>
        <v>501.599999999999</v>
      </c>
      <c r="Q1633" s="7" t="n">
        <f aca="false">MAX(E1632-E1633,0)</f>
        <v>0</v>
      </c>
      <c r="R1633" s="7" t="n">
        <f aca="false">(R1632*13+P1633)/14</f>
        <v>243.493024416484</v>
      </c>
      <c r="S1633" s="7" t="n">
        <f aca="false">(S1632*13+Q1633)/14</f>
        <v>183.958003933204</v>
      </c>
      <c r="T1633" s="7" t="n">
        <f aca="false">IF(S1633=0,100,100-100/(1+R1633/S1633))</f>
        <v>56.9639580366825</v>
      </c>
      <c r="U1633" s="7" t="n">
        <f aca="false">E1633*2/13+U1632*11/13</f>
        <v>29722.4452031082</v>
      </c>
      <c r="V1633" s="7" t="n">
        <f aca="false">E1633*2/27+V1632*25/27</f>
        <v>29526.8838024345</v>
      </c>
      <c r="W1633" s="7" t="n">
        <f aca="false">U1633-V1633</f>
        <v>195.561400673709</v>
      </c>
      <c r="X1633" s="7" t="n">
        <f aca="false">W1633*2/10+X1632*8/10</f>
        <v>262.791702702866</v>
      </c>
      <c r="Y1633" s="7" t="n">
        <f aca="false">W1633-X1633</f>
        <v>-67.2303020291576</v>
      </c>
      <c r="Z1633" s="7" t="s">
        <v>78</v>
      </c>
      <c r="AA1633" s="7" t="str">
        <f aca="false">IFERROR(INDEX(02_轉折點45!B:B,MATCH(A1633,02_轉折點45!A:A,0)),"")</f>
        <v/>
      </c>
      <c r="AB1633" s="7" t="n">
        <f aca="false">COUNTIFS(05_訊號明細!A:A,A1633,05_訊號明細!C:C,"TOP")</f>
        <v>1</v>
      </c>
      <c r="AC1633" s="7" t="n">
        <f aca="false">COUNTIFS(05_訊號明細!A:A,A1633,05_訊號明細!C:C,"BOTTOM")</f>
        <v>0</v>
      </c>
    </row>
    <row r="1634" customFormat="false" ht="15" hidden="false" customHeight="false" outlineLevel="0" collapsed="false">
      <c r="A1634" s="7" t="s">
        <v>1675</v>
      </c>
      <c r="B1634" s="7" t="n">
        <v>29914.28</v>
      </c>
      <c r="C1634" s="7" t="n">
        <v>30084.78</v>
      </c>
      <c r="D1634" s="7" t="n">
        <v>29787.41</v>
      </c>
      <c r="E1634" s="7" t="n">
        <v>29809.13</v>
      </c>
      <c r="F1634" s="7" t="n">
        <v>9094</v>
      </c>
      <c r="G1634" s="7" t="n">
        <f aca="false">AVERAGE(E1630:E1634)</f>
        <v>29683.758</v>
      </c>
      <c r="H1634" s="7" t="n">
        <f aca="false">AVERAGE(E1625:E1634)</f>
        <v>29741.034</v>
      </c>
      <c r="I1634" s="7" t="n">
        <f aca="false">AVERAGE(E1615:E1634)</f>
        <v>29697.398</v>
      </c>
      <c r="J1634" s="7" t="n">
        <f aca="false">AVERAGE(E1585:E1634)</f>
        <v>29086.2858</v>
      </c>
      <c r="K1634" s="7" t="n">
        <f aca="false">AVERAGE(E1535:E1634)</f>
        <v>26935.6949</v>
      </c>
      <c r="L1634" s="7" t="n">
        <f aca="false">AVERAGE(E1435:E1634)</f>
        <v>26067.34295</v>
      </c>
      <c r="M1634" s="7" t="n">
        <f aca="false">I1634</f>
        <v>29697.398</v>
      </c>
      <c r="N1634" s="7" t="n">
        <f aca="false">I1634+2*STDEV(E1615:E1634)</f>
        <v>30873.7934281233</v>
      </c>
      <c r="O1634" s="7" t="n">
        <f aca="false">I1634-2*STDEV(E1615:E1634)</f>
        <v>28521.0025718767</v>
      </c>
      <c r="P1634" s="7" t="n">
        <f aca="false">MAX(E1634-E1633,0)</f>
        <v>0</v>
      </c>
      <c r="Q1634" s="7" t="n">
        <f aca="false">MAX(E1633-E1634,0)</f>
        <v>467.219999999998</v>
      </c>
      <c r="R1634" s="7" t="n">
        <f aca="false">(R1633*13+P1634)/14</f>
        <v>226.100665529593</v>
      </c>
      <c r="S1634" s="7" t="n">
        <f aca="false">(S1633*13+Q1634)/14</f>
        <v>204.191003652261</v>
      </c>
      <c r="T1634" s="7" t="n">
        <f aca="false">IF(S1634=0,100,100-100/(1+R1634/S1634))</f>
        <v>52.5459082113988</v>
      </c>
      <c r="U1634" s="7" t="n">
        <f aca="false">E1634*2/13+U1633*11/13</f>
        <v>29735.781325707</v>
      </c>
      <c r="V1634" s="7" t="n">
        <f aca="false">E1634*2/27+V1633*25/27</f>
        <v>29547.7909281801</v>
      </c>
      <c r="W1634" s="7" t="n">
        <f aca="false">U1634-V1634</f>
        <v>187.990397526857</v>
      </c>
      <c r="X1634" s="7" t="n">
        <f aca="false">W1634*2/10+X1633*8/10</f>
        <v>247.831441667664</v>
      </c>
      <c r="Y1634" s="7" t="n">
        <f aca="false">W1634-X1634</f>
        <v>-59.8410441408074</v>
      </c>
      <c r="Z1634" s="7" t="s">
        <v>78</v>
      </c>
      <c r="AA1634" s="7" t="str">
        <f aca="false">IFERROR(INDEX(02_轉折點45!B:B,MATCH(A1634,02_轉折點45!A:A,0)),"")</f>
        <v/>
      </c>
      <c r="AB1634" s="7" t="n">
        <f aca="false">COUNTIFS(05_訊號明細!A:A,A1634,05_訊號明細!C:C,"TOP")</f>
        <v>0</v>
      </c>
      <c r="AC1634" s="7" t="n">
        <f aca="false">COUNTIFS(05_訊號明細!A:A,A1634,05_訊號明細!C:C,"BOTTOM")</f>
        <v>0</v>
      </c>
    </row>
    <row r="1635" customFormat="false" ht="15" hidden="false" customHeight="false" outlineLevel="0" collapsed="false">
      <c r="A1635" s="7" t="s">
        <v>1676</v>
      </c>
      <c r="B1635" s="7" t="n">
        <v>29778.7</v>
      </c>
      <c r="C1635" s="7" t="n">
        <v>30044.5</v>
      </c>
      <c r="D1635" s="7" t="n">
        <v>29087.33</v>
      </c>
      <c r="E1635" s="7" t="n">
        <v>29329.21</v>
      </c>
      <c r="F1635" s="7" t="n">
        <v>9530</v>
      </c>
      <c r="G1635" s="7" t="n">
        <f aca="false">AVERAGE(E1631:E1635)</f>
        <v>29661.536</v>
      </c>
      <c r="H1635" s="7" t="n">
        <f aca="false">AVERAGE(E1626:E1635)</f>
        <v>29706.86</v>
      </c>
      <c r="I1635" s="7" t="n">
        <f aca="false">AVERAGE(E1616:E1635)</f>
        <v>29635.2965</v>
      </c>
      <c r="J1635" s="7" t="n">
        <f aca="false">AVERAGE(E1586:E1635)</f>
        <v>29143.2806</v>
      </c>
      <c r="K1635" s="7" t="n">
        <f aca="false">AVERAGE(E1536:E1635)</f>
        <v>26978.2293</v>
      </c>
      <c r="L1635" s="7" t="n">
        <f aca="false">AVERAGE(E1436:E1635)</f>
        <v>26092.5201</v>
      </c>
      <c r="M1635" s="7" t="n">
        <f aca="false">I1635</f>
        <v>29635.2965</v>
      </c>
      <c r="N1635" s="7" t="n">
        <f aca="false">I1635+2*STDEV(E1616:E1635)</f>
        <v>30746.804257584</v>
      </c>
      <c r="O1635" s="7" t="n">
        <f aca="false">I1635-2*STDEV(E1616:E1635)</f>
        <v>28523.788742416</v>
      </c>
      <c r="P1635" s="7" t="n">
        <f aca="false">MAX(E1635-E1634,0)</f>
        <v>0</v>
      </c>
      <c r="Q1635" s="7" t="n">
        <f aca="false">MAX(E1634-E1635,0)</f>
        <v>479.920000000002</v>
      </c>
      <c r="R1635" s="7" t="n">
        <f aca="false">(R1634*13+P1635)/14</f>
        <v>209.950617991765</v>
      </c>
      <c r="S1635" s="7" t="n">
        <f aca="false">(S1634*13+Q1635)/14</f>
        <v>223.885931962814</v>
      </c>
      <c r="T1635" s="7" t="n">
        <f aca="false">IF(S1635=0,100,100-100/(1+R1635/S1635))</f>
        <v>48.3939442201783</v>
      </c>
      <c r="U1635" s="7" t="n">
        <f aca="false">E1635*2/13+U1634*11/13</f>
        <v>29673.2318909828</v>
      </c>
      <c r="V1635" s="7" t="n">
        <f aca="false">E1635*2/27+V1634*25/27</f>
        <v>29531.5997483149</v>
      </c>
      <c r="W1635" s="7" t="n">
        <f aca="false">U1635-V1635</f>
        <v>141.632142667899</v>
      </c>
      <c r="X1635" s="7" t="n">
        <f aca="false">W1635*2/10+X1634*8/10</f>
        <v>226.591581867711</v>
      </c>
      <c r="Y1635" s="7" t="n">
        <f aca="false">W1635-X1635</f>
        <v>-84.9594391998126</v>
      </c>
      <c r="Z1635" s="7" t="s">
        <v>78</v>
      </c>
      <c r="AA1635" s="7" t="str">
        <f aca="false">IFERROR(INDEX(02_轉折點45!B:B,MATCH(A1635,02_轉折點45!A:A,0)),"")</f>
        <v/>
      </c>
      <c r="AB1635" s="7" t="n">
        <f aca="false">COUNTIFS(05_訊號明細!A:A,A1635,05_訊號明細!C:C,"TOP")</f>
        <v>0</v>
      </c>
      <c r="AC1635" s="7" t="n">
        <f aca="false">COUNTIFS(05_訊號明細!A:A,A1635,05_訊號明細!C:C,"BOTTOM")</f>
        <v>0</v>
      </c>
    </row>
    <row r="1636" customFormat="false" ht="15" hidden="false" customHeight="false" outlineLevel="0" collapsed="false">
      <c r="A1636" s="7" t="s">
        <v>1677</v>
      </c>
      <c r="B1636" s="7" t="n">
        <v>29575.57</v>
      </c>
      <c r="C1636" s="7" t="n">
        <v>29847.74</v>
      </c>
      <c r="D1636" s="7" t="n">
        <v>29553.62</v>
      </c>
      <c r="E1636" s="7" t="n">
        <v>29697.87</v>
      </c>
      <c r="F1636" s="7" t="n">
        <v>7827</v>
      </c>
      <c r="G1636" s="7" t="n">
        <f aca="false">AVERAGE(E1632:E1636)</f>
        <v>29777.462</v>
      </c>
      <c r="H1636" s="7" t="n">
        <f aca="false">AVERAGE(E1627:E1636)</f>
        <v>29636.028</v>
      </c>
      <c r="I1636" s="7" t="n">
        <f aca="false">AVERAGE(E1617:E1636)</f>
        <v>29599.7995</v>
      </c>
      <c r="J1636" s="7" t="n">
        <f aca="false">AVERAGE(E1587:E1636)</f>
        <v>29198.4924</v>
      </c>
      <c r="K1636" s="7" t="n">
        <f aca="false">AVERAGE(E1537:E1636)</f>
        <v>27022.5266</v>
      </c>
      <c r="L1636" s="7" t="n">
        <f aca="false">AVERAGE(E1437:E1636)</f>
        <v>26119.6382</v>
      </c>
      <c r="M1636" s="7" t="n">
        <f aca="false">I1636</f>
        <v>29599.7995</v>
      </c>
      <c r="N1636" s="7" t="n">
        <f aca="false">I1636+2*STDEV(E1617:E1636)</f>
        <v>30651.1467757016</v>
      </c>
      <c r="O1636" s="7" t="n">
        <f aca="false">I1636-2*STDEV(E1617:E1636)</f>
        <v>28548.4522242984</v>
      </c>
      <c r="P1636" s="7" t="n">
        <f aca="false">MAX(E1636-E1635,0)</f>
        <v>368.66</v>
      </c>
      <c r="Q1636" s="7" t="n">
        <f aca="false">MAX(E1635-E1636,0)</f>
        <v>0</v>
      </c>
      <c r="R1636" s="7" t="n">
        <f aca="false">(R1635*13+P1636)/14</f>
        <v>221.287002420924</v>
      </c>
      <c r="S1636" s="7" t="n">
        <f aca="false">(S1635*13+Q1636)/14</f>
        <v>207.894079679756</v>
      </c>
      <c r="T1636" s="7" t="n">
        <f aca="false">IF(S1636=0,100,100-100/(1+R1636/S1636))</f>
        <v>51.5602881044541</v>
      </c>
      <c r="U1636" s="7" t="n">
        <f aca="false">E1636*2/13+U1635*11/13</f>
        <v>29677.0223692932</v>
      </c>
      <c r="V1636" s="7" t="n">
        <f aca="false">E1636*2/27+V1635*25/27</f>
        <v>29543.9160632546</v>
      </c>
      <c r="W1636" s="7" t="n">
        <f aca="false">U1636-V1636</f>
        <v>133.1063060386</v>
      </c>
      <c r="X1636" s="7" t="n">
        <f aca="false">W1636*2/10+X1635*8/10</f>
        <v>207.894526701889</v>
      </c>
      <c r="Y1636" s="7" t="n">
        <f aca="false">W1636-X1636</f>
        <v>-74.7882206632887</v>
      </c>
      <c r="Z1636" s="7" t="s">
        <v>78</v>
      </c>
      <c r="AA1636" s="7" t="str">
        <f aca="false">IFERROR(INDEX(02_轉折點45!B:B,MATCH(A1636,02_轉折點45!A:A,0)),"")</f>
        <v/>
      </c>
      <c r="AB1636" s="7" t="n">
        <f aca="false">COUNTIFS(05_訊號明細!A:A,A1636,05_訊號明細!C:C,"TOP")</f>
        <v>0</v>
      </c>
      <c r="AC1636" s="7" t="n">
        <f aca="false">COUNTIFS(05_訊號明細!A:A,A1636,05_訊號明細!C:C,"BOTTOM")</f>
        <v>0</v>
      </c>
    </row>
    <row r="1637" customFormat="false" ht="15" hidden="false" customHeight="false" outlineLevel="0" collapsed="false">
      <c r="A1637" s="7" t="s">
        <v>1678</v>
      </c>
      <c r="B1637" s="7" t="n">
        <v>29362.2</v>
      </c>
      <c r="C1637" s="7" t="n">
        <v>29426.45</v>
      </c>
      <c r="D1637" s="7" t="n">
        <v>28974.47</v>
      </c>
      <c r="E1637" s="7" t="n">
        <v>29173.02</v>
      </c>
      <c r="F1637" s="7" t="n">
        <v>8245</v>
      </c>
      <c r="G1637" s="7" t="n">
        <f aca="false">AVERAGE(E1633:E1637)</f>
        <v>29657.116</v>
      </c>
      <c r="H1637" s="7" t="n">
        <f aca="false">AVERAGE(E1628:E1637)</f>
        <v>29518.622</v>
      </c>
      <c r="I1637" s="7" t="n">
        <f aca="false">AVERAGE(E1618:E1637)</f>
        <v>29610.5705</v>
      </c>
      <c r="J1637" s="7" t="n">
        <f aca="false">AVERAGE(E1588:E1637)</f>
        <v>29246.3002</v>
      </c>
      <c r="K1637" s="7" t="n">
        <f aca="false">AVERAGE(E1538:E1637)</f>
        <v>27062.9804</v>
      </c>
      <c r="L1637" s="7" t="n">
        <f aca="false">AVERAGE(E1438:E1637)</f>
        <v>26144.38485</v>
      </c>
      <c r="M1637" s="7" t="n">
        <f aca="false">I1637</f>
        <v>29610.5705</v>
      </c>
      <c r="N1637" s="7" t="n">
        <f aca="false">I1637+2*STDEV(E1618:E1637)</f>
        <v>30638.3655801385</v>
      </c>
      <c r="O1637" s="7" t="n">
        <f aca="false">I1637-2*STDEV(E1618:E1637)</f>
        <v>28582.7754198615</v>
      </c>
      <c r="P1637" s="7" t="n">
        <f aca="false">MAX(E1637-E1636,0)</f>
        <v>0</v>
      </c>
      <c r="Q1637" s="7" t="n">
        <f aca="false">MAX(E1636-E1637,0)</f>
        <v>524.849999999999</v>
      </c>
      <c r="R1637" s="7" t="n">
        <f aca="false">(R1636*13+P1637)/14</f>
        <v>205.480787962287</v>
      </c>
      <c r="S1637" s="7" t="n">
        <f aca="false">(S1636*13+Q1637)/14</f>
        <v>230.533788274059</v>
      </c>
      <c r="T1637" s="7" t="n">
        <f aca="false">IF(S1637=0,100,100-100/(1+R1637/S1637))</f>
        <v>47.1270455533817</v>
      </c>
      <c r="U1637" s="7" t="n">
        <f aca="false">E1637*2/13+U1636*11/13</f>
        <v>29599.4835432481</v>
      </c>
      <c r="V1637" s="7" t="n">
        <f aca="false">E1637*2/27+V1636*25/27</f>
        <v>29516.4422807913</v>
      </c>
      <c r="W1637" s="7" t="n">
        <f aca="false">U1637-V1637</f>
        <v>83.0412624568016</v>
      </c>
      <c r="X1637" s="7" t="n">
        <f aca="false">W1637*2/10+X1636*8/10</f>
        <v>182.923873852872</v>
      </c>
      <c r="Y1637" s="7" t="n">
        <f aca="false">W1637-X1637</f>
        <v>-99.88261139607</v>
      </c>
      <c r="Z1637" s="7" t="s">
        <v>78</v>
      </c>
      <c r="AA1637" s="7" t="str">
        <f aca="false">IFERROR(INDEX(02_轉折點45!B:B,MATCH(A1637,02_轉折點45!A:A,0)),"")</f>
        <v/>
      </c>
      <c r="AB1637" s="7" t="n">
        <f aca="false">COUNTIFS(05_訊號明細!A:A,A1637,05_訊號明細!C:C,"TOP")</f>
        <v>0</v>
      </c>
      <c r="AC1637" s="7" t="n">
        <f aca="false">COUNTIFS(05_訊號明細!A:A,A1637,05_訊號明細!C:C,"BOTTOM")</f>
        <v>0</v>
      </c>
    </row>
    <row r="1638" customFormat="false" ht="15" hidden="false" customHeight="false" outlineLevel="0" collapsed="false">
      <c r="A1638" s="7" t="s">
        <v>1679</v>
      </c>
      <c r="B1638" s="7" t="n">
        <v>29030.33</v>
      </c>
      <c r="C1638" s="7" t="n">
        <v>29280.58</v>
      </c>
      <c r="D1638" s="7" t="n">
        <v>28814.57</v>
      </c>
      <c r="E1638" s="7" t="n">
        <v>29252.56</v>
      </c>
      <c r="F1638" s="7" t="n">
        <v>7936</v>
      </c>
      <c r="G1638" s="7" t="n">
        <f aca="false">AVERAGE(E1634:E1638)</f>
        <v>29452.358</v>
      </c>
      <c r="H1638" s="7" t="n">
        <f aca="false">AVERAGE(E1629:E1638)</f>
        <v>29509.151</v>
      </c>
      <c r="I1638" s="7" t="n">
        <f aca="false">AVERAGE(E1619:E1638)</f>
        <v>29602.4855</v>
      </c>
      <c r="J1638" s="7" t="n">
        <f aca="false">AVERAGE(E1589:E1638)</f>
        <v>29285.278</v>
      </c>
      <c r="K1638" s="7" t="n">
        <f aca="false">AVERAGE(E1539:E1638)</f>
        <v>27103.4934</v>
      </c>
      <c r="L1638" s="7" t="n">
        <f aca="false">AVERAGE(E1439:E1638)</f>
        <v>26168.3732</v>
      </c>
      <c r="M1638" s="7" t="n">
        <f aca="false">I1638</f>
        <v>29602.4855</v>
      </c>
      <c r="N1638" s="7" t="n">
        <f aca="false">I1638+2*STDEV(E1619:E1638)</f>
        <v>30639.2871927877</v>
      </c>
      <c r="O1638" s="7" t="n">
        <f aca="false">I1638-2*STDEV(E1619:E1638)</f>
        <v>28565.6838072123</v>
      </c>
      <c r="P1638" s="7" t="n">
        <f aca="false">MAX(E1638-E1637,0)</f>
        <v>79.5400000000009</v>
      </c>
      <c r="Q1638" s="7" t="n">
        <f aca="false">MAX(E1637-E1638,0)</f>
        <v>0</v>
      </c>
      <c r="R1638" s="7" t="n">
        <f aca="false">(R1637*13+P1638)/14</f>
        <v>196.485017393552</v>
      </c>
      <c r="S1638" s="7" t="n">
        <f aca="false">(S1637*13+Q1638)/14</f>
        <v>214.067089111626</v>
      </c>
      <c r="T1638" s="7" t="n">
        <f aca="false">IF(S1638=0,100,100-100/(1+R1638/S1638))</f>
        <v>47.8587283514703</v>
      </c>
      <c r="U1638" s="7" t="n">
        <f aca="false">E1638*2/13+U1637*11/13</f>
        <v>29546.1106904407</v>
      </c>
      <c r="V1638" s="7" t="n">
        <f aca="false">E1638*2/27+V1637*25/27</f>
        <v>29496.8954451771</v>
      </c>
      <c r="W1638" s="7" t="n">
        <f aca="false">U1638-V1638</f>
        <v>49.2152452635783</v>
      </c>
      <c r="X1638" s="7" t="n">
        <f aca="false">W1638*2/10+X1637*8/10</f>
        <v>156.182148135013</v>
      </c>
      <c r="Y1638" s="7" t="n">
        <f aca="false">W1638-X1638</f>
        <v>-106.966902871435</v>
      </c>
      <c r="Z1638" s="7" t="s">
        <v>78</v>
      </c>
      <c r="AA1638" s="7" t="str">
        <f aca="false">IFERROR(INDEX(02_轉折點45!B:B,MATCH(A1638,02_轉折點45!A:A,0)),"")</f>
        <v/>
      </c>
      <c r="AB1638" s="7" t="n">
        <f aca="false">COUNTIFS(05_訊號明細!A:A,A1638,05_訊號明細!C:C,"TOP")</f>
        <v>1</v>
      </c>
      <c r="AC1638" s="7" t="n">
        <f aca="false">COUNTIFS(05_訊號明細!A:A,A1638,05_訊號明細!C:C,"BOTTOM")</f>
        <v>0</v>
      </c>
    </row>
    <row r="1639" customFormat="false" ht="15" hidden="false" customHeight="false" outlineLevel="0" collapsed="false">
      <c r="A1639" s="7" t="s">
        <v>1680</v>
      </c>
      <c r="B1639" s="7" t="n">
        <v>29486.61</v>
      </c>
      <c r="C1639" s="7" t="n">
        <v>29773.74</v>
      </c>
      <c r="D1639" s="7" t="n">
        <v>29398.47</v>
      </c>
      <c r="E1639" s="7" t="n">
        <v>29727.1</v>
      </c>
      <c r="F1639" s="7" t="n">
        <v>7312</v>
      </c>
      <c r="G1639" s="7" t="n">
        <f aca="false">AVERAGE(E1635:E1639)</f>
        <v>29435.952</v>
      </c>
      <c r="H1639" s="7" t="n">
        <f aca="false">AVERAGE(E1630:E1639)</f>
        <v>29559.855</v>
      </c>
      <c r="I1639" s="7" t="n">
        <f aca="false">AVERAGE(E1620:E1639)</f>
        <v>29634.6155</v>
      </c>
      <c r="J1639" s="7" t="n">
        <f aca="false">AVERAGE(E1590:E1639)</f>
        <v>29333.7064</v>
      </c>
      <c r="K1639" s="7" t="n">
        <f aca="false">AVERAGE(E1540:E1639)</f>
        <v>27153.8883</v>
      </c>
      <c r="L1639" s="7" t="n">
        <f aca="false">AVERAGE(E1440:E1639)</f>
        <v>26193.87745</v>
      </c>
      <c r="M1639" s="7" t="n">
        <f aca="false">I1639</f>
        <v>29634.6155</v>
      </c>
      <c r="N1639" s="7" t="n">
        <f aca="false">I1639+2*STDEV(E1620:E1639)</f>
        <v>30643.2750973391</v>
      </c>
      <c r="O1639" s="7" t="n">
        <f aca="false">I1639-2*STDEV(E1620:E1639)</f>
        <v>28625.9559026609</v>
      </c>
      <c r="P1639" s="7" t="n">
        <f aca="false">MAX(E1639-E1638,0)</f>
        <v>474.539999999997</v>
      </c>
      <c r="Q1639" s="7" t="n">
        <f aca="false">MAX(E1638-E1639,0)</f>
        <v>0</v>
      </c>
      <c r="R1639" s="7" t="n">
        <f aca="false">(R1638*13+P1639)/14</f>
        <v>216.346087579727</v>
      </c>
      <c r="S1639" s="7" t="n">
        <f aca="false">(S1638*13+Q1639)/14</f>
        <v>198.77658274651</v>
      </c>
      <c r="T1639" s="7" t="n">
        <f aca="false">IF(S1639=0,100,100-100/(1+R1639/S1639))</f>
        <v>52.1161822864804</v>
      </c>
      <c r="U1639" s="7" t="n">
        <f aca="false">E1639*2/13+U1638*11/13</f>
        <v>29573.9551996036</v>
      </c>
      <c r="V1639" s="7" t="n">
        <f aca="false">E1639*2/27+V1638*25/27</f>
        <v>29513.9476344232</v>
      </c>
      <c r="W1639" s="7" t="n">
        <f aca="false">U1639-V1639</f>
        <v>60.0075651804145</v>
      </c>
      <c r="X1639" s="7" t="n">
        <f aca="false">W1639*2/10+X1638*8/10</f>
        <v>136.947231544093</v>
      </c>
      <c r="Y1639" s="7" t="n">
        <f aca="false">W1639-X1639</f>
        <v>-76.9396663636788</v>
      </c>
      <c r="Z1639" s="7" t="s">
        <v>78</v>
      </c>
      <c r="AA1639" s="7" t="str">
        <f aca="false">IFERROR(INDEX(02_轉折點45!B:B,MATCH(A1639,02_轉折點45!A:A,0)),"")</f>
        <v/>
      </c>
      <c r="AB1639" s="7" t="n">
        <f aca="false">COUNTIFS(05_訊號明細!A:A,A1639,05_訊號明細!C:C,"TOP")</f>
        <v>0</v>
      </c>
      <c r="AC1639" s="7" t="n">
        <f aca="false">COUNTIFS(05_訊號明細!A:A,A1639,05_訊號明細!C:C,"BOTTOM")</f>
        <v>0</v>
      </c>
    </row>
    <row r="1640" customFormat="false" ht="15" hidden="false" customHeight="false" outlineLevel="0" collapsed="false">
      <c r="A1640" s="7" t="s">
        <v>1681</v>
      </c>
      <c r="B1640" s="7" t="n">
        <v>29618.34</v>
      </c>
      <c r="C1640" s="7" t="n">
        <v>29856.94</v>
      </c>
      <c r="D1640" s="7" t="n">
        <v>29484.49</v>
      </c>
      <c r="E1640" s="7" t="n">
        <v>29825.11</v>
      </c>
      <c r="F1640" s="7" t="n">
        <v>7094</v>
      </c>
      <c r="G1640" s="7" t="n">
        <f aca="false">AVERAGE(E1636:E1640)</f>
        <v>29535.132</v>
      </c>
      <c r="H1640" s="7" t="n">
        <f aca="false">AVERAGE(E1631:E1640)</f>
        <v>29598.334</v>
      </c>
      <c r="I1640" s="7" t="n">
        <f aca="false">AVERAGE(E1621:E1640)</f>
        <v>29700.4695</v>
      </c>
      <c r="J1640" s="7" t="n">
        <f aca="false">AVERAGE(E1591:E1640)</f>
        <v>29389.6284</v>
      </c>
      <c r="K1640" s="7" t="n">
        <f aca="false">AVERAGE(E1541:E1640)</f>
        <v>27204.8121</v>
      </c>
      <c r="L1640" s="7" t="n">
        <f aca="false">AVERAGE(E1441:E1640)</f>
        <v>26219.19765</v>
      </c>
      <c r="M1640" s="7" t="n">
        <f aca="false">I1640</f>
        <v>29700.4695</v>
      </c>
      <c r="N1640" s="7" t="n">
        <f aca="false">I1640+2*STDEV(E1621:E1640)</f>
        <v>30560.4548915644</v>
      </c>
      <c r="O1640" s="7" t="n">
        <f aca="false">I1640-2*STDEV(E1621:E1640)</f>
        <v>28840.4841084356</v>
      </c>
      <c r="P1640" s="7" t="n">
        <f aca="false">MAX(E1640-E1639,0)</f>
        <v>98.010000000002</v>
      </c>
      <c r="Q1640" s="7" t="n">
        <f aca="false">MAX(E1639-E1640,0)</f>
        <v>0</v>
      </c>
      <c r="R1640" s="7" t="n">
        <f aca="false">(R1639*13+P1640)/14</f>
        <v>207.893509895461</v>
      </c>
      <c r="S1640" s="7" t="n">
        <f aca="false">(S1639*13+Q1640)/14</f>
        <v>184.578255407473</v>
      </c>
      <c r="T1640" s="7" t="n">
        <f aca="false">IF(S1640=0,100,100-100/(1+R1640/S1640))</f>
        <v>52.9703097839396</v>
      </c>
      <c r="U1640" s="7" t="n">
        <f aca="false">E1640*2/13+U1639*11/13</f>
        <v>29612.5943996646</v>
      </c>
      <c r="V1640" s="7" t="n">
        <f aca="false">E1640*2/27+V1639*25/27</f>
        <v>29536.99669854</v>
      </c>
      <c r="W1640" s="7" t="n">
        <f aca="false">U1640-V1640</f>
        <v>75.5977011245923</v>
      </c>
      <c r="X1640" s="7" t="n">
        <f aca="false">W1640*2/10+X1639*8/10</f>
        <v>124.677325460193</v>
      </c>
      <c r="Y1640" s="7" t="n">
        <f aca="false">W1640-X1640</f>
        <v>-49.0796243356008</v>
      </c>
      <c r="Z1640" s="7" t="s">
        <v>78</v>
      </c>
      <c r="AA1640" s="7" t="str">
        <f aca="false">IFERROR(INDEX(02_轉折點45!B:B,MATCH(A1640,02_轉折點45!A:A,0)),"")</f>
        <v/>
      </c>
      <c r="AB1640" s="7" t="n">
        <f aca="false">COUNTIFS(05_訊號明細!A:A,A1640,05_訊號明細!C:C,"TOP")</f>
        <v>0</v>
      </c>
      <c r="AC1640" s="7" t="n">
        <f aca="false">COUNTIFS(05_訊號明細!A:A,A1640,05_訊號明細!C:C,"BOTTOM")</f>
        <v>0</v>
      </c>
    </row>
    <row r="1641" customFormat="false" ht="15" hidden="false" customHeight="false" outlineLevel="0" collapsed="false">
      <c r="A1641" s="7" t="s">
        <v>1682</v>
      </c>
      <c r="B1641" s="7" t="n">
        <v>29471.02</v>
      </c>
      <c r="C1641" s="7" t="n">
        <v>29541</v>
      </c>
      <c r="D1641" s="7" t="n">
        <v>29189.21</v>
      </c>
      <c r="E1641" s="7" t="n">
        <v>29264.1</v>
      </c>
      <c r="F1641" s="7" t="n">
        <v>7231</v>
      </c>
      <c r="G1641" s="7" t="n">
        <f aca="false">AVERAGE(E1637:E1641)</f>
        <v>29448.378</v>
      </c>
      <c r="H1641" s="7" t="n">
        <f aca="false">AVERAGE(E1632:E1641)</f>
        <v>29612.92</v>
      </c>
      <c r="I1641" s="7" t="n">
        <f aca="false">AVERAGE(E1622:E1641)</f>
        <v>29691.3655</v>
      </c>
      <c r="J1641" s="7" t="n">
        <f aca="false">AVERAGE(E1592:E1641)</f>
        <v>29431.1708</v>
      </c>
      <c r="K1641" s="7" t="n">
        <f aca="false">AVERAGE(E1542:E1641)</f>
        <v>27250.4371</v>
      </c>
      <c r="L1641" s="7" t="n">
        <f aca="false">AVERAGE(E1442:E1641)</f>
        <v>26242.6173</v>
      </c>
      <c r="M1641" s="7" t="n">
        <f aca="false">I1641</f>
        <v>29691.3655</v>
      </c>
      <c r="N1641" s="7" t="n">
        <f aca="false">I1641+2*STDEV(E1622:E1641)</f>
        <v>30566.4087391716</v>
      </c>
      <c r="O1641" s="7" t="n">
        <f aca="false">I1641-2*STDEV(E1622:E1641)</f>
        <v>28816.3222608284</v>
      </c>
      <c r="P1641" s="7" t="n">
        <f aca="false">MAX(E1641-E1640,0)</f>
        <v>0</v>
      </c>
      <c r="Q1641" s="7" t="n">
        <f aca="false">MAX(E1640-E1641,0)</f>
        <v>561.010000000002</v>
      </c>
      <c r="R1641" s="7" t="n">
        <f aca="false">(R1640*13+P1641)/14</f>
        <v>193.043973474356</v>
      </c>
      <c r="S1641" s="7" t="n">
        <f aca="false">(S1640*13+Q1641)/14</f>
        <v>211.466237164083</v>
      </c>
      <c r="T1641" s="7" t="n">
        <f aca="false">IF(S1641=0,100,100-100/(1+R1641/S1641))</f>
        <v>47.7228926235693</v>
      </c>
      <c r="U1641" s="7" t="n">
        <f aca="false">E1641*2/13+U1640*11/13</f>
        <v>29558.9798766393</v>
      </c>
      <c r="V1641" s="7" t="n">
        <f aca="false">E1641*2/27+V1640*25/27</f>
        <v>29516.7821282778</v>
      </c>
      <c r="W1641" s="7" t="n">
        <f aca="false">U1641-V1641</f>
        <v>42.1977483614937</v>
      </c>
      <c r="X1641" s="7" t="n">
        <f aca="false">W1641*2/10+X1640*8/10</f>
        <v>108.181410040453</v>
      </c>
      <c r="Y1641" s="7" t="n">
        <f aca="false">W1641-X1641</f>
        <v>-65.9836616789595</v>
      </c>
      <c r="Z1641" s="7" t="s">
        <v>78</v>
      </c>
      <c r="AA1641" s="7" t="str">
        <f aca="false">IFERROR(INDEX(02_轉折點45!B:B,MATCH(A1641,02_轉折點45!A:A,0)),"")</f>
        <v/>
      </c>
      <c r="AB1641" s="7" t="n">
        <f aca="false">COUNTIFS(05_訊號明細!A:A,A1641,05_訊號明細!C:C,"TOP")</f>
        <v>0</v>
      </c>
      <c r="AC1641" s="7" t="n">
        <f aca="false">COUNTIFS(05_訊號明細!A:A,A1641,05_訊號明細!C:C,"BOTTOM")</f>
        <v>0</v>
      </c>
    </row>
    <row r="1642" customFormat="false" ht="15" hidden="false" customHeight="false" outlineLevel="0" collapsed="false">
      <c r="A1642" s="7" t="s">
        <v>1683</v>
      </c>
      <c r="B1642" s="7" t="n">
        <v>29561.35</v>
      </c>
      <c r="C1642" s="7" t="n">
        <v>29693.77</v>
      </c>
      <c r="D1642" s="7" t="n">
        <v>29368.87</v>
      </c>
      <c r="E1642" s="7" t="n">
        <v>29586.29</v>
      </c>
      <c r="F1642" s="7" t="n">
        <v>7398</v>
      </c>
      <c r="G1642" s="7" t="n">
        <f aca="false">AVERAGE(E1638:E1642)</f>
        <v>29531.032</v>
      </c>
      <c r="H1642" s="7" t="n">
        <f aca="false">AVERAGE(E1633:E1642)</f>
        <v>29594.074</v>
      </c>
      <c r="I1642" s="7" t="n">
        <f aca="false">AVERAGE(E1623:E1642)</f>
        <v>29688.8825</v>
      </c>
      <c r="J1642" s="7" t="n">
        <f aca="false">AVERAGE(E1593:E1642)</f>
        <v>29473.8542</v>
      </c>
      <c r="K1642" s="7" t="n">
        <f aca="false">AVERAGE(E1543:E1642)</f>
        <v>27297.3113</v>
      </c>
      <c r="L1642" s="7" t="n">
        <f aca="false">AVERAGE(E1443:E1642)</f>
        <v>26268.0309</v>
      </c>
      <c r="M1642" s="7" t="n">
        <f aca="false">I1642</f>
        <v>29688.8825</v>
      </c>
      <c r="N1642" s="7" t="n">
        <f aca="false">I1642+2*STDEV(E1623:E1642)</f>
        <v>30564.8691451487</v>
      </c>
      <c r="O1642" s="7" t="n">
        <f aca="false">I1642-2*STDEV(E1623:E1642)</f>
        <v>28812.8958548513</v>
      </c>
      <c r="P1642" s="7" t="n">
        <f aca="false">MAX(E1642-E1641,0)</f>
        <v>322.190000000002</v>
      </c>
      <c r="Q1642" s="7" t="n">
        <f aca="false">MAX(E1641-E1642,0)</f>
        <v>0</v>
      </c>
      <c r="R1642" s="7" t="n">
        <f aca="false">(R1641*13+P1642)/14</f>
        <v>202.26868965476</v>
      </c>
      <c r="S1642" s="7" t="n">
        <f aca="false">(S1641*13+Q1642)/14</f>
        <v>196.361505938077</v>
      </c>
      <c r="T1642" s="7" t="n">
        <f aca="false">IF(S1642=0,100,100-100/(1+R1642/S1642))</f>
        <v>50.7409353057033</v>
      </c>
      <c r="U1642" s="7" t="n">
        <f aca="false">E1642*2/13+U1641*11/13</f>
        <v>29563.1814340794</v>
      </c>
      <c r="V1642" s="7" t="n">
        <f aca="false">E1642*2/27+V1641*25/27</f>
        <v>29521.9308595165</v>
      </c>
      <c r="W1642" s="7" t="n">
        <f aca="false">U1642-V1642</f>
        <v>41.2505745629205</v>
      </c>
      <c r="X1642" s="7" t="n">
        <f aca="false">W1642*2/10+X1641*8/10</f>
        <v>94.7952429449467</v>
      </c>
      <c r="Y1642" s="7" t="n">
        <f aca="false">W1642-X1642</f>
        <v>-53.5446683820261</v>
      </c>
      <c r="Z1642" s="7" t="s">
        <v>78</v>
      </c>
      <c r="AA1642" s="7" t="str">
        <f aca="false">IFERROR(INDEX(02_轉折點45!B:B,MATCH(A1642,02_轉折點45!A:A,0)),"")</f>
        <v/>
      </c>
      <c r="AB1642" s="7" t="n">
        <f aca="false">COUNTIFS(05_訊號明細!A:A,A1642,05_訊號明細!C:C,"TOP")</f>
        <v>0</v>
      </c>
      <c r="AC1642" s="7" t="n">
        <f aca="false">COUNTIFS(05_訊號明細!A:A,A1642,05_訊號明細!C:C,"BOTTOM")</f>
        <v>0</v>
      </c>
    </row>
    <row r="1643" customFormat="false" ht="15" hidden="false" customHeight="false" outlineLevel="0" collapsed="false">
      <c r="A1643" s="7" t="s">
        <v>1684</v>
      </c>
      <c r="B1643" s="7" t="n">
        <v>29759.8</v>
      </c>
      <c r="C1643" s="7" t="n">
        <v>29771.89</v>
      </c>
      <c r="D1643" s="7" t="n">
        <v>29192.89</v>
      </c>
      <c r="E1643" s="7" t="n">
        <v>29502.6</v>
      </c>
      <c r="F1643" s="7" t="n">
        <v>7380</v>
      </c>
      <c r="G1643" s="7" t="n">
        <f aca="false">AVERAGE(E1639:E1643)</f>
        <v>29581.04</v>
      </c>
      <c r="H1643" s="7" t="n">
        <f aca="false">AVERAGE(E1634:E1643)</f>
        <v>29516.699</v>
      </c>
      <c r="I1643" s="7" t="n">
        <f aca="false">AVERAGE(E1624:E1643)</f>
        <v>29636.8165</v>
      </c>
      <c r="J1643" s="7" t="n">
        <f aca="false">AVERAGE(E1594:E1643)</f>
        <v>29509.699</v>
      </c>
      <c r="K1643" s="7" t="n">
        <f aca="false">AVERAGE(E1544:E1643)</f>
        <v>27344.3639</v>
      </c>
      <c r="L1643" s="7" t="n">
        <f aca="false">AVERAGE(E1444:E1643)</f>
        <v>26293.55735</v>
      </c>
      <c r="M1643" s="7" t="n">
        <f aca="false">I1643</f>
        <v>29636.8165</v>
      </c>
      <c r="N1643" s="7" t="n">
        <f aca="false">I1643+2*STDEV(E1624:E1643)</f>
        <v>30417.4127010311</v>
      </c>
      <c r="O1643" s="7" t="n">
        <f aca="false">I1643-2*STDEV(E1624:E1643)</f>
        <v>28856.2202989689</v>
      </c>
      <c r="P1643" s="7" t="n">
        <f aca="false">MAX(E1643-E1642,0)</f>
        <v>0</v>
      </c>
      <c r="Q1643" s="7" t="n">
        <f aca="false">MAX(E1642-E1643,0)</f>
        <v>83.6900000000023</v>
      </c>
      <c r="R1643" s="7" t="n">
        <f aca="false">(R1642*13+P1643)/14</f>
        <v>187.820926107991</v>
      </c>
      <c r="S1643" s="7" t="n">
        <f aca="false">(S1642*13+Q1643)/14</f>
        <v>188.313541228214</v>
      </c>
      <c r="T1643" s="7" t="n">
        <f aca="false">IF(S1643=0,100,100-100/(1+R1643/S1643))</f>
        <v>49.9345160889254</v>
      </c>
      <c r="U1643" s="7" t="n">
        <f aca="false">E1643*2/13+U1642*11/13</f>
        <v>29553.8612134518</v>
      </c>
      <c r="V1643" s="7" t="n">
        <f aca="false">E1643*2/27+V1642*25/27</f>
        <v>29520.4989439967</v>
      </c>
      <c r="W1643" s="7" t="n">
        <f aca="false">U1643-V1643</f>
        <v>33.3622694550577</v>
      </c>
      <c r="X1643" s="7" t="n">
        <f aca="false">W1643*2/10+X1642*8/10</f>
        <v>82.5086482469689</v>
      </c>
      <c r="Y1643" s="7" t="n">
        <f aca="false">W1643-X1643</f>
        <v>-49.1463787919112</v>
      </c>
      <c r="Z1643" s="8" t="s">
        <v>42</v>
      </c>
      <c r="AA1643" s="7" t="str">
        <f aca="false">IFERROR(INDEX(02_轉折點45!B:B,MATCH(A1643,02_轉折點45!A:A,0)),"")</f>
        <v/>
      </c>
      <c r="AB1643" s="7" t="n">
        <f aca="false">COUNTIFS(05_訊號明細!A:A,A1643,05_訊號明細!C:C,"TOP")</f>
        <v>0</v>
      </c>
      <c r="AC1643" s="7" t="n">
        <f aca="false">COUNTIFS(05_訊號明細!A:A,A1643,05_訊號明細!C:C,"BOTTOM")</f>
        <v>0</v>
      </c>
    </row>
    <row r="1644" customFormat="false" ht="15" hidden="false" customHeight="false" outlineLevel="0" collapsed="false">
      <c r="A1644" s="7" t="s">
        <v>1685</v>
      </c>
      <c r="B1644" s="7" t="n">
        <v>29318.3</v>
      </c>
      <c r="C1644" s="7" t="n">
        <v>29333.06</v>
      </c>
      <c r="D1644" s="7" t="n">
        <v>28881.23</v>
      </c>
      <c r="E1644" s="7" t="n">
        <v>29025.77</v>
      </c>
      <c r="F1644" s="7" t="n">
        <v>8295</v>
      </c>
      <c r="G1644" s="7" t="n">
        <f aca="false">AVERAGE(E1640:E1644)</f>
        <v>29440.774</v>
      </c>
      <c r="H1644" s="7" t="n">
        <f aca="false">AVERAGE(E1635:E1644)</f>
        <v>29438.363</v>
      </c>
      <c r="I1644" s="7" t="n">
        <f aca="false">AVERAGE(E1625:E1644)</f>
        <v>29589.6985</v>
      </c>
      <c r="J1644" s="7" t="n">
        <f aca="false">AVERAGE(E1595:E1644)</f>
        <v>29537.178</v>
      </c>
      <c r="K1644" s="7" t="n">
        <f aca="false">AVERAGE(E1545:E1644)</f>
        <v>27384.4954</v>
      </c>
      <c r="L1644" s="7" t="n">
        <f aca="false">AVERAGE(E1445:E1644)</f>
        <v>26316.16695</v>
      </c>
      <c r="M1644" s="7" t="n">
        <f aca="false">I1644</f>
        <v>29589.6985</v>
      </c>
      <c r="N1644" s="7" t="n">
        <f aca="false">I1644+2*STDEV(E1625:E1644)</f>
        <v>30399.3152526682</v>
      </c>
      <c r="O1644" s="7" t="n">
        <f aca="false">I1644-2*STDEV(E1625:E1644)</f>
        <v>28780.0817473318</v>
      </c>
      <c r="P1644" s="7" t="n">
        <f aca="false">MAX(E1644-E1643,0)</f>
        <v>0</v>
      </c>
      <c r="Q1644" s="7" t="n">
        <f aca="false">MAX(E1643-E1644,0)</f>
        <v>476.829999999998</v>
      </c>
      <c r="R1644" s="7" t="n">
        <f aca="false">(R1643*13+P1644)/14</f>
        <v>174.405145671706</v>
      </c>
      <c r="S1644" s="7" t="n">
        <f aca="false">(S1643*13+Q1644)/14</f>
        <v>208.921859711913</v>
      </c>
      <c r="T1644" s="7" t="n">
        <f aca="false">IF(S1644=0,100,100-100/(1+R1644/S1644))</f>
        <v>45.4977455859568</v>
      </c>
      <c r="U1644" s="7" t="n">
        <f aca="false">E1644*2/13+U1643*11/13</f>
        <v>29472.6164113823</v>
      </c>
      <c r="V1644" s="7" t="n">
        <f aca="false">E1644*2/27+V1643*25/27</f>
        <v>29483.8523555525</v>
      </c>
      <c r="W1644" s="7" t="n">
        <f aca="false">U1644-V1644</f>
        <v>-11.2359441702502</v>
      </c>
      <c r="X1644" s="7" t="n">
        <f aca="false">W1644*2/10+X1643*8/10</f>
        <v>63.7597297635251</v>
      </c>
      <c r="Y1644" s="7" t="n">
        <f aca="false">W1644-X1644</f>
        <v>-74.9956739337752</v>
      </c>
      <c r="Z1644" s="8" t="s">
        <v>42</v>
      </c>
      <c r="AA1644" s="7" t="str">
        <f aca="false">IFERROR(INDEX(02_轉折點45!B:B,MATCH(A1644,02_轉折點45!A:A,0)),"")</f>
        <v/>
      </c>
      <c r="AB1644" s="7" t="n">
        <f aca="false">COUNTIFS(05_訊號明細!A:A,A1644,05_訊號明細!C:C,"TOP")</f>
        <v>0</v>
      </c>
      <c r="AC1644" s="7" t="n">
        <f aca="false">COUNTIFS(05_訊號明細!A:A,A1644,05_訊號明細!C:C,"BOTTOM")</f>
        <v>0</v>
      </c>
    </row>
    <row r="1645" customFormat="false" ht="15" hidden="false" customHeight="false" outlineLevel="0" collapsed="false">
      <c r="A1645" s="7" t="s">
        <v>1686</v>
      </c>
      <c r="B1645" s="7" t="n">
        <v>28457.33</v>
      </c>
      <c r="C1645" s="7" t="n">
        <v>28867.4</v>
      </c>
      <c r="D1645" s="7" t="n">
        <v>28231.32</v>
      </c>
      <c r="E1645" s="7" t="n">
        <v>28592.66</v>
      </c>
      <c r="F1645" s="7" t="n">
        <v>7820</v>
      </c>
      <c r="G1645" s="7" t="n">
        <f aca="false">AVERAGE(E1641:E1645)</f>
        <v>29194.284</v>
      </c>
      <c r="H1645" s="7" t="n">
        <f aca="false">AVERAGE(E1636:E1645)</f>
        <v>29364.708</v>
      </c>
      <c r="I1645" s="7" t="n">
        <f aca="false">AVERAGE(E1626:E1645)</f>
        <v>29535.784</v>
      </c>
      <c r="J1645" s="7" t="n">
        <f aca="false">AVERAGE(E1596:E1645)</f>
        <v>29548.73</v>
      </c>
      <c r="K1645" s="7" t="n">
        <f aca="false">AVERAGE(E1546:E1645)</f>
        <v>27423.3326</v>
      </c>
      <c r="L1645" s="7" t="n">
        <f aca="false">AVERAGE(E1446:E1645)</f>
        <v>26336.0735</v>
      </c>
      <c r="M1645" s="7" t="n">
        <f aca="false">I1645</f>
        <v>29535.784</v>
      </c>
      <c r="N1645" s="7" t="n">
        <f aca="false">I1645+2*STDEV(E1626:E1645)</f>
        <v>30458.3519387312</v>
      </c>
      <c r="O1645" s="7" t="n">
        <f aca="false">I1645-2*STDEV(E1626:E1645)</f>
        <v>28613.2160612688</v>
      </c>
      <c r="P1645" s="7" t="n">
        <f aca="false">MAX(E1645-E1644,0)</f>
        <v>0</v>
      </c>
      <c r="Q1645" s="7" t="n">
        <f aca="false">MAX(E1644-E1645,0)</f>
        <v>433.110000000001</v>
      </c>
      <c r="R1645" s="7" t="n">
        <f aca="false">(R1644*13+P1645)/14</f>
        <v>161.947635266584</v>
      </c>
      <c r="S1645" s="7" t="n">
        <f aca="false">(S1644*13+Q1645)/14</f>
        <v>224.935298303919</v>
      </c>
      <c r="T1645" s="7" t="n">
        <f aca="false">IF(S1645=0,100,100-100/(1+R1645/S1645))</f>
        <v>41.85959658959</v>
      </c>
      <c r="U1645" s="7" t="n">
        <f aca="false">E1645*2/13+U1644*11/13</f>
        <v>29337.2385019389</v>
      </c>
      <c r="V1645" s="7" t="n">
        <f aca="false">E1645*2/27+V1644*25/27</f>
        <v>29417.8381069931</v>
      </c>
      <c r="W1645" s="7" t="n">
        <f aca="false">U1645-V1645</f>
        <v>-80.5996050542344</v>
      </c>
      <c r="X1645" s="7" t="n">
        <f aca="false">W1645*2/10+X1644*8/10</f>
        <v>34.8878627999732</v>
      </c>
      <c r="Y1645" s="7" t="n">
        <f aca="false">W1645-X1645</f>
        <v>-115.487467854208</v>
      </c>
      <c r="Z1645" s="7" t="s">
        <v>78</v>
      </c>
      <c r="AA1645" s="7" t="str">
        <f aca="false">IFERROR(INDEX(02_轉折點45!B:B,MATCH(A1645,02_轉折點45!A:A,0)),"")</f>
        <v/>
      </c>
      <c r="AB1645" s="7" t="n">
        <f aca="false">COUNTIFS(05_訊號明細!A:A,A1645,05_訊號明細!C:C,"TOP")</f>
        <v>0</v>
      </c>
      <c r="AC1645" s="7" t="n">
        <f aca="false">COUNTIFS(05_訊號明細!A:A,A1645,05_訊號明細!C:C,"BOTTOM")</f>
        <v>0</v>
      </c>
    </row>
    <row r="1646" customFormat="false" ht="15" hidden="false" customHeight="false" outlineLevel="0" collapsed="false">
      <c r="A1646" s="7" t="s">
        <v>1687</v>
      </c>
      <c r="B1646" s="7" t="n">
        <v>28871.16</v>
      </c>
      <c r="C1646" s="7" t="n">
        <v>29017.23</v>
      </c>
      <c r="D1646" s="7" t="n">
        <v>28590.4</v>
      </c>
      <c r="E1646" s="7" t="n">
        <v>28604.23</v>
      </c>
      <c r="F1646" s="7" t="n">
        <v>7184</v>
      </c>
      <c r="G1646" s="7" t="n">
        <f aca="false">AVERAGE(E1642:E1646)</f>
        <v>29062.31</v>
      </c>
      <c r="H1646" s="7" t="n">
        <f aca="false">AVERAGE(E1637:E1646)</f>
        <v>29255.344</v>
      </c>
      <c r="I1646" s="7" t="n">
        <f aca="false">AVERAGE(E1627:E1646)</f>
        <v>29445.686</v>
      </c>
      <c r="J1646" s="7" t="n">
        <f aca="false">AVERAGE(E1597:E1646)</f>
        <v>29548.8312</v>
      </c>
      <c r="K1646" s="7" t="n">
        <f aca="false">AVERAGE(E1547:E1646)</f>
        <v>27459.6045</v>
      </c>
      <c r="L1646" s="7" t="n">
        <f aca="false">AVERAGE(E1447:E1646)</f>
        <v>26355.6947</v>
      </c>
      <c r="M1646" s="7" t="n">
        <f aca="false">I1646</f>
        <v>29445.686</v>
      </c>
      <c r="N1646" s="7" t="n">
        <f aca="false">I1646+2*STDEV(E1627:E1646)</f>
        <v>30362.2824922335</v>
      </c>
      <c r="O1646" s="7" t="n">
        <f aca="false">I1646-2*STDEV(E1627:E1646)</f>
        <v>28529.0895077665</v>
      </c>
      <c r="P1646" s="7" t="n">
        <f aca="false">MAX(E1646-E1645,0)</f>
        <v>11.5699999999997</v>
      </c>
      <c r="Q1646" s="7" t="n">
        <f aca="false">MAX(E1645-E1646,0)</f>
        <v>0</v>
      </c>
      <c r="R1646" s="7" t="n">
        <f aca="false">(R1645*13+P1646)/14</f>
        <v>151.206375604685</v>
      </c>
      <c r="S1646" s="7" t="n">
        <f aca="false">(S1645*13+Q1646)/14</f>
        <v>208.868491282211</v>
      </c>
      <c r="T1646" s="7" t="n">
        <f aca="false">IF(S1646=0,100,100-100/(1+R1646/S1646))</f>
        <v>41.9930379790104</v>
      </c>
      <c r="U1646" s="7" t="n">
        <f aca="false">E1646*2/13+U1645*11/13</f>
        <v>29224.467963179</v>
      </c>
      <c r="V1646" s="7" t="n">
        <f aca="false">E1646*2/27+V1645*25/27</f>
        <v>29357.5708398084</v>
      </c>
      <c r="W1646" s="7" t="n">
        <f aca="false">U1646-V1646</f>
        <v>-133.102876629389</v>
      </c>
      <c r="X1646" s="7" t="n">
        <f aca="false">W1646*2/10+X1645*8/10</f>
        <v>1.28971491410066</v>
      </c>
      <c r="Y1646" s="7" t="n">
        <f aca="false">W1646-X1646</f>
        <v>-134.39259154349</v>
      </c>
      <c r="Z1646" s="7" t="s">
        <v>78</v>
      </c>
      <c r="AA1646" s="7" t="str">
        <f aca="false">IFERROR(INDEX(02_轉折點45!B:B,MATCH(A1646,02_轉折點45!A:A,0)),"")</f>
        <v/>
      </c>
      <c r="AB1646" s="7" t="n">
        <f aca="false">COUNTIFS(05_訊號明細!A:A,A1646,05_訊號明細!C:C,"TOP")</f>
        <v>0</v>
      </c>
      <c r="AC1646" s="7" t="n">
        <f aca="false">COUNTIFS(05_訊號明細!A:A,A1646,05_訊號明細!C:C,"BOTTOM")</f>
        <v>0</v>
      </c>
    </row>
    <row r="1647" customFormat="false" ht="15" hidden="false" customHeight="false" outlineLevel="0" collapsed="false">
      <c r="A1647" s="7" t="s">
        <v>1688</v>
      </c>
      <c r="B1647" s="7" t="n">
        <v>29059.44</v>
      </c>
      <c r="C1647" s="7" t="n">
        <v>29192.29</v>
      </c>
      <c r="D1647" s="7" t="n">
        <v>28891.07</v>
      </c>
      <c r="E1647" s="7" t="n">
        <v>29155.18</v>
      </c>
      <c r="F1647" s="7" t="n">
        <v>8002</v>
      </c>
      <c r="G1647" s="7" t="n">
        <f aca="false">AVERAGE(E1643:E1647)</f>
        <v>28976.088</v>
      </c>
      <c r="H1647" s="7" t="n">
        <f aca="false">AVERAGE(E1638:E1647)</f>
        <v>29253.56</v>
      </c>
      <c r="I1647" s="7" t="n">
        <f aca="false">AVERAGE(E1628:E1647)</f>
        <v>29386.091</v>
      </c>
      <c r="J1647" s="7" t="n">
        <f aca="false">AVERAGE(E1598:E1647)</f>
        <v>29560.6558</v>
      </c>
      <c r="K1647" s="7" t="n">
        <f aca="false">AVERAGE(E1548:E1647)</f>
        <v>27497.8659</v>
      </c>
      <c r="L1647" s="7" t="n">
        <f aca="false">AVERAGE(E1448:E1647)</f>
        <v>26377.4663</v>
      </c>
      <c r="M1647" s="7" t="n">
        <f aca="false">I1647</f>
        <v>29386.091</v>
      </c>
      <c r="N1647" s="7" t="n">
        <f aca="false">I1647+2*STDEV(E1628:E1647)</f>
        <v>30205.7905184732</v>
      </c>
      <c r="O1647" s="7" t="n">
        <f aca="false">I1647-2*STDEV(E1628:E1647)</f>
        <v>28566.3914815268</v>
      </c>
      <c r="P1647" s="7" t="n">
        <f aca="false">MAX(E1647-E1646,0)</f>
        <v>550.950000000001</v>
      </c>
      <c r="Q1647" s="7" t="n">
        <f aca="false">MAX(E1646-E1647,0)</f>
        <v>0</v>
      </c>
      <c r="R1647" s="7" t="n">
        <f aca="false">(R1646*13+P1647)/14</f>
        <v>179.759491632922</v>
      </c>
      <c r="S1647" s="7" t="n">
        <f aca="false">(S1646*13+Q1647)/14</f>
        <v>193.949313333481</v>
      </c>
      <c r="T1647" s="7" t="n">
        <f aca="false">IF(S1647=0,100,100-100/(1+R1647/S1647))</f>
        <v>48.1014868378824</v>
      </c>
      <c r="U1647" s="7" t="n">
        <f aca="false">E1647*2/13+U1646*11/13</f>
        <v>29213.8082765361</v>
      </c>
      <c r="V1647" s="7" t="n">
        <f aca="false">E1647*2/27+V1646*25/27</f>
        <v>29342.5789257485</v>
      </c>
      <c r="W1647" s="7" t="n">
        <f aca="false">U1647-V1647</f>
        <v>-128.770649212438</v>
      </c>
      <c r="X1647" s="7" t="n">
        <f aca="false">W1647*2/10+X1646*8/10</f>
        <v>-24.7223579112071</v>
      </c>
      <c r="Y1647" s="7" t="n">
        <f aca="false">W1647-X1647</f>
        <v>-104.048291301231</v>
      </c>
      <c r="Z1647" s="7" t="s">
        <v>78</v>
      </c>
      <c r="AA1647" s="7" t="str">
        <f aca="false">IFERROR(INDEX(02_轉折點45!B:B,MATCH(A1647,02_轉折點45!A:A,0)),"")</f>
        <v/>
      </c>
      <c r="AB1647" s="7" t="n">
        <f aca="false">COUNTIFS(05_訊號明細!A:A,A1647,05_訊號明細!C:C,"TOP")</f>
        <v>0</v>
      </c>
      <c r="AC1647" s="7" t="n">
        <f aca="false">COUNTIFS(05_訊號明細!A:A,A1647,05_訊號明細!C:C,"BOTTOM")</f>
        <v>0</v>
      </c>
    </row>
    <row r="1648" customFormat="false" ht="15" hidden="false" customHeight="false" outlineLevel="0" collapsed="false">
      <c r="A1648" s="7" t="s">
        <v>1689</v>
      </c>
      <c r="B1648" s="7" t="n">
        <v>28949.81</v>
      </c>
      <c r="C1648" s="7" t="n">
        <v>29176.91</v>
      </c>
      <c r="D1648" s="7" t="n">
        <v>28934.52</v>
      </c>
      <c r="E1648" s="7" t="n">
        <v>28998.1</v>
      </c>
      <c r="F1648" s="7" t="n">
        <v>7473</v>
      </c>
      <c r="G1648" s="7" t="n">
        <f aca="false">AVERAGE(E1644:E1648)</f>
        <v>28875.188</v>
      </c>
      <c r="H1648" s="7" t="n">
        <f aca="false">AVERAGE(E1639:E1648)</f>
        <v>29228.114</v>
      </c>
      <c r="I1648" s="7" t="n">
        <f aca="false">AVERAGE(E1629:E1648)</f>
        <v>29368.6325</v>
      </c>
      <c r="J1648" s="7" t="n">
        <f aca="false">AVERAGE(E1599:E1648)</f>
        <v>29555.918</v>
      </c>
      <c r="K1648" s="7" t="n">
        <f aca="false">AVERAGE(E1549:E1648)</f>
        <v>27537.5032</v>
      </c>
      <c r="L1648" s="7" t="n">
        <f aca="false">AVERAGE(E1449:E1648)</f>
        <v>26397.993</v>
      </c>
      <c r="M1648" s="7" t="n">
        <f aca="false">I1648</f>
        <v>29368.6325</v>
      </c>
      <c r="N1648" s="7" t="n">
        <f aca="false">I1648+2*STDEV(E1629:E1648)</f>
        <v>30206.4861035138</v>
      </c>
      <c r="O1648" s="7" t="n">
        <f aca="false">I1648-2*STDEV(E1629:E1648)</f>
        <v>28530.7788964862</v>
      </c>
      <c r="P1648" s="7" t="n">
        <f aca="false">MAX(E1648-E1647,0)</f>
        <v>0</v>
      </c>
      <c r="Q1648" s="7" t="n">
        <f aca="false">MAX(E1647-E1648,0)</f>
        <v>157.080000000002</v>
      </c>
      <c r="R1648" s="7" t="n">
        <f aca="false">(R1647*13+P1648)/14</f>
        <v>166.919527944856</v>
      </c>
      <c r="S1648" s="7" t="n">
        <f aca="false">(S1647*13+Q1648)/14</f>
        <v>191.315790952519</v>
      </c>
      <c r="T1648" s="7" t="n">
        <f aca="false">IF(S1648=0,100,100-100/(1+R1648/S1648))</f>
        <v>46.5949388962048</v>
      </c>
      <c r="U1648" s="7" t="n">
        <f aca="false">E1648*2/13+U1647*11/13</f>
        <v>29180.6223878382</v>
      </c>
      <c r="V1648" s="7" t="n">
        <f aca="false">E1648*2/27+V1647*25/27</f>
        <v>29317.0619682857</v>
      </c>
      <c r="W1648" s="7" t="n">
        <f aca="false">U1648-V1648</f>
        <v>-136.439580447448</v>
      </c>
      <c r="X1648" s="7" t="n">
        <f aca="false">W1648*2/10+X1647*8/10</f>
        <v>-47.0658024184553</v>
      </c>
      <c r="Y1648" s="7" t="n">
        <f aca="false">W1648-X1648</f>
        <v>-89.3737780289927</v>
      </c>
      <c r="Z1648" s="7" t="s">
        <v>78</v>
      </c>
      <c r="AA1648" s="7" t="str">
        <f aca="false">IFERROR(INDEX(02_轉折點45!B:B,MATCH(A1648,02_轉折點45!A:A,0)),"")</f>
        <v/>
      </c>
      <c r="AB1648" s="7" t="n">
        <f aca="false">COUNTIFS(05_訊號明細!A:A,A1648,05_訊號明細!C:C,"TOP")</f>
        <v>0</v>
      </c>
      <c r="AC1648" s="7" t="n">
        <f aca="false">COUNTIFS(05_訊號明細!A:A,A1648,05_訊號明細!C:C,"BOTTOM")</f>
        <v>0</v>
      </c>
    </row>
    <row r="1649" customFormat="false" ht="15" hidden="false" customHeight="false" outlineLevel="0" collapsed="false">
      <c r="A1649" s="7" t="s">
        <v>1690</v>
      </c>
      <c r="B1649" s="7" t="n">
        <v>28545.98</v>
      </c>
      <c r="C1649" s="7" t="n">
        <v>28726.62</v>
      </c>
      <c r="D1649" s="7" t="n">
        <v>28274.52</v>
      </c>
      <c r="E1649" s="7" t="n">
        <v>28454.81</v>
      </c>
      <c r="F1649" s="7" t="n">
        <v>7656</v>
      </c>
      <c r="G1649" s="7" t="n">
        <f aca="false">AVERAGE(E1645:E1649)</f>
        <v>28760.996</v>
      </c>
      <c r="H1649" s="7" t="n">
        <f aca="false">AVERAGE(E1640:E1649)</f>
        <v>29100.885</v>
      </c>
      <c r="I1649" s="7" t="n">
        <f aca="false">AVERAGE(E1630:E1649)</f>
        <v>29330.37</v>
      </c>
      <c r="J1649" s="7" t="n">
        <f aca="false">AVERAGE(E1600:E1649)</f>
        <v>29538.601</v>
      </c>
      <c r="K1649" s="7" t="n">
        <f aca="false">AVERAGE(E1550:E1649)</f>
        <v>27572.4509</v>
      </c>
      <c r="L1649" s="7" t="n">
        <f aca="false">AVERAGE(E1450:E1649)</f>
        <v>26416.33945</v>
      </c>
      <c r="M1649" s="7" t="n">
        <f aca="false">I1649</f>
        <v>29330.37</v>
      </c>
      <c r="N1649" s="7" t="n">
        <f aca="false">I1649+2*STDEV(E1630:E1649)</f>
        <v>30261.4939427929</v>
      </c>
      <c r="O1649" s="7" t="n">
        <f aca="false">I1649-2*STDEV(E1630:E1649)</f>
        <v>28399.2460572072</v>
      </c>
      <c r="P1649" s="7" t="n">
        <f aca="false">MAX(E1649-E1648,0)</f>
        <v>0</v>
      </c>
      <c r="Q1649" s="7" t="n">
        <f aca="false">MAX(E1648-E1649,0)</f>
        <v>543.289999999997</v>
      </c>
      <c r="R1649" s="7" t="n">
        <f aca="false">(R1648*13+P1649)/14</f>
        <v>154.996704520224</v>
      </c>
      <c r="S1649" s="7" t="n">
        <f aca="false">(S1648*13+Q1649)/14</f>
        <v>216.456805884481</v>
      </c>
      <c r="T1649" s="7" t="n">
        <f aca="false">IF(S1649=0,100,100-100/(1+R1649/S1649))</f>
        <v>41.7270802882848</v>
      </c>
      <c r="U1649" s="7" t="n">
        <f aca="false">E1649*2/13+U1648*11/13</f>
        <v>29068.9589435554</v>
      </c>
      <c r="V1649" s="7" t="n">
        <f aca="false">E1649*2/27+V1648*25/27</f>
        <v>29253.1914521164</v>
      </c>
      <c r="W1649" s="7" t="n">
        <f aca="false">U1649-V1649</f>
        <v>-184.232508560941</v>
      </c>
      <c r="X1649" s="7" t="n">
        <f aca="false">W1649*2/10+X1648*8/10</f>
        <v>-74.4991436469524</v>
      </c>
      <c r="Y1649" s="7" t="n">
        <f aca="false">W1649-X1649</f>
        <v>-109.733364913989</v>
      </c>
      <c r="Z1649" s="7" t="s">
        <v>78</v>
      </c>
      <c r="AA1649" s="7" t="str">
        <f aca="false">IFERROR(INDEX(02_轉折點45!B:B,MATCH(A1649,02_轉折點45!A:A,0)),"")</f>
        <v/>
      </c>
      <c r="AB1649" s="7" t="n">
        <f aca="false">COUNTIFS(05_訊號明細!A:A,A1649,05_訊號明細!C:C,"TOP")</f>
        <v>0</v>
      </c>
      <c r="AC1649" s="7" t="n">
        <f aca="false">COUNTIFS(05_訊號明細!A:A,A1649,05_訊號明細!C:C,"BOTTOM")</f>
        <v>0</v>
      </c>
    </row>
    <row r="1650" customFormat="false" ht="15" hidden="false" customHeight="false" outlineLevel="0" collapsed="false">
      <c r="A1650" s="7" t="s">
        <v>1691</v>
      </c>
      <c r="B1650" s="7" t="n">
        <v>28362.15</v>
      </c>
      <c r="C1650" s="7" t="n">
        <v>28471.48</v>
      </c>
      <c r="D1650" s="7" t="n">
        <v>28053.08</v>
      </c>
      <c r="E1650" s="7" t="n">
        <v>28128.34</v>
      </c>
      <c r="F1650" s="7" t="n">
        <v>7266</v>
      </c>
      <c r="G1650" s="7" t="n">
        <f aca="false">AVERAGE(E1646:E1650)</f>
        <v>28668.132</v>
      </c>
      <c r="H1650" s="7" t="n">
        <f aca="false">AVERAGE(E1641:E1650)</f>
        <v>28931.208</v>
      </c>
      <c r="I1650" s="7" t="n">
        <f aca="false">AVERAGE(E1631:E1650)</f>
        <v>29264.771</v>
      </c>
      <c r="J1650" s="7" t="n">
        <f aca="false">AVERAGE(E1601:E1650)</f>
        <v>29519.8718</v>
      </c>
      <c r="K1650" s="7" t="n">
        <f aca="false">AVERAGE(E1551:E1650)</f>
        <v>27603.8083</v>
      </c>
      <c r="L1650" s="7" t="n">
        <f aca="false">AVERAGE(E1451:E1650)</f>
        <v>26432.08835</v>
      </c>
      <c r="M1650" s="7" t="n">
        <f aca="false">I1650</f>
        <v>29264.771</v>
      </c>
      <c r="N1650" s="7" t="n">
        <f aca="false">I1650+2*STDEV(E1631:E1650)</f>
        <v>30337.3903789411</v>
      </c>
      <c r="O1650" s="7" t="n">
        <f aca="false">I1650-2*STDEV(E1631:E1650)</f>
        <v>28192.1516210589</v>
      </c>
      <c r="P1650" s="7" t="n">
        <f aca="false">MAX(E1650-E1649,0)</f>
        <v>0</v>
      </c>
      <c r="Q1650" s="7" t="n">
        <f aca="false">MAX(E1649-E1650,0)</f>
        <v>326.470000000001</v>
      </c>
      <c r="R1650" s="7" t="n">
        <f aca="false">(R1649*13+P1650)/14</f>
        <v>143.925511340208</v>
      </c>
      <c r="S1650" s="7" t="n">
        <f aca="false">(S1649*13+Q1650)/14</f>
        <v>224.314891178447</v>
      </c>
      <c r="T1650" s="7" t="n">
        <f aca="false">IF(S1650=0,100,100-100/(1+R1650/S1650))</f>
        <v>39.0846605521284</v>
      </c>
      <c r="U1650" s="7" t="n">
        <f aca="false">E1650*2/13+U1649*11/13</f>
        <v>28924.2483368546</v>
      </c>
      <c r="V1650" s="7" t="n">
        <f aca="false">E1650*2/27+V1649*25/27</f>
        <v>29169.86912233</v>
      </c>
      <c r="W1650" s="7" t="n">
        <f aca="false">U1650-V1650</f>
        <v>-245.620785475381</v>
      </c>
      <c r="X1650" s="7" t="n">
        <f aca="false">W1650*2/10+X1649*8/10</f>
        <v>-108.723472012638</v>
      </c>
      <c r="Y1650" s="7" t="n">
        <f aca="false">W1650-X1650</f>
        <v>-136.897313462743</v>
      </c>
      <c r="Z1650" s="7" t="s">
        <v>78</v>
      </c>
      <c r="AA1650" s="7" t="str">
        <f aca="false">IFERROR(INDEX(02_轉折點45!B:B,MATCH(A1650,02_轉折點45!A:A,0)),"")</f>
        <v/>
      </c>
      <c r="AB1650" s="7" t="n">
        <f aca="false">COUNTIFS(05_訊號明細!A:A,A1650,05_訊號明細!C:C,"TOP")</f>
        <v>0</v>
      </c>
      <c r="AC1650" s="7" t="n">
        <f aca="false">COUNTIFS(05_訊號明細!A:A,A1650,05_訊號明細!C:C,"BOTTOM")</f>
        <v>0</v>
      </c>
    </row>
    <row r="1651" customFormat="false" ht="15" hidden="false" customHeight="false" outlineLevel="0" collapsed="false">
      <c r="A1651" s="7" t="s">
        <v>1692</v>
      </c>
      <c r="B1651" s="7" t="n">
        <v>28412.31</v>
      </c>
      <c r="C1651" s="7" t="n">
        <v>28460.2</v>
      </c>
      <c r="D1651" s="7" t="n">
        <v>27786.54</v>
      </c>
      <c r="E1651" s="7" t="n">
        <v>28039.21</v>
      </c>
      <c r="F1651" s="7" t="n">
        <v>7798</v>
      </c>
      <c r="G1651" s="7" t="n">
        <f aca="false">AVERAGE(E1647:E1651)</f>
        <v>28555.128</v>
      </c>
      <c r="H1651" s="7" t="n">
        <f aca="false">AVERAGE(E1642:E1651)</f>
        <v>28808.719</v>
      </c>
      <c r="I1651" s="7" t="n">
        <f aca="false">AVERAGE(E1632:E1651)</f>
        <v>29210.8195</v>
      </c>
      <c r="J1651" s="7" t="n">
        <f aca="false">AVERAGE(E1602:E1651)</f>
        <v>29493.3172</v>
      </c>
      <c r="K1651" s="7" t="n">
        <f aca="false">AVERAGE(E1552:E1651)</f>
        <v>27636.9996</v>
      </c>
      <c r="L1651" s="7" t="n">
        <f aca="false">AVERAGE(E1452:E1651)</f>
        <v>26448.08325</v>
      </c>
      <c r="M1651" s="7" t="n">
        <f aca="false">I1651</f>
        <v>29210.8195</v>
      </c>
      <c r="N1651" s="7" t="n">
        <f aca="false">I1651+2*STDEV(E1632:E1651)</f>
        <v>30414.9568169723</v>
      </c>
      <c r="O1651" s="7" t="n">
        <f aca="false">I1651-2*STDEV(E1632:E1651)</f>
        <v>28006.6821830277</v>
      </c>
      <c r="P1651" s="7" t="n">
        <f aca="false">MAX(E1651-E1650,0)</f>
        <v>0</v>
      </c>
      <c r="Q1651" s="7" t="n">
        <f aca="false">MAX(E1650-E1651,0)</f>
        <v>89.130000000001</v>
      </c>
      <c r="R1651" s="7" t="n">
        <f aca="false">(R1650*13+P1651)/14</f>
        <v>133.64511767305</v>
      </c>
      <c r="S1651" s="7" t="n">
        <f aca="false">(S1650*13+Q1651)/14</f>
        <v>214.658827522844</v>
      </c>
      <c r="T1651" s="7" t="n">
        <f aca="false">IF(S1651=0,100,100-100/(1+R1651/S1651))</f>
        <v>38.3702566440598</v>
      </c>
      <c r="U1651" s="7" t="n">
        <f aca="false">E1651*2/13+U1650*11/13</f>
        <v>28788.0885927231</v>
      </c>
      <c r="V1651" s="7" t="n">
        <f aca="false">E1651*2/27+V1650*25/27</f>
        <v>29086.11659475</v>
      </c>
      <c r="W1651" s="7" t="n">
        <f aca="false">U1651-V1651</f>
        <v>-298.028002026855</v>
      </c>
      <c r="X1651" s="7" t="n">
        <f aca="false">W1651*2/10+X1650*8/10</f>
        <v>-146.584378015481</v>
      </c>
      <c r="Y1651" s="7" t="n">
        <f aca="false">W1651-X1651</f>
        <v>-151.443624011373</v>
      </c>
      <c r="Z1651" s="7" t="s">
        <v>78</v>
      </c>
      <c r="AA1651" s="7" t="str">
        <f aca="false">IFERROR(INDEX(02_轉折點45!B:B,MATCH(A1651,02_轉折點45!A:A,0)),"")</f>
        <v/>
      </c>
      <c r="AB1651" s="7" t="n">
        <f aca="false">COUNTIFS(05_訊號明細!A:A,A1651,05_訊號明細!C:C,"TOP")</f>
        <v>0</v>
      </c>
      <c r="AC1651" s="7" t="n">
        <f aca="false">COUNTIFS(05_訊號明細!A:A,A1651,05_訊號明細!C:C,"BOTTOM")</f>
        <v>0</v>
      </c>
    </row>
    <row r="1653" customFormat="false" ht="15" hidden="false" customHeight="false" outlineLevel="0" collapsed="false">
      <c r="A1653" s="3" t="s">
        <v>1693</v>
      </c>
    </row>
    <row r="1654" customFormat="false" ht="15" hidden="false" customHeight="false" outlineLevel="0" collapsed="false">
      <c r="A1654" s="7" t="s">
        <v>1694</v>
      </c>
      <c r="B1654" s="7" t="n">
        <v>26448.08</v>
      </c>
      <c r="C1654" s="10" t="n">
        <f aca="false">L1651</f>
        <v>26448.08325</v>
      </c>
      <c r="D1654" s="10" t="str">
        <f aca="false">IF(ABS(B1654-C1654)&lt;MAX(0.6,ABS(B1654)*0.002),"一致✓","偏差!")</f>
        <v>一致✓</v>
      </c>
    </row>
    <row r="1655" customFormat="false" ht="15" hidden="false" customHeight="false" outlineLevel="0" collapsed="false">
      <c r="A1655" s="7" t="s">
        <v>1695</v>
      </c>
      <c r="B1655" s="7" t="n">
        <v>38.37</v>
      </c>
      <c r="C1655" s="10" t="n">
        <f aca="false">T1651</f>
        <v>38.3702566440598</v>
      </c>
      <c r="D1655" s="10" t="str">
        <f aca="false">IF(ABS(B1655-C1655)&lt;MAX(0.6,ABS(B1655)*0.002),"一致✓","偏差!")</f>
        <v>一致✓</v>
      </c>
    </row>
    <row r="1656" customFormat="false" ht="15" hidden="false" customHeight="false" outlineLevel="0" collapsed="false">
      <c r="A1656" s="7" t="s">
        <v>1696</v>
      </c>
      <c r="B1656" s="7" t="n">
        <v>-298.03</v>
      </c>
      <c r="C1656" s="10" t="n">
        <f aca="false">W1651</f>
        <v>-298.028002026855</v>
      </c>
      <c r="D1656" s="10" t="str">
        <f aca="false">IF(ABS(B1656-C1656)&lt;MAX(0.6,ABS(B1656)*0.002),"一致✓","偏差!")</f>
        <v>一致✓</v>
      </c>
    </row>
    <row r="1657" customFormat="false" ht="15" hidden="false" customHeight="false" outlineLevel="0" collapsed="false">
      <c r="A1657" s="7" t="s">
        <v>1697</v>
      </c>
      <c r="B1657" s="7" t="n">
        <v>-146.58</v>
      </c>
      <c r="C1657" s="10" t="n">
        <f aca="false">X1651</f>
        <v>-146.584378015481</v>
      </c>
      <c r="D1657" s="10" t="str">
        <f aca="false">IF(ABS(B1657-C1657)&lt;MAX(0.6,ABS(B1657)*0.002),"一致✓","偏差!")</f>
        <v>一致✓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12"/>
  </cols>
  <sheetData>
    <row r="1" customFormat="false" ht="16.4" hidden="false" customHeight="false" outlineLevel="0" collapsed="false">
      <c r="A1" s="11" t="s">
        <v>1698</v>
      </c>
    </row>
    <row r="2" customFormat="false" ht="15" hidden="false" customHeight="false" outlineLevel="0" collapsed="false">
      <c r="A2" s="5" t="s">
        <v>12</v>
      </c>
      <c r="B2" s="5" t="s">
        <v>1699</v>
      </c>
      <c r="C2" s="5" t="s">
        <v>1700</v>
      </c>
      <c r="D2" s="5" t="s">
        <v>1701</v>
      </c>
      <c r="E2" s="5" t="s">
        <v>1702</v>
      </c>
    </row>
    <row r="3" customFormat="false" ht="15" hidden="false" customHeight="false" outlineLevel="0" collapsed="false">
      <c r="A3" s="7" t="s">
        <v>1703</v>
      </c>
      <c r="B3" s="9" t="s">
        <v>1704</v>
      </c>
      <c r="C3" s="7" t="n">
        <v>4612.28</v>
      </c>
      <c r="D3" s="12" t="n">
        <v>-0.3421</v>
      </c>
      <c r="E3" s="7" t="s">
        <v>1705</v>
      </c>
    </row>
    <row r="4" customFormat="false" ht="15" hidden="false" customHeight="false" outlineLevel="0" collapsed="false">
      <c r="A4" s="7" t="s">
        <v>1705</v>
      </c>
      <c r="B4" s="8" t="s">
        <v>1706</v>
      </c>
      <c r="C4" s="7" t="n">
        <v>3034.24</v>
      </c>
      <c r="D4" s="12" t="n">
        <v>0.1917</v>
      </c>
      <c r="E4" s="7" t="s">
        <v>1707</v>
      </c>
    </row>
    <row r="5" customFormat="false" ht="15" hidden="false" customHeight="false" outlineLevel="0" collapsed="false">
      <c r="A5" s="7" t="s">
        <v>1707</v>
      </c>
      <c r="B5" s="9" t="s">
        <v>1704</v>
      </c>
      <c r="C5" s="7" t="n">
        <v>3615.99</v>
      </c>
      <c r="D5" s="12" t="n">
        <v>-0.2005</v>
      </c>
      <c r="E5" s="7" t="s">
        <v>1708</v>
      </c>
    </row>
    <row r="6" customFormat="false" ht="15" hidden="false" customHeight="false" outlineLevel="0" collapsed="false">
      <c r="A6" s="7" t="s">
        <v>1708</v>
      </c>
      <c r="B6" s="8" t="s">
        <v>1706</v>
      </c>
      <c r="C6" s="7" t="n">
        <v>2891.05</v>
      </c>
      <c r="D6" s="12" t="n">
        <v>0.3508</v>
      </c>
      <c r="E6" s="7" t="s">
        <v>1709</v>
      </c>
    </row>
    <row r="7" customFormat="false" ht="15" hidden="false" customHeight="false" outlineLevel="0" collapsed="false">
      <c r="A7" s="7" t="s">
        <v>1709</v>
      </c>
      <c r="B7" s="9" t="s">
        <v>1704</v>
      </c>
      <c r="C7" s="7" t="n">
        <v>3905.22</v>
      </c>
      <c r="D7" s="12" t="n">
        <v>-0.3923</v>
      </c>
      <c r="E7" s="7" t="s">
        <v>1710</v>
      </c>
    </row>
    <row r="8" customFormat="false" ht="15" hidden="false" customHeight="false" outlineLevel="0" collapsed="false">
      <c r="A8" s="7" t="s">
        <v>1710</v>
      </c>
      <c r="B8" s="8" t="s">
        <v>1706</v>
      </c>
      <c r="C8" s="7" t="n">
        <v>2373.4</v>
      </c>
      <c r="D8" s="12" t="n">
        <v>0.1606</v>
      </c>
      <c r="E8" s="7" t="s">
        <v>1711</v>
      </c>
    </row>
    <row r="9" customFormat="false" ht="15" hidden="false" customHeight="false" outlineLevel="0" collapsed="false">
      <c r="A9" s="7" t="s">
        <v>1711</v>
      </c>
      <c r="B9" s="9" t="s">
        <v>1704</v>
      </c>
      <c r="C9" s="7" t="n">
        <v>2754.51</v>
      </c>
      <c r="D9" s="12" t="n">
        <v>-0.2399</v>
      </c>
      <c r="E9" s="7" t="s">
        <v>1712</v>
      </c>
    </row>
    <row r="10" customFormat="false" ht="15" hidden="false" customHeight="false" outlineLevel="0" collapsed="false">
      <c r="A10" s="7" t="s">
        <v>1712</v>
      </c>
      <c r="B10" s="8" t="s">
        <v>1706</v>
      </c>
      <c r="C10" s="7" t="n">
        <v>2093.78</v>
      </c>
      <c r="D10" s="12" t="n">
        <v>0.2475</v>
      </c>
      <c r="E10" s="7" t="s">
        <v>1713</v>
      </c>
    </row>
    <row r="11" customFormat="false" ht="15" hidden="false" customHeight="false" outlineLevel="0" collapsed="false">
      <c r="A11" s="7" t="s">
        <v>1713</v>
      </c>
      <c r="B11" s="9" t="s">
        <v>1704</v>
      </c>
      <c r="C11" s="7" t="n">
        <v>2612.04</v>
      </c>
      <c r="D11" s="12" t="n">
        <v>-0.4268</v>
      </c>
      <c r="E11" s="7" t="s">
        <v>1714</v>
      </c>
    </row>
    <row r="12" customFormat="false" ht="15" hidden="false" customHeight="false" outlineLevel="0" collapsed="false">
      <c r="A12" s="7" t="s">
        <v>1714</v>
      </c>
      <c r="B12" s="8" t="s">
        <v>1706</v>
      </c>
      <c r="C12" s="7" t="n">
        <v>1497.16</v>
      </c>
      <c r="D12" s="12" t="n">
        <v>0.4119</v>
      </c>
      <c r="E12" s="7" t="s">
        <v>1715</v>
      </c>
    </row>
    <row r="13" customFormat="false" ht="15" hidden="false" customHeight="false" outlineLevel="0" collapsed="false">
      <c r="A13" s="7" t="s">
        <v>1715</v>
      </c>
      <c r="B13" s="9" t="s">
        <v>1704</v>
      </c>
      <c r="C13" s="7" t="n">
        <v>2113.87</v>
      </c>
      <c r="D13" s="12" t="n">
        <v>-0.3849</v>
      </c>
      <c r="E13" s="7" t="s">
        <v>1716</v>
      </c>
    </row>
    <row r="14" customFormat="false" ht="15" hidden="false" customHeight="false" outlineLevel="0" collapsed="false">
      <c r="A14" s="7" t="s">
        <v>1716</v>
      </c>
      <c r="B14" s="8" t="s">
        <v>1706</v>
      </c>
      <c r="C14" s="7" t="n">
        <v>1300.19</v>
      </c>
      <c r="D14" s="12" t="n">
        <v>0.447</v>
      </c>
      <c r="E14" s="7" t="s">
        <v>1717</v>
      </c>
    </row>
    <row r="15" customFormat="false" ht="15" hidden="false" customHeight="false" outlineLevel="0" collapsed="false">
      <c r="A15" s="7" t="s">
        <v>1717</v>
      </c>
      <c r="B15" s="9" t="s">
        <v>1704</v>
      </c>
      <c r="C15" s="7" t="n">
        <v>1881.39</v>
      </c>
      <c r="D15" s="12" t="n">
        <v>-0.4144</v>
      </c>
      <c r="E15" s="7" t="s">
        <v>1718</v>
      </c>
    </row>
    <row r="16" customFormat="false" ht="15" hidden="false" customHeight="false" outlineLevel="0" collapsed="false">
      <c r="A16" s="7" t="s">
        <v>1718</v>
      </c>
      <c r="B16" s="8" t="s">
        <v>1706</v>
      </c>
      <c r="C16" s="7" t="n">
        <v>1101.78</v>
      </c>
      <c r="D16" s="12" t="n">
        <v>0.1799</v>
      </c>
      <c r="E16" s="7" t="s">
        <v>1719</v>
      </c>
    </row>
    <row r="17" customFormat="false" ht="15" hidden="false" customHeight="false" outlineLevel="0" collapsed="false">
      <c r="A17" s="7" t="s">
        <v>1719</v>
      </c>
      <c r="B17" s="9" t="s">
        <v>1704</v>
      </c>
      <c r="C17" s="7" t="n">
        <v>1299.97</v>
      </c>
      <c r="D17" s="12" t="n">
        <v>-0.217</v>
      </c>
      <c r="E17" s="7" t="s">
        <v>1720</v>
      </c>
    </row>
    <row r="18" customFormat="false" ht="15" hidden="false" customHeight="false" outlineLevel="0" collapsed="false">
      <c r="A18" s="7" t="s">
        <v>1720</v>
      </c>
      <c r="B18" s="8" t="s">
        <v>1706</v>
      </c>
      <c r="C18" s="7" t="n">
        <v>1017.82</v>
      </c>
      <c r="D18" s="12" t="n">
        <v>0.9332</v>
      </c>
      <c r="E18" s="7" t="s">
        <v>1721</v>
      </c>
    </row>
    <row r="19" customFormat="false" ht="15" hidden="false" customHeight="false" outlineLevel="0" collapsed="false">
      <c r="A19" s="7" t="s">
        <v>1721</v>
      </c>
      <c r="B19" s="9" t="s">
        <v>1704</v>
      </c>
      <c r="C19" s="7" t="n">
        <v>1967.68</v>
      </c>
      <c r="D19" s="12" t="n">
        <v>-0.1863</v>
      </c>
      <c r="E19" s="7" t="s">
        <v>1722</v>
      </c>
    </row>
    <row r="20" customFormat="false" ht="15" hidden="false" customHeight="false" outlineLevel="0" collapsed="false">
      <c r="A20" s="7" t="s">
        <v>1722</v>
      </c>
      <c r="B20" s="8" t="s">
        <v>1706</v>
      </c>
      <c r="C20" s="7" t="n">
        <v>1601.03</v>
      </c>
      <c r="D20" s="12" t="n">
        <v>0.6315</v>
      </c>
      <c r="E20" s="7" t="s">
        <v>1723</v>
      </c>
    </row>
    <row r="21" customFormat="false" ht="15" hidden="false" customHeight="false" outlineLevel="0" collapsed="false">
      <c r="A21" s="7" t="s">
        <v>1723</v>
      </c>
      <c r="B21" s="9" t="s">
        <v>1704</v>
      </c>
      <c r="C21" s="7" t="n">
        <v>2612.01</v>
      </c>
      <c r="D21" s="12" t="n">
        <v>-0.2413</v>
      </c>
      <c r="E21" s="7" t="s">
        <v>1724</v>
      </c>
    </row>
    <row r="22" customFormat="false" ht="15" hidden="false" customHeight="false" outlineLevel="0" collapsed="false">
      <c r="A22" s="7" t="s">
        <v>1724</v>
      </c>
      <c r="B22" s="8" t="s">
        <v>1706</v>
      </c>
      <c r="C22" s="7" t="n">
        <v>1981.85</v>
      </c>
      <c r="D22" s="12" t="n">
        <v>0.1754</v>
      </c>
      <c r="E22" s="7" t="s">
        <v>1725</v>
      </c>
    </row>
    <row r="23" customFormat="false" ht="15" hidden="false" customHeight="false" outlineLevel="0" collapsed="false">
      <c r="A23" s="7" t="s">
        <v>1725</v>
      </c>
      <c r="B23" s="9" t="s">
        <v>1704</v>
      </c>
      <c r="C23" s="7" t="n">
        <v>2329.56</v>
      </c>
      <c r="D23" s="12" t="n">
        <v>-0.4094</v>
      </c>
      <c r="E23" s="7" t="s">
        <v>1726</v>
      </c>
    </row>
    <row r="24" customFormat="false" ht="15" hidden="false" customHeight="false" outlineLevel="0" collapsed="false">
      <c r="A24" s="7" t="s">
        <v>1726</v>
      </c>
      <c r="B24" s="8" t="s">
        <v>1706</v>
      </c>
      <c r="C24" s="7" t="n">
        <v>1375.75</v>
      </c>
      <c r="D24" s="12" t="n">
        <v>0.1821</v>
      </c>
      <c r="E24" s="7" t="s">
        <v>1727</v>
      </c>
    </row>
    <row r="25" customFormat="false" ht="15" hidden="false" customHeight="false" outlineLevel="0" collapsed="false">
      <c r="A25" s="7" t="s">
        <v>1727</v>
      </c>
      <c r="B25" s="9" t="s">
        <v>1704</v>
      </c>
      <c r="C25" s="7" t="n">
        <v>1626.27</v>
      </c>
      <c r="D25" s="12" t="n">
        <v>-0.2607</v>
      </c>
      <c r="E25" s="7" t="s">
        <v>1728</v>
      </c>
    </row>
    <row r="26" customFormat="false" ht="15" hidden="false" customHeight="false" outlineLevel="0" collapsed="false">
      <c r="A26" s="7" t="s">
        <v>1728</v>
      </c>
      <c r="B26" s="8" t="s">
        <v>1706</v>
      </c>
      <c r="C26" s="7" t="n">
        <v>1202.37</v>
      </c>
      <c r="D26" s="12" t="n">
        <v>0.2555</v>
      </c>
      <c r="E26" s="7" t="s">
        <v>1729</v>
      </c>
    </row>
    <row r="27" customFormat="false" ht="15" hidden="false" customHeight="false" outlineLevel="0" collapsed="false">
      <c r="A27" s="7" t="s">
        <v>1729</v>
      </c>
      <c r="B27" s="9" t="s">
        <v>1704</v>
      </c>
      <c r="C27" s="7" t="n">
        <v>1509.57</v>
      </c>
      <c r="D27" s="12" t="n">
        <v>-0.2322</v>
      </c>
      <c r="E27" s="7" t="s">
        <v>1730</v>
      </c>
    </row>
    <row r="28" customFormat="false" ht="15" hidden="false" customHeight="false" outlineLevel="0" collapsed="false">
      <c r="A28" s="7" t="s">
        <v>1730</v>
      </c>
      <c r="B28" s="8" t="s">
        <v>1706</v>
      </c>
      <c r="C28" s="7" t="n">
        <v>1158.99</v>
      </c>
      <c r="D28" s="12" t="n">
        <v>0.9944</v>
      </c>
      <c r="E28" s="7" t="s">
        <v>1731</v>
      </c>
    </row>
    <row r="29" customFormat="false" ht="15" hidden="false" customHeight="false" outlineLevel="0" collapsed="false">
      <c r="A29" s="7" t="s">
        <v>1731</v>
      </c>
      <c r="B29" s="9" t="s">
        <v>1704</v>
      </c>
      <c r="C29" s="7" t="n">
        <v>2311.48</v>
      </c>
      <c r="D29" s="12" t="n">
        <v>-0.1733</v>
      </c>
      <c r="E29" s="7" t="s">
        <v>1732</v>
      </c>
    </row>
    <row r="30" customFormat="false" ht="15" hidden="false" customHeight="false" outlineLevel="0" collapsed="false">
      <c r="A30" s="7" t="s">
        <v>1732</v>
      </c>
      <c r="B30" s="8" t="s">
        <v>1706</v>
      </c>
      <c r="C30" s="7" t="n">
        <v>1911</v>
      </c>
      <c r="D30" s="12" t="n">
        <v>0.3737</v>
      </c>
      <c r="E30" s="7" t="s">
        <v>1733</v>
      </c>
    </row>
    <row r="31" customFormat="false" ht="15" hidden="false" customHeight="false" outlineLevel="0" collapsed="false">
      <c r="A31" s="7" t="s">
        <v>1733</v>
      </c>
      <c r="B31" s="9" t="s">
        <v>1704</v>
      </c>
      <c r="C31" s="7" t="n">
        <v>2625.19</v>
      </c>
      <c r="D31" s="12" t="n">
        <v>-0.1871</v>
      </c>
      <c r="E31" s="7" t="s">
        <v>1734</v>
      </c>
    </row>
    <row r="32" customFormat="false" ht="15" hidden="false" customHeight="false" outlineLevel="0" collapsed="false">
      <c r="A32" s="7" t="s">
        <v>1734</v>
      </c>
      <c r="B32" s="8" t="s">
        <v>1706</v>
      </c>
      <c r="C32" s="7" t="n">
        <v>2133.95</v>
      </c>
      <c r="D32" s="12" t="n">
        <v>1.2343</v>
      </c>
      <c r="E32" s="7" t="s">
        <v>1735</v>
      </c>
    </row>
    <row r="33" customFormat="false" ht="15" hidden="false" customHeight="false" outlineLevel="0" collapsed="false">
      <c r="A33" s="7" t="s">
        <v>1735</v>
      </c>
      <c r="B33" s="9" t="s">
        <v>1704</v>
      </c>
      <c r="C33" s="7" t="n">
        <v>4767.81</v>
      </c>
      <c r="D33" s="12" t="n">
        <v>-0.1824</v>
      </c>
      <c r="E33" s="7" t="s">
        <v>1736</v>
      </c>
    </row>
    <row r="34" customFormat="false" ht="15" hidden="false" customHeight="false" outlineLevel="0" collapsed="false">
      <c r="A34" s="7" t="s">
        <v>1736</v>
      </c>
      <c r="B34" s="8" t="s">
        <v>1706</v>
      </c>
      <c r="C34" s="7" t="n">
        <v>3898.07</v>
      </c>
      <c r="D34" s="12" t="n">
        <v>0.9651</v>
      </c>
      <c r="E34" s="7" t="s">
        <v>1737</v>
      </c>
    </row>
    <row r="35" customFormat="false" ht="15" hidden="false" customHeight="false" outlineLevel="0" collapsed="false">
      <c r="A35" s="7" t="s">
        <v>1737</v>
      </c>
      <c r="B35" s="9" t="s">
        <v>1704</v>
      </c>
      <c r="C35" s="7" t="n">
        <v>7660.18</v>
      </c>
      <c r="D35" s="12" t="n">
        <v>-0.2299</v>
      </c>
      <c r="E35" s="7" t="s">
        <v>1738</v>
      </c>
    </row>
    <row r="36" customFormat="false" ht="15" hidden="false" customHeight="false" outlineLevel="0" collapsed="false">
      <c r="A36" s="7" t="s">
        <v>1738</v>
      </c>
      <c r="B36" s="8" t="s">
        <v>1706</v>
      </c>
      <c r="C36" s="7" t="n">
        <v>5899.35</v>
      </c>
      <c r="D36" s="12" t="n">
        <v>0.6474</v>
      </c>
      <c r="E36" s="7" t="s">
        <v>74</v>
      </c>
    </row>
    <row r="37" customFormat="false" ht="15" hidden="false" customHeight="false" outlineLevel="0" collapsed="false">
      <c r="A37" s="7" t="s">
        <v>74</v>
      </c>
      <c r="B37" s="9" t="s">
        <v>1704</v>
      </c>
      <c r="C37" s="7" t="n">
        <v>9718.73</v>
      </c>
      <c r="D37" s="12" t="n">
        <v>-0.2803</v>
      </c>
      <c r="E37" s="7" t="s">
        <v>98</v>
      </c>
    </row>
    <row r="38" customFormat="false" ht="15" hidden="false" customHeight="false" outlineLevel="0" collapsed="false">
      <c r="A38" s="7" t="s">
        <v>98</v>
      </c>
      <c r="B38" s="8" t="s">
        <v>1706</v>
      </c>
      <c r="C38" s="7" t="n">
        <v>6994.29</v>
      </c>
      <c r="D38" s="12" t="n">
        <v>1.3696</v>
      </c>
      <c r="E38" s="7" t="s">
        <v>520</v>
      </c>
    </row>
    <row r="39" customFormat="false" ht="15" hidden="false" customHeight="false" outlineLevel="0" collapsed="false">
      <c r="A39" s="7" t="s">
        <v>520</v>
      </c>
      <c r="B39" s="9" t="s">
        <v>1704</v>
      </c>
      <c r="C39" s="7" t="n">
        <v>16573.34</v>
      </c>
      <c r="D39" s="12" t="n">
        <v>-0.2128</v>
      </c>
      <c r="E39" s="7" t="s">
        <v>597</v>
      </c>
    </row>
    <row r="40" customFormat="false" ht="15" hidden="false" customHeight="false" outlineLevel="0" collapsed="false">
      <c r="A40" s="7" t="s">
        <v>597</v>
      </c>
      <c r="B40" s="8" t="s">
        <v>1706</v>
      </c>
      <c r="C40" s="7" t="n">
        <v>13046.64</v>
      </c>
      <c r="D40" s="12" t="n">
        <v>0.1681</v>
      </c>
      <c r="E40" s="7" t="s">
        <v>608</v>
      </c>
    </row>
    <row r="41" customFormat="false" ht="15" hidden="false" customHeight="false" outlineLevel="0" collapsed="false">
      <c r="A41" s="7" t="s">
        <v>608</v>
      </c>
      <c r="B41" s="9" t="s">
        <v>1704</v>
      </c>
      <c r="C41" s="7" t="n">
        <v>15239.32</v>
      </c>
      <c r="D41" s="12" t="n">
        <v>-0.2698</v>
      </c>
      <c r="E41" s="7" t="s">
        <v>663</v>
      </c>
    </row>
    <row r="42" customFormat="false" ht="15" hidden="false" customHeight="false" outlineLevel="0" collapsed="false">
      <c r="A42" s="7" t="s">
        <v>663</v>
      </c>
      <c r="B42" s="8" t="s">
        <v>1706</v>
      </c>
      <c r="C42" s="7" t="n">
        <v>11127.57</v>
      </c>
      <c r="D42" s="12" t="n">
        <v>0.2282</v>
      </c>
      <c r="E42" s="7" t="s">
        <v>703</v>
      </c>
    </row>
    <row r="43" customFormat="false" ht="15" hidden="false" customHeight="false" outlineLevel="0" collapsed="false">
      <c r="A43" s="7" t="s">
        <v>703</v>
      </c>
      <c r="B43" s="9" t="s">
        <v>1704</v>
      </c>
      <c r="C43" s="7" t="n">
        <v>13667.18</v>
      </c>
      <c r="D43" s="12" t="n">
        <v>-0.2186</v>
      </c>
      <c r="E43" s="7" t="s">
        <v>797</v>
      </c>
    </row>
    <row r="44" customFormat="false" ht="15" hidden="false" customHeight="false" outlineLevel="0" collapsed="false">
      <c r="A44" s="7" t="s">
        <v>797</v>
      </c>
      <c r="B44" s="8" t="s">
        <v>1706</v>
      </c>
      <c r="C44" s="7" t="n">
        <v>10679.34</v>
      </c>
      <c r="D44" s="12" t="n">
        <v>1.0765</v>
      </c>
      <c r="E44" s="7" t="s">
        <v>1333</v>
      </c>
    </row>
    <row r="45" customFormat="false" ht="15" hidden="false" customHeight="false" outlineLevel="0" collapsed="false">
      <c r="A45" s="7" t="s">
        <v>1333</v>
      </c>
      <c r="B45" s="9" t="s">
        <v>1704</v>
      </c>
      <c r="C45" s="7" t="n">
        <v>22175.6</v>
      </c>
      <c r="D45" s="12" t="n">
        <v>-0.2293</v>
      </c>
      <c r="E45" s="7" t="s">
        <v>1367</v>
      </c>
    </row>
    <row r="46" customFormat="false" ht="15" hidden="false" customHeight="false" outlineLevel="0" collapsed="false">
      <c r="A46" s="7" t="s">
        <v>1367</v>
      </c>
      <c r="B46" s="8" t="s">
        <v>1706</v>
      </c>
      <c r="C46" s="7" t="n">
        <v>17090.4</v>
      </c>
      <c r="D46" s="12" t="n">
        <v>0.7451</v>
      </c>
      <c r="E46" s="7" t="s">
        <v>1681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6.4" hidden="false" customHeight="false" outlineLevel="0" collapsed="false">
      <c r="A1" s="11" t="s">
        <v>1739</v>
      </c>
    </row>
    <row r="2" customFormat="false" ht="15" hidden="false" customHeight="false" outlineLevel="0" collapsed="false">
      <c r="A2" s="5" t="s">
        <v>12</v>
      </c>
      <c r="B2" s="5" t="s">
        <v>1740</v>
      </c>
      <c r="C2" s="5" t="s">
        <v>1741</v>
      </c>
      <c r="D2" s="5" t="s">
        <v>1742</v>
      </c>
    </row>
    <row r="3" customFormat="false" ht="15" hidden="false" customHeight="false" outlineLevel="0" collapsed="false">
      <c r="A3" s="7" t="s">
        <v>1743</v>
      </c>
      <c r="B3" s="7" t="s">
        <v>1744</v>
      </c>
      <c r="C3" s="8" t="s">
        <v>1706</v>
      </c>
      <c r="D3" s="13" t="s">
        <v>1745</v>
      </c>
    </row>
    <row r="4" customFormat="false" ht="15" hidden="false" customHeight="false" outlineLevel="0" collapsed="false">
      <c r="A4" s="7" t="s">
        <v>1746</v>
      </c>
      <c r="B4" s="7" t="s">
        <v>1747</v>
      </c>
      <c r="C4" s="9" t="s">
        <v>1704</v>
      </c>
      <c r="D4" s="13" t="s">
        <v>1745</v>
      </c>
    </row>
    <row r="5" customFormat="false" ht="15" hidden="false" customHeight="false" outlineLevel="0" collapsed="false">
      <c r="A5" s="7" t="s">
        <v>1748</v>
      </c>
      <c r="B5" s="7" t="s">
        <v>1749</v>
      </c>
      <c r="C5" s="9" t="s">
        <v>1704</v>
      </c>
      <c r="D5" s="13" t="s">
        <v>1745</v>
      </c>
    </row>
    <row r="6" customFormat="false" ht="15" hidden="false" customHeight="false" outlineLevel="0" collapsed="false">
      <c r="A6" s="7" t="s">
        <v>1750</v>
      </c>
      <c r="B6" s="7" t="s">
        <v>1747</v>
      </c>
      <c r="C6" s="9" t="s">
        <v>1704</v>
      </c>
      <c r="D6" s="13" t="s">
        <v>1745</v>
      </c>
    </row>
    <row r="7" customFormat="false" ht="15" hidden="false" customHeight="false" outlineLevel="0" collapsed="false">
      <c r="A7" s="7" t="s">
        <v>1751</v>
      </c>
      <c r="B7" s="7" t="s">
        <v>1752</v>
      </c>
      <c r="C7" s="9" t="s">
        <v>1704</v>
      </c>
      <c r="D7" s="13" t="s">
        <v>1745</v>
      </c>
    </row>
    <row r="8" customFormat="false" ht="15" hidden="false" customHeight="false" outlineLevel="0" collapsed="false">
      <c r="A8" s="7" t="s">
        <v>1753</v>
      </c>
      <c r="B8" s="7" t="s">
        <v>1747</v>
      </c>
      <c r="C8" s="8" t="s">
        <v>1706</v>
      </c>
      <c r="D8" s="13" t="s">
        <v>1745</v>
      </c>
    </row>
    <row r="9" customFormat="false" ht="15" hidden="false" customHeight="false" outlineLevel="0" collapsed="false">
      <c r="A9" s="7" t="s">
        <v>1754</v>
      </c>
      <c r="B9" s="7" t="s">
        <v>1747</v>
      </c>
      <c r="C9" s="9" t="s">
        <v>1704</v>
      </c>
      <c r="D9" s="13" t="s">
        <v>1745</v>
      </c>
    </row>
    <row r="10" customFormat="false" ht="15" hidden="false" customHeight="false" outlineLevel="0" collapsed="false">
      <c r="A10" s="7" t="s">
        <v>1755</v>
      </c>
      <c r="B10" s="7" t="s">
        <v>1747</v>
      </c>
      <c r="C10" s="9" t="s">
        <v>1704</v>
      </c>
      <c r="D10" s="13" t="s">
        <v>1745</v>
      </c>
    </row>
    <row r="11" customFormat="false" ht="15" hidden="false" customHeight="false" outlineLevel="0" collapsed="false">
      <c r="A11" s="7" t="s">
        <v>1756</v>
      </c>
      <c r="B11" s="7" t="s">
        <v>1757</v>
      </c>
      <c r="C11" s="9" t="s">
        <v>1704</v>
      </c>
      <c r="D11" s="13" t="s">
        <v>1745</v>
      </c>
    </row>
    <row r="12" customFormat="false" ht="15" hidden="false" customHeight="false" outlineLevel="0" collapsed="false">
      <c r="A12" s="7" t="s">
        <v>1758</v>
      </c>
      <c r="B12" s="7" t="s">
        <v>1744</v>
      </c>
      <c r="C12" s="9" t="s">
        <v>1704</v>
      </c>
      <c r="D12" s="13" t="s">
        <v>1745</v>
      </c>
    </row>
    <row r="13" customFormat="false" ht="15" hidden="false" customHeight="false" outlineLevel="0" collapsed="false">
      <c r="A13" s="7" t="s">
        <v>1759</v>
      </c>
      <c r="B13" s="7" t="s">
        <v>1747</v>
      </c>
      <c r="C13" s="8" t="s">
        <v>1706</v>
      </c>
      <c r="D13" s="13" t="s">
        <v>1745</v>
      </c>
    </row>
    <row r="14" customFormat="false" ht="15" hidden="false" customHeight="false" outlineLevel="0" collapsed="false">
      <c r="A14" s="7" t="s">
        <v>1760</v>
      </c>
      <c r="B14" s="7" t="s">
        <v>1761</v>
      </c>
      <c r="C14" s="9" t="s">
        <v>1704</v>
      </c>
      <c r="D14" s="13" t="s">
        <v>1745</v>
      </c>
    </row>
    <row r="15" customFormat="false" ht="15" hidden="false" customHeight="false" outlineLevel="0" collapsed="false">
      <c r="A15" s="7" t="s">
        <v>1762</v>
      </c>
      <c r="B15" s="7" t="s">
        <v>1749</v>
      </c>
      <c r="C15" s="8" t="s">
        <v>1706</v>
      </c>
      <c r="D15" s="13" t="s">
        <v>1745</v>
      </c>
    </row>
    <row r="16" customFormat="false" ht="15" hidden="false" customHeight="false" outlineLevel="0" collapsed="false">
      <c r="A16" s="7" t="s">
        <v>1762</v>
      </c>
      <c r="B16" s="7" t="s">
        <v>1747</v>
      </c>
      <c r="C16" s="8" t="s">
        <v>1706</v>
      </c>
      <c r="D16" s="13" t="s">
        <v>1745</v>
      </c>
    </row>
    <row r="17" customFormat="false" ht="15" hidden="false" customHeight="false" outlineLevel="0" collapsed="false">
      <c r="A17" s="7" t="s">
        <v>1763</v>
      </c>
      <c r="B17" s="7" t="s">
        <v>1749</v>
      </c>
      <c r="C17" s="9" t="s">
        <v>1704</v>
      </c>
      <c r="D17" s="13" t="s">
        <v>1745</v>
      </c>
    </row>
    <row r="18" customFormat="false" ht="15" hidden="false" customHeight="false" outlineLevel="0" collapsed="false">
      <c r="A18" s="7" t="s">
        <v>1764</v>
      </c>
      <c r="B18" s="7" t="s">
        <v>1757</v>
      </c>
      <c r="C18" s="9" t="s">
        <v>1704</v>
      </c>
      <c r="D18" s="13" t="s">
        <v>1745</v>
      </c>
    </row>
    <row r="19" customFormat="false" ht="15" hidden="false" customHeight="false" outlineLevel="0" collapsed="false">
      <c r="A19" s="7" t="s">
        <v>1765</v>
      </c>
      <c r="B19" s="7" t="s">
        <v>1749</v>
      </c>
      <c r="C19" s="8" t="s">
        <v>1706</v>
      </c>
      <c r="D19" s="13" t="s">
        <v>1745</v>
      </c>
    </row>
    <row r="20" customFormat="false" ht="15" hidden="false" customHeight="false" outlineLevel="0" collapsed="false">
      <c r="A20" s="7" t="s">
        <v>1766</v>
      </c>
      <c r="B20" s="7" t="s">
        <v>1747</v>
      </c>
      <c r="C20" s="8" t="s">
        <v>1706</v>
      </c>
      <c r="D20" s="13" t="s">
        <v>1745</v>
      </c>
    </row>
    <row r="21" customFormat="false" ht="15" hidden="false" customHeight="false" outlineLevel="0" collapsed="false">
      <c r="A21" s="7" t="s">
        <v>1767</v>
      </c>
      <c r="B21" s="7" t="s">
        <v>1747</v>
      </c>
      <c r="C21" s="8" t="s">
        <v>1706</v>
      </c>
      <c r="D21" s="13" t="s">
        <v>1745</v>
      </c>
    </row>
    <row r="22" customFormat="false" ht="15" hidden="false" customHeight="false" outlineLevel="0" collapsed="false">
      <c r="A22" s="7" t="s">
        <v>1768</v>
      </c>
      <c r="B22" s="7" t="s">
        <v>1747</v>
      </c>
      <c r="C22" s="8" t="s">
        <v>1706</v>
      </c>
      <c r="D22" s="13" t="s">
        <v>1745</v>
      </c>
    </row>
    <row r="23" customFormat="false" ht="15" hidden="false" customHeight="false" outlineLevel="0" collapsed="false">
      <c r="A23" s="7" t="s">
        <v>1769</v>
      </c>
      <c r="B23" s="7" t="s">
        <v>1747</v>
      </c>
      <c r="C23" s="9" t="s">
        <v>1704</v>
      </c>
      <c r="D23" s="13" t="s">
        <v>1745</v>
      </c>
    </row>
    <row r="24" customFormat="false" ht="15" hidden="false" customHeight="false" outlineLevel="0" collapsed="false">
      <c r="A24" s="7" t="s">
        <v>1769</v>
      </c>
      <c r="B24" s="7" t="s">
        <v>1749</v>
      </c>
      <c r="C24" s="9" t="s">
        <v>1704</v>
      </c>
      <c r="D24" s="13" t="s">
        <v>1745</v>
      </c>
    </row>
    <row r="25" customFormat="false" ht="15" hidden="false" customHeight="false" outlineLevel="0" collapsed="false">
      <c r="A25" s="7" t="s">
        <v>1770</v>
      </c>
      <c r="B25" s="7" t="s">
        <v>1744</v>
      </c>
      <c r="C25" s="8" t="s">
        <v>1706</v>
      </c>
      <c r="D25" s="13" t="s">
        <v>1745</v>
      </c>
    </row>
    <row r="26" customFormat="false" ht="15" hidden="false" customHeight="false" outlineLevel="0" collapsed="false">
      <c r="A26" s="7" t="s">
        <v>1771</v>
      </c>
      <c r="B26" s="7" t="s">
        <v>1752</v>
      </c>
      <c r="C26" s="9" t="s">
        <v>1704</v>
      </c>
      <c r="D26" s="13" t="s">
        <v>1745</v>
      </c>
    </row>
    <row r="27" customFormat="false" ht="15" hidden="false" customHeight="false" outlineLevel="0" collapsed="false">
      <c r="A27" s="7" t="s">
        <v>1772</v>
      </c>
      <c r="B27" s="7" t="s">
        <v>1747</v>
      </c>
      <c r="C27" s="9" t="s">
        <v>1704</v>
      </c>
      <c r="D27" s="13" t="s">
        <v>1745</v>
      </c>
    </row>
    <row r="28" customFormat="false" ht="15" hidden="false" customHeight="false" outlineLevel="0" collapsed="false">
      <c r="A28" s="7" t="s">
        <v>1773</v>
      </c>
      <c r="B28" s="7" t="s">
        <v>1747</v>
      </c>
      <c r="C28" s="8" t="s">
        <v>1706</v>
      </c>
      <c r="D28" s="13" t="s">
        <v>1745</v>
      </c>
    </row>
    <row r="29" customFormat="false" ht="15" hidden="false" customHeight="false" outlineLevel="0" collapsed="false">
      <c r="A29" s="7" t="s">
        <v>1774</v>
      </c>
      <c r="B29" s="7" t="s">
        <v>1744</v>
      </c>
      <c r="C29" s="8" t="s">
        <v>1706</v>
      </c>
      <c r="D29" s="13" t="s">
        <v>1745</v>
      </c>
    </row>
    <row r="30" customFormat="false" ht="15" hidden="false" customHeight="false" outlineLevel="0" collapsed="false">
      <c r="A30" s="7" t="s">
        <v>1774</v>
      </c>
      <c r="B30" s="7" t="s">
        <v>1749</v>
      </c>
      <c r="C30" s="8" t="s">
        <v>1706</v>
      </c>
      <c r="D30" s="13" t="s">
        <v>1745</v>
      </c>
    </row>
    <row r="31" customFormat="false" ht="15" hidden="false" customHeight="false" outlineLevel="0" collapsed="false">
      <c r="A31" s="7" t="s">
        <v>1775</v>
      </c>
      <c r="B31" s="7" t="s">
        <v>1752</v>
      </c>
      <c r="C31" s="9" t="s">
        <v>1704</v>
      </c>
      <c r="D31" s="13" t="s">
        <v>1745</v>
      </c>
    </row>
    <row r="32" customFormat="false" ht="15" hidden="false" customHeight="false" outlineLevel="0" collapsed="false">
      <c r="A32" s="7" t="s">
        <v>1776</v>
      </c>
      <c r="B32" s="7" t="s">
        <v>1747</v>
      </c>
      <c r="C32" s="9" t="s">
        <v>1704</v>
      </c>
      <c r="D32" s="13" t="s">
        <v>1745</v>
      </c>
    </row>
    <row r="33" customFormat="false" ht="15" hidden="false" customHeight="false" outlineLevel="0" collapsed="false">
      <c r="A33" s="7" t="s">
        <v>1777</v>
      </c>
      <c r="B33" s="7" t="s">
        <v>1744</v>
      </c>
      <c r="C33" s="8" t="s">
        <v>1706</v>
      </c>
      <c r="D33" s="13" t="s">
        <v>1745</v>
      </c>
    </row>
    <row r="34" customFormat="false" ht="15" hidden="false" customHeight="false" outlineLevel="0" collapsed="false">
      <c r="A34" s="7" t="s">
        <v>1778</v>
      </c>
      <c r="B34" s="7" t="s">
        <v>1752</v>
      </c>
      <c r="C34" s="9" t="s">
        <v>1704</v>
      </c>
      <c r="D34" s="13" t="s">
        <v>1745</v>
      </c>
    </row>
    <row r="35" customFormat="false" ht="15" hidden="false" customHeight="false" outlineLevel="0" collapsed="false">
      <c r="A35" s="7" t="s">
        <v>1779</v>
      </c>
      <c r="B35" s="7" t="s">
        <v>1744</v>
      </c>
      <c r="C35" s="8" t="s">
        <v>1706</v>
      </c>
      <c r="D35" s="13" t="s">
        <v>1745</v>
      </c>
    </row>
    <row r="36" customFormat="false" ht="15" hidden="false" customHeight="false" outlineLevel="0" collapsed="false">
      <c r="A36" s="7" t="s">
        <v>1780</v>
      </c>
      <c r="B36" s="7" t="s">
        <v>1752</v>
      </c>
      <c r="C36" s="9" t="s">
        <v>1704</v>
      </c>
      <c r="D36" s="13" t="s">
        <v>1745</v>
      </c>
    </row>
    <row r="37" customFormat="false" ht="15" hidden="false" customHeight="false" outlineLevel="0" collapsed="false">
      <c r="A37" s="7" t="s">
        <v>1781</v>
      </c>
      <c r="B37" s="7" t="s">
        <v>1747</v>
      </c>
      <c r="C37" s="9" t="s">
        <v>1704</v>
      </c>
      <c r="D37" s="13" t="s">
        <v>1745</v>
      </c>
    </row>
    <row r="38" customFormat="false" ht="15" hidden="false" customHeight="false" outlineLevel="0" collapsed="false">
      <c r="A38" s="7" t="s">
        <v>1781</v>
      </c>
      <c r="B38" s="7" t="s">
        <v>1744</v>
      </c>
      <c r="C38" s="8" t="s">
        <v>1706</v>
      </c>
      <c r="D38" s="13" t="s">
        <v>1745</v>
      </c>
    </row>
    <row r="39" customFormat="false" ht="15" hidden="false" customHeight="false" outlineLevel="0" collapsed="false">
      <c r="A39" s="7" t="s">
        <v>1782</v>
      </c>
      <c r="B39" s="7" t="s">
        <v>1747</v>
      </c>
      <c r="C39" s="9" t="s">
        <v>1704</v>
      </c>
      <c r="D39" s="13" t="s">
        <v>1745</v>
      </c>
    </row>
    <row r="40" customFormat="false" ht="15" hidden="false" customHeight="false" outlineLevel="0" collapsed="false">
      <c r="A40" s="7" t="s">
        <v>1783</v>
      </c>
      <c r="B40" s="7" t="s">
        <v>1761</v>
      </c>
      <c r="C40" s="9" t="s">
        <v>1704</v>
      </c>
      <c r="D40" s="13" t="s">
        <v>1745</v>
      </c>
    </row>
    <row r="41" customFormat="false" ht="15" hidden="false" customHeight="false" outlineLevel="0" collapsed="false">
      <c r="A41" s="7" t="s">
        <v>1784</v>
      </c>
      <c r="B41" s="7" t="s">
        <v>1744</v>
      </c>
      <c r="C41" s="8" t="s">
        <v>1706</v>
      </c>
      <c r="D41" s="13" t="s">
        <v>1745</v>
      </c>
    </row>
    <row r="42" customFormat="false" ht="15" hidden="false" customHeight="false" outlineLevel="0" collapsed="false">
      <c r="A42" s="7" t="s">
        <v>1785</v>
      </c>
      <c r="B42" s="7" t="s">
        <v>1749</v>
      </c>
      <c r="C42" s="9" t="s">
        <v>1704</v>
      </c>
      <c r="D42" s="13" t="s">
        <v>1745</v>
      </c>
    </row>
    <row r="43" customFormat="false" ht="15" hidden="false" customHeight="false" outlineLevel="0" collapsed="false">
      <c r="A43" s="7" t="s">
        <v>1786</v>
      </c>
      <c r="B43" s="7" t="s">
        <v>1752</v>
      </c>
      <c r="C43" s="9" t="s">
        <v>1704</v>
      </c>
      <c r="D43" s="13" t="s">
        <v>1745</v>
      </c>
    </row>
    <row r="44" customFormat="false" ht="15" hidden="false" customHeight="false" outlineLevel="0" collapsed="false">
      <c r="A44" s="7" t="s">
        <v>1786</v>
      </c>
      <c r="B44" s="7" t="s">
        <v>1747</v>
      </c>
      <c r="C44" s="9" t="s">
        <v>1704</v>
      </c>
      <c r="D44" s="13" t="s">
        <v>1745</v>
      </c>
    </row>
    <row r="45" customFormat="false" ht="15" hidden="false" customHeight="false" outlineLevel="0" collapsed="false">
      <c r="A45" s="7" t="s">
        <v>1787</v>
      </c>
      <c r="B45" s="7" t="s">
        <v>1752</v>
      </c>
      <c r="C45" s="9" t="s">
        <v>1704</v>
      </c>
      <c r="D45" s="13" t="s">
        <v>1745</v>
      </c>
    </row>
    <row r="46" customFormat="false" ht="15" hidden="false" customHeight="false" outlineLevel="0" collapsed="false">
      <c r="A46" s="7" t="s">
        <v>1788</v>
      </c>
      <c r="B46" s="7" t="s">
        <v>1747</v>
      </c>
      <c r="C46" s="9" t="s">
        <v>1704</v>
      </c>
      <c r="D46" s="13" t="s">
        <v>1745</v>
      </c>
    </row>
    <row r="47" customFormat="false" ht="15" hidden="false" customHeight="false" outlineLevel="0" collapsed="false">
      <c r="A47" s="7" t="s">
        <v>1788</v>
      </c>
      <c r="B47" s="7" t="s">
        <v>1761</v>
      </c>
      <c r="C47" s="9" t="s">
        <v>1704</v>
      </c>
      <c r="D47" s="13" t="s">
        <v>1745</v>
      </c>
    </row>
    <row r="48" customFormat="false" ht="15" hidden="false" customHeight="false" outlineLevel="0" collapsed="false">
      <c r="A48" s="7" t="s">
        <v>1789</v>
      </c>
      <c r="B48" s="7" t="s">
        <v>1749</v>
      </c>
      <c r="C48" s="8" t="s">
        <v>1706</v>
      </c>
      <c r="D48" s="13" t="s">
        <v>1745</v>
      </c>
    </row>
    <row r="49" customFormat="false" ht="15" hidden="false" customHeight="false" outlineLevel="0" collapsed="false">
      <c r="A49" s="7" t="s">
        <v>1790</v>
      </c>
      <c r="B49" s="7" t="s">
        <v>1747</v>
      </c>
      <c r="C49" s="8" t="s">
        <v>1706</v>
      </c>
      <c r="D49" s="13" t="s">
        <v>1745</v>
      </c>
    </row>
    <row r="50" customFormat="false" ht="15" hidden="false" customHeight="false" outlineLevel="0" collapsed="false">
      <c r="A50" s="7" t="s">
        <v>1791</v>
      </c>
      <c r="B50" s="7" t="s">
        <v>1749</v>
      </c>
      <c r="C50" s="9" t="s">
        <v>1704</v>
      </c>
      <c r="D50" s="13" t="s">
        <v>1745</v>
      </c>
    </row>
    <row r="51" customFormat="false" ht="15" hidden="false" customHeight="false" outlineLevel="0" collapsed="false">
      <c r="A51" s="7" t="s">
        <v>1792</v>
      </c>
      <c r="B51" s="7" t="s">
        <v>1747</v>
      </c>
      <c r="C51" s="8" t="s">
        <v>1706</v>
      </c>
      <c r="D51" s="13" t="s">
        <v>1745</v>
      </c>
    </row>
    <row r="52" customFormat="false" ht="15" hidden="false" customHeight="false" outlineLevel="0" collapsed="false">
      <c r="A52" s="7" t="s">
        <v>1793</v>
      </c>
      <c r="B52" s="7" t="s">
        <v>1744</v>
      </c>
      <c r="C52" s="9" t="s">
        <v>1704</v>
      </c>
      <c r="D52" s="13" t="s">
        <v>1745</v>
      </c>
    </row>
    <row r="53" customFormat="false" ht="15" hidden="false" customHeight="false" outlineLevel="0" collapsed="false">
      <c r="A53" s="7" t="s">
        <v>1794</v>
      </c>
      <c r="B53" s="7" t="s">
        <v>1747</v>
      </c>
      <c r="C53" s="9" t="s">
        <v>1704</v>
      </c>
      <c r="D53" s="13" t="s">
        <v>1745</v>
      </c>
    </row>
    <row r="54" customFormat="false" ht="15" hidden="false" customHeight="false" outlineLevel="0" collapsed="false">
      <c r="A54" s="7" t="s">
        <v>1794</v>
      </c>
      <c r="B54" s="7" t="s">
        <v>1757</v>
      </c>
      <c r="C54" s="9" t="s">
        <v>1704</v>
      </c>
      <c r="D54" s="13" t="s">
        <v>1745</v>
      </c>
    </row>
    <row r="55" customFormat="false" ht="15" hidden="false" customHeight="false" outlineLevel="0" collapsed="false">
      <c r="A55" s="7" t="s">
        <v>1795</v>
      </c>
      <c r="B55" s="7" t="s">
        <v>1749</v>
      </c>
      <c r="C55" s="8" t="s">
        <v>1706</v>
      </c>
      <c r="D55" s="13" t="s">
        <v>1745</v>
      </c>
    </row>
    <row r="56" customFormat="false" ht="15" hidden="false" customHeight="false" outlineLevel="0" collapsed="false">
      <c r="A56" s="7" t="s">
        <v>1796</v>
      </c>
      <c r="B56" s="7" t="s">
        <v>1752</v>
      </c>
      <c r="C56" s="9" t="s">
        <v>1704</v>
      </c>
      <c r="D56" s="13" t="s">
        <v>1745</v>
      </c>
    </row>
    <row r="57" customFormat="false" ht="15" hidden="false" customHeight="false" outlineLevel="0" collapsed="false">
      <c r="A57" s="7" t="s">
        <v>1797</v>
      </c>
      <c r="B57" s="7" t="s">
        <v>1744</v>
      </c>
      <c r="C57" s="9" t="s">
        <v>1704</v>
      </c>
      <c r="D57" s="13" t="s">
        <v>1745</v>
      </c>
    </row>
    <row r="58" customFormat="false" ht="15" hidden="false" customHeight="false" outlineLevel="0" collapsed="false">
      <c r="A58" s="7" t="s">
        <v>1798</v>
      </c>
      <c r="B58" s="7" t="s">
        <v>1747</v>
      </c>
      <c r="C58" s="9" t="s">
        <v>1704</v>
      </c>
      <c r="D58" s="13" t="s">
        <v>1745</v>
      </c>
    </row>
    <row r="59" customFormat="false" ht="15" hidden="false" customHeight="false" outlineLevel="0" collapsed="false">
      <c r="A59" s="7" t="s">
        <v>1799</v>
      </c>
      <c r="B59" s="7" t="s">
        <v>1747</v>
      </c>
      <c r="C59" s="9" t="s">
        <v>1704</v>
      </c>
      <c r="D59" s="13" t="s">
        <v>1745</v>
      </c>
    </row>
    <row r="60" customFormat="false" ht="15" hidden="false" customHeight="false" outlineLevel="0" collapsed="false">
      <c r="A60" s="7" t="s">
        <v>1800</v>
      </c>
      <c r="B60" s="7" t="s">
        <v>1744</v>
      </c>
      <c r="C60" s="9" t="s">
        <v>1704</v>
      </c>
      <c r="D60" s="13" t="s">
        <v>1745</v>
      </c>
    </row>
    <row r="61" customFormat="false" ht="15" hidden="false" customHeight="false" outlineLevel="0" collapsed="false">
      <c r="A61" s="7" t="s">
        <v>1801</v>
      </c>
      <c r="B61" s="7" t="s">
        <v>1747</v>
      </c>
      <c r="C61" s="9" t="s">
        <v>1704</v>
      </c>
      <c r="D61" s="13" t="s">
        <v>1745</v>
      </c>
    </row>
    <row r="62" customFormat="false" ht="15" hidden="false" customHeight="false" outlineLevel="0" collapsed="false">
      <c r="A62" s="7" t="s">
        <v>1802</v>
      </c>
      <c r="B62" s="7" t="s">
        <v>1744</v>
      </c>
      <c r="C62" s="8" t="s">
        <v>1706</v>
      </c>
      <c r="D62" s="13" t="s">
        <v>1745</v>
      </c>
    </row>
    <row r="63" customFormat="false" ht="15" hidden="false" customHeight="false" outlineLevel="0" collapsed="false">
      <c r="A63" s="7" t="s">
        <v>1803</v>
      </c>
      <c r="B63" s="7" t="s">
        <v>1744</v>
      </c>
      <c r="C63" s="9" t="s">
        <v>1704</v>
      </c>
      <c r="D63" s="13" t="s">
        <v>1745</v>
      </c>
    </row>
    <row r="64" customFormat="false" ht="15" hidden="false" customHeight="false" outlineLevel="0" collapsed="false">
      <c r="A64" s="7" t="s">
        <v>1804</v>
      </c>
      <c r="B64" s="7" t="s">
        <v>1749</v>
      </c>
      <c r="C64" s="9" t="s">
        <v>1704</v>
      </c>
      <c r="D64" s="13" t="s">
        <v>1745</v>
      </c>
    </row>
    <row r="65" customFormat="false" ht="15" hidden="false" customHeight="false" outlineLevel="0" collapsed="false">
      <c r="A65" s="7" t="s">
        <v>1805</v>
      </c>
      <c r="B65" s="7" t="s">
        <v>1747</v>
      </c>
      <c r="C65" s="9" t="s">
        <v>1704</v>
      </c>
      <c r="D65" s="13" t="s">
        <v>1745</v>
      </c>
    </row>
    <row r="66" customFormat="false" ht="15" hidden="false" customHeight="false" outlineLevel="0" collapsed="false">
      <c r="A66" s="7" t="s">
        <v>1806</v>
      </c>
      <c r="B66" s="7" t="s">
        <v>1747</v>
      </c>
      <c r="C66" s="9" t="s">
        <v>1704</v>
      </c>
      <c r="D66" s="13" t="s">
        <v>1745</v>
      </c>
    </row>
    <row r="67" customFormat="false" ht="15" hidden="false" customHeight="false" outlineLevel="0" collapsed="false">
      <c r="A67" s="7" t="s">
        <v>1807</v>
      </c>
      <c r="B67" s="7" t="s">
        <v>1747</v>
      </c>
      <c r="C67" s="9" t="s">
        <v>1704</v>
      </c>
      <c r="D67" s="13" t="s">
        <v>1745</v>
      </c>
    </row>
    <row r="68" customFormat="false" ht="15" hidden="false" customHeight="false" outlineLevel="0" collapsed="false">
      <c r="A68" s="7" t="s">
        <v>1808</v>
      </c>
      <c r="B68" s="7" t="s">
        <v>1747</v>
      </c>
      <c r="C68" s="9" t="s">
        <v>1704</v>
      </c>
      <c r="D68" s="13" t="s">
        <v>1745</v>
      </c>
    </row>
    <row r="69" customFormat="false" ht="15" hidden="false" customHeight="false" outlineLevel="0" collapsed="false">
      <c r="A69" s="7" t="s">
        <v>1809</v>
      </c>
      <c r="B69" s="7" t="s">
        <v>1749</v>
      </c>
      <c r="C69" s="8" t="s">
        <v>1706</v>
      </c>
      <c r="D69" s="13" t="s">
        <v>1745</v>
      </c>
    </row>
    <row r="70" customFormat="false" ht="15" hidden="false" customHeight="false" outlineLevel="0" collapsed="false">
      <c r="A70" s="7" t="s">
        <v>1810</v>
      </c>
      <c r="B70" s="7" t="s">
        <v>1747</v>
      </c>
      <c r="C70" s="9" t="s">
        <v>1704</v>
      </c>
      <c r="D70" s="13" t="s">
        <v>1745</v>
      </c>
    </row>
    <row r="71" customFormat="false" ht="15" hidden="false" customHeight="false" outlineLevel="0" collapsed="false">
      <c r="A71" s="7" t="s">
        <v>1810</v>
      </c>
      <c r="B71" s="7" t="s">
        <v>1761</v>
      </c>
      <c r="C71" s="9" t="s">
        <v>1704</v>
      </c>
      <c r="D71" s="13" t="s">
        <v>1745</v>
      </c>
    </row>
    <row r="72" customFormat="false" ht="15" hidden="false" customHeight="false" outlineLevel="0" collapsed="false">
      <c r="A72" s="7" t="s">
        <v>1811</v>
      </c>
      <c r="B72" s="7" t="s">
        <v>1749</v>
      </c>
      <c r="C72" s="8" t="s">
        <v>1706</v>
      </c>
      <c r="D72" s="13" t="s">
        <v>1745</v>
      </c>
    </row>
    <row r="73" customFormat="false" ht="15" hidden="false" customHeight="false" outlineLevel="0" collapsed="false">
      <c r="A73" s="7" t="s">
        <v>1812</v>
      </c>
      <c r="B73" s="7" t="s">
        <v>1744</v>
      </c>
      <c r="C73" s="9" t="s">
        <v>1704</v>
      </c>
      <c r="D73" s="13" t="s">
        <v>1745</v>
      </c>
    </row>
    <row r="74" customFormat="false" ht="15" hidden="false" customHeight="false" outlineLevel="0" collapsed="false">
      <c r="A74" s="7" t="s">
        <v>1813</v>
      </c>
      <c r="B74" s="7" t="s">
        <v>1744</v>
      </c>
      <c r="C74" s="8" t="s">
        <v>1706</v>
      </c>
      <c r="D74" s="13" t="s">
        <v>1745</v>
      </c>
    </row>
    <row r="75" customFormat="false" ht="15" hidden="false" customHeight="false" outlineLevel="0" collapsed="false">
      <c r="A75" s="7" t="s">
        <v>1814</v>
      </c>
      <c r="B75" s="7" t="s">
        <v>1815</v>
      </c>
      <c r="C75" s="9" t="s">
        <v>1704</v>
      </c>
      <c r="D75" s="13" t="s">
        <v>1816</v>
      </c>
    </row>
    <row r="76" customFormat="false" ht="15" hidden="false" customHeight="false" outlineLevel="0" collapsed="false">
      <c r="A76" s="7" t="s">
        <v>1817</v>
      </c>
      <c r="B76" s="7" t="s">
        <v>1749</v>
      </c>
      <c r="C76" s="9" t="s">
        <v>1704</v>
      </c>
      <c r="D76" s="13" t="s">
        <v>1745</v>
      </c>
    </row>
    <row r="77" customFormat="false" ht="15" hidden="false" customHeight="false" outlineLevel="0" collapsed="false">
      <c r="A77" s="7" t="s">
        <v>1818</v>
      </c>
      <c r="B77" s="7" t="s">
        <v>1815</v>
      </c>
      <c r="C77" s="9" t="s">
        <v>1704</v>
      </c>
      <c r="D77" s="13" t="s">
        <v>1816</v>
      </c>
    </row>
    <row r="78" customFormat="false" ht="15" hidden="false" customHeight="false" outlineLevel="0" collapsed="false">
      <c r="A78" s="7" t="s">
        <v>1818</v>
      </c>
      <c r="B78" s="7" t="s">
        <v>1819</v>
      </c>
      <c r="C78" s="9" t="s">
        <v>1704</v>
      </c>
      <c r="D78" s="13" t="s">
        <v>1820</v>
      </c>
    </row>
    <row r="79" customFormat="false" ht="15" hidden="false" customHeight="false" outlineLevel="0" collapsed="false">
      <c r="A79" s="7" t="s">
        <v>1821</v>
      </c>
      <c r="B79" s="7" t="s">
        <v>1822</v>
      </c>
      <c r="C79" s="9" t="s">
        <v>1704</v>
      </c>
      <c r="D79" s="13" t="s">
        <v>1823</v>
      </c>
    </row>
    <row r="80" customFormat="false" ht="15" hidden="false" customHeight="false" outlineLevel="0" collapsed="false">
      <c r="A80" s="7" t="s">
        <v>1824</v>
      </c>
      <c r="B80" s="7" t="s">
        <v>1822</v>
      </c>
      <c r="C80" s="9" t="s">
        <v>1704</v>
      </c>
      <c r="D80" s="13" t="s">
        <v>1823</v>
      </c>
    </row>
    <row r="81" customFormat="false" ht="15" hidden="false" customHeight="false" outlineLevel="0" collapsed="false">
      <c r="A81" s="7" t="s">
        <v>1825</v>
      </c>
      <c r="B81" s="7" t="s">
        <v>1819</v>
      </c>
      <c r="C81" s="9" t="s">
        <v>1704</v>
      </c>
      <c r="D81" s="13" t="s">
        <v>1820</v>
      </c>
    </row>
    <row r="82" customFormat="false" ht="15" hidden="false" customHeight="false" outlineLevel="0" collapsed="false">
      <c r="A82" s="7" t="s">
        <v>1826</v>
      </c>
      <c r="B82" s="7" t="s">
        <v>1827</v>
      </c>
      <c r="C82" s="9" t="s">
        <v>1704</v>
      </c>
      <c r="D82" s="13" t="s">
        <v>1820</v>
      </c>
    </row>
    <row r="83" customFormat="false" ht="15" hidden="false" customHeight="false" outlineLevel="0" collapsed="false">
      <c r="A83" s="7" t="s">
        <v>1828</v>
      </c>
      <c r="B83" s="7" t="s">
        <v>1815</v>
      </c>
      <c r="C83" s="9" t="s">
        <v>1704</v>
      </c>
      <c r="D83" s="13" t="s">
        <v>1816</v>
      </c>
    </row>
    <row r="84" customFormat="false" ht="15" hidden="false" customHeight="false" outlineLevel="0" collapsed="false">
      <c r="A84" s="7" t="s">
        <v>1829</v>
      </c>
      <c r="B84" s="7" t="s">
        <v>1815</v>
      </c>
      <c r="C84" s="9" t="s">
        <v>1704</v>
      </c>
      <c r="D84" s="13" t="s">
        <v>1816</v>
      </c>
    </row>
    <row r="85" customFormat="false" ht="15" hidden="false" customHeight="false" outlineLevel="0" collapsed="false">
      <c r="A85" s="7" t="s">
        <v>1830</v>
      </c>
      <c r="B85" s="7" t="s">
        <v>1815</v>
      </c>
      <c r="C85" s="9" t="s">
        <v>1704</v>
      </c>
      <c r="D85" s="13" t="s">
        <v>1816</v>
      </c>
    </row>
    <row r="86" customFormat="false" ht="15" hidden="false" customHeight="false" outlineLevel="0" collapsed="false">
      <c r="A86" s="7" t="s">
        <v>1831</v>
      </c>
      <c r="B86" s="7" t="s">
        <v>1815</v>
      </c>
      <c r="C86" s="9" t="s">
        <v>1704</v>
      </c>
      <c r="D86" s="13" t="s">
        <v>1816</v>
      </c>
    </row>
    <row r="87" customFormat="false" ht="15" hidden="false" customHeight="false" outlineLevel="0" collapsed="false">
      <c r="A87" s="7" t="s">
        <v>1832</v>
      </c>
      <c r="B87" s="7" t="s">
        <v>1822</v>
      </c>
      <c r="C87" s="9" t="s">
        <v>1704</v>
      </c>
      <c r="D87" s="13" t="s">
        <v>1823</v>
      </c>
    </row>
    <row r="88" customFormat="false" ht="15" hidden="false" customHeight="false" outlineLevel="0" collapsed="false">
      <c r="A88" s="7" t="s">
        <v>1833</v>
      </c>
      <c r="B88" s="7" t="s">
        <v>1827</v>
      </c>
      <c r="C88" s="9" t="s">
        <v>1704</v>
      </c>
      <c r="D88" s="13" t="s">
        <v>1820</v>
      </c>
    </row>
    <row r="89" customFormat="false" ht="15" hidden="false" customHeight="false" outlineLevel="0" collapsed="false">
      <c r="A89" s="7" t="s">
        <v>1834</v>
      </c>
      <c r="B89" s="7" t="s">
        <v>1822</v>
      </c>
      <c r="C89" s="9" t="s">
        <v>1704</v>
      </c>
      <c r="D89" s="13" t="s">
        <v>1823</v>
      </c>
    </row>
    <row r="90" customFormat="false" ht="15" hidden="false" customHeight="false" outlineLevel="0" collapsed="false">
      <c r="A90" s="7" t="s">
        <v>1835</v>
      </c>
      <c r="B90" s="7" t="s">
        <v>1836</v>
      </c>
      <c r="C90" s="9" t="s">
        <v>1704</v>
      </c>
      <c r="D90" s="13" t="s">
        <v>1816</v>
      </c>
    </row>
    <row r="91" customFormat="false" ht="15" hidden="false" customHeight="false" outlineLevel="0" collapsed="false">
      <c r="A91" s="7" t="s">
        <v>1837</v>
      </c>
      <c r="B91" s="7" t="s">
        <v>1838</v>
      </c>
      <c r="C91" s="9" t="s">
        <v>1704</v>
      </c>
      <c r="D91" s="13" t="s">
        <v>1823</v>
      </c>
    </row>
    <row r="92" customFormat="false" ht="15" hidden="false" customHeight="false" outlineLevel="0" collapsed="false">
      <c r="A92" s="7" t="s">
        <v>1839</v>
      </c>
      <c r="B92" s="7" t="s">
        <v>1836</v>
      </c>
      <c r="C92" s="9" t="s">
        <v>1704</v>
      </c>
      <c r="D92" s="13" t="s">
        <v>1816</v>
      </c>
    </row>
    <row r="93" customFormat="false" ht="15" hidden="false" customHeight="false" outlineLevel="0" collapsed="false">
      <c r="A93" s="7" t="s">
        <v>1840</v>
      </c>
      <c r="B93" s="7" t="s">
        <v>1838</v>
      </c>
      <c r="C93" s="9" t="s">
        <v>1704</v>
      </c>
      <c r="D93" s="13" t="s">
        <v>1823</v>
      </c>
    </row>
    <row r="94" customFormat="false" ht="15" hidden="false" customHeight="false" outlineLevel="0" collapsed="false">
      <c r="A94" s="7" t="s">
        <v>1841</v>
      </c>
      <c r="B94" s="7" t="s">
        <v>1815</v>
      </c>
      <c r="C94" s="9" t="s">
        <v>1704</v>
      </c>
      <c r="D94" s="13" t="s">
        <v>1816</v>
      </c>
    </row>
    <row r="95" customFormat="false" ht="15" hidden="false" customHeight="false" outlineLevel="0" collapsed="false">
      <c r="A95" s="7" t="s">
        <v>1842</v>
      </c>
      <c r="B95" s="7" t="s">
        <v>1815</v>
      </c>
      <c r="C95" s="9" t="s">
        <v>1704</v>
      </c>
      <c r="D95" s="13" t="s">
        <v>1816</v>
      </c>
    </row>
    <row r="96" customFormat="false" ht="15" hidden="false" customHeight="false" outlineLevel="0" collapsed="false">
      <c r="A96" s="7" t="s">
        <v>1843</v>
      </c>
      <c r="B96" s="7" t="s">
        <v>1815</v>
      </c>
      <c r="C96" s="9" t="s">
        <v>1704</v>
      </c>
      <c r="D96" s="13" t="s">
        <v>1816</v>
      </c>
    </row>
    <row r="97" customFormat="false" ht="15" hidden="false" customHeight="false" outlineLevel="0" collapsed="false">
      <c r="A97" s="7" t="s">
        <v>1844</v>
      </c>
      <c r="B97" s="7" t="s">
        <v>1836</v>
      </c>
      <c r="C97" s="9" t="s">
        <v>1704</v>
      </c>
      <c r="D97" s="13" t="s">
        <v>1816</v>
      </c>
    </row>
    <row r="98" customFormat="false" ht="15" hidden="false" customHeight="false" outlineLevel="0" collapsed="false">
      <c r="A98" s="7" t="s">
        <v>1845</v>
      </c>
      <c r="B98" s="7" t="s">
        <v>1838</v>
      </c>
      <c r="C98" s="9" t="s">
        <v>1704</v>
      </c>
      <c r="D98" s="13" t="s">
        <v>1823</v>
      </c>
    </row>
    <row r="99" customFormat="false" ht="15" hidden="false" customHeight="false" outlineLevel="0" collapsed="false">
      <c r="A99" s="7" t="s">
        <v>1846</v>
      </c>
      <c r="B99" s="7" t="s">
        <v>1815</v>
      </c>
      <c r="C99" s="9" t="s">
        <v>1704</v>
      </c>
      <c r="D99" s="13" t="s">
        <v>1816</v>
      </c>
    </row>
    <row r="100" customFormat="false" ht="15" hidden="false" customHeight="false" outlineLevel="0" collapsed="false">
      <c r="A100" s="7" t="s">
        <v>1847</v>
      </c>
      <c r="B100" s="7" t="s">
        <v>1815</v>
      </c>
      <c r="C100" s="9" t="s">
        <v>1704</v>
      </c>
      <c r="D100" s="13" t="s">
        <v>1816</v>
      </c>
    </row>
    <row r="101" customFormat="false" ht="15" hidden="false" customHeight="false" outlineLevel="0" collapsed="false">
      <c r="A101" s="7" t="s">
        <v>1848</v>
      </c>
      <c r="B101" s="7" t="s">
        <v>1815</v>
      </c>
      <c r="C101" s="9" t="s">
        <v>1704</v>
      </c>
      <c r="D101" s="13" t="s">
        <v>1816</v>
      </c>
    </row>
    <row r="102" customFormat="false" ht="15" hidden="false" customHeight="false" outlineLevel="0" collapsed="false">
      <c r="A102" s="7" t="s">
        <v>1849</v>
      </c>
      <c r="B102" s="7" t="s">
        <v>1836</v>
      </c>
      <c r="C102" s="9" t="s">
        <v>1704</v>
      </c>
      <c r="D102" s="13" t="s">
        <v>1816</v>
      </c>
    </row>
    <row r="103" customFormat="false" ht="15" hidden="false" customHeight="false" outlineLevel="0" collapsed="false">
      <c r="A103" s="7" t="s">
        <v>1850</v>
      </c>
      <c r="B103" s="7" t="s">
        <v>1838</v>
      </c>
      <c r="C103" s="9" t="s">
        <v>1704</v>
      </c>
      <c r="D103" s="13" t="s">
        <v>1823</v>
      </c>
    </row>
    <row r="104" customFormat="false" ht="15" hidden="false" customHeight="false" outlineLevel="0" collapsed="false">
      <c r="A104" s="7" t="s">
        <v>1851</v>
      </c>
      <c r="B104" s="7" t="s">
        <v>1836</v>
      </c>
      <c r="C104" s="9" t="s">
        <v>1704</v>
      </c>
      <c r="D104" s="13" t="s">
        <v>1816</v>
      </c>
    </row>
    <row r="105" customFormat="false" ht="15" hidden="false" customHeight="false" outlineLevel="0" collapsed="false">
      <c r="A105" s="7" t="s">
        <v>1852</v>
      </c>
      <c r="B105" s="7" t="s">
        <v>1838</v>
      </c>
      <c r="C105" s="9" t="s">
        <v>1704</v>
      </c>
      <c r="D105" s="13" t="s">
        <v>1823</v>
      </c>
    </row>
    <row r="106" customFormat="false" ht="15" hidden="false" customHeight="false" outlineLevel="0" collapsed="false">
      <c r="A106" s="7" t="s">
        <v>1853</v>
      </c>
      <c r="B106" s="7" t="s">
        <v>1836</v>
      </c>
      <c r="C106" s="9" t="s">
        <v>1704</v>
      </c>
      <c r="D106" s="13" t="s">
        <v>1816</v>
      </c>
    </row>
    <row r="107" customFormat="false" ht="15" hidden="false" customHeight="false" outlineLevel="0" collapsed="false">
      <c r="A107" s="7" t="s">
        <v>1705</v>
      </c>
      <c r="B107" s="7" t="s">
        <v>1854</v>
      </c>
      <c r="C107" s="9" t="s">
        <v>1704</v>
      </c>
      <c r="D107" s="13" t="s">
        <v>1816</v>
      </c>
    </row>
    <row r="108" customFormat="false" ht="15" hidden="false" customHeight="false" outlineLevel="0" collapsed="false">
      <c r="A108" s="7" t="s">
        <v>1855</v>
      </c>
      <c r="B108" s="7" t="s">
        <v>1854</v>
      </c>
      <c r="C108" s="8" t="s">
        <v>1706</v>
      </c>
      <c r="D108" s="13" t="s">
        <v>1816</v>
      </c>
    </row>
    <row r="109" customFormat="false" ht="15" hidden="false" customHeight="false" outlineLevel="0" collapsed="false">
      <c r="A109" s="7" t="s">
        <v>1856</v>
      </c>
      <c r="B109" s="7" t="s">
        <v>1854</v>
      </c>
      <c r="C109" s="9" t="s">
        <v>1704</v>
      </c>
      <c r="D109" s="13" t="s">
        <v>1816</v>
      </c>
    </row>
    <row r="110" customFormat="false" ht="15" hidden="false" customHeight="false" outlineLevel="0" collapsed="false">
      <c r="A110" s="7" t="s">
        <v>1857</v>
      </c>
      <c r="B110" s="7" t="s">
        <v>1854</v>
      </c>
      <c r="C110" s="8" t="s">
        <v>1706</v>
      </c>
      <c r="D110" s="13" t="s">
        <v>1816</v>
      </c>
    </row>
    <row r="111" customFormat="false" ht="15" hidden="false" customHeight="false" outlineLevel="0" collapsed="false">
      <c r="A111" s="7" t="s">
        <v>1858</v>
      </c>
      <c r="B111" s="7" t="s">
        <v>1757</v>
      </c>
      <c r="C111" s="9" t="s">
        <v>1704</v>
      </c>
      <c r="D111" s="13" t="s">
        <v>1745</v>
      </c>
    </row>
    <row r="112" customFormat="false" ht="15" hidden="false" customHeight="false" outlineLevel="0" collapsed="false">
      <c r="A112" s="7" t="s">
        <v>1859</v>
      </c>
      <c r="B112" s="7" t="s">
        <v>1854</v>
      </c>
      <c r="C112" s="9" t="s">
        <v>1704</v>
      </c>
      <c r="D112" s="13" t="s">
        <v>1816</v>
      </c>
    </row>
    <row r="113" customFormat="false" ht="15" hidden="false" customHeight="false" outlineLevel="0" collapsed="false">
      <c r="A113" s="7" t="s">
        <v>1860</v>
      </c>
      <c r="B113" s="7" t="s">
        <v>1861</v>
      </c>
      <c r="C113" s="8" t="s">
        <v>1706</v>
      </c>
      <c r="D113" s="13" t="s">
        <v>1823</v>
      </c>
    </row>
    <row r="114" customFormat="false" ht="15" hidden="false" customHeight="false" outlineLevel="0" collapsed="false">
      <c r="A114" s="7" t="s">
        <v>1860</v>
      </c>
      <c r="B114" s="7" t="s">
        <v>1854</v>
      </c>
      <c r="C114" s="8" t="s">
        <v>1706</v>
      </c>
      <c r="D114" s="13" t="s">
        <v>1816</v>
      </c>
    </row>
    <row r="115" customFormat="false" ht="15" hidden="false" customHeight="false" outlineLevel="0" collapsed="false">
      <c r="A115" s="7" t="s">
        <v>1862</v>
      </c>
      <c r="B115" s="7" t="s">
        <v>1854</v>
      </c>
      <c r="C115" s="9" t="s">
        <v>1704</v>
      </c>
      <c r="D115" s="13" t="s">
        <v>1816</v>
      </c>
    </row>
    <row r="116" customFormat="false" ht="15" hidden="false" customHeight="false" outlineLevel="0" collapsed="false">
      <c r="A116" s="7" t="s">
        <v>1708</v>
      </c>
      <c r="B116" s="7" t="s">
        <v>1863</v>
      </c>
      <c r="C116" s="8" t="s">
        <v>1706</v>
      </c>
      <c r="D116" s="13" t="s">
        <v>1816</v>
      </c>
    </row>
    <row r="117" customFormat="false" ht="15" hidden="false" customHeight="false" outlineLevel="0" collapsed="false">
      <c r="A117" s="7" t="s">
        <v>1864</v>
      </c>
      <c r="B117" s="7" t="s">
        <v>1747</v>
      </c>
      <c r="C117" s="9" t="s">
        <v>1704</v>
      </c>
      <c r="D117" s="13" t="s">
        <v>1745</v>
      </c>
    </row>
    <row r="118" customFormat="false" ht="15" hidden="false" customHeight="false" outlineLevel="0" collapsed="false">
      <c r="A118" s="7" t="s">
        <v>1865</v>
      </c>
      <c r="B118" s="7" t="s">
        <v>1854</v>
      </c>
      <c r="C118" s="8" t="s">
        <v>1706</v>
      </c>
      <c r="D118" s="13" t="s">
        <v>1816</v>
      </c>
    </row>
    <row r="119" customFormat="false" ht="15" hidden="false" customHeight="false" outlineLevel="0" collapsed="false">
      <c r="A119" s="7" t="s">
        <v>1866</v>
      </c>
      <c r="B119" s="7" t="s">
        <v>1867</v>
      </c>
      <c r="C119" s="9" t="s">
        <v>1704</v>
      </c>
      <c r="D119" s="13" t="s">
        <v>1816</v>
      </c>
    </row>
    <row r="120" customFormat="false" ht="15" hidden="false" customHeight="false" outlineLevel="0" collapsed="false">
      <c r="A120" s="7" t="s">
        <v>1868</v>
      </c>
      <c r="B120" s="7" t="s">
        <v>1861</v>
      </c>
      <c r="C120" s="8" t="s">
        <v>1706</v>
      </c>
      <c r="D120" s="13" t="s">
        <v>1823</v>
      </c>
    </row>
    <row r="121" customFormat="false" ht="15" hidden="false" customHeight="false" outlineLevel="0" collapsed="false">
      <c r="A121" s="7" t="s">
        <v>1869</v>
      </c>
      <c r="B121" s="7" t="s">
        <v>1854</v>
      </c>
      <c r="C121" s="9" t="s">
        <v>1704</v>
      </c>
      <c r="D121" s="13" t="s">
        <v>1816</v>
      </c>
    </row>
    <row r="122" customFormat="false" ht="15" hidden="false" customHeight="false" outlineLevel="0" collapsed="false">
      <c r="A122" s="7" t="s">
        <v>1870</v>
      </c>
      <c r="B122" s="7" t="s">
        <v>1747</v>
      </c>
      <c r="C122" s="9" t="s">
        <v>1704</v>
      </c>
      <c r="D122" s="13" t="s">
        <v>1745</v>
      </c>
    </row>
    <row r="123" customFormat="false" ht="15" hidden="false" customHeight="false" outlineLevel="0" collapsed="false">
      <c r="A123" s="7" t="s">
        <v>1871</v>
      </c>
      <c r="B123" s="7" t="s">
        <v>1854</v>
      </c>
      <c r="C123" s="8" t="s">
        <v>1706</v>
      </c>
      <c r="D123" s="13" t="s">
        <v>1816</v>
      </c>
    </row>
    <row r="124" customFormat="false" ht="15" hidden="false" customHeight="false" outlineLevel="0" collapsed="false">
      <c r="A124" s="7" t="s">
        <v>1872</v>
      </c>
      <c r="B124" s="7" t="s">
        <v>1854</v>
      </c>
      <c r="C124" s="9" t="s">
        <v>1704</v>
      </c>
      <c r="D124" s="13" t="s">
        <v>1816</v>
      </c>
    </row>
    <row r="125" customFormat="false" ht="15" hidden="false" customHeight="false" outlineLevel="0" collapsed="false">
      <c r="A125" s="7" t="s">
        <v>1873</v>
      </c>
      <c r="B125" s="7" t="s">
        <v>1747</v>
      </c>
      <c r="C125" s="9" t="s">
        <v>1704</v>
      </c>
      <c r="D125" s="13" t="s">
        <v>1745</v>
      </c>
    </row>
    <row r="126" customFormat="false" ht="15" hidden="false" customHeight="false" outlineLevel="0" collapsed="false">
      <c r="A126" s="7" t="s">
        <v>1874</v>
      </c>
      <c r="B126" s="7" t="s">
        <v>1875</v>
      </c>
      <c r="C126" s="9" t="s">
        <v>1704</v>
      </c>
      <c r="D126" s="13" t="s">
        <v>1816</v>
      </c>
    </row>
    <row r="127" customFormat="false" ht="15" hidden="false" customHeight="false" outlineLevel="0" collapsed="false">
      <c r="A127" s="7" t="s">
        <v>1876</v>
      </c>
      <c r="B127" s="7" t="s">
        <v>1863</v>
      </c>
      <c r="C127" s="8" t="s">
        <v>1706</v>
      </c>
      <c r="D127" s="13" t="s">
        <v>1816</v>
      </c>
    </row>
    <row r="128" customFormat="false" ht="15" hidden="false" customHeight="false" outlineLevel="0" collapsed="false">
      <c r="A128" s="7" t="s">
        <v>1877</v>
      </c>
      <c r="B128" s="7" t="s">
        <v>1863</v>
      </c>
      <c r="C128" s="8" t="s">
        <v>1706</v>
      </c>
      <c r="D128" s="13" t="s">
        <v>1816</v>
      </c>
    </row>
    <row r="129" customFormat="false" ht="15" hidden="false" customHeight="false" outlineLevel="0" collapsed="false">
      <c r="A129" s="7" t="s">
        <v>1878</v>
      </c>
      <c r="B129" s="7" t="s">
        <v>1863</v>
      </c>
      <c r="C129" s="8" t="s">
        <v>1706</v>
      </c>
      <c r="D129" s="13" t="s">
        <v>1816</v>
      </c>
    </row>
    <row r="130" customFormat="false" ht="15" hidden="false" customHeight="false" outlineLevel="0" collapsed="false">
      <c r="A130" s="7" t="s">
        <v>1879</v>
      </c>
      <c r="B130" s="7" t="s">
        <v>1863</v>
      </c>
      <c r="C130" s="8" t="s">
        <v>1706</v>
      </c>
      <c r="D130" s="13" t="s">
        <v>1816</v>
      </c>
    </row>
    <row r="131" customFormat="false" ht="15" hidden="false" customHeight="false" outlineLevel="0" collapsed="false">
      <c r="A131" s="7" t="s">
        <v>1880</v>
      </c>
      <c r="B131" s="7" t="s">
        <v>1863</v>
      </c>
      <c r="C131" s="8" t="s">
        <v>1706</v>
      </c>
      <c r="D131" s="13" t="s">
        <v>1816</v>
      </c>
    </row>
    <row r="132" customFormat="false" ht="15" hidden="false" customHeight="false" outlineLevel="0" collapsed="false">
      <c r="A132" s="7" t="s">
        <v>1881</v>
      </c>
      <c r="B132" s="7" t="s">
        <v>1863</v>
      </c>
      <c r="C132" s="8" t="s">
        <v>1706</v>
      </c>
      <c r="D132" s="13" t="s">
        <v>1816</v>
      </c>
    </row>
    <row r="133" customFormat="false" ht="15" hidden="false" customHeight="false" outlineLevel="0" collapsed="false">
      <c r="A133" s="7" t="s">
        <v>1882</v>
      </c>
      <c r="B133" s="7" t="s">
        <v>1883</v>
      </c>
      <c r="C133" s="8" t="s">
        <v>1706</v>
      </c>
      <c r="D133" s="13" t="s">
        <v>1816</v>
      </c>
    </row>
    <row r="134" customFormat="false" ht="15" hidden="false" customHeight="false" outlineLevel="0" collapsed="false">
      <c r="A134" s="7" t="s">
        <v>1712</v>
      </c>
      <c r="B134" s="7" t="s">
        <v>1863</v>
      </c>
      <c r="C134" s="8" t="s">
        <v>1706</v>
      </c>
      <c r="D134" s="13" t="s">
        <v>1816</v>
      </c>
    </row>
    <row r="135" customFormat="false" ht="15" hidden="false" customHeight="false" outlineLevel="0" collapsed="false">
      <c r="A135" s="7" t="s">
        <v>1884</v>
      </c>
      <c r="B135" s="7" t="s">
        <v>1883</v>
      </c>
      <c r="C135" s="8" t="s">
        <v>1706</v>
      </c>
      <c r="D135" s="13" t="s">
        <v>1816</v>
      </c>
    </row>
    <row r="136" customFormat="false" ht="15" hidden="false" customHeight="false" outlineLevel="0" collapsed="false">
      <c r="A136" s="7" t="s">
        <v>1713</v>
      </c>
      <c r="B136" s="7" t="s">
        <v>1861</v>
      </c>
      <c r="C136" s="8" t="s">
        <v>1706</v>
      </c>
      <c r="D136" s="13" t="s">
        <v>1823</v>
      </c>
    </row>
    <row r="137" customFormat="false" ht="15" hidden="false" customHeight="false" outlineLevel="0" collapsed="false">
      <c r="A137" s="7" t="s">
        <v>1885</v>
      </c>
      <c r="B137" s="7" t="s">
        <v>1747</v>
      </c>
      <c r="C137" s="8" t="s">
        <v>1706</v>
      </c>
      <c r="D137" s="13" t="s">
        <v>1745</v>
      </c>
    </row>
    <row r="138" customFormat="false" ht="15" hidden="false" customHeight="false" outlineLevel="0" collapsed="false">
      <c r="A138" s="7" t="s">
        <v>1885</v>
      </c>
      <c r="B138" s="7" t="s">
        <v>1749</v>
      </c>
      <c r="C138" s="8" t="s">
        <v>1706</v>
      </c>
      <c r="D138" s="13" t="s">
        <v>1745</v>
      </c>
    </row>
    <row r="139" customFormat="false" ht="15" hidden="false" customHeight="false" outlineLevel="0" collapsed="false">
      <c r="A139" s="7" t="s">
        <v>1886</v>
      </c>
      <c r="B139" s="7" t="s">
        <v>1861</v>
      </c>
      <c r="C139" s="8" t="s">
        <v>1706</v>
      </c>
      <c r="D139" s="13" t="s">
        <v>1823</v>
      </c>
    </row>
    <row r="140" customFormat="false" ht="15" hidden="false" customHeight="false" outlineLevel="0" collapsed="false">
      <c r="A140" s="7" t="s">
        <v>1887</v>
      </c>
      <c r="B140" s="7" t="s">
        <v>1888</v>
      </c>
      <c r="C140" s="8" t="s">
        <v>1706</v>
      </c>
      <c r="D140" s="13" t="s">
        <v>1820</v>
      </c>
    </row>
    <row r="141" customFormat="false" ht="15" hidden="false" customHeight="false" outlineLevel="0" collapsed="false">
      <c r="A141" s="7" t="s">
        <v>1889</v>
      </c>
      <c r="B141" s="7" t="s">
        <v>1888</v>
      </c>
      <c r="C141" s="8" t="s">
        <v>1706</v>
      </c>
      <c r="D141" s="13" t="s">
        <v>1820</v>
      </c>
    </row>
    <row r="142" customFormat="false" ht="15" hidden="false" customHeight="false" outlineLevel="0" collapsed="false">
      <c r="A142" s="7" t="s">
        <v>1890</v>
      </c>
      <c r="B142" s="7" t="s">
        <v>1883</v>
      </c>
      <c r="C142" s="8" t="s">
        <v>1706</v>
      </c>
      <c r="D142" s="13" t="s">
        <v>1816</v>
      </c>
    </row>
    <row r="143" customFormat="false" ht="15" hidden="false" customHeight="false" outlineLevel="0" collapsed="false">
      <c r="A143" s="7" t="s">
        <v>1891</v>
      </c>
      <c r="B143" s="7" t="s">
        <v>1863</v>
      </c>
      <c r="C143" s="8" t="s">
        <v>1706</v>
      </c>
      <c r="D143" s="13" t="s">
        <v>1816</v>
      </c>
    </row>
    <row r="144" customFormat="false" ht="15" hidden="false" customHeight="false" outlineLevel="0" collapsed="false">
      <c r="A144" s="7" t="s">
        <v>1892</v>
      </c>
      <c r="B144" s="7" t="s">
        <v>1863</v>
      </c>
      <c r="C144" s="8" t="s">
        <v>1706</v>
      </c>
      <c r="D144" s="13" t="s">
        <v>1816</v>
      </c>
    </row>
    <row r="145" customFormat="false" ht="15" hidden="false" customHeight="false" outlineLevel="0" collapsed="false">
      <c r="A145" s="7" t="s">
        <v>1893</v>
      </c>
      <c r="B145" s="7" t="s">
        <v>1761</v>
      </c>
      <c r="C145" s="9" t="s">
        <v>1704</v>
      </c>
      <c r="D145" s="13" t="s">
        <v>1745</v>
      </c>
    </row>
    <row r="146" customFormat="false" ht="15" hidden="false" customHeight="false" outlineLevel="0" collapsed="false">
      <c r="A146" s="7" t="s">
        <v>1894</v>
      </c>
      <c r="B146" s="7" t="s">
        <v>1861</v>
      </c>
      <c r="C146" s="8" t="s">
        <v>1706</v>
      </c>
      <c r="D146" s="13" t="s">
        <v>1823</v>
      </c>
    </row>
    <row r="147" customFormat="false" ht="15" hidden="false" customHeight="false" outlineLevel="0" collapsed="false">
      <c r="A147" s="7" t="s">
        <v>1895</v>
      </c>
      <c r="B147" s="7" t="s">
        <v>1888</v>
      </c>
      <c r="C147" s="8" t="s">
        <v>1706</v>
      </c>
      <c r="D147" s="13" t="s">
        <v>1820</v>
      </c>
    </row>
    <row r="148" customFormat="false" ht="15" hidden="false" customHeight="false" outlineLevel="0" collapsed="false">
      <c r="A148" s="7" t="s">
        <v>1896</v>
      </c>
      <c r="B148" s="7" t="s">
        <v>1883</v>
      </c>
      <c r="C148" s="8" t="s">
        <v>1706</v>
      </c>
      <c r="D148" s="13" t="s">
        <v>1816</v>
      </c>
    </row>
    <row r="149" customFormat="false" ht="15" hidden="false" customHeight="false" outlineLevel="0" collapsed="false">
      <c r="A149" s="7" t="s">
        <v>1897</v>
      </c>
      <c r="B149" s="7" t="s">
        <v>1815</v>
      </c>
      <c r="C149" s="9" t="s">
        <v>1704</v>
      </c>
      <c r="D149" s="13" t="s">
        <v>1816</v>
      </c>
    </row>
    <row r="150" customFormat="false" ht="15" hidden="false" customHeight="false" outlineLevel="0" collapsed="false">
      <c r="A150" s="7" t="s">
        <v>1897</v>
      </c>
      <c r="B150" s="7" t="s">
        <v>1854</v>
      </c>
      <c r="C150" s="8" t="s">
        <v>1706</v>
      </c>
      <c r="D150" s="13" t="s">
        <v>1816</v>
      </c>
    </row>
    <row r="151" customFormat="false" ht="15" hidden="false" customHeight="false" outlineLevel="0" collapsed="false">
      <c r="A151" s="7" t="s">
        <v>1897</v>
      </c>
      <c r="B151" s="7" t="s">
        <v>1819</v>
      </c>
      <c r="C151" s="9" t="s">
        <v>1704</v>
      </c>
      <c r="D151" s="13" t="s">
        <v>1820</v>
      </c>
    </row>
    <row r="152" customFormat="false" ht="15" hidden="false" customHeight="false" outlineLevel="0" collapsed="false">
      <c r="A152" s="7" t="s">
        <v>1898</v>
      </c>
      <c r="B152" s="7" t="s">
        <v>1854</v>
      </c>
      <c r="C152" s="9" t="s">
        <v>1704</v>
      </c>
      <c r="D152" s="13" t="s">
        <v>1816</v>
      </c>
    </row>
    <row r="153" customFormat="false" ht="15" hidden="false" customHeight="false" outlineLevel="0" collapsed="false">
      <c r="A153" s="7" t="s">
        <v>1899</v>
      </c>
      <c r="B153" s="7" t="s">
        <v>1854</v>
      </c>
      <c r="C153" s="8" t="s">
        <v>1706</v>
      </c>
      <c r="D153" s="13" t="s">
        <v>1816</v>
      </c>
    </row>
    <row r="154" customFormat="false" ht="15" hidden="false" customHeight="false" outlineLevel="0" collapsed="false">
      <c r="A154" s="7" t="s">
        <v>1900</v>
      </c>
      <c r="B154" s="7" t="s">
        <v>1744</v>
      </c>
      <c r="C154" s="9" t="s">
        <v>1704</v>
      </c>
      <c r="D154" s="13" t="s">
        <v>1745</v>
      </c>
    </row>
    <row r="155" customFormat="false" ht="15" hidden="false" customHeight="false" outlineLevel="0" collapsed="false">
      <c r="A155" s="7" t="s">
        <v>1717</v>
      </c>
      <c r="B155" s="7" t="s">
        <v>1815</v>
      </c>
      <c r="C155" s="9" t="s">
        <v>1704</v>
      </c>
      <c r="D155" s="13" t="s">
        <v>1816</v>
      </c>
    </row>
    <row r="156" customFormat="false" ht="15" hidden="false" customHeight="false" outlineLevel="0" collapsed="false">
      <c r="A156" s="7" t="s">
        <v>1901</v>
      </c>
      <c r="B156" s="7" t="s">
        <v>1867</v>
      </c>
      <c r="C156" s="8" t="s">
        <v>1706</v>
      </c>
      <c r="D156" s="13" t="s">
        <v>1816</v>
      </c>
    </row>
    <row r="157" customFormat="false" ht="15" hidden="false" customHeight="false" outlineLevel="0" collapsed="false">
      <c r="A157" s="7" t="s">
        <v>1902</v>
      </c>
      <c r="B157" s="7" t="s">
        <v>1822</v>
      </c>
      <c r="C157" s="9" t="s">
        <v>1704</v>
      </c>
      <c r="D157" s="13" t="s">
        <v>1823</v>
      </c>
    </row>
    <row r="158" customFormat="false" ht="15" hidden="false" customHeight="false" outlineLevel="0" collapsed="false">
      <c r="A158" s="7" t="s">
        <v>1903</v>
      </c>
      <c r="B158" s="7" t="s">
        <v>1854</v>
      </c>
      <c r="C158" s="9" t="s">
        <v>1704</v>
      </c>
      <c r="D158" s="13" t="s">
        <v>1816</v>
      </c>
    </row>
    <row r="159" customFormat="false" ht="15" hidden="false" customHeight="false" outlineLevel="0" collapsed="false">
      <c r="A159" s="7" t="s">
        <v>1904</v>
      </c>
      <c r="B159" s="7" t="s">
        <v>1854</v>
      </c>
      <c r="C159" s="8" t="s">
        <v>1706</v>
      </c>
      <c r="D159" s="13" t="s">
        <v>1816</v>
      </c>
    </row>
    <row r="160" customFormat="false" ht="15" hidden="false" customHeight="false" outlineLevel="0" collapsed="false">
      <c r="A160" s="7" t="s">
        <v>1905</v>
      </c>
      <c r="B160" s="7" t="s">
        <v>1854</v>
      </c>
      <c r="C160" s="9" t="s">
        <v>1704</v>
      </c>
      <c r="D160" s="13" t="s">
        <v>1816</v>
      </c>
    </row>
    <row r="161" customFormat="false" ht="15" hidden="false" customHeight="false" outlineLevel="0" collapsed="false">
      <c r="A161" s="7" t="s">
        <v>1906</v>
      </c>
      <c r="B161" s="7" t="s">
        <v>1875</v>
      </c>
      <c r="C161" s="9" t="s">
        <v>1704</v>
      </c>
      <c r="D161" s="13" t="s">
        <v>1816</v>
      </c>
    </row>
    <row r="162" customFormat="false" ht="15" hidden="false" customHeight="false" outlineLevel="0" collapsed="false">
      <c r="A162" s="7" t="s">
        <v>1907</v>
      </c>
      <c r="B162" s="7" t="s">
        <v>1854</v>
      </c>
      <c r="C162" s="8" t="s">
        <v>1706</v>
      </c>
      <c r="D162" s="13" t="s">
        <v>1816</v>
      </c>
    </row>
    <row r="163" customFormat="false" ht="15" hidden="false" customHeight="false" outlineLevel="0" collapsed="false">
      <c r="A163" s="7" t="s">
        <v>1908</v>
      </c>
      <c r="B163" s="7" t="s">
        <v>1854</v>
      </c>
      <c r="C163" s="9" t="s">
        <v>1704</v>
      </c>
      <c r="D163" s="13" t="s">
        <v>1816</v>
      </c>
    </row>
    <row r="164" customFormat="false" ht="15" hidden="false" customHeight="false" outlineLevel="0" collapsed="false">
      <c r="A164" s="7" t="s">
        <v>1909</v>
      </c>
      <c r="B164" s="7" t="s">
        <v>1867</v>
      </c>
      <c r="C164" s="9" t="s">
        <v>1704</v>
      </c>
      <c r="D164" s="13" t="s">
        <v>1816</v>
      </c>
    </row>
    <row r="165" customFormat="false" ht="15" hidden="false" customHeight="false" outlineLevel="0" collapsed="false">
      <c r="A165" s="7" t="s">
        <v>1910</v>
      </c>
      <c r="B165" s="7" t="s">
        <v>1747</v>
      </c>
      <c r="C165" s="8" t="s">
        <v>1706</v>
      </c>
      <c r="D165" s="13" t="s">
        <v>1745</v>
      </c>
    </row>
    <row r="166" customFormat="false" ht="15" hidden="false" customHeight="false" outlineLevel="0" collapsed="false">
      <c r="A166" s="7" t="s">
        <v>1911</v>
      </c>
      <c r="B166" s="7" t="s">
        <v>1863</v>
      </c>
      <c r="C166" s="8" t="s">
        <v>1706</v>
      </c>
      <c r="D166" s="13" t="s">
        <v>1816</v>
      </c>
    </row>
    <row r="167" customFormat="false" ht="15" hidden="false" customHeight="false" outlineLevel="0" collapsed="false">
      <c r="A167" s="7" t="s">
        <v>1912</v>
      </c>
      <c r="B167" s="7" t="s">
        <v>1744</v>
      </c>
      <c r="C167" s="8" t="s">
        <v>1706</v>
      </c>
      <c r="D167" s="13" t="s">
        <v>1745</v>
      </c>
    </row>
    <row r="168" customFormat="false" ht="15" hidden="false" customHeight="false" outlineLevel="0" collapsed="false">
      <c r="A168" s="7" t="s">
        <v>1913</v>
      </c>
      <c r="B168" s="7" t="s">
        <v>1888</v>
      </c>
      <c r="C168" s="8" t="s">
        <v>1706</v>
      </c>
      <c r="D168" s="13" t="s">
        <v>1820</v>
      </c>
    </row>
    <row r="169" customFormat="false" ht="15" hidden="false" customHeight="false" outlineLevel="0" collapsed="false">
      <c r="A169" s="7" t="s">
        <v>1913</v>
      </c>
      <c r="B169" s="7" t="s">
        <v>1863</v>
      </c>
      <c r="C169" s="8" t="s">
        <v>1706</v>
      </c>
      <c r="D169" s="13" t="s">
        <v>1816</v>
      </c>
    </row>
    <row r="170" customFormat="false" ht="15" hidden="false" customHeight="false" outlineLevel="0" collapsed="false">
      <c r="A170" s="7" t="s">
        <v>1914</v>
      </c>
      <c r="B170" s="7" t="s">
        <v>1863</v>
      </c>
      <c r="C170" s="8" t="s">
        <v>1706</v>
      </c>
      <c r="D170" s="13" t="s">
        <v>1816</v>
      </c>
    </row>
    <row r="171" customFormat="false" ht="15" hidden="false" customHeight="false" outlineLevel="0" collapsed="false">
      <c r="A171" s="7" t="s">
        <v>1915</v>
      </c>
      <c r="B171" s="7" t="s">
        <v>1863</v>
      </c>
      <c r="C171" s="8" t="s">
        <v>1706</v>
      </c>
      <c r="D171" s="13" t="s">
        <v>1816</v>
      </c>
    </row>
    <row r="172" customFormat="false" ht="15" hidden="false" customHeight="false" outlineLevel="0" collapsed="false">
      <c r="A172" s="7" t="s">
        <v>1916</v>
      </c>
      <c r="B172" s="7" t="s">
        <v>1863</v>
      </c>
      <c r="C172" s="8" t="s">
        <v>1706</v>
      </c>
      <c r="D172" s="13" t="s">
        <v>1816</v>
      </c>
    </row>
    <row r="173" customFormat="false" ht="15" hidden="false" customHeight="false" outlineLevel="0" collapsed="false">
      <c r="A173" s="7" t="s">
        <v>1917</v>
      </c>
      <c r="B173" s="7" t="s">
        <v>1863</v>
      </c>
      <c r="C173" s="8" t="s">
        <v>1706</v>
      </c>
      <c r="D173" s="13" t="s">
        <v>1816</v>
      </c>
    </row>
    <row r="174" customFormat="false" ht="15" hidden="false" customHeight="false" outlineLevel="0" collapsed="false">
      <c r="A174" s="7" t="s">
        <v>1918</v>
      </c>
      <c r="B174" s="7" t="s">
        <v>1863</v>
      </c>
      <c r="C174" s="8" t="s">
        <v>1706</v>
      </c>
      <c r="D174" s="13" t="s">
        <v>1816</v>
      </c>
    </row>
    <row r="175" customFormat="false" ht="15" hidden="false" customHeight="false" outlineLevel="0" collapsed="false">
      <c r="A175" s="7" t="s">
        <v>1919</v>
      </c>
      <c r="B175" s="7" t="s">
        <v>1744</v>
      </c>
      <c r="C175" s="8" t="s">
        <v>1706</v>
      </c>
      <c r="D175" s="13" t="s">
        <v>1745</v>
      </c>
    </row>
    <row r="176" customFormat="false" ht="15" hidden="false" customHeight="false" outlineLevel="0" collapsed="false">
      <c r="A176" s="7" t="s">
        <v>1920</v>
      </c>
      <c r="B176" s="7" t="s">
        <v>1888</v>
      </c>
      <c r="C176" s="8" t="s">
        <v>1706</v>
      </c>
      <c r="D176" s="13" t="s">
        <v>1820</v>
      </c>
    </row>
    <row r="177" customFormat="false" ht="15" hidden="false" customHeight="false" outlineLevel="0" collapsed="false">
      <c r="A177" s="7" t="s">
        <v>1921</v>
      </c>
      <c r="B177" s="7" t="s">
        <v>1863</v>
      </c>
      <c r="C177" s="8" t="s">
        <v>1706</v>
      </c>
      <c r="D177" s="13" t="s">
        <v>1816</v>
      </c>
    </row>
    <row r="178" customFormat="false" ht="15" hidden="false" customHeight="false" outlineLevel="0" collapsed="false">
      <c r="A178" s="7" t="s">
        <v>1922</v>
      </c>
      <c r="B178" s="7" t="s">
        <v>1863</v>
      </c>
      <c r="C178" s="8" t="s">
        <v>1706</v>
      </c>
      <c r="D178" s="13" t="s">
        <v>1816</v>
      </c>
    </row>
    <row r="179" customFormat="false" ht="15" hidden="false" customHeight="false" outlineLevel="0" collapsed="false">
      <c r="A179" s="7" t="s">
        <v>1923</v>
      </c>
      <c r="B179" s="7" t="s">
        <v>1863</v>
      </c>
      <c r="C179" s="8" t="s">
        <v>1706</v>
      </c>
      <c r="D179" s="13" t="s">
        <v>1816</v>
      </c>
    </row>
    <row r="180" customFormat="false" ht="15" hidden="false" customHeight="false" outlineLevel="0" collapsed="false">
      <c r="A180" s="7" t="s">
        <v>1924</v>
      </c>
      <c r="B180" s="7" t="s">
        <v>1883</v>
      </c>
      <c r="C180" s="8" t="s">
        <v>1706</v>
      </c>
      <c r="D180" s="13" t="s">
        <v>1816</v>
      </c>
    </row>
    <row r="181" customFormat="false" ht="15" hidden="false" customHeight="false" outlineLevel="0" collapsed="false">
      <c r="A181" s="7" t="s">
        <v>1718</v>
      </c>
      <c r="B181" s="7" t="s">
        <v>1863</v>
      </c>
      <c r="C181" s="8" t="s">
        <v>1706</v>
      </c>
      <c r="D181" s="13" t="s">
        <v>1816</v>
      </c>
    </row>
    <row r="182" customFormat="false" ht="15" hidden="false" customHeight="false" outlineLevel="0" collapsed="false">
      <c r="A182" s="7" t="s">
        <v>1925</v>
      </c>
      <c r="B182" s="7" t="s">
        <v>1883</v>
      </c>
      <c r="C182" s="8" t="s">
        <v>1706</v>
      </c>
      <c r="D182" s="13" t="s">
        <v>1816</v>
      </c>
    </row>
    <row r="183" customFormat="false" ht="15" hidden="false" customHeight="false" outlineLevel="0" collapsed="false">
      <c r="A183" s="7" t="s">
        <v>1926</v>
      </c>
      <c r="B183" s="7" t="s">
        <v>1744</v>
      </c>
      <c r="C183" s="8" t="s">
        <v>1706</v>
      </c>
      <c r="D183" s="13" t="s">
        <v>1745</v>
      </c>
    </row>
    <row r="184" customFormat="false" ht="15" hidden="false" customHeight="false" outlineLevel="0" collapsed="false">
      <c r="A184" s="7" t="s">
        <v>1926</v>
      </c>
      <c r="B184" s="7" t="s">
        <v>1747</v>
      </c>
      <c r="C184" s="8" t="s">
        <v>1706</v>
      </c>
      <c r="D184" s="13" t="s">
        <v>1745</v>
      </c>
    </row>
    <row r="185" customFormat="false" ht="15" hidden="false" customHeight="false" outlineLevel="0" collapsed="false">
      <c r="A185" s="7" t="s">
        <v>1927</v>
      </c>
      <c r="B185" s="7" t="s">
        <v>1883</v>
      </c>
      <c r="C185" s="8" t="s">
        <v>1706</v>
      </c>
      <c r="D185" s="13" t="s">
        <v>1816</v>
      </c>
    </row>
    <row r="186" customFormat="false" ht="15" hidden="false" customHeight="false" outlineLevel="0" collapsed="false">
      <c r="A186" s="7" t="s">
        <v>1928</v>
      </c>
      <c r="B186" s="7" t="s">
        <v>1929</v>
      </c>
      <c r="C186" s="8" t="s">
        <v>1706</v>
      </c>
      <c r="D186" s="13" t="s">
        <v>1816</v>
      </c>
    </row>
    <row r="187" customFormat="false" ht="15" hidden="false" customHeight="false" outlineLevel="0" collapsed="false">
      <c r="A187" s="7" t="s">
        <v>1930</v>
      </c>
      <c r="B187" s="7" t="s">
        <v>1888</v>
      </c>
      <c r="C187" s="8" t="s">
        <v>1706</v>
      </c>
      <c r="D187" s="13" t="s">
        <v>1820</v>
      </c>
    </row>
    <row r="188" customFormat="false" ht="15" hidden="false" customHeight="false" outlineLevel="0" collapsed="false">
      <c r="A188" s="7" t="s">
        <v>1931</v>
      </c>
      <c r="B188" s="7" t="s">
        <v>1863</v>
      </c>
      <c r="C188" s="8" t="s">
        <v>1706</v>
      </c>
      <c r="D188" s="13" t="s">
        <v>1816</v>
      </c>
    </row>
    <row r="189" customFormat="false" ht="15" hidden="false" customHeight="false" outlineLevel="0" collapsed="false">
      <c r="A189" s="7" t="s">
        <v>1932</v>
      </c>
      <c r="B189" s="7" t="s">
        <v>1883</v>
      </c>
      <c r="C189" s="8" t="s">
        <v>1706</v>
      </c>
      <c r="D189" s="13" t="s">
        <v>1816</v>
      </c>
    </row>
    <row r="190" customFormat="false" ht="15" hidden="false" customHeight="false" outlineLevel="0" collapsed="false">
      <c r="A190" s="7" t="s">
        <v>1933</v>
      </c>
      <c r="B190" s="7" t="s">
        <v>1747</v>
      </c>
      <c r="C190" s="8" t="s">
        <v>1706</v>
      </c>
      <c r="D190" s="13" t="s">
        <v>1745</v>
      </c>
    </row>
    <row r="191" customFormat="false" ht="15" hidden="false" customHeight="false" outlineLevel="0" collapsed="false">
      <c r="A191" s="7" t="s">
        <v>1933</v>
      </c>
      <c r="B191" s="7" t="s">
        <v>1744</v>
      </c>
      <c r="C191" s="8" t="s">
        <v>1706</v>
      </c>
      <c r="D191" s="13" t="s">
        <v>1745</v>
      </c>
    </row>
    <row r="192" customFormat="false" ht="15" hidden="false" customHeight="false" outlineLevel="0" collapsed="false">
      <c r="A192" s="7" t="s">
        <v>1933</v>
      </c>
      <c r="B192" s="7" t="s">
        <v>1761</v>
      </c>
      <c r="C192" s="9" t="s">
        <v>1704</v>
      </c>
      <c r="D192" s="13" t="s">
        <v>1745</v>
      </c>
    </row>
    <row r="193" customFormat="false" ht="15" hidden="false" customHeight="false" outlineLevel="0" collapsed="false">
      <c r="A193" s="7" t="s">
        <v>1934</v>
      </c>
      <c r="B193" s="7" t="s">
        <v>1854</v>
      </c>
      <c r="C193" s="8" t="s">
        <v>1706</v>
      </c>
      <c r="D193" s="13" t="s">
        <v>1816</v>
      </c>
    </row>
    <row r="194" customFormat="false" ht="15" hidden="false" customHeight="false" outlineLevel="0" collapsed="false">
      <c r="A194" s="7" t="s">
        <v>1935</v>
      </c>
      <c r="B194" s="7" t="s">
        <v>1854</v>
      </c>
      <c r="C194" s="9" t="s">
        <v>1704</v>
      </c>
      <c r="D194" s="13" t="s">
        <v>1816</v>
      </c>
    </row>
    <row r="195" customFormat="false" ht="15" hidden="false" customHeight="false" outlineLevel="0" collapsed="false">
      <c r="A195" s="7" t="s">
        <v>1936</v>
      </c>
      <c r="B195" s="7" t="s">
        <v>1867</v>
      </c>
      <c r="C195" s="8" t="s">
        <v>1706</v>
      </c>
      <c r="D195" s="13" t="s">
        <v>1816</v>
      </c>
    </row>
    <row r="196" customFormat="false" ht="15" hidden="false" customHeight="false" outlineLevel="0" collapsed="false">
      <c r="A196" s="7" t="s">
        <v>1937</v>
      </c>
      <c r="B196" s="7" t="s">
        <v>1867</v>
      </c>
      <c r="C196" s="9" t="s">
        <v>1704</v>
      </c>
      <c r="D196" s="13" t="s">
        <v>1816</v>
      </c>
    </row>
    <row r="197" customFormat="false" ht="15" hidden="false" customHeight="false" outlineLevel="0" collapsed="false">
      <c r="A197" s="7" t="s">
        <v>1938</v>
      </c>
      <c r="B197" s="7" t="s">
        <v>1863</v>
      </c>
      <c r="C197" s="8" t="s">
        <v>1706</v>
      </c>
      <c r="D197" s="13" t="s">
        <v>1816</v>
      </c>
    </row>
    <row r="198" customFormat="false" ht="15" hidden="false" customHeight="false" outlineLevel="0" collapsed="false">
      <c r="A198" s="7" t="s">
        <v>1939</v>
      </c>
      <c r="B198" s="7" t="s">
        <v>1854</v>
      </c>
      <c r="C198" s="8" t="s">
        <v>1706</v>
      </c>
      <c r="D198" s="13" t="s">
        <v>1816</v>
      </c>
    </row>
    <row r="199" customFormat="false" ht="15" hidden="false" customHeight="false" outlineLevel="0" collapsed="false">
      <c r="A199" s="7" t="s">
        <v>1940</v>
      </c>
      <c r="B199" s="7" t="s">
        <v>1854</v>
      </c>
      <c r="C199" s="9" t="s">
        <v>1704</v>
      </c>
      <c r="D199" s="13" t="s">
        <v>1816</v>
      </c>
    </row>
    <row r="200" customFormat="false" ht="15" hidden="false" customHeight="false" outlineLevel="0" collapsed="false">
      <c r="A200" s="7" t="s">
        <v>1941</v>
      </c>
      <c r="B200" s="7" t="s">
        <v>1854</v>
      </c>
      <c r="C200" s="8" t="s">
        <v>1706</v>
      </c>
      <c r="D200" s="13" t="s">
        <v>1816</v>
      </c>
    </row>
    <row r="201" customFormat="false" ht="15" hidden="false" customHeight="false" outlineLevel="0" collapsed="false">
      <c r="A201" s="7" t="s">
        <v>1942</v>
      </c>
      <c r="B201" s="7" t="s">
        <v>1867</v>
      </c>
      <c r="C201" s="8" t="s">
        <v>1706</v>
      </c>
      <c r="D201" s="13" t="s">
        <v>1816</v>
      </c>
    </row>
    <row r="202" customFormat="false" ht="15" hidden="false" customHeight="false" outlineLevel="0" collapsed="false">
      <c r="A202" s="7" t="s">
        <v>1943</v>
      </c>
      <c r="B202" s="7" t="s">
        <v>1822</v>
      </c>
      <c r="C202" s="9" t="s">
        <v>1704</v>
      </c>
      <c r="D202" s="13" t="s">
        <v>1823</v>
      </c>
    </row>
    <row r="203" customFormat="false" ht="15" hidden="false" customHeight="false" outlineLevel="0" collapsed="false">
      <c r="A203" s="7" t="s">
        <v>1944</v>
      </c>
      <c r="B203" s="7" t="s">
        <v>1819</v>
      </c>
      <c r="C203" s="9" t="s">
        <v>1704</v>
      </c>
      <c r="D203" s="13" t="s">
        <v>1820</v>
      </c>
    </row>
    <row r="204" customFormat="false" ht="15" hidden="false" customHeight="false" outlineLevel="0" collapsed="false">
      <c r="A204" s="7" t="s">
        <v>1944</v>
      </c>
      <c r="B204" s="7" t="s">
        <v>1815</v>
      </c>
      <c r="C204" s="9" t="s">
        <v>1704</v>
      </c>
      <c r="D204" s="13" t="s">
        <v>1816</v>
      </c>
    </row>
    <row r="205" customFormat="false" ht="15" hidden="false" customHeight="false" outlineLevel="0" collapsed="false">
      <c r="A205" s="7" t="s">
        <v>1945</v>
      </c>
      <c r="B205" s="7" t="s">
        <v>1815</v>
      </c>
      <c r="C205" s="9" t="s">
        <v>1704</v>
      </c>
      <c r="D205" s="13" t="s">
        <v>1816</v>
      </c>
    </row>
    <row r="206" customFormat="false" ht="15" hidden="false" customHeight="false" outlineLevel="0" collapsed="false">
      <c r="A206" s="7" t="s">
        <v>1946</v>
      </c>
      <c r="B206" s="7" t="s">
        <v>1838</v>
      </c>
      <c r="C206" s="9" t="s">
        <v>1704</v>
      </c>
      <c r="D206" s="13" t="s">
        <v>1823</v>
      </c>
    </row>
    <row r="207" customFormat="false" ht="15" hidden="false" customHeight="false" outlineLevel="0" collapsed="false">
      <c r="A207" s="7" t="s">
        <v>1946</v>
      </c>
      <c r="B207" s="7" t="s">
        <v>1815</v>
      </c>
      <c r="C207" s="9" t="s">
        <v>1704</v>
      </c>
      <c r="D207" s="13" t="s">
        <v>1816</v>
      </c>
    </row>
    <row r="208" customFormat="false" ht="15" hidden="false" customHeight="false" outlineLevel="0" collapsed="false">
      <c r="A208" s="7" t="s">
        <v>1947</v>
      </c>
      <c r="B208" s="7" t="s">
        <v>1815</v>
      </c>
      <c r="C208" s="9" t="s">
        <v>1704</v>
      </c>
      <c r="D208" s="13" t="s">
        <v>1816</v>
      </c>
    </row>
    <row r="209" customFormat="false" ht="15" hidden="false" customHeight="false" outlineLevel="0" collapsed="false">
      <c r="A209" s="7" t="s">
        <v>1948</v>
      </c>
      <c r="B209" s="7" t="s">
        <v>1815</v>
      </c>
      <c r="C209" s="9" t="s">
        <v>1704</v>
      </c>
      <c r="D209" s="13" t="s">
        <v>1816</v>
      </c>
    </row>
    <row r="210" customFormat="false" ht="15" hidden="false" customHeight="false" outlineLevel="0" collapsed="false">
      <c r="A210" s="7" t="s">
        <v>1949</v>
      </c>
      <c r="B210" s="7" t="s">
        <v>1883</v>
      </c>
      <c r="C210" s="9" t="s">
        <v>1704</v>
      </c>
      <c r="D210" s="13" t="s">
        <v>1816</v>
      </c>
    </row>
    <row r="211" customFormat="false" ht="15" hidden="false" customHeight="false" outlineLevel="0" collapsed="false">
      <c r="A211" s="7" t="s">
        <v>1950</v>
      </c>
      <c r="B211" s="7" t="s">
        <v>1819</v>
      </c>
      <c r="C211" s="9" t="s">
        <v>1704</v>
      </c>
      <c r="D211" s="13" t="s">
        <v>1820</v>
      </c>
    </row>
    <row r="212" customFormat="false" ht="15" hidden="false" customHeight="false" outlineLevel="0" collapsed="false">
      <c r="A212" s="7" t="s">
        <v>1950</v>
      </c>
      <c r="B212" s="7" t="s">
        <v>1815</v>
      </c>
      <c r="C212" s="9" t="s">
        <v>1704</v>
      </c>
      <c r="D212" s="13" t="s">
        <v>1816</v>
      </c>
    </row>
    <row r="213" customFormat="false" ht="15" hidden="false" customHeight="false" outlineLevel="0" collapsed="false">
      <c r="A213" s="7" t="s">
        <v>1951</v>
      </c>
      <c r="B213" s="7" t="s">
        <v>1838</v>
      </c>
      <c r="C213" s="9" t="s">
        <v>1704</v>
      </c>
      <c r="D213" s="13" t="s">
        <v>1823</v>
      </c>
    </row>
    <row r="214" customFormat="false" ht="15" hidden="false" customHeight="false" outlineLevel="0" collapsed="false">
      <c r="A214" s="7" t="s">
        <v>1952</v>
      </c>
      <c r="B214" s="7" t="s">
        <v>1838</v>
      </c>
      <c r="C214" s="9" t="s">
        <v>1704</v>
      </c>
      <c r="D214" s="13" t="s">
        <v>1823</v>
      </c>
    </row>
    <row r="215" customFormat="false" ht="15" hidden="false" customHeight="false" outlineLevel="0" collapsed="false">
      <c r="A215" s="7" t="s">
        <v>1953</v>
      </c>
      <c r="B215" s="7" t="s">
        <v>1883</v>
      </c>
      <c r="C215" s="9" t="s">
        <v>1704</v>
      </c>
      <c r="D215" s="13" t="s">
        <v>1816</v>
      </c>
    </row>
    <row r="216" customFormat="false" ht="15" hidden="false" customHeight="false" outlineLevel="0" collapsed="false">
      <c r="A216" s="7" t="s">
        <v>1954</v>
      </c>
      <c r="B216" s="7" t="s">
        <v>1838</v>
      </c>
      <c r="C216" s="9" t="s">
        <v>1704</v>
      </c>
      <c r="D216" s="13" t="s">
        <v>1823</v>
      </c>
    </row>
    <row r="217" customFormat="false" ht="15" hidden="false" customHeight="false" outlineLevel="0" collapsed="false">
      <c r="A217" s="7" t="s">
        <v>1955</v>
      </c>
      <c r="B217" s="7" t="s">
        <v>1883</v>
      </c>
      <c r="C217" s="9" t="s">
        <v>1704</v>
      </c>
      <c r="D217" s="13" t="s">
        <v>1816</v>
      </c>
    </row>
    <row r="218" customFormat="false" ht="15" hidden="false" customHeight="false" outlineLevel="0" collapsed="false">
      <c r="A218" s="7" t="s">
        <v>1956</v>
      </c>
      <c r="B218" s="7" t="s">
        <v>1836</v>
      </c>
      <c r="C218" s="9" t="s">
        <v>1704</v>
      </c>
      <c r="D218" s="13" t="s">
        <v>1816</v>
      </c>
    </row>
    <row r="219" customFormat="false" ht="15" hidden="false" customHeight="false" outlineLevel="0" collapsed="false">
      <c r="A219" s="7" t="s">
        <v>1957</v>
      </c>
      <c r="B219" s="7" t="s">
        <v>1815</v>
      </c>
      <c r="C219" s="9" t="s">
        <v>1704</v>
      </c>
      <c r="D219" s="13" t="s">
        <v>1816</v>
      </c>
    </row>
    <row r="220" customFormat="false" ht="15" hidden="false" customHeight="false" outlineLevel="0" collapsed="false">
      <c r="A220" s="7" t="s">
        <v>1957</v>
      </c>
      <c r="B220" s="7" t="s">
        <v>1819</v>
      </c>
      <c r="C220" s="9" t="s">
        <v>1704</v>
      </c>
      <c r="D220" s="13" t="s">
        <v>1820</v>
      </c>
    </row>
    <row r="221" customFormat="false" ht="15" hidden="false" customHeight="false" outlineLevel="0" collapsed="false">
      <c r="A221" s="7" t="s">
        <v>1958</v>
      </c>
      <c r="B221" s="7" t="s">
        <v>1827</v>
      </c>
      <c r="C221" s="9" t="s">
        <v>1704</v>
      </c>
      <c r="D221" s="13" t="s">
        <v>1820</v>
      </c>
    </row>
    <row r="222" customFormat="false" ht="15" hidden="false" customHeight="false" outlineLevel="0" collapsed="false">
      <c r="A222" s="7" t="s">
        <v>1959</v>
      </c>
      <c r="B222" s="7" t="s">
        <v>1838</v>
      </c>
      <c r="C222" s="9" t="s">
        <v>1704</v>
      </c>
      <c r="D222" s="13" t="s">
        <v>1823</v>
      </c>
    </row>
    <row r="223" customFormat="false" ht="15" hidden="false" customHeight="false" outlineLevel="0" collapsed="false">
      <c r="A223" s="7" t="s">
        <v>1960</v>
      </c>
      <c r="B223" s="7" t="s">
        <v>1883</v>
      </c>
      <c r="C223" s="9" t="s">
        <v>1704</v>
      </c>
      <c r="D223" s="13" t="s">
        <v>1816</v>
      </c>
    </row>
    <row r="224" customFormat="false" ht="15" hidden="false" customHeight="false" outlineLevel="0" collapsed="false">
      <c r="A224" s="7" t="s">
        <v>1961</v>
      </c>
      <c r="B224" s="7" t="s">
        <v>1815</v>
      </c>
      <c r="C224" s="9" t="s">
        <v>1704</v>
      </c>
      <c r="D224" s="13" t="s">
        <v>1816</v>
      </c>
    </row>
    <row r="225" customFormat="false" ht="15" hidden="false" customHeight="false" outlineLevel="0" collapsed="false">
      <c r="A225" s="7" t="s">
        <v>1961</v>
      </c>
      <c r="B225" s="7" t="s">
        <v>1819</v>
      </c>
      <c r="C225" s="9" t="s">
        <v>1704</v>
      </c>
      <c r="D225" s="13" t="s">
        <v>1820</v>
      </c>
    </row>
    <row r="226" customFormat="false" ht="15" hidden="false" customHeight="false" outlineLevel="0" collapsed="false">
      <c r="A226" s="7" t="s">
        <v>1962</v>
      </c>
      <c r="B226" s="7" t="s">
        <v>1883</v>
      </c>
      <c r="C226" s="9" t="s">
        <v>1704</v>
      </c>
      <c r="D226" s="13" t="s">
        <v>1816</v>
      </c>
    </row>
    <row r="227" customFormat="false" ht="15" hidden="false" customHeight="false" outlineLevel="0" collapsed="false">
      <c r="A227" s="7" t="s">
        <v>1963</v>
      </c>
      <c r="B227" s="7" t="s">
        <v>1836</v>
      </c>
      <c r="C227" s="9" t="s">
        <v>1704</v>
      </c>
      <c r="D227" s="13" t="s">
        <v>1816</v>
      </c>
    </row>
    <row r="228" customFormat="false" ht="15" hidden="false" customHeight="false" outlineLevel="0" collapsed="false">
      <c r="A228" s="7" t="s">
        <v>1964</v>
      </c>
      <c r="B228" s="7" t="s">
        <v>1838</v>
      </c>
      <c r="C228" s="9" t="s">
        <v>1704</v>
      </c>
      <c r="D228" s="13" t="s">
        <v>1823</v>
      </c>
    </row>
    <row r="229" customFormat="false" ht="15" hidden="false" customHeight="false" outlineLevel="0" collapsed="false">
      <c r="A229" s="7" t="s">
        <v>1965</v>
      </c>
      <c r="B229" s="7" t="s">
        <v>1836</v>
      </c>
      <c r="C229" s="9" t="s">
        <v>1704</v>
      </c>
      <c r="D229" s="13" t="s">
        <v>1816</v>
      </c>
    </row>
    <row r="230" customFormat="false" ht="15" hidden="false" customHeight="false" outlineLevel="0" collapsed="false">
      <c r="A230" s="7" t="s">
        <v>1966</v>
      </c>
      <c r="B230" s="7" t="s">
        <v>1822</v>
      </c>
      <c r="C230" s="9" t="s">
        <v>1704</v>
      </c>
      <c r="D230" s="13" t="s">
        <v>1823</v>
      </c>
    </row>
    <row r="231" customFormat="false" ht="15" hidden="false" customHeight="false" outlineLevel="0" collapsed="false">
      <c r="A231" s="7" t="s">
        <v>1966</v>
      </c>
      <c r="B231" s="7" t="s">
        <v>1838</v>
      </c>
      <c r="C231" s="9" t="s">
        <v>1704</v>
      </c>
      <c r="D231" s="13" t="s">
        <v>1823</v>
      </c>
    </row>
    <row r="232" customFormat="false" ht="15" hidden="false" customHeight="false" outlineLevel="0" collapsed="false">
      <c r="A232" s="7" t="s">
        <v>1967</v>
      </c>
      <c r="B232" s="7" t="s">
        <v>1815</v>
      </c>
      <c r="C232" s="9" t="s">
        <v>1704</v>
      </c>
      <c r="D232" s="13" t="s">
        <v>1816</v>
      </c>
    </row>
    <row r="233" customFormat="false" ht="15" hidden="false" customHeight="false" outlineLevel="0" collapsed="false">
      <c r="A233" s="7" t="s">
        <v>1968</v>
      </c>
      <c r="B233" s="7" t="s">
        <v>1815</v>
      </c>
      <c r="C233" s="9" t="s">
        <v>1704</v>
      </c>
      <c r="D233" s="13" t="s">
        <v>1816</v>
      </c>
    </row>
    <row r="234" customFormat="false" ht="15" hidden="false" customHeight="false" outlineLevel="0" collapsed="false">
      <c r="A234" s="7" t="s">
        <v>1969</v>
      </c>
      <c r="B234" s="7" t="s">
        <v>1815</v>
      </c>
      <c r="C234" s="9" t="s">
        <v>1704</v>
      </c>
      <c r="D234" s="13" t="s">
        <v>1816</v>
      </c>
    </row>
    <row r="235" customFormat="false" ht="15" hidden="false" customHeight="false" outlineLevel="0" collapsed="false">
      <c r="A235" s="7" t="s">
        <v>1970</v>
      </c>
      <c r="B235" s="7" t="s">
        <v>1815</v>
      </c>
      <c r="C235" s="9" t="s">
        <v>1704</v>
      </c>
      <c r="D235" s="13" t="s">
        <v>1816</v>
      </c>
    </row>
    <row r="236" customFormat="false" ht="15" hidden="false" customHeight="false" outlineLevel="0" collapsed="false">
      <c r="A236" s="7" t="s">
        <v>1971</v>
      </c>
      <c r="B236" s="7" t="s">
        <v>1815</v>
      </c>
      <c r="C236" s="9" t="s">
        <v>1704</v>
      </c>
      <c r="D236" s="13" t="s">
        <v>1816</v>
      </c>
    </row>
    <row r="237" customFormat="false" ht="15" hidden="false" customHeight="false" outlineLevel="0" collapsed="false">
      <c r="A237" s="7" t="s">
        <v>1972</v>
      </c>
      <c r="B237" s="7" t="s">
        <v>1883</v>
      </c>
      <c r="C237" s="9" t="s">
        <v>1704</v>
      </c>
      <c r="D237" s="13" t="s">
        <v>1816</v>
      </c>
    </row>
    <row r="238" customFormat="false" ht="15" hidden="false" customHeight="false" outlineLevel="0" collapsed="false">
      <c r="A238" s="7" t="s">
        <v>1973</v>
      </c>
      <c r="B238" s="7" t="s">
        <v>1815</v>
      </c>
      <c r="C238" s="9" t="s">
        <v>1704</v>
      </c>
      <c r="D238" s="13" t="s">
        <v>1816</v>
      </c>
    </row>
    <row r="239" customFormat="false" ht="15" hidden="false" customHeight="false" outlineLevel="0" collapsed="false">
      <c r="A239" s="7" t="s">
        <v>1973</v>
      </c>
      <c r="B239" s="7" t="s">
        <v>1819</v>
      </c>
      <c r="C239" s="9" t="s">
        <v>1704</v>
      </c>
      <c r="D239" s="13" t="s">
        <v>1820</v>
      </c>
    </row>
    <row r="240" customFormat="false" ht="15" hidden="false" customHeight="false" outlineLevel="0" collapsed="false">
      <c r="A240" s="7" t="s">
        <v>1974</v>
      </c>
      <c r="B240" s="7" t="s">
        <v>1883</v>
      </c>
      <c r="C240" s="9" t="s">
        <v>1704</v>
      </c>
      <c r="D240" s="13" t="s">
        <v>1816</v>
      </c>
    </row>
    <row r="241" customFormat="false" ht="15" hidden="false" customHeight="false" outlineLevel="0" collapsed="false">
      <c r="A241" s="7" t="s">
        <v>1975</v>
      </c>
      <c r="B241" s="7" t="s">
        <v>1976</v>
      </c>
      <c r="C241" s="9" t="s">
        <v>1704</v>
      </c>
      <c r="D241" s="13" t="s">
        <v>1820</v>
      </c>
    </row>
    <row r="242" customFormat="false" ht="15" hidden="false" customHeight="false" outlineLevel="0" collapsed="false">
      <c r="A242" s="7" t="s">
        <v>1977</v>
      </c>
      <c r="B242" s="7" t="s">
        <v>1976</v>
      </c>
      <c r="C242" s="9" t="s">
        <v>1704</v>
      </c>
      <c r="D242" s="13" t="s">
        <v>1820</v>
      </c>
    </row>
    <row r="243" customFormat="false" ht="15" hidden="false" customHeight="false" outlineLevel="0" collapsed="false">
      <c r="A243" s="7" t="s">
        <v>1978</v>
      </c>
      <c r="B243" s="7" t="s">
        <v>1929</v>
      </c>
      <c r="C243" s="9" t="s">
        <v>1704</v>
      </c>
      <c r="D243" s="13" t="s">
        <v>1816</v>
      </c>
    </row>
    <row r="244" customFormat="false" ht="15" hidden="false" customHeight="false" outlineLevel="0" collapsed="false">
      <c r="A244" s="7" t="s">
        <v>1979</v>
      </c>
      <c r="B244" s="7" t="s">
        <v>1819</v>
      </c>
      <c r="C244" s="9" t="s">
        <v>1704</v>
      </c>
      <c r="D244" s="13" t="s">
        <v>1820</v>
      </c>
    </row>
    <row r="245" customFormat="false" ht="15" hidden="false" customHeight="false" outlineLevel="0" collapsed="false">
      <c r="A245" s="7" t="s">
        <v>1980</v>
      </c>
      <c r="B245" s="7" t="s">
        <v>1976</v>
      </c>
      <c r="C245" s="9" t="s">
        <v>1704</v>
      </c>
      <c r="D245" s="13" t="s">
        <v>1820</v>
      </c>
    </row>
    <row r="246" customFormat="false" ht="15" hidden="false" customHeight="false" outlineLevel="0" collapsed="false">
      <c r="A246" s="7" t="s">
        <v>1981</v>
      </c>
      <c r="B246" s="7" t="s">
        <v>1883</v>
      </c>
      <c r="C246" s="9" t="s">
        <v>1704</v>
      </c>
      <c r="D246" s="13" t="s">
        <v>1816</v>
      </c>
    </row>
    <row r="247" customFormat="false" ht="15" hidden="false" customHeight="false" outlineLevel="0" collapsed="false">
      <c r="A247" s="7" t="s">
        <v>1982</v>
      </c>
      <c r="B247" s="7" t="s">
        <v>1819</v>
      </c>
      <c r="C247" s="9" t="s">
        <v>1704</v>
      </c>
      <c r="D247" s="13" t="s">
        <v>1820</v>
      </c>
    </row>
    <row r="248" customFormat="false" ht="15" hidden="false" customHeight="false" outlineLevel="0" collapsed="false">
      <c r="A248" s="7" t="s">
        <v>1982</v>
      </c>
      <c r="B248" s="7" t="s">
        <v>1827</v>
      </c>
      <c r="C248" s="9" t="s">
        <v>1704</v>
      </c>
      <c r="D248" s="13" t="s">
        <v>1820</v>
      </c>
    </row>
    <row r="249" customFormat="false" ht="15" hidden="false" customHeight="false" outlineLevel="0" collapsed="false">
      <c r="A249" s="7" t="s">
        <v>1983</v>
      </c>
      <c r="B249" s="7" t="s">
        <v>1976</v>
      </c>
      <c r="C249" s="9" t="s">
        <v>1704</v>
      </c>
      <c r="D249" s="13" t="s">
        <v>1820</v>
      </c>
    </row>
    <row r="250" customFormat="false" ht="15" hidden="false" customHeight="false" outlineLevel="0" collapsed="false">
      <c r="A250" s="7" t="s">
        <v>1721</v>
      </c>
      <c r="B250" s="7" t="s">
        <v>1815</v>
      </c>
      <c r="C250" s="9" t="s">
        <v>1704</v>
      </c>
      <c r="D250" s="13" t="s">
        <v>1816</v>
      </c>
    </row>
    <row r="251" customFormat="false" ht="15" hidden="false" customHeight="false" outlineLevel="0" collapsed="false">
      <c r="A251" s="7" t="s">
        <v>1984</v>
      </c>
      <c r="B251" s="7" t="s">
        <v>1838</v>
      </c>
      <c r="C251" s="9" t="s">
        <v>1704</v>
      </c>
      <c r="D251" s="13" t="s">
        <v>1823</v>
      </c>
    </row>
    <row r="252" customFormat="false" ht="15" hidden="false" customHeight="false" outlineLevel="0" collapsed="false">
      <c r="A252" s="7" t="s">
        <v>1985</v>
      </c>
      <c r="B252" s="7" t="s">
        <v>1883</v>
      </c>
      <c r="C252" s="9" t="s">
        <v>1704</v>
      </c>
      <c r="D252" s="13" t="s">
        <v>1816</v>
      </c>
    </row>
    <row r="253" customFormat="false" ht="15" hidden="false" customHeight="false" outlineLevel="0" collapsed="false">
      <c r="A253" s="7" t="s">
        <v>1986</v>
      </c>
      <c r="B253" s="7" t="s">
        <v>1976</v>
      </c>
      <c r="C253" s="9" t="s">
        <v>1704</v>
      </c>
      <c r="D253" s="13" t="s">
        <v>1820</v>
      </c>
    </row>
    <row r="254" customFormat="false" ht="15" hidden="false" customHeight="false" outlineLevel="0" collapsed="false">
      <c r="A254" s="7" t="s">
        <v>1986</v>
      </c>
      <c r="B254" s="7" t="s">
        <v>1836</v>
      </c>
      <c r="C254" s="9" t="s">
        <v>1704</v>
      </c>
      <c r="D254" s="13" t="s">
        <v>1816</v>
      </c>
    </row>
    <row r="255" customFormat="false" ht="15" hidden="false" customHeight="false" outlineLevel="0" collapsed="false">
      <c r="A255" s="7" t="s">
        <v>1987</v>
      </c>
      <c r="B255" s="7" t="s">
        <v>1838</v>
      </c>
      <c r="C255" s="9" t="s">
        <v>1704</v>
      </c>
      <c r="D255" s="13" t="s">
        <v>1823</v>
      </c>
    </row>
    <row r="256" customFormat="false" ht="15" hidden="false" customHeight="false" outlineLevel="0" collapsed="false">
      <c r="A256" s="7" t="s">
        <v>1988</v>
      </c>
      <c r="B256" s="7" t="s">
        <v>1929</v>
      </c>
      <c r="C256" s="9" t="s">
        <v>1704</v>
      </c>
      <c r="D256" s="13" t="s">
        <v>1816</v>
      </c>
    </row>
    <row r="257" customFormat="false" ht="15" hidden="false" customHeight="false" outlineLevel="0" collapsed="false">
      <c r="A257" s="7" t="s">
        <v>1989</v>
      </c>
      <c r="B257" s="7" t="s">
        <v>1976</v>
      </c>
      <c r="C257" s="9" t="s">
        <v>1704</v>
      </c>
      <c r="D257" s="13" t="s">
        <v>1820</v>
      </c>
    </row>
    <row r="258" customFormat="false" ht="15" hidden="false" customHeight="false" outlineLevel="0" collapsed="false">
      <c r="A258" s="7" t="s">
        <v>1989</v>
      </c>
      <c r="B258" s="7" t="s">
        <v>1836</v>
      </c>
      <c r="C258" s="9" t="s">
        <v>1704</v>
      </c>
      <c r="D258" s="13" t="s">
        <v>1816</v>
      </c>
    </row>
    <row r="259" customFormat="false" ht="15" hidden="false" customHeight="false" outlineLevel="0" collapsed="false">
      <c r="A259" s="7" t="s">
        <v>1990</v>
      </c>
      <c r="B259" s="7" t="s">
        <v>1838</v>
      </c>
      <c r="C259" s="9" t="s">
        <v>1704</v>
      </c>
      <c r="D259" s="13" t="s">
        <v>1823</v>
      </c>
    </row>
    <row r="260" customFormat="false" ht="15" hidden="false" customHeight="false" outlineLevel="0" collapsed="false">
      <c r="A260" s="7" t="s">
        <v>1991</v>
      </c>
      <c r="B260" s="7" t="s">
        <v>1838</v>
      </c>
      <c r="C260" s="9" t="s">
        <v>1704</v>
      </c>
      <c r="D260" s="13" t="s">
        <v>1823</v>
      </c>
    </row>
    <row r="261" customFormat="false" ht="15" hidden="false" customHeight="false" outlineLevel="0" collapsed="false">
      <c r="A261" s="7" t="s">
        <v>1992</v>
      </c>
      <c r="B261" s="7" t="s">
        <v>1836</v>
      </c>
      <c r="C261" s="9" t="s">
        <v>1704</v>
      </c>
      <c r="D261" s="13" t="s">
        <v>1816</v>
      </c>
    </row>
    <row r="262" customFormat="false" ht="15" hidden="false" customHeight="false" outlineLevel="0" collapsed="false">
      <c r="A262" s="7" t="s">
        <v>1993</v>
      </c>
      <c r="B262" s="7" t="s">
        <v>1976</v>
      </c>
      <c r="C262" s="9" t="s">
        <v>1704</v>
      </c>
      <c r="D262" s="13" t="s">
        <v>1820</v>
      </c>
    </row>
    <row r="263" customFormat="false" ht="15" hidden="false" customHeight="false" outlineLevel="0" collapsed="false">
      <c r="A263" s="7" t="s">
        <v>1994</v>
      </c>
      <c r="B263" s="7" t="s">
        <v>1976</v>
      </c>
      <c r="C263" s="9" t="s">
        <v>1704</v>
      </c>
      <c r="D263" s="13" t="s">
        <v>1820</v>
      </c>
    </row>
    <row r="264" customFormat="false" ht="15" hidden="false" customHeight="false" outlineLevel="0" collapsed="false">
      <c r="A264" s="7" t="s">
        <v>1995</v>
      </c>
      <c r="B264" s="7" t="s">
        <v>1976</v>
      </c>
      <c r="C264" s="9" t="s">
        <v>1704</v>
      </c>
      <c r="D264" s="13" t="s">
        <v>1820</v>
      </c>
    </row>
    <row r="265" customFormat="false" ht="15" hidden="false" customHeight="false" outlineLevel="0" collapsed="false">
      <c r="A265" s="7" t="s">
        <v>1996</v>
      </c>
      <c r="B265" s="7" t="s">
        <v>1838</v>
      </c>
      <c r="C265" s="9" t="s">
        <v>1704</v>
      </c>
      <c r="D265" s="13" t="s">
        <v>1823</v>
      </c>
    </row>
    <row r="266" customFormat="false" ht="15" hidden="false" customHeight="false" outlineLevel="0" collapsed="false">
      <c r="A266" s="7" t="s">
        <v>1997</v>
      </c>
      <c r="B266" s="7" t="s">
        <v>1836</v>
      </c>
      <c r="C266" s="9" t="s">
        <v>1704</v>
      </c>
      <c r="D266" s="13" t="s">
        <v>1816</v>
      </c>
    </row>
    <row r="267" customFormat="false" ht="15" hidden="false" customHeight="false" outlineLevel="0" collapsed="false">
      <c r="A267" s="7" t="s">
        <v>1998</v>
      </c>
      <c r="B267" s="7" t="s">
        <v>1976</v>
      </c>
      <c r="C267" s="9" t="s">
        <v>1704</v>
      </c>
      <c r="D267" s="13" t="s">
        <v>1820</v>
      </c>
    </row>
    <row r="268" customFormat="false" ht="15" hidden="false" customHeight="false" outlineLevel="0" collapsed="false">
      <c r="A268" s="7" t="s">
        <v>1999</v>
      </c>
      <c r="B268" s="7" t="s">
        <v>1836</v>
      </c>
      <c r="C268" s="9" t="s">
        <v>1704</v>
      </c>
      <c r="D268" s="13" t="s">
        <v>1816</v>
      </c>
    </row>
    <row r="269" customFormat="false" ht="15" hidden="false" customHeight="false" outlineLevel="0" collapsed="false">
      <c r="A269" s="7" t="s">
        <v>2000</v>
      </c>
      <c r="B269" s="7" t="s">
        <v>1854</v>
      </c>
      <c r="C269" s="9" t="s">
        <v>1704</v>
      </c>
      <c r="D269" s="13" t="s">
        <v>1816</v>
      </c>
    </row>
    <row r="270" customFormat="false" ht="15" hidden="false" customHeight="false" outlineLevel="0" collapsed="false">
      <c r="A270" s="7" t="s">
        <v>2001</v>
      </c>
      <c r="B270" s="7" t="s">
        <v>1854</v>
      </c>
      <c r="C270" s="8" t="s">
        <v>1706</v>
      </c>
      <c r="D270" s="13" t="s">
        <v>1816</v>
      </c>
    </row>
    <row r="271" customFormat="false" ht="15" hidden="false" customHeight="false" outlineLevel="0" collapsed="false">
      <c r="A271" s="7" t="s">
        <v>2002</v>
      </c>
      <c r="B271" s="7" t="s">
        <v>1854</v>
      </c>
      <c r="C271" s="9" t="s">
        <v>1704</v>
      </c>
      <c r="D271" s="13" t="s">
        <v>1816</v>
      </c>
    </row>
    <row r="272" customFormat="false" ht="15" hidden="false" customHeight="false" outlineLevel="0" collapsed="false">
      <c r="A272" s="7" t="s">
        <v>2003</v>
      </c>
      <c r="B272" s="7" t="s">
        <v>1854</v>
      </c>
      <c r="C272" s="8" t="s">
        <v>1706</v>
      </c>
      <c r="D272" s="13" t="s">
        <v>1816</v>
      </c>
    </row>
    <row r="273" customFormat="false" ht="15" hidden="false" customHeight="false" outlineLevel="0" collapsed="false">
      <c r="A273" s="7" t="s">
        <v>2004</v>
      </c>
      <c r="B273" s="7" t="s">
        <v>1976</v>
      </c>
      <c r="C273" s="9" t="s">
        <v>1704</v>
      </c>
      <c r="D273" s="13" t="s">
        <v>1820</v>
      </c>
    </row>
    <row r="274" customFormat="false" ht="15" hidden="false" customHeight="false" outlineLevel="0" collapsed="false">
      <c r="A274" s="7" t="s">
        <v>2005</v>
      </c>
      <c r="B274" s="7" t="s">
        <v>1854</v>
      </c>
      <c r="C274" s="9" t="s">
        <v>1704</v>
      </c>
      <c r="D274" s="13" t="s">
        <v>1816</v>
      </c>
    </row>
    <row r="275" customFormat="false" ht="15" hidden="false" customHeight="false" outlineLevel="0" collapsed="false">
      <c r="A275" s="7" t="s">
        <v>2006</v>
      </c>
      <c r="B275" s="7" t="s">
        <v>1854</v>
      </c>
      <c r="C275" s="8" t="s">
        <v>1706</v>
      </c>
      <c r="D275" s="13" t="s">
        <v>1816</v>
      </c>
    </row>
    <row r="276" customFormat="false" ht="15" hidden="false" customHeight="false" outlineLevel="0" collapsed="false">
      <c r="A276" s="7" t="s">
        <v>2007</v>
      </c>
      <c r="B276" s="7" t="s">
        <v>1976</v>
      </c>
      <c r="C276" s="9" t="s">
        <v>1704</v>
      </c>
      <c r="D276" s="13" t="s">
        <v>1820</v>
      </c>
    </row>
    <row r="277" customFormat="false" ht="15" hidden="false" customHeight="false" outlineLevel="0" collapsed="false">
      <c r="A277" s="7" t="s">
        <v>2008</v>
      </c>
      <c r="B277" s="7" t="s">
        <v>1867</v>
      </c>
      <c r="C277" s="9" t="s">
        <v>1704</v>
      </c>
      <c r="D277" s="13" t="s">
        <v>1816</v>
      </c>
    </row>
    <row r="278" customFormat="false" ht="15" hidden="false" customHeight="false" outlineLevel="0" collapsed="false">
      <c r="A278" s="7" t="s">
        <v>2009</v>
      </c>
      <c r="B278" s="7" t="s">
        <v>1976</v>
      </c>
      <c r="C278" s="9" t="s">
        <v>1704</v>
      </c>
      <c r="D278" s="13" t="s">
        <v>1820</v>
      </c>
    </row>
    <row r="279" customFormat="false" ht="15" hidden="false" customHeight="false" outlineLevel="0" collapsed="false">
      <c r="A279" s="7" t="s">
        <v>2010</v>
      </c>
      <c r="B279" s="7" t="s">
        <v>1976</v>
      </c>
      <c r="C279" s="9" t="s">
        <v>1704</v>
      </c>
      <c r="D279" s="13" t="s">
        <v>1820</v>
      </c>
    </row>
    <row r="280" customFormat="false" ht="15" hidden="false" customHeight="false" outlineLevel="0" collapsed="false">
      <c r="A280" s="7" t="s">
        <v>2011</v>
      </c>
      <c r="B280" s="7" t="s">
        <v>1836</v>
      </c>
      <c r="C280" s="9" t="s">
        <v>1704</v>
      </c>
      <c r="D280" s="13" t="s">
        <v>1816</v>
      </c>
    </row>
    <row r="281" customFormat="false" ht="15" hidden="false" customHeight="false" outlineLevel="0" collapsed="false">
      <c r="A281" s="7" t="s">
        <v>2012</v>
      </c>
      <c r="B281" s="7" t="s">
        <v>1749</v>
      </c>
      <c r="C281" s="9" t="s">
        <v>1704</v>
      </c>
      <c r="D281" s="13" t="s">
        <v>1745</v>
      </c>
    </row>
    <row r="282" customFormat="false" ht="15" hidden="false" customHeight="false" outlineLevel="0" collapsed="false">
      <c r="A282" s="7" t="s">
        <v>2013</v>
      </c>
      <c r="B282" s="7" t="s">
        <v>1836</v>
      </c>
      <c r="C282" s="9" t="s">
        <v>1704</v>
      </c>
      <c r="D282" s="13" t="s">
        <v>1816</v>
      </c>
    </row>
    <row r="283" customFormat="false" ht="15" hidden="false" customHeight="false" outlineLevel="0" collapsed="false">
      <c r="A283" s="7" t="s">
        <v>2014</v>
      </c>
      <c r="B283" s="7" t="s">
        <v>1854</v>
      </c>
      <c r="C283" s="9" t="s">
        <v>1704</v>
      </c>
      <c r="D283" s="13" t="s">
        <v>1816</v>
      </c>
    </row>
    <row r="284" customFormat="false" ht="15" hidden="false" customHeight="false" outlineLevel="0" collapsed="false">
      <c r="A284" s="7" t="s">
        <v>2015</v>
      </c>
      <c r="B284" s="7" t="s">
        <v>1888</v>
      </c>
      <c r="C284" s="8" t="s">
        <v>1706</v>
      </c>
      <c r="D284" s="13" t="s">
        <v>1820</v>
      </c>
    </row>
    <row r="285" customFormat="false" ht="15" hidden="false" customHeight="false" outlineLevel="0" collapsed="false">
      <c r="A285" s="7" t="s">
        <v>2016</v>
      </c>
      <c r="B285" s="7" t="s">
        <v>1875</v>
      </c>
      <c r="C285" s="9" t="s">
        <v>1704</v>
      </c>
      <c r="D285" s="13" t="s">
        <v>1816</v>
      </c>
    </row>
    <row r="286" customFormat="false" ht="15" hidden="false" customHeight="false" outlineLevel="0" collapsed="false">
      <c r="A286" s="7" t="s">
        <v>2017</v>
      </c>
      <c r="B286" s="7" t="s">
        <v>1883</v>
      </c>
      <c r="C286" s="8" t="s">
        <v>1706</v>
      </c>
      <c r="D286" s="13" t="s">
        <v>1816</v>
      </c>
    </row>
    <row r="287" customFormat="false" ht="15" hidden="false" customHeight="false" outlineLevel="0" collapsed="false">
      <c r="A287" s="7" t="s">
        <v>2018</v>
      </c>
      <c r="B287" s="7" t="s">
        <v>1883</v>
      </c>
      <c r="C287" s="8" t="s">
        <v>1706</v>
      </c>
      <c r="D287" s="13" t="s">
        <v>1816</v>
      </c>
    </row>
    <row r="288" customFormat="false" ht="15" hidden="false" customHeight="false" outlineLevel="0" collapsed="false">
      <c r="A288" s="7" t="s">
        <v>2019</v>
      </c>
      <c r="B288" s="7" t="s">
        <v>1929</v>
      </c>
      <c r="C288" s="8" t="s">
        <v>1706</v>
      </c>
      <c r="D288" s="13" t="s">
        <v>1816</v>
      </c>
    </row>
    <row r="289" customFormat="false" ht="15" hidden="false" customHeight="false" outlineLevel="0" collapsed="false">
      <c r="A289" s="7" t="s">
        <v>2020</v>
      </c>
      <c r="B289" s="7" t="s">
        <v>1883</v>
      </c>
      <c r="C289" s="8" t="s">
        <v>1706</v>
      </c>
      <c r="D289" s="13" t="s">
        <v>1816</v>
      </c>
    </row>
    <row r="290" customFormat="false" ht="15" hidden="false" customHeight="false" outlineLevel="0" collapsed="false">
      <c r="A290" s="7" t="s">
        <v>2021</v>
      </c>
      <c r="B290" s="7" t="s">
        <v>1854</v>
      </c>
      <c r="C290" s="8" t="s">
        <v>1706</v>
      </c>
      <c r="D290" s="13" t="s">
        <v>1816</v>
      </c>
    </row>
    <row r="291" customFormat="false" ht="15" hidden="false" customHeight="false" outlineLevel="0" collapsed="false">
      <c r="A291" s="7" t="s">
        <v>2022</v>
      </c>
      <c r="B291" s="7" t="s">
        <v>1854</v>
      </c>
      <c r="C291" s="9" t="s">
        <v>1704</v>
      </c>
      <c r="D291" s="13" t="s">
        <v>1816</v>
      </c>
    </row>
    <row r="292" customFormat="false" ht="15" hidden="false" customHeight="false" outlineLevel="0" collapsed="false">
      <c r="A292" s="7" t="s">
        <v>2023</v>
      </c>
      <c r="B292" s="7" t="s">
        <v>1883</v>
      </c>
      <c r="C292" s="8" t="s">
        <v>1706</v>
      </c>
      <c r="D292" s="13" t="s">
        <v>1816</v>
      </c>
    </row>
    <row r="293" customFormat="false" ht="15" hidden="false" customHeight="false" outlineLevel="0" collapsed="false">
      <c r="A293" s="7" t="s">
        <v>2024</v>
      </c>
      <c r="B293" s="7" t="s">
        <v>1854</v>
      </c>
      <c r="C293" s="8" t="s">
        <v>1706</v>
      </c>
      <c r="D293" s="13" t="s">
        <v>1816</v>
      </c>
    </row>
    <row r="294" customFormat="false" ht="15" hidden="false" customHeight="false" outlineLevel="0" collapsed="false">
      <c r="A294" s="7" t="s">
        <v>2025</v>
      </c>
      <c r="B294" s="7" t="s">
        <v>1815</v>
      </c>
      <c r="C294" s="9" t="s">
        <v>1704</v>
      </c>
      <c r="D294" s="13" t="s">
        <v>1816</v>
      </c>
    </row>
    <row r="295" customFormat="false" ht="15" hidden="false" customHeight="false" outlineLevel="0" collapsed="false">
      <c r="A295" s="7" t="s">
        <v>2026</v>
      </c>
      <c r="B295" s="7" t="s">
        <v>1815</v>
      </c>
      <c r="C295" s="9" t="s">
        <v>1704</v>
      </c>
      <c r="D295" s="13" t="s">
        <v>1816</v>
      </c>
    </row>
    <row r="296" customFormat="false" ht="15" hidden="false" customHeight="false" outlineLevel="0" collapsed="false">
      <c r="A296" s="7" t="s">
        <v>2027</v>
      </c>
      <c r="B296" s="7" t="s">
        <v>1815</v>
      </c>
      <c r="C296" s="9" t="s">
        <v>1704</v>
      </c>
      <c r="D296" s="13" t="s">
        <v>1816</v>
      </c>
    </row>
    <row r="297" customFormat="false" ht="15" hidden="false" customHeight="false" outlineLevel="0" collapsed="false">
      <c r="A297" s="7" t="s">
        <v>2028</v>
      </c>
      <c r="B297" s="7" t="s">
        <v>1867</v>
      </c>
      <c r="C297" s="8" t="s">
        <v>1706</v>
      </c>
      <c r="D297" s="13" t="s">
        <v>1816</v>
      </c>
    </row>
    <row r="298" customFormat="false" ht="15" hidden="false" customHeight="false" outlineLevel="0" collapsed="false">
      <c r="A298" s="7" t="s">
        <v>2029</v>
      </c>
      <c r="B298" s="7" t="s">
        <v>1883</v>
      </c>
      <c r="C298" s="9" t="s">
        <v>1704</v>
      </c>
      <c r="D298" s="13" t="s">
        <v>1816</v>
      </c>
    </row>
    <row r="299" customFormat="false" ht="15" hidden="false" customHeight="false" outlineLevel="0" collapsed="false">
      <c r="A299" s="7" t="s">
        <v>2030</v>
      </c>
      <c r="B299" s="7" t="s">
        <v>1815</v>
      </c>
      <c r="C299" s="9" t="s">
        <v>1704</v>
      </c>
      <c r="D299" s="13" t="s">
        <v>1816</v>
      </c>
    </row>
    <row r="300" customFormat="false" ht="15" hidden="false" customHeight="false" outlineLevel="0" collapsed="false">
      <c r="A300" s="7" t="s">
        <v>2031</v>
      </c>
      <c r="B300" s="7" t="s">
        <v>1815</v>
      </c>
      <c r="C300" s="9" t="s">
        <v>1704</v>
      </c>
      <c r="D300" s="13" t="s">
        <v>1816</v>
      </c>
    </row>
    <row r="301" customFormat="false" ht="15" hidden="false" customHeight="false" outlineLevel="0" collapsed="false">
      <c r="A301" s="7" t="s">
        <v>2032</v>
      </c>
      <c r="B301" s="7" t="s">
        <v>1838</v>
      </c>
      <c r="C301" s="9" t="s">
        <v>1704</v>
      </c>
      <c r="D301" s="13" t="s">
        <v>1823</v>
      </c>
    </row>
    <row r="302" customFormat="false" ht="15" hidden="false" customHeight="false" outlineLevel="0" collapsed="false">
      <c r="A302" s="7" t="s">
        <v>2033</v>
      </c>
      <c r="B302" s="7" t="s">
        <v>1883</v>
      </c>
      <c r="C302" s="9" t="s">
        <v>1704</v>
      </c>
      <c r="D302" s="13" t="s">
        <v>1816</v>
      </c>
    </row>
    <row r="303" customFormat="false" ht="15" hidden="false" customHeight="false" outlineLevel="0" collapsed="false">
      <c r="A303" s="7" t="s">
        <v>2034</v>
      </c>
      <c r="B303" s="7" t="s">
        <v>1815</v>
      </c>
      <c r="C303" s="9" t="s">
        <v>1704</v>
      </c>
      <c r="D303" s="13" t="s">
        <v>1816</v>
      </c>
    </row>
    <row r="304" customFormat="false" ht="15" hidden="false" customHeight="false" outlineLevel="0" collapsed="false">
      <c r="A304" s="7" t="s">
        <v>2035</v>
      </c>
      <c r="B304" s="7" t="s">
        <v>1976</v>
      </c>
      <c r="C304" s="9" t="s">
        <v>1704</v>
      </c>
      <c r="D304" s="13" t="s">
        <v>1820</v>
      </c>
    </row>
    <row r="305" customFormat="false" ht="15" hidden="false" customHeight="false" outlineLevel="0" collapsed="false">
      <c r="A305" s="7" t="s">
        <v>2036</v>
      </c>
      <c r="B305" s="7" t="s">
        <v>1883</v>
      </c>
      <c r="C305" s="9" t="s">
        <v>1704</v>
      </c>
      <c r="D305" s="13" t="s">
        <v>1816</v>
      </c>
    </row>
    <row r="306" customFormat="false" ht="15" hidden="false" customHeight="false" outlineLevel="0" collapsed="false">
      <c r="A306" s="7" t="s">
        <v>2037</v>
      </c>
      <c r="B306" s="7" t="s">
        <v>1976</v>
      </c>
      <c r="C306" s="9" t="s">
        <v>1704</v>
      </c>
      <c r="D306" s="13" t="s">
        <v>1820</v>
      </c>
    </row>
    <row r="307" customFormat="false" ht="15" hidden="false" customHeight="false" outlineLevel="0" collapsed="false">
      <c r="A307" s="7" t="s">
        <v>2038</v>
      </c>
      <c r="B307" s="7" t="s">
        <v>1815</v>
      </c>
      <c r="C307" s="9" t="s">
        <v>1704</v>
      </c>
      <c r="D307" s="13" t="s">
        <v>1816</v>
      </c>
    </row>
    <row r="308" customFormat="false" ht="15" hidden="false" customHeight="false" outlineLevel="0" collapsed="false">
      <c r="A308" s="7" t="s">
        <v>2038</v>
      </c>
      <c r="B308" s="7" t="s">
        <v>1827</v>
      </c>
      <c r="C308" s="9" t="s">
        <v>1704</v>
      </c>
      <c r="D308" s="13" t="s">
        <v>1820</v>
      </c>
    </row>
    <row r="309" customFormat="false" ht="15" hidden="false" customHeight="false" outlineLevel="0" collapsed="false">
      <c r="A309" s="7" t="s">
        <v>2039</v>
      </c>
      <c r="B309" s="7" t="s">
        <v>1815</v>
      </c>
      <c r="C309" s="9" t="s">
        <v>1704</v>
      </c>
      <c r="D309" s="13" t="s">
        <v>1816</v>
      </c>
    </row>
    <row r="310" customFormat="false" ht="15" hidden="false" customHeight="false" outlineLevel="0" collapsed="false">
      <c r="A310" s="7" t="s">
        <v>2039</v>
      </c>
      <c r="B310" s="7" t="s">
        <v>1819</v>
      </c>
      <c r="C310" s="9" t="s">
        <v>1704</v>
      </c>
      <c r="D310" s="13" t="s">
        <v>1820</v>
      </c>
    </row>
    <row r="311" customFormat="false" ht="15" hidden="false" customHeight="false" outlineLevel="0" collapsed="false">
      <c r="A311" s="7" t="s">
        <v>2040</v>
      </c>
      <c r="B311" s="7" t="s">
        <v>1976</v>
      </c>
      <c r="C311" s="9" t="s">
        <v>1704</v>
      </c>
      <c r="D311" s="13" t="s">
        <v>1820</v>
      </c>
    </row>
    <row r="312" customFormat="false" ht="15" hidden="false" customHeight="false" outlineLevel="0" collapsed="false">
      <c r="A312" s="7" t="s">
        <v>2041</v>
      </c>
      <c r="B312" s="7" t="s">
        <v>1838</v>
      </c>
      <c r="C312" s="9" t="s">
        <v>1704</v>
      </c>
      <c r="D312" s="13" t="s">
        <v>1823</v>
      </c>
    </row>
    <row r="313" customFormat="false" ht="15" hidden="false" customHeight="false" outlineLevel="0" collapsed="false">
      <c r="A313" s="7" t="s">
        <v>2041</v>
      </c>
      <c r="B313" s="7" t="s">
        <v>1883</v>
      </c>
      <c r="C313" s="9" t="s">
        <v>1704</v>
      </c>
      <c r="D313" s="13" t="s">
        <v>1816</v>
      </c>
    </row>
    <row r="314" customFormat="false" ht="15" hidden="false" customHeight="false" outlineLevel="0" collapsed="false">
      <c r="A314" s="7" t="s">
        <v>2042</v>
      </c>
      <c r="B314" s="7" t="s">
        <v>1838</v>
      </c>
      <c r="C314" s="9" t="s">
        <v>1704</v>
      </c>
      <c r="D314" s="13" t="s">
        <v>1823</v>
      </c>
    </row>
    <row r="315" customFormat="false" ht="15" hidden="false" customHeight="false" outlineLevel="0" collapsed="false">
      <c r="A315" s="7" t="s">
        <v>2043</v>
      </c>
      <c r="B315" s="7" t="s">
        <v>1836</v>
      </c>
      <c r="C315" s="9" t="s">
        <v>1704</v>
      </c>
      <c r="D315" s="13" t="s">
        <v>1816</v>
      </c>
    </row>
    <row r="316" customFormat="false" ht="15" hidden="false" customHeight="false" outlineLevel="0" collapsed="false">
      <c r="A316" s="7" t="s">
        <v>2044</v>
      </c>
      <c r="B316" s="7" t="s">
        <v>1929</v>
      </c>
      <c r="C316" s="9" t="s">
        <v>1704</v>
      </c>
      <c r="D316" s="13" t="s">
        <v>1816</v>
      </c>
    </row>
    <row r="317" customFormat="false" ht="15" hidden="false" customHeight="false" outlineLevel="0" collapsed="false">
      <c r="A317" s="7" t="s">
        <v>2045</v>
      </c>
      <c r="B317" s="7" t="s">
        <v>1838</v>
      </c>
      <c r="C317" s="9" t="s">
        <v>1704</v>
      </c>
      <c r="D317" s="13" t="s">
        <v>1823</v>
      </c>
    </row>
    <row r="318" customFormat="false" ht="15" hidden="false" customHeight="false" outlineLevel="0" collapsed="false">
      <c r="A318" s="7" t="s">
        <v>2046</v>
      </c>
      <c r="B318" s="7" t="s">
        <v>1838</v>
      </c>
      <c r="C318" s="9" t="s">
        <v>1704</v>
      </c>
      <c r="D318" s="13" t="s">
        <v>1823</v>
      </c>
    </row>
    <row r="319" customFormat="false" ht="15" hidden="false" customHeight="false" outlineLevel="0" collapsed="false">
      <c r="A319" s="7" t="s">
        <v>2047</v>
      </c>
      <c r="B319" s="7" t="s">
        <v>1838</v>
      </c>
      <c r="C319" s="9" t="s">
        <v>1704</v>
      </c>
      <c r="D319" s="13" t="s">
        <v>1823</v>
      </c>
    </row>
    <row r="320" customFormat="false" ht="15" hidden="false" customHeight="false" outlineLevel="0" collapsed="false">
      <c r="A320" s="7" t="s">
        <v>2048</v>
      </c>
      <c r="B320" s="7" t="s">
        <v>1883</v>
      </c>
      <c r="C320" s="9" t="s">
        <v>1704</v>
      </c>
      <c r="D320" s="13" t="s">
        <v>1816</v>
      </c>
    </row>
    <row r="321" customFormat="false" ht="15" hidden="false" customHeight="false" outlineLevel="0" collapsed="false">
      <c r="A321" s="7" t="s">
        <v>2049</v>
      </c>
      <c r="B321" s="7" t="s">
        <v>1976</v>
      </c>
      <c r="C321" s="9" t="s">
        <v>1704</v>
      </c>
      <c r="D321" s="13" t="s">
        <v>1820</v>
      </c>
    </row>
    <row r="322" customFormat="false" ht="15" hidden="false" customHeight="false" outlineLevel="0" collapsed="false">
      <c r="A322" s="7" t="s">
        <v>2049</v>
      </c>
      <c r="B322" s="7" t="s">
        <v>1836</v>
      </c>
      <c r="C322" s="9" t="s">
        <v>1704</v>
      </c>
      <c r="D322" s="13" t="s">
        <v>1816</v>
      </c>
    </row>
    <row r="323" customFormat="false" ht="15" hidden="false" customHeight="false" outlineLevel="0" collapsed="false">
      <c r="A323" s="7" t="s">
        <v>2050</v>
      </c>
      <c r="B323" s="7" t="s">
        <v>1838</v>
      </c>
      <c r="C323" s="9" t="s">
        <v>1704</v>
      </c>
      <c r="D323" s="13" t="s">
        <v>1823</v>
      </c>
    </row>
    <row r="324" customFormat="false" ht="15" hidden="false" customHeight="false" outlineLevel="0" collapsed="false">
      <c r="A324" s="7" t="s">
        <v>2051</v>
      </c>
      <c r="B324" s="7" t="s">
        <v>1838</v>
      </c>
      <c r="C324" s="9" t="s">
        <v>1704</v>
      </c>
      <c r="D324" s="13" t="s">
        <v>1823</v>
      </c>
    </row>
    <row r="325" customFormat="false" ht="15" hidden="false" customHeight="false" outlineLevel="0" collapsed="false">
      <c r="A325" s="7" t="s">
        <v>2052</v>
      </c>
      <c r="B325" s="7" t="s">
        <v>1838</v>
      </c>
      <c r="C325" s="9" t="s">
        <v>1704</v>
      </c>
      <c r="D325" s="13" t="s">
        <v>1823</v>
      </c>
    </row>
    <row r="326" customFormat="false" ht="15" hidden="false" customHeight="false" outlineLevel="0" collapsed="false">
      <c r="A326" s="7" t="s">
        <v>2053</v>
      </c>
      <c r="B326" s="7" t="s">
        <v>1836</v>
      </c>
      <c r="C326" s="9" t="s">
        <v>1704</v>
      </c>
      <c r="D326" s="13" t="s">
        <v>1816</v>
      </c>
    </row>
    <row r="327" customFormat="false" ht="15" hidden="false" customHeight="false" outlineLevel="0" collapsed="false">
      <c r="A327" s="7" t="s">
        <v>2054</v>
      </c>
      <c r="B327" s="7" t="s">
        <v>1836</v>
      </c>
      <c r="C327" s="9" t="s">
        <v>1704</v>
      </c>
      <c r="D327" s="13" t="s">
        <v>1816</v>
      </c>
    </row>
    <row r="328" customFormat="false" ht="15" hidden="false" customHeight="false" outlineLevel="0" collapsed="false">
      <c r="A328" s="7" t="s">
        <v>2054</v>
      </c>
      <c r="B328" s="7" t="s">
        <v>1976</v>
      </c>
      <c r="C328" s="9" t="s">
        <v>1704</v>
      </c>
      <c r="D328" s="13" t="s">
        <v>1820</v>
      </c>
    </row>
    <row r="329" customFormat="false" ht="15" hidden="false" customHeight="false" outlineLevel="0" collapsed="false">
      <c r="A329" s="7" t="s">
        <v>2055</v>
      </c>
      <c r="B329" s="7" t="s">
        <v>1854</v>
      </c>
      <c r="C329" s="9" t="s">
        <v>1704</v>
      </c>
      <c r="D329" s="13" t="s">
        <v>1816</v>
      </c>
    </row>
    <row r="330" customFormat="false" ht="15" hidden="false" customHeight="false" outlineLevel="0" collapsed="false">
      <c r="A330" s="7" t="s">
        <v>2056</v>
      </c>
      <c r="B330" s="7" t="s">
        <v>1854</v>
      </c>
      <c r="C330" s="8" t="s">
        <v>1706</v>
      </c>
      <c r="D330" s="13" t="s">
        <v>1816</v>
      </c>
    </row>
    <row r="331" customFormat="false" ht="15" hidden="false" customHeight="false" outlineLevel="0" collapsed="false">
      <c r="A331" s="7" t="s">
        <v>2056</v>
      </c>
      <c r="B331" s="7" t="s">
        <v>1976</v>
      </c>
      <c r="C331" s="9" t="s">
        <v>1704</v>
      </c>
      <c r="D331" s="13" t="s">
        <v>1820</v>
      </c>
    </row>
    <row r="332" customFormat="false" ht="15" hidden="false" customHeight="false" outlineLevel="0" collapsed="false">
      <c r="A332" s="7" t="s">
        <v>2057</v>
      </c>
      <c r="B332" s="7" t="s">
        <v>1854</v>
      </c>
      <c r="C332" s="9" t="s">
        <v>1704</v>
      </c>
      <c r="D332" s="13" t="s">
        <v>1816</v>
      </c>
    </row>
    <row r="333" customFormat="false" ht="15" hidden="false" customHeight="false" outlineLevel="0" collapsed="false">
      <c r="A333" s="7" t="s">
        <v>2058</v>
      </c>
      <c r="B333" s="7" t="s">
        <v>1854</v>
      </c>
      <c r="C333" s="8" t="s">
        <v>1706</v>
      </c>
      <c r="D333" s="13" t="s">
        <v>1816</v>
      </c>
    </row>
    <row r="334" customFormat="false" ht="15" hidden="false" customHeight="false" outlineLevel="0" collapsed="false">
      <c r="A334" s="7" t="s">
        <v>2059</v>
      </c>
      <c r="B334" s="7" t="s">
        <v>1976</v>
      </c>
      <c r="C334" s="9" t="s">
        <v>1704</v>
      </c>
      <c r="D334" s="13" t="s">
        <v>1820</v>
      </c>
    </row>
    <row r="335" customFormat="false" ht="15" hidden="false" customHeight="false" outlineLevel="0" collapsed="false">
      <c r="A335" s="7" t="s">
        <v>2060</v>
      </c>
      <c r="B335" s="7" t="s">
        <v>1854</v>
      </c>
      <c r="C335" s="9" t="s">
        <v>1704</v>
      </c>
      <c r="D335" s="13" t="s">
        <v>1816</v>
      </c>
    </row>
    <row r="336" customFormat="false" ht="15" hidden="false" customHeight="false" outlineLevel="0" collapsed="false">
      <c r="A336" s="7" t="s">
        <v>2061</v>
      </c>
      <c r="B336" s="7" t="s">
        <v>1854</v>
      </c>
      <c r="C336" s="8" t="s">
        <v>1706</v>
      </c>
      <c r="D336" s="13" t="s">
        <v>1816</v>
      </c>
    </row>
    <row r="337" customFormat="false" ht="15" hidden="false" customHeight="false" outlineLevel="0" collapsed="false">
      <c r="A337" s="7" t="s">
        <v>2061</v>
      </c>
      <c r="B337" s="7" t="s">
        <v>1976</v>
      </c>
      <c r="C337" s="9" t="s">
        <v>1704</v>
      </c>
      <c r="D337" s="13" t="s">
        <v>1820</v>
      </c>
    </row>
    <row r="338" customFormat="false" ht="15" hidden="false" customHeight="false" outlineLevel="0" collapsed="false">
      <c r="A338" s="7" t="s">
        <v>2062</v>
      </c>
      <c r="B338" s="7" t="s">
        <v>1854</v>
      </c>
      <c r="C338" s="9" t="s">
        <v>1704</v>
      </c>
      <c r="D338" s="13" t="s">
        <v>1816</v>
      </c>
    </row>
    <row r="339" customFormat="false" ht="15" hidden="false" customHeight="false" outlineLevel="0" collapsed="false">
      <c r="A339" s="7" t="s">
        <v>2063</v>
      </c>
      <c r="B339" s="7" t="s">
        <v>1863</v>
      </c>
      <c r="C339" s="8" t="s">
        <v>1706</v>
      </c>
      <c r="D339" s="13" t="s">
        <v>1816</v>
      </c>
    </row>
    <row r="340" customFormat="false" ht="15" hidden="false" customHeight="false" outlineLevel="0" collapsed="false">
      <c r="A340" s="7" t="s">
        <v>2063</v>
      </c>
      <c r="B340" s="7" t="s">
        <v>1875</v>
      </c>
      <c r="C340" s="9" t="s">
        <v>1704</v>
      </c>
      <c r="D340" s="13" t="s">
        <v>1816</v>
      </c>
    </row>
    <row r="341" customFormat="false" ht="15" hidden="false" customHeight="false" outlineLevel="0" collapsed="false">
      <c r="A341" s="7" t="s">
        <v>2064</v>
      </c>
      <c r="B341" s="7" t="s">
        <v>1883</v>
      </c>
      <c r="C341" s="8" t="s">
        <v>1706</v>
      </c>
      <c r="D341" s="13" t="s">
        <v>1816</v>
      </c>
    </row>
    <row r="342" customFormat="false" ht="15" hidden="false" customHeight="false" outlineLevel="0" collapsed="false">
      <c r="A342" s="7" t="s">
        <v>2065</v>
      </c>
      <c r="B342" s="7" t="s">
        <v>1863</v>
      </c>
      <c r="C342" s="8" t="s">
        <v>1706</v>
      </c>
      <c r="D342" s="13" t="s">
        <v>1816</v>
      </c>
    </row>
    <row r="343" customFormat="false" ht="15" hidden="false" customHeight="false" outlineLevel="0" collapsed="false">
      <c r="A343" s="7" t="s">
        <v>2066</v>
      </c>
      <c r="B343" s="7" t="s">
        <v>1867</v>
      </c>
      <c r="C343" s="9" t="s">
        <v>1704</v>
      </c>
      <c r="D343" s="13" t="s">
        <v>1816</v>
      </c>
    </row>
    <row r="344" customFormat="false" ht="15" hidden="false" customHeight="false" outlineLevel="0" collapsed="false">
      <c r="A344" s="7" t="s">
        <v>2067</v>
      </c>
      <c r="B344" s="7" t="s">
        <v>1883</v>
      </c>
      <c r="C344" s="8" t="s">
        <v>1706</v>
      </c>
      <c r="D344" s="13" t="s">
        <v>1816</v>
      </c>
    </row>
    <row r="345" customFormat="false" ht="15" hidden="false" customHeight="false" outlineLevel="0" collapsed="false">
      <c r="A345" s="7" t="s">
        <v>2068</v>
      </c>
      <c r="B345" s="7" t="s">
        <v>1976</v>
      </c>
      <c r="C345" s="9" t="s">
        <v>1704</v>
      </c>
      <c r="D345" s="13" t="s">
        <v>1820</v>
      </c>
    </row>
    <row r="346" customFormat="false" ht="15" hidden="false" customHeight="false" outlineLevel="0" collapsed="false">
      <c r="A346" s="7" t="s">
        <v>2068</v>
      </c>
      <c r="B346" s="7" t="s">
        <v>1854</v>
      </c>
      <c r="C346" s="8" t="s">
        <v>1706</v>
      </c>
      <c r="D346" s="13" t="s">
        <v>1816</v>
      </c>
    </row>
    <row r="347" customFormat="false" ht="15" hidden="false" customHeight="false" outlineLevel="0" collapsed="false">
      <c r="A347" s="7" t="s">
        <v>2069</v>
      </c>
      <c r="B347" s="7" t="s">
        <v>1883</v>
      </c>
      <c r="C347" s="9" t="s">
        <v>1704</v>
      </c>
      <c r="D347" s="13" t="s">
        <v>1816</v>
      </c>
    </row>
    <row r="348" customFormat="false" ht="15" hidden="false" customHeight="false" outlineLevel="0" collapsed="false">
      <c r="A348" s="7" t="s">
        <v>2070</v>
      </c>
      <c r="B348" s="7" t="s">
        <v>1836</v>
      </c>
      <c r="C348" s="9" t="s">
        <v>1704</v>
      </c>
      <c r="D348" s="13" t="s">
        <v>1816</v>
      </c>
    </row>
    <row r="349" customFormat="false" ht="15" hidden="false" customHeight="false" outlineLevel="0" collapsed="false">
      <c r="A349" s="7" t="s">
        <v>2071</v>
      </c>
      <c r="B349" s="7" t="s">
        <v>1744</v>
      </c>
      <c r="C349" s="9" t="s">
        <v>1704</v>
      </c>
      <c r="D349" s="13" t="s">
        <v>1745</v>
      </c>
    </row>
    <row r="350" customFormat="false" ht="15" hidden="false" customHeight="false" outlineLevel="0" collapsed="false">
      <c r="A350" s="7" t="s">
        <v>2072</v>
      </c>
      <c r="B350" s="7" t="s">
        <v>1815</v>
      </c>
      <c r="C350" s="9" t="s">
        <v>1704</v>
      </c>
      <c r="D350" s="13" t="s">
        <v>1816</v>
      </c>
    </row>
    <row r="351" customFormat="false" ht="15" hidden="false" customHeight="false" outlineLevel="0" collapsed="false">
      <c r="A351" s="7" t="s">
        <v>2072</v>
      </c>
      <c r="B351" s="7" t="s">
        <v>1838</v>
      </c>
      <c r="C351" s="9" t="s">
        <v>1704</v>
      </c>
      <c r="D351" s="13" t="s">
        <v>1823</v>
      </c>
    </row>
    <row r="352" customFormat="false" ht="15" hidden="false" customHeight="false" outlineLevel="0" collapsed="false">
      <c r="A352" s="7" t="s">
        <v>2072</v>
      </c>
      <c r="B352" s="7" t="s">
        <v>1867</v>
      </c>
      <c r="C352" s="8" t="s">
        <v>1706</v>
      </c>
      <c r="D352" s="13" t="s">
        <v>1816</v>
      </c>
    </row>
    <row r="353" customFormat="false" ht="15" hidden="false" customHeight="false" outlineLevel="0" collapsed="false">
      <c r="A353" s="7" t="s">
        <v>2073</v>
      </c>
      <c r="B353" s="7" t="s">
        <v>1815</v>
      </c>
      <c r="C353" s="9" t="s">
        <v>1704</v>
      </c>
      <c r="D353" s="13" t="s">
        <v>1816</v>
      </c>
    </row>
    <row r="354" customFormat="false" ht="15" hidden="false" customHeight="false" outlineLevel="0" collapsed="false">
      <c r="A354" s="7" t="s">
        <v>2074</v>
      </c>
      <c r="B354" s="7" t="s">
        <v>1838</v>
      </c>
      <c r="C354" s="9" t="s">
        <v>1704</v>
      </c>
      <c r="D354" s="13" t="s">
        <v>1823</v>
      </c>
    </row>
    <row r="355" customFormat="false" ht="15" hidden="false" customHeight="false" outlineLevel="0" collapsed="false">
      <c r="A355" s="7" t="s">
        <v>2075</v>
      </c>
      <c r="B355" s="7" t="s">
        <v>1883</v>
      </c>
      <c r="C355" s="9" t="s">
        <v>1704</v>
      </c>
      <c r="D355" s="13" t="s">
        <v>1816</v>
      </c>
    </row>
    <row r="356" customFormat="false" ht="15" hidden="false" customHeight="false" outlineLevel="0" collapsed="false">
      <c r="A356" s="7" t="s">
        <v>2076</v>
      </c>
      <c r="B356" s="7" t="s">
        <v>1838</v>
      </c>
      <c r="C356" s="9" t="s">
        <v>1704</v>
      </c>
      <c r="D356" s="13" t="s">
        <v>1823</v>
      </c>
    </row>
    <row r="357" customFormat="false" ht="15" hidden="false" customHeight="false" outlineLevel="0" collapsed="false">
      <c r="A357" s="7" t="s">
        <v>2077</v>
      </c>
      <c r="B357" s="7" t="s">
        <v>1976</v>
      </c>
      <c r="C357" s="9" t="s">
        <v>1704</v>
      </c>
      <c r="D357" s="13" t="s">
        <v>1820</v>
      </c>
    </row>
    <row r="358" customFormat="false" ht="15" hidden="false" customHeight="false" outlineLevel="0" collapsed="false">
      <c r="A358" s="7" t="s">
        <v>2078</v>
      </c>
      <c r="B358" s="7" t="s">
        <v>1883</v>
      </c>
      <c r="C358" s="9" t="s">
        <v>1704</v>
      </c>
      <c r="D358" s="13" t="s">
        <v>1816</v>
      </c>
    </row>
    <row r="359" customFormat="false" ht="15" hidden="false" customHeight="false" outlineLevel="0" collapsed="false">
      <c r="A359" s="7" t="s">
        <v>2079</v>
      </c>
      <c r="B359" s="7" t="s">
        <v>1976</v>
      </c>
      <c r="C359" s="9" t="s">
        <v>1704</v>
      </c>
      <c r="D359" s="13" t="s">
        <v>1820</v>
      </c>
    </row>
    <row r="360" customFormat="false" ht="15" hidden="false" customHeight="false" outlineLevel="0" collapsed="false">
      <c r="A360" s="7" t="s">
        <v>2080</v>
      </c>
      <c r="B360" s="7" t="s">
        <v>1929</v>
      </c>
      <c r="C360" s="9" t="s">
        <v>1704</v>
      </c>
      <c r="D360" s="13" t="s">
        <v>1816</v>
      </c>
    </row>
    <row r="361" customFormat="false" ht="15" hidden="false" customHeight="false" outlineLevel="0" collapsed="false">
      <c r="A361" s="7" t="s">
        <v>2081</v>
      </c>
      <c r="B361" s="7" t="s">
        <v>1976</v>
      </c>
      <c r="C361" s="9" t="s">
        <v>1704</v>
      </c>
      <c r="D361" s="13" t="s">
        <v>1820</v>
      </c>
    </row>
    <row r="362" customFormat="false" ht="15" hidden="false" customHeight="false" outlineLevel="0" collapsed="false">
      <c r="A362" s="7" t="s">
        <v>2082</v>
      </c>
      <c r="B362" s="7" t="s">
        <v>1976</v>
      </c>
      <c r="C362" s="9" t="s">
        <v>1704</v>
      </c>
      <c r="D362" s="13" t="s">
        <v>1820</v>
      </c>
    </row>
    <row r="363" customFormat="false" ht="15" hidden="false" customHeight="false" outlineLevel="0" collapsed="false">
      <c r="A363" s="7" t="s">
        <v>2083</v>
      </c>
      <c r="B363" s="7" t="s">
        <v>1836</v>
      </c>
      <c r="C363" s="9" t="s">
        <v>1704</v>
      </c>
      <c r="D363" s="13" t="s">
        <v>1816</v>
      </c>
    </row>
    <row r="364" customFormat="false" ht="15" hidden="false" customHeight="false" outlineLevel="0" collapsed="false">
      <c r="A364" s="7" t="s">
        <v>2083</v>
      </c>
      <c r="B364" s="7" t="s">
        <v>1976</v>
      </c>
      <c r="C364" s="9" t="s">
        <v>1704</v>
      </c>
      <c r="D364" s="13" t="s">
        <v>1820</v>
      </c>
    </row>
    <row r="365" customFormat="false" ht="15" hidden="false" customHeight="false" outlineLevel="0" collapsed="false">
      <c r="A365" s="7" t="s">
        <v>2084</v>
      </c>
      <c r="B365" s="7" t="s">
        <v>1875</v>
      </c>
      <c r="C365" s="9" t="s">
        <v>1704</v>
      </c>
      <c r="D365" s="13" t="s">
        <v>1816</v>
      </c>
    </row>
    <row r="366" customFormat="false" ht="15" hidden="false" customHeight="false" outlineLevel="0" collapsed="false">
      <c r="A366" s="7" t="s">
        <v>2085</v>
      </c>
      <c r="B366" s="7" t="s">
        <v>1836</v>
      </c>
      <c r="C366" s="9" t="s">
        <v>1704</v>
      </c>
      <c r="D366" s="13" t="s">
        <v>1816</v>
      </c>
    </row>
    <row r="367" customFormat="false" ht="15" hidden="false" customHeight="false" outlineLevel="0" collapsed="false">
      <c r="A367" s="7" t="s">
        <v>2086</v>
      </c>
      <c r="B367" s="7" t="s">
        <v>1854</v>
      </c>
      <c r="C367" s="9" t="s">
        <v>1704</v>
      </c>
      <c r="D367" s="13" t="s">
        <v>1816</v>
      </c>
    </row>
    <row r="368" customFormat="false" ht="15" hidden="false" customHeight="false" outlineLevel="0" collapsed="false">
      <c r="A368" s="7" t="s">
        <v>2087</v>
      </c>
      <c r="B368" s="7" t="s">
        <v>1976</v>
      </c>
      <c r="C368" s="9" t="s">
        <v>1704</v>
      </c>
      <c r="D368" s="13" t="s">
        <v>1820</v>
      </c>
    </row>
    <row r="369" customFormat="false" ht="15" hidden="false" customHeight="false" outlineLevel="0" collapsed="false">
      <c r="A369" s="7" t="s">
        <v>2088</v>
      </c>
      <c r="B369" s="7" t="s">
        <v>1854</v>
      </c>
      <c r="C369" s="8" t="s">
        <v>1706</v>
      </c>
      <c r="D369" s="13" t="s">
        <v>1816</v>
      </c>
    </row>
    <row r="370" customFormat="false" ht="15" hidden="false" customHeight="false" outlineLevel="0" collapsed="false">
      <c r="A370" s="7" t="s">
        <v>2089</v>
      </c>
      <c r="B370" s="7" t="s">
        <v>1854</v>
      </c>
      <c r="C370" s="9" t="s">
        <v>1704</v>
      </c>
      <c r="D370" s="13" t="s">
        <v>1816</v>
      </c>
    </row>
    <row r="371" customFormat="false" ht="15" hidden="false" customHeight="false" outlineLevel="0" collapsed="false">
      <c r="A371" s="7" t="s">
        <v>2089</v>
      </c>
      <c r="B371" s="7" t="s">
        <v>1836</v>
      </c>
      <c r="C371" s="9" t="s">
        <v>1704</v>
      </c>
      <c r="D371" s="13" t="s">
        <v>1816</v>
      </c>
    </row>
    <row r="372" customFormat="false" ht="15" hidden="false" customHeight="false" outlineLevel="0" collapsed="false">
      <c r="A372" s="7" t="s">
        <v>2089</v>
      </c>
      <c r="B372" s="7" t="s">
        <v>1883</v>
      </c>
      <c r="C372" s="8" t="s">
        <v>1706</v>
      </c>
      <c r="D372" s="13" t="s">
        <v>1816</v>
      </c>
    </row>
    <row r="373" customFormat="false" ht="15" hidden="false" customHeight="false" outlineLevel="0" collapsed="false">
      <c r="A373" s="7" t="s">
        <v>2090</v>
      </c>
      <c r="B373" s="7" t="s">
        <v>1854</v>
      </c>
      <c r="C373" s="8" t="s">
        <v>1706</v>
      </c>
      <c r="D373" s="13" t="s">
        <v>1816</v>
      </c>
    </row>
    <row r="374" customFormat="false" ht="15" hidden="false" customHeight="false" outlineLevel="0" collapsed="false">
      <c r="A374" s="7" t="s">
        <v>2091</v>
      </c>
      <c r="B374" s="7" t="s">
        <v>1838</v>
      </c>
      <c r="C374" s="9" t="s">
        <v>1704</v>
      </c>
      <c r="D374" s="13" t="s">
        <v>1823</v>
      </c>
    </row>
    <row r="375" customFormat="false" ht="15" hidden="false" customHeight="false" outlineLevel="0" collapsed="false">
      <c r="A375" s="7" t="s">
        <v>2092</v>
      </c>
      <c r="B375" s="7" t="s">
        <v>1854</v>
      </c>
      <c r="C375" s="9" t="s">
        <v>1704</v>
      </c>
      <c r="D375" s="13" t="s">
        <v>1816</v>
      </c>
    </row>
    <row r="376" customFormat="false" ht="15" hidden="false" customHeight="false" outlineLevel="0" collapsed="false">
      <c r="A376" s="7" t="s">
        <v>2092</v>
      </c>
      <c r="B376" s="7" t="s">
        <v>1836</v>
      </c>
      <c r="C376" s="9" t="s">
        <v>1704</v>
      </c>
      <c r="D376" s="13" t="s">
        <v>1816</v>
      </c>
    </row>
    <row r="377" customFormat="false" ht="15" hidden="false" customHeight="false" outlineLevel="0" collapsed="false">
      <c r="A377" s="7" t="s">
        <v>2093</v>
      </c>
      <c r="B377" s="7" t="s">
        <v>1854</v>
      </c>
      <c r="C377" s="8" t="s">
        <v>1706</v>
      </c>
      <c r="D377" s="13" t="s">
        <v>1816</v>
      </c>
    </row>
    <row r="378" customFormat="false" ht="15" hidden="false" customHeight="false" outlineLevel="0" collapsed="false">
      <c r="A378" s="7" t="s">
        <v>2094</v>
      </c>
      <c r="B378" s="7" t="s">
        <v>1747</v>
      </c>
      <c r="C378" s="9" t="s">
        <v>1704</v>
      </c>
      <c r="D378" s="13" t="s">
        <v>1745</v>
      </c>
    </row>
    <row r="379" customFormat="false" ht="15" hidden="false" customHeight="false" outlineLevel="0" collapsed="false">
      <c r="A379" s="7" t="s">
        <v>2094</v>
      </c>
      <c r="B379" s="7" t="s">
        <v>1838</v>
      </c>
      <c r="C379" s="9" t="s">
        <v>1704</v>
      </c>
      <c r="D379" s="13" t="s">
        <v>1823</v>
      </c>
    </row>
    <row r="380" customFormat="false" ht="15" hidden="false" customHeight="false" outlineLevel="0" collapsed="false">
      <c r="A380" s="7" t="s">
        <v>2095</v>
      </c>
      <c r="B380" s="7" t="s">
        <v>1827</v>
      </c>
      <c r="C380" s="9" t="s">
        <v>1704</v>
      </c>
      <c r="D380" s="13" t="s">
        <v>1820</v>
      </c>
    </row>
    <row r="381" customFormat="false" ht="15" hidden="false" customHeight="false" outlineLevel="0" collapsed="false">
      <c r="A381" s="7" t="s">
        <v>2096</v>
      </c>
      <c r="B381" s="7" t="s">
        <v>1815</v>
      </c>
      <c r="C381" s="9" t="s">
        <v>1704</v>
      </c>
      <c r="D381" s="13" t="s">
        <v>1816</v>
      </c>
    </row>
    <row r="382" customFormat="false" ht="15" hidden="false" customHeight="false" outlineLevel="0" collapsed="false">
      <c r="A382" s="7" t="s">
        <v>2096</v>
      </c>
      <c r="B382" s="7" t="s">
        <v>1819</v>
      </c>
      <c r="C382" s="9" t="s">
        <v>1704</v>
      </c>
      <c r="D382" s="13" t="s">
        <v>1820</v>
      </c>
    </row>
    <row r="383" customFormat="false" ht="15" hidden="false" customHeight="false" outlineLevel="0" collapsed="false">
      <c r="A383" s="7" t="s">
        <v>2097</v>
      </c>
      <c r="B383" s="7" t="s">
        <v>1815</v>
      </c>
      <c r="C383" s="9" t="s">
        <v>1704</v>
      </c>
      <c r="D383" s="13" t="s">
        <v>1816</v>
      </c>
    </row>
    <row r="384" customFormat="false" ht="15" hidden="false" customHeight="false" outlineLevel="0" collapsed="false">
      <c r="A384" s="7" t="s">
        <v>2098</v>
      </c>
      <c r="B384" s="7" t="s">
        <v>1976</v>
      </c>
      <c r="C384" s="9" t="s">
        <v>1704</v>
      </c>
      <c r="D384" s="13" t="s">
        <v>1820</v>
      </c>
    </row>
    <row r="385" customFormat="false" ht="15" hidden="false" customHeight="false" outlineLevel="0" collapsed="false">
      <c r="A385" s="7" t="s">
        <v>2099</v>
      </c>
      <c r="B385" s="7" t="s">
        <v>1883</v>
      </c>
      <c r="C385" s="9" t="s">
        <v>1704</v>
      </c>
      <c r="D385" s="13" t="s">
        <v>1816</v>
      </c>
    </row>
    <row r="386" customFormat="false" ht="15" hidden="false" customHeight="false" outlineLevel="0" collapsed="false">
      <c r="A386" s="7" t="s">
        <v>2100</v>
      </c>
      <c r="B386" s="7" t="s">
        <v>1883</v>
      </c>
      <c r="C386" s="9" t="s">
        <v>1704</v>
      </c>
      <c r="D386" s="13" t="s">
        <v>1816</v>
      </c>
    </row>
    <row r="387" customFormat="false" ht="15" hidden="false" customHeight="false" outlineLevel="0" collapsed="false">
      <c r="A387" s="7" t="s">
        <v>2101</v>
      </c>
      <c r="B387" s="7" t="s">
        <v>1976</v>
      </c>
      <c r="C387" s="9" t="s">
        <v>1704</v>
      </c>
      <c r="D387" s="13" t="s">
        <v>1820</v>
      </c>
    </row>
    <row r="388" customFormat="false" ht="15" hidden="false" customHeight="false" outlineLevel="0" collapsed="false">
      <c r="A388" s="7" t="s">
        <v>2102</v>
      </c>
      <c r="B388" s="7" t="s">
        <v>1838</v>
      </c>
      <c r="C388" s="9" t="s">
        <v>1704</v>
      </c>
      <c r="D388" s="13" t="s">
        <v>1823</v>
      </c>
    </row>
    <row r="389" customFormat="false" ht="15" hidden="false" customHeight="false" outlineLevel="0" collapsed="false">
      <c r="A389" s="7" t="s">
        <v>2103</v>
      </c>
      <c r="B389" s="7" t="s">
        <v>1815</v>
      </c>
      <c r="C389" s="9" t="s">
        <v>1704</v>
      </c>
      <c r="D389" s="13" t="s">
        <v>1816</v>
      </c>
    </row>
    <row r="390" customFormat="false" ht="15" hidden="false" customHeight="false" outlineLevel="0" collapsed="false">
      <c r="A390" s="7" t="s">
        <v>2103</v>
      </c>
      <c r="B390" s="7" t="s">
        <v>1819</v>
      </c>
      <c r="C390" s="9" t="s">
        <v>1704</v>
      </c>
      <c r="D390" s="13" t="s">
        <v>1820</v>
      </c>
    </row>
    <row r="391" customFormat="false" ht="15" hidden="false" customHeight="false" outlineLevel="0" collapsed="false">
      <c r="A391" s="7" t="s">
        <v>2104</v>
      </c>
      <c r="B391" s="7" t="s">
        <v>1815</v>
      </c>
      <c r="C391" s="9" t="s">
        <v>1704</v>
      </c>
      <c r="D391" s="13" t="s">
        <v>1816</v>
      </c>
    </row>
    <row r="392" customFormat="false" ht="15" hidden="false" customHeight="false" outlineLevel="0" collapsed="false">
      <c r="A392" s="7" t="s">
        <v>2105</v>
      </c>
      <c r="B392" s="7" t="s">
        <v>1883</v>
      </c>
      <c r="C392" s="9" t="s">
        <v>1704</v>
      </c>
      <c r="D392" s="13" t="s">
        <v>1816</v>
      </c>
    </row>
    <row r="393" customFormat="false" ht="15" hidden="false" customHeight="false" outlineLevel="0" collapsed="false">
      <c r="A393" s="7" t="s">
        <v>2106</v>
      </c>
      <c r="B393" s="7" t="s">
        <v>1883</v>
      </c>
      <c r="C393" s="9" t="s">
        <v>1704</v>
      </c>
      <c r="D393" s="13" t="s">
        <v>1816</v>
      </c>
    </row>
    <row r="394" customFormat="false" ht="15" hidden="false" customHeight="false" outlineLevel="0" collapsed="false">
      <c r="A394" s="7" t="s">
        <v>2107</v>
      </c>
      <c r="B394" s="7" t="s">
        <v>1976</v>
      </c>
      <c r="C394" s="9" t="s">
        <v>1704</v>
      </c>
      <c r="D394" s="13" t="s">
        <v>1820</v>
      </c>
    </row>
    <row r="395" customFormat="false" ht="15" hidden="false" customHeight="false" outlineLevel="0" collapsed="false">
      <c r="A395" s="7" t="s">
        <v>2108</v>
      </c>
      <c r="B395" s="7" t="s">
        <v>1929</v>
      </c>
      <c r="C395" s="9" t="s">
        <v>1704</v>
      </c>
      <c r="D395" s="13" t="s">
        <v>1816</v>
      </c>
    </row>
    <row r="396" customFormat="false" ht="15" hidden="false" customHeight="false" outlineLevel="0" collapsed="false">
      <c r="A396" s="7" t="s">
        <v>2109</v>
      </c>
      <c r="B396" s="7" t="s">
        <v>1976</v>
      </c>
      <c r="C396" s="9" t="s">
        <v>1704</v>
      </c>
      <c r="D396" s="13" t="s">
        <v>1820</v>
      </c>
    </row>
    <row r="397" customFormat="false" ht="15" hidden="false" customHeight="false" outlineLevel="0" collapsed="false">
      <c r="A397" s="7" t="s">
        <v>2110</v>
      </c>
      <c r="B397" s="7" t="s">
        <v>1976</v>
      </c>
      <c r="C397" s="9" t="s">
        <v>1704</v>
      </c>
      <c r="D397" s="13" t="s">
        <v>1820</v>
      </c>
    </row>
    <row r="398" customFormat="false" ht="15" hidden="false" customHeight="false" outlineLevel="0" collapsed="false">
      <c r="A398" s="7" t="s">
        <v>2111</v>
      </c>
      <c r="B398" s="7" t="s">
        <v>1883</v>
      </c>
      <c r="C398" s="9" t="s">
        <v>1704</v>
      </c>
      <c r="D398" s="13" t="s">
        <v>1816</v>
      </c>
    </row>
    <row r="399" customFormat="false" ht="15" hidden="false" customHeight="false" outlineLevel="0" collapsed="false">
      <c r="A399" s="7" t="s">
        <v>2112</v>
      </c>
      <c r="B399" s="7" t="s">
        <v>1883</v>
      </c>
      <c r="C399" s="9" t="s">
        <v>1704</v>
      </c>
      <c r="D399" s="13" t="s">
        <v>1816</v>
      </c>
    </row>
    <row r="400" customFormat="false" ht="15" hidden="false" customHeight="false" outlineLevel="0" collapsed="false">
      <c r="A400" s="7" t="s">
        <v>2113</v>
      </c>
      <c r="B400" s="7" t="s">
        <v>1815</v>
      </c>
      <c r="C400" s="9" t="s">
        <v>1704</v>
      </c>
      <c r="D400" s="13" t="s">
        <v>1816</v>
      </c>
    </row>
    <row r="401" customFormat="false" ht="15" hidden="false" customHeight="false" outlineLevel="0" collapsed="false">
      <c r="A401" s="7" t="s">
        <v>2114</v>
      </c>
      <c r="B401" s="7" t="s">
        <v>1815</v>
      </c>
      <c r="C401" s="9" t="s">
        <v>1704</v>
      </c>
      <c r="D401" s="13" t="s">
        <v>1816</v>
      </c>
    </row>
    <row r="402" customFormat="false" ht="15" hidden="false" customHeight="false" outlineLevel="0" collapsed="false">
      <c r="A402" s="7" t="s">
        <v>2115</v>
      </c>
      <c r="B402" s="7" t="s">
        <v>1815</v>
      </c>
      <c r="C402" s="9" t="s">
        <v>1704</v>
      </c>
      <c r="D402" s="13" t="s">
        <v>1816</v>
      </c>
    </row>
    <row r="403" customFormat="false" ht="15" hidden="false" customHeight="false" outlineLevel="0" collapsed="false">
      <c r="A403" s="7" t="s">
        <v>2116</v>
      </c>
      <c r="B403" s="7" t="s">
        <v>1815</v>
      </c>
      <c r="C403" s="9" t="s">
        <v>1704</v>
      </c>
      <c r="D403" s="13" t="s">
        <v>1816</v>
      </c>
    </row>
    <row r="404" customFormat="false" ht="15" hidden="false" customHeight="false" outlineLevel="0" collapsed="false">
      <c r="A404" s="7" t="s">
        <v>2117</v>
      </c>
      <c r="B404" s="7" t="s">
        <v>1815</v>
      </c>
      <c r="C404" s="9" t="s">
        <v>1704</v>
      </c>
      <c r="D404" s="13" t="s">
        <v>1816</v>
      </c>
    </row>
    <row r="405" customFormat="false" ht="15" hidden="false" customHeight="false" outlineLevel="0" collapsed="false">
      <c r="A405" s="7" t="s">
        <v>2118</v>
      </c>
      <c r="B405" s="7" t="s">
        <v>1883</v>
      </c>
      <c r="C405" s="9" t="s">
        <v>1704</v>
      </c>
      <c r="D405" s="13" t="s">
        <v>1816</v>
      </c>
    </row>
    <row r="406" customFormat="false" ht="15" hidden="false" customHeight="false" outlineLevel="0" collapsed="false">
      <c r="A406" s="7" t="s">
        <v>2119</v>
      </c>
      <c r="B406" s="7" t="s">
        <v>1838</v>
      </c>
      <c r="C406" s="9" t="s">
        <v>1704</v>
      </c>
      <c r="D406" s="13" t="s">
        <v>1823</v>
      </c>
    </row>
    <row r="407" customFormat="false" ht="15" hidden="false" customHeight="false" outlineLevel="0" collapsed="false">
      <c r="A407" s="7" t="s">
        <v>2120</v>
      </c>
      <c r="B407" s="7" t="s">
        <v>1976</v>
      </c>
      <c r="C407" s="9" t="s">
        <v>1704</v>
      </c>
      <c r="D407" s="13" t="s">
        <v>1820</v>
      </c>
    </row>
    <row r="408" customFormat="false" ht="15" hidden="false" customHeight="false" outlineLevel="0" collapsed="false">
      <c r="A408" s="7" t="s">
        <v>2121</v>
      </c>
      <c r="B408" s="7" t="s">
        <v>1883</v>
      </c>
      <c r="C408" s="9" t="s">
        <v>1704</v>
      </c>
      <c r="D408" s="13" t="s">
        <v>1816</v>
      </c>
    </row>
    <row r="409" customFormat="false" ht="15" hidden="false" customHeight="false" outlineLevel="0" collapsed="false">
      <c r="A409" s="7" t="s">
        <v>2122</v>
      </c>
      <c r="B409" s="7" t="s">
        <v>1929</v>
      </c>
      <c r="C409" s="9" t="s">
        <v>1704</v>
      </c>
      <c r="D409" s="13" t="s">
        <v>1816</v>
      </c>
    </row>
    <row r="410" customFormat="false" ht="15" hidden="false" customHeight="false" outlineLevel="0" collapsed="false">
      <c r="A410" s="7" t="s">
        <v>2122</v>
      </c>
      <c r="B410" s="7" t="s">
        <v>1838</v>
      </c>
      <c r="C410" s="9" t="s">
        <v>1704</v>
      </c>
      <c r="D410" s="13" t="s">
        <v>1823</v>
      </c>
    </row>
    <row r="411" customFormat="false" ht="15" hidden="false" customHeight="false" outlineLevel="0" collapsed="false">
      <c r="A411" s="7" t="s">
        <v>2123</v>
      </c>
      <c r="B411" s="7" t="s">
        <v>1976</v>
      </c>
      <c r="C411" s="9" t="s">
        <v>1704</v>
      </c>
      <c r="D411" s="13" t="s">
        <v>1820</v>
      </c>
    </row>
    <row r="412" customFormat="false" ht="15" hidden="false" customHeight="false" outlineLevel="0" collapsed="false">
      <c r="A412" s="7" t="s">
        <v>2124</v>
      </c>
      <c r="B412" s="7" t="s">
        <v>1854</v>
      </c>
      <c r="C412" s="9" t="s">
        <v>1704</v>
      </c>
      <c r="D412" s="13" t="s">
        <v>1816</v>
      </c>
    </row>
    <row r="413" customFormat="false" ht="15" hidden="false" customHeight="false" outlineLevel="0" collapsed="false">
      <c r="A413" s="7" t="s">
        <v>2125</v>
      </c>
      <c r="B413" s="7" t="s">
        <v>1836</v>
      </c>
      <c r="C413" s="9" t="s">
        <v>1704</v>
      </c>
      <c r="D413" s="13" t="s">
        <v>1816</v>
      </c>
    </row>
    <row r="414" customFormat="false" ht="15" hidden="false" customHeight="false" outlineLevel="0" collapsed="false">
      <c r="A414" s="7" t="s">
        <v>2126</v>
      </c>
      <c r="B414" s="7" t="s">
        <v>1976</v>
      </c>
      <c r="C414" s="9" t="s">
        <v>1704</v>
      </c>
      <c r="D414" s="13" t="s">
        <v>1820</v>
      </c>
    </row>
    <row r="415" customFormat="false" ht="15" hidden="false" customHeight="false" outlineLevel="0" collapsed="false">
      <c r="A415" s="7" t="s">
        <v>2127</v>
      </c>
      <c r="B415" s="7" t="s">
        <v>1976</v>
      </c>
      <c r="C415" s="9" t="s">
        <v>1704</v>
      </c>
      <c r="D415" s="13" t="s">
        <v>1820</v>
      </c>
    </row>
    <row r="416" customFormat="false" ht="15" hidden="false" customHeight="false" outlineLevel="0" collapsed="false">
      <c r="A416" s="7" t="s">
        <v>2128</v>
      </c>
      <c r="B416" s="7" t="s">
        <v>1883</v>
      </c>
      <c r="C416" s="8" t="s">
        <v>1706</v>
      </c>
      <c r="D416" s="13" t="s">
        <v>1816</v>
      </c>
    </row>
    <row r="417" customFormat="false" ht="15" hidden="false" customHeight="false" outlineLevel="0" collapsed="false">
      <c r="A417" s="7" t="s">
        <v>2129</v>
      </c>
      <c r="B417" s="7" t="s">
        <v>1976</v>
      </c>
      <c r="C417" s="9" t="s">
        <v>1704</v>
      </c>
      <c r="D417" s="13" t="s">
        <v>1820</v>
      </c>
    </row>
    <row r="418" customFormat="false" ht="15" hidden="false" customHeight="false" outlineLevel="0" collapsed="false">
      <c r="A418" s="7" t="s">
        <v>2130</v>
      </c>
      <c r="B418" s="7" t="s">
        <v>1888</v>
      </c>
      <c r="C418" s="8" t="s">
        <v>1706</v>
      </c>
      <c r="D418" s="13" t="s">
        <v>1820</v>
      </c>
    </row>
    <row r="419" customFormat="false" ht="15" hidden="false" customHeight="false" outlineLevel="0" collapsed="false">
      <c r="A419" s="7" t="s">
        <v>2130</v>
      </c>
      <c r="B419" s="7" t="s">
        <v>1863</v>
      </c>
      <c r="C419" s="8" t="s">
        <v>1706</v>
      </c>
      <c r="D419" s="13" t="s">
        <v>1816</v>
      </c>
    </row>
    <row r="420" customFormat="false" ht="15" hidden="false" customHeight="false" outlineLevel="0" collapsed="false">
      <c r="A420" s="7" t="s">
        <v>2131</v>
      </c>
      <c r="B420" s="7" t="s">
        <v>1863</v>
      </c>
      <c r="C420" s="8" t="s">
        <v>1706</v>
      </c>
      <c r="D420" s="13" t="s">
        <v>1816</v>
      </c>
    </row>
    <row r="421" customFormat="false" ht="15" hidden="false" customHeight="false" outlineLevel="0" collapsed="false">
      <c r="A421" s="7" t="s">
        <v>2132</v>
      </c>
      <c r="B421" s="7" t="s">
        <v>1863</v>
      </c>
      <c r="C421" s="8" t="s">
        <v>1706</v>
      </c>
      <c r="D421" s="13" t="s">
        <v>1816</v>
      </c>
    </row>
    <row r="422" customFormat="false" ht="15" hidden="false" customHeight="false" outlineLevel="0" collapsed="false">
      <c r="A422" s="7" t="s">
        <v>2133</v>
      </c>
      <c r="B422" s="7" t="s">
        <v>1863</v>
      </c>
      <c r="C422" s="8" t="s">
        <v>1706</v>
      </c>
      <c r="D422" s="13" t="s">
        <v>1816</v>
      </c>
    </row>
    <row r="423" customFormat="false" ht="15" hidden="false" customHeight="false" outlineLevel="0" collapsed="false">
      <c r="A423" s="7" t="s">
        <v>2134</v>
      </c>
      <c r="B423" s="7" t="s">
        <v>1883</v>
      </c>
      <c r="C423" s="8" t="s">
        <v>1706</v>
      </c>
      <c r="D423" s="13" t="s">
        <v>1816</v>
      </c>
    </row>
    <row r="424" customFormat="false" ht="15" hidden="false" customHeight="false" outlineLevel="0" collapsed="false">
      <c r="A424" s="7" t="s">
        <v>2135</v>
      </c>
      <c r="B424" s="7" t="s">
        <v>1867</v>
      </c>
      <c r="C424" s="9" t="s">
        <v>1704</v>
      </c>
      <c r="D424" s="13" t="s">
        <v>1816</v>
      </c>
    </row>
    <row r="425" customFormat="false" ht="15" hidden="false" customHeight="false" outlineLevel="0" collapsed="false">
      <c r="A425" s="7" t="s">
        <v>2135</v>
      </c>
      <c r="B425" s="7" t="s">
        <v>1875</v>
      </c>
      <c r="C425" s="9" t="s">
        <v>1704</v>
      </c>
      <c r="D425" s="13" t="s">
        <v>1816</v>
      </c>
    </row>
    <row r="426" customFormat="false" ht="15" hidden="false" customHeight="false" outlineLevel="0" collapsed="false">
      <c r="A426" s="7" t="s">
        <v>2136</v>
      </c>
      <c r="B426" s="7" t="s">
        <v>1883</v>
      </c>
      <c r="C426" s="8" t="s">
        <v>1706</v>
      </c>
      <c r="D426" s="13" t="s">
        <v>1816</v>
      </c>
    </row>
    <row r="427" customFormat="false" ht="15" hidden="false" customHeight="false" outlineLevel="0" collapsed="false">
      <c r="A427" s="7" t="s">
        <v>2137</v>
      </c>
      <c r="B427" s="7" t="s">
        <v>1976</v>
      </c>
      <c r="C427" s="9" t="s">
        <v>1704</v>
      </c>
      <c r="D427" s="13" t="s">
        <v>1820</v>
      </c>
    </row>
    <row r="428" customFormat="false" ht="15" hidden="false" customHeight="false" outlineLevel="0" collapsed="false">
      <c r="A428" s="7" t="s">
        <v>2138</v>
      </c>
      <c r="B428" s="7" t="s">
        <v>1863</v>
      </c>
      <c r="C428" s="8" t="s">
        <v>1706</v>
      </c>
      <c r="D428" s="13" t="s">
        <v>1816</v>
      </c>
    </row>
    <row r="429" customFormat="false" ht="15" hidden="false" customHeight="false" outlineLevel="0" collapsed="false">
      <c r="A429" s="7" t="s">
        <v>2139</v>
      </c>
      <c r="B429" s="7" t="s">
        <v>1863</v>
      </c>
      <c r="C429" s="8" t="s">
        <v>1706</v>
      </c>
      <c r="D429" s="13" t="s">
        <v>1816</v>
      </c>
    </row>
    <row r="430" customFormat="false" ht="15" hidden="false" customHeight="false" outlineLevel="0" collapsed="false">
      <c r="A430" s="7" t="s">
        <v>2140</v>
      </c>
      <c r="B430" s="7" t="s">
        <v>1863</v>
      </c>
      <c r="C430" s="8" t="s">
        <v>1706</v>
      </c>
      <c r="D430" s="13" t="s">
        <v>1816</v>
      </c>
    </row>
    <row r="431" customFormat="false" ht="15" hidden="false" customHeight="false" outlineLevel="0" collapsed="false">
      <c r="A431" s="7" t="s">
        <v>2141</v>
      </c>
      <c r="B431" s="7" t="s">
        <v>1883</v>
      </c>
      <c r="C431" s="8" t="s">
        <v>1706</v>
      </c>
      <c r="D431" s="13" t="s">
        <v>1816</v>
      </c>
    </row>
    <row r="432" customFormat="false" ht="15" hidden="false" customHeight="false" outlineLevel="0" collapsed="false">
      <c r="A432" s="7" t="s">
        <v>2142</v>
      </c>
      <c r="B432" s="7" t="s">
        <v>1757</v>
      </c>
      <c r="C432" s="9" t="s">
        <v>1704</v>
      </c>
      <c r="D432" s="13" t="s">
        <v>1745</v>
      </c>
    </row>
    <row r="433" customFormat="false" ht="15" hidden="false" customHeight="false" outlineLevel="0" collapsed="false">
      <c r="A433" s="7" t="s">
        <v>2142</v>
      </c>
      <c r="B433" s="7" t="s">
        <v>1747</v>
      </c>
      <c r="C433" s="9" t="s">
        <v>1704</v>
      </c>
      <c r="D433" s="13" t="s">
        <v>1745</v>
      </c>
    </row>
    <row r="434" customFormat="false" ht="15" hidden="false" customHeight="false" outlineLevel="0" collapsed="false">
      <c r="A434" s="7" t="s">
        <v>2143</v>
      </c>
      <c r="B434" s="7" t="s">
        <v>1883</v>
      </c>
      <c r="C434" s="8" t="s">
        <v>1706</v>
      </c>
      <c r="D434" s="13" t="s">
        <v>1816</v>
      </c>
    </row>
    <row r="435" customFormat="false" ht="15" hidden="false" customHeight="false" outlineLevel="0" collapsed="false">
      <c r="A435" s="7" t="s">
        <v>2144</v>
      </c>
      <c r="B435" s="7" t="s">
        <v>1875</v>
      </c>
      <c r="C435" s="9" t="s">
        <v>1704</v>
      </c>
      <c r="D435" s="13" t="s">
        <v>1816</v>
      </c>
    </row>
    <row r="436" customFormat="false" ht="15" hidden="false" customHeight="false" outlineLevel="0" collapsed="false">
      <c r="A436" s="7" t="s">
        <v>2145</v>
      </c>
      <c r="B436" s="7" t="s">
        <v>1883</v>
      </c>
      <c r="C436" s="8" t="s">
        <v>1706</v>
      </c>
      <c r="D436" s="13" t="s">
        <v>1816</v>
      </c>
    </row>
    <row r="437" customFormat="false" ht="15" hidden="false" customHeight="false" outlineLevel="0" collapsed="false">
      <c r="A437" s="7" t="s">
        <v>2146</v>
      </c>
      <c r="B437" s="7" t="s">
        <v>1929</v>
      </c>
      <c r="C437" s="8" t="s">
        <v>1706</v>
      </c>
      <c r="D437" s="13" t="s">
        <v>1816</v>
      </c>
    </row>
    <row r="438" customFormat="false" ht="15" hidden="false" customHeight="false" outlineLevel="0" collapsed="false">
      <c r="A438" s="7" t="s">
        <v>2146</v>
      </c>
      <c r="B438" s="7" t="s">
        <v>1827</v>
      </c>
      <c r="C438" s="9" t="s">
        <v>1704</v>
      </c>
      <c r="D438" s="13" t="s">
        <v>1820</v>
      </c>
    </row>
    <row r="439" customFormat="false" ht="15" hidden="false" customHeight="false" outlineLevel="0" collapsed="false">
      <c r="A439" s="7" t="s">
        <v>2147</v>
      </c>
      <c r="B439" s="7" t="s">
        <v>1883</v>
      </c>
      <c r="C439" s="8" t="s">
        <v>1706</v>
      </c>
      <c r="D439" s="13" t="s">
        <v>1816</v>
      </c>
    </row>
    <row r="440" customFormat="false" ht="15" hidden="false" customHeight="false" outlineLevel="0" collapsed="false">
      <c r="A440" s="7" t="s">
        <v>2147</v>
      </c>
      <c r="B440" s="7" t="s">
        <v>1854</v>
      </c>
      <c r="C440" s="8" t="s">
        <v>1706</v>
      </c>
      <c r="D440" s="13" t="s">
        <v>1816</v>
      </c>
    </row>
    <row r="441" customFormat="false" ht="15" hidden="false" customHeight="false" outlineLevel="0" collapsed="false">
      <c r="A441" s="7" t="s">
        <v>2148</v>
      </c>
      <c r="B441" s="7" t="s">
        <v>1836</v>
      </c>
      <c r="C441" s="9" t="s">
        <v>1704</v>
      </c>
      <c r="D441" s="13" t="s">
        <v>1816</v>
      </c>
    </row>
    <row r="442" customFormat="false" ht="15" hidden="false" customHeight="false" outlineLevel="0" collapsed="false">
      <c r="A442" s="7" t="s">
        <v>2148</v>
      </c>
      <c r="B442" s="7" t="s">
        <v>1854</v>
      </c>
      <c r="C442" s="9" t="s">
        <v>1704</v>
      </c>
      <c r="D442" s="13" t="s">
        <v>1816</v>
      </c>
    </row>
    <row r="443" customFormat="false" ht="15" hidden="false" customHeight="false" outlineLevel="0" collapsed="false">
      <c r="A443" s="7" t="s">
        <v>2149</v>
      </c>
      <c r="B443" s="7" t="s">
        <v>1854</v>
      </c>
      <c r="C443" s="8" t="s">
        <v>1706</v>
      </c>
      <c r="D443" s="13" t="s">
        <v>1816</v>
      </c>
    </row>
    <row r="444" customFormat="false" ht="15" hidden="false" customHeight="false" outlineLevel="0" collapsed="false">
      <c r="A444" s="7" t="s">
        <v>2150</v>
      </c>
      <c r="B444" s="7" t="s">
        <v>1854</v>
      </c>
      <c r="C444" s="9" t="s">
        <v>1704</v>
      </c>
      <c r="D444" s="13" t="s">
        <v>1816</v>
      </c>
    </row>
    <row r="445" customFormat="false" ht="15" hidden="false" customHeight="false" outlineLevel="0" collapsed="false">
      <c r="A445" s="7" t="s">
        <v>2150</v>
      </c>
      <c r="B445" s="7" t="s">
        <v>1836</v>
      </c>
      <c r="C445" s="9" t="s">
        <v>1704</v>
      </c>
      <c r="D445" s="13" t="s">
        <v>1816</v>
      </c>
    </row>
    <row r="446" customFormat="false" ht="15" hidden="false" customHeight="false" outlineLevel="0" collapsed="false">
      <c r="A446" s="7" t="s">
        <v>2151</v>
      </c>
      <c r="B446" s="7" t="s">
        <v>1854</v>
      </c>
      <c r="C446" s="8" t="s">
        <v>1706</v>
      </c>
      <c r="D446" s="13" t="s">
        <v>1816</v>
      </c>
    </row>
    <row r="447" customFormat="false" ht="15" hidden="false" customHeight="false" outlineLevel="0" collapsed="false">
      <c r="A447" s="7" t="s">
        <v>2152</v>
      </c>
      <c r="B447" s="7" t="s">
        <v>1815</v>
      </c>
      <c r="C447" s="9" t="s">
        <v>1704</v>
      </c>
      <c r="D447" s="13" t="s">
        <v>1816</v>
      </c>
    </row>
    <row r="448" customFormat="false" ht="15" hidden="false" customHeight="false" outlineLevel="0" collapsed="false">
      <c r="A448" s="7" t="s">
        <v>2153</v>
      </c>
      <c r="B448" s="7" t="s">
        <v>1827</v>
      </c>
      <c r="C448" s="9" t="s">
        <v>1704</v>
      </c>
      <c r="D448" s="13" t="s">
        <v>1820</v>
      </c>
    </row>
    <row r="449" customFormat="false" ht="15" hidden="false" customHeight="false" outlineLevel="0" collapsed="false">
      <c r="A449" s="7" t="s">
        <v>2154</v>
      </c>
      <c r="B449" s="7" t="s">
        <v>1867</v>
      </c>
      <c r="C449" s="8" t="s">
        <v>1706</v>
      </c>
      <c r="D449" s="13" t="s">
        <v>1816</v>
      </c>
    </row>
    <row r="450" customFormat="false" ht="15" hidden="false" customHeight="false" outlineLevel="0" collapsed="false">
      <c r="A450" s="7" t="s">
        <v>2155</v>
      </c>
      <c r="B450" s="7" t="s">
        <v>1883</v>
      </c>
      <c r="C450" s="9" t="s">
        <v>1704</v>
      </c>
      <c r="D450" s="13" t="s">
        <v>1816</v>
      </c>
    </row>
    <row r="451" customFormat="false" ht="15" hidden="false" customHeight="false" outlineLevel="0" collapsed="false">
      <c r="A451" s="7" t="s">
        <v>2156</v>
      </c>
      <c r="B451" s="7" t="s">
        <v>1976</v>
      </c>
      <c r="C451" s="9" t="s">
        <v>1704</v>
      </c>
      <c r="D451" s="13" t="s">
        <v>1820</v>
      </c>
    </row>
    <row r="452" customFormat="false" ht="15" hidden="false" customHeight="false" outlineLevel="0" collapsed="false">
      <c r="A452" s="7" t="s">
        <v>2157</v>
      </c>
      <c r="B452" s="7" t="s">
        <v>1883</v>
      </c>
      <c r="C452" s="9" t="s">
        <v>1704</v>
      </c>
      <c r="D452" s="13" t="s">
        <v>1816</v>
      </c>
    </row>
    <row r="453" customFormat="false" ht="15" hidden="false" customHeight="false" outlineLevel="0" collapsed="false">
      <c r="A453" s="7" t="s">
        <v>2158</v>
      </c>
      <c r="B453" s="7" t="s">
        <v>1815</v>
      </c>
      <c r="C453" s="9" t="s">
        <v>1704</v>
      </c>
      <c r="D453" s="13" t="s">
        <v>1816</v>
      </c>
    </row>
    <row r="454" customFormat="false" ht="15" hidden="false" customHeight="false" outlineLevel="0" collapsed="false">
      <c r="A454" s="7" t="s">
        <v>2159</v>
      </c>
      <c r="B454" s="7" t="s">
        <v>1976</v>
      </c>
      <c r="C454" s="9" t="s">
        <v>1704</v>
      </c>
      <c r="D454" s="13" t="s">
        <v>1820</v>
      </c>
    </row>
    <row r="455" customFormat="false" ht="15" hidden="false" customHeight="false" outlineLevel="0" collapsed="false">
      <c r="A455" s="7" t="s">
        <v>2160</v>
      </c>
      <c r="B455" s="7" t="s">
        <v>1815</v>
      </c>
      <c r="C455" s="9" t="s">
        <v>1704</v>
      </c>
      <c r="D455" s="13" t="s">
        <v>1816</v>
      </c>
    </row>
    <row r="456" customFormat="false" ht="15" hidden="false" customHeight="false" outlineLevel="0" collapsed="false">
      <c r="A456" s="7" t="s">
        <v>2161</v>
      </c>
      <c r="B456" s="7" t="s">
        <v>1815</v>
      </c>
      <c r="C456" s="9" t="s">
        <v>1704</v>
      </c>
      <c r="D456" s="13" t="s">
        <v>1816</v>
      </c>
    </row>
    <row r="457" customFormat="false" ht="15" hidden="false" customHeight="false" outlineLevel="0" collapsed="false">
      <c r="A457" s="7" t="s">
        <v>2162</v>
      </c>
      <c r="B457" s="7" t="s">
        <v>1827</v>
      </c>
      <c r="C457" s="9" t="s">
        <v>1704</v>
      </c>
      <c r="D457" s="13" t="s">
        <v>1820</v>
      </c>
    </row>
    <row r="458" customFormat="false" ht="15" hidden="false" customHeight="false" outlineLevel="0" collapsed="false">
      <c r="A458" s="7" t="s">
        <v>2163</v>
      </c>
      <c r="B458" s="7" t="s">
        <v>1883</v>
      </c>
      <c r="C458" s="9" t="s">
        <v>1704</v>
      </c>
      <c r="D458" s="13" t="s">
        <v>1816</v>
      </c>
    </row>
    <row r="459" customFormat="false" ht="15" hidden="false" customHeight="false" outlineLevel="0" collapsed="false">
      <c r="A459" s="7" t="s">
        <v>2164</v>
      </c>
      <c r="B459" s="7" t="s">
        <v>1883</v>
      </c>
      <c r="C459" s="9" t="s">
        <v>1704</v>
      </c>
      <c r="D459" s="13" t="s">
        <v>1816</v>
      </c>
    </row>
    <row r="460" customFormat="false" ht="15" hidden="false" customHeight="false" outlineLevel="0" collapsed="false">
      <c r="A460" s="7" t="s">
        <v>2165</v>
      </c>
      <c r="B460" s="7" t="s">
        <v>1883</v>
      </c>
      <c r="C460" s="9" t="s">
        <v>1704</v>
      </c>
      <c r="D460" s="13" t="s">
        <v>1816</v>
      </c>
    </row>
    <row r="461" customFormat="false" ht="15" hidden="false" customHeight="false" outlineLevel="0" collapsed="false">
      <c r="A461" s="7" t="s">
        <v>2166</v>
      </c>
      <c r="B461" s="7" t="s">
        <v>1976</v>
      </c>
      <c r="C461" s="9" t="s">
        <v>1704</v>
      </c>
      <c r="D461" s="13" t="s">
        <v>1820</v>
      </c>
    </row>
    <row r="462" customFormat="false" ht="15" hidden="false" customHeight="false" outlineLevel="0" collapsed="false">
      <c r="A462" s="7" t="s">
        <v>2167</v>
      </c>
      <c r="B462" s="7" t="s">
        <v>1815</v>
      </c>
      <c r="C462" s="9" t="s">
        <v>1704</v>
      </c>
      <c r="D462" s="13" t="s">
        <v>1816</v>
      </c>
    </row>
    <row r="463" customFormat="false" ht="15" hidden="false" customHeight="false" outlineLevel="0" collapsed="false">
      <c r="A463" s="7" t="s">
        <v>2168</v>
      </c>
      <c r="B463" s="7" t="s">
        <v>1815</v>
      </c>
      <c r="C463" s="9" t="s">
        <v>1704</v>
      </c>
      <c r="D463" s="13" t="s">
        <v>1816</v>
      </c>
    </row>
    <row r="464" customFormat="false" ht="15" hidden="false" customHeight="false" outlineLevel="0" collapsed="false">
      <c r="A464" s="7" t="s">
        <v>2169</v>
      </c>
      <c r="B464" s="7" t="s">
        <v>1838</v>
      </c>
      <c r="C464" s="9" t="s">
        <v>1704</v>
      </c>
      <c r="D464" s="13" t="s">
        <v>1823</v>
      </c>
    </row>
    <row r="465" customFormat="false" ht="15" hidden="false" customHeight="false" outlineLevel="0" collapsed="false">
      <c r="A465" s="7" t="s">
        <v>2169</v>
      </c>
      <c r="B465" s="7" t="s">
        <v>1976</v>
      </c>
      <c r="C465" s="9" t="s">
        <v>1704</v>
      </c>
      <c r="D465" s="13" t="s">
        <v>1820</v>
      </c>
    </row>
    <row r="466" customFormat="false" ht="15" hidden="false" customHeight="false" outlineLevel="0" collapsed="false">
      <c r="A466" s="7" t="s">
        <v>2170</v>
      </c>
      <c r="B466" s="7" t="s">
        <v>1838</v>
      </c>
      <c r="C466" s="9" t="s">
        <v>1704</v>
      </c>
      <c r="D466" s="13" t="s">
        <v>1823</v>
      </c>
    </row>
    <row r="467" customFormat="false" ht="15" hidden="false" customHeight="false" outlineLevel="0" collapsed="false">
      <c r="A467" s="7" t="s">
        <v>2170</v>
      </c>
      <c r="B467" s="7" t="s">
        <v>1883</v>
      </c>
      <c r="C467" s="9" t="s">
        <v>1704</v>
      </c>
      <c r="D467" s="13" t="s">
        <v>1816</v>
      </c>
    </row>
    <row r="468" customFormat="false" ht="15" hidden="false" customHeight="false" outlineLevel="0" collapsed="false">
      <c r="A468" s="7" t="s">
        <v>2171</v>
      </c>
      <c r="B468" s="7" t="s">
        <v>1976</v>
      </c>
      <c r="C468" s="9" t="s">
        <v>1704</v>
      </c>
      <c r="D468" s="13" t="s">
        <v>1820</v>
      </c>
    </row>
    <row r="469" customFormat="false" ht="15" hidden="false" customHeight="false" outlineLevel="0" collapsed="false">
      <c r="A469" s="7" t="s">
        <v>2172</v>
      </c>
      <c r="B469" s="7" t="s">
        <v>1929</v>
      </c>
      <c r="C469" s="9" t="s">
        <v>1704</v>
      </c>
      <c r="D469" s="13" t="s">
        <v>1816</v>
      </c>
    </row>
    <row r="470" customFormat="false" ht="15" hidden="false" customHeight="false" outlineLevel="0" collapsed="false">
      <c r="A470" s="7" t="s">
        <v>2173</v>
      </c>
      <c r="B470" s="7" t="s">
        <v>1883</v>
      </c>
      <c r="C470" s="9" t="s">
        <v>1704</v>
      </c>
      <c r="D470" s="13" t="s">
        <v>1816</v>
      </c>
    </row>
    <row r="471" customFormat="false" ht="15" hidden="false" customHeight="false" outlineLevel="0" collapsed="false">
      <c r="A471" s="7" t="s">
        <v>2174</v>
      </c>
      <c r="B471" s="7" t="s">
        <v>1815</v>
      </c>
      <c r="C471" s="9" t="s">
        <v>1704</v>
      </c>
      <c r="D471" s="13" t="s">
        <v>1816</v>
      </c>
    </row>
    <row r="472" customFormat="false" ht="15" hidden="false" customHeight="false" outlineLevel="0" collapsed="false">
      <c r="A472" s="7" t="s">
        <v>2175</v>
      </c>
      <c r="B472" s="7" t="s">
        <v>1815</v>
      </c>
      <c r="C472" s="9" t="s">
        <v>1704</v>
      </c>
      <c r="D472" s="13" t="s">
        <v>1816</v>
      </c>
    </row>
    <row r="473" customFormat="false" ht="15" hidden="false" customHeight="false" outlineLevel="0" collapsed="false">
      <c r="A473" s="7" t="s">
        <v>2176</v>
      </c>
      <c r="B473" s="7" t="s">
        <v>1838</v>
      </c>
      <c r="C473" s="9" t="s">
        <v>1704</v>
      </c>
      <c r="D473" s="13" t="s">
        <v>1823</v>
      </c>
    </row>
    <row r="474" customFormat="false" ht="15" hidden="false" customHeight="false" outlineLevel="0" collapsed="false">
      <c r="A474" s="7" t="s">
        <v>2177</v>
      </c>
      <c r="B474" s="7" t="s">
        <v>1883</v>
      </c>
      <c r="C474" s="9" t="s">
        <v>1704</v>
      </c>
      <c r="D474" s="13" t="s">
        <v>1816</v>
      </c>
    </row>
    <row r="475" customFormat="false" ht="15" hidden="false" customHeight="false" outlineLevel="0" collapsed="false">
      <c r="A475" s="7" t="s">
        <v>2178</v>
      </c>
      <c r="B475" s="7" t="s">
        <v>1929</v>
      </c>
      <c r="C475" s="9" t="s">
        <v>1704</v>
      </c>
      <c r="D475" s="13" t="s">
        <v>1816</v>
      </c>
    </row>
    <row r="476" customFormat="false" ht="15" hidden="false" customHeight="false" outlineLevel="0" collapsed="false">
      <c r="A476" s="7" t="s">
        <v>2178</v>
      </c>
      <c r="B476" s="7" t="s">
        <v>1836</v>
      </c>
      <c r="C476" s="9" t="s">
        <v>1704</v>
      </c>
      <c r="D476" s="13" t="s">
        <v>1816</v>
      </c>
    </row>
    <row r="477" customFormat="false" ht="15" hidden="false" customHeight="false" outlineLevel="0" collapsed="false">
      <c r="A477" s="7" t="s">
        <v>2179</v>
      </c>
      <c r="B477" s="7" t="s">
        <v>1838</v>
      </c>
      <c r="C477" s="9" t="s">
        <v>1704</v>
      </c>
      <c r="D477" s="13" t="s">
        <v>1823</v>
      </c>
    </row>
    <row r="478" customFormat="false" ht="15" hidden="false" customHeight="false" outlineLevel="0" collapsed="false">
      <c r="A478" s="7" t="s">
        <v>2180</v>
      </c>
      <c r="B478" s="7" t="s">
        <v>1836</v>
      </c>
      <c r="C478" s="9" t="s">
        <v>1704</v>
      </c>
      <c r="D478" s="13" t="s">
        <v>1816</v>
      </c>
    </row>
    <row r="479" customFormat="false" ht="15" hidden="false" customHeight="false" outlineLevel="0" collapsed="false">
      <c r="A479" s="7" t="s">
        <v>2181</v>
      </c>
      <c r="B479" s="7" t="s">
        <v>1836</v>
      </c>
      <c r="C479" s="9" t="s">
        <v>1704</v>
      </c>
      <c r="D479" s="13" t="s">
        <v>1816</v>
      </c>
    </row>
    <row r="480" customFormat="false" ht="15" hidden="false" customHeight="false" outlineLevel="0" collapsed="false">
      <c r="A480" s="7" t="s">
        <v>2181</v>
      </c>
      <c r="B480" s="7" t="s">
        <v>1976</v>
      </c>
      <c r="C480" s="9" t="s">
        <v>1704</v>
      </c>
      <c r="D480" s="13" t="s">
        <v>1820</v>
      </c>
    </row>
    <row r="481" customFormat="false" ht="15" hidden="false" customHeight="false" outlineLevel="0" collapsed="false">
      <c r="A481" s="7" t="s">
        <v>2182</v>
      </c>
      <c r="B481" s="7" t="s">
        <v>1838</v>
      </c>
      <c r="C481" s="9" t="s">
        <v>1704</v>
      </c>
      <c r="D481" s="13" t="s">
        <v>1823</v>
      </c>
    </row>
    <row r="482" customFormat="false" ht="15" hidden="false" customHeight="false" outlineLevel="0" collapsed="false">
      <c r="A482" s="7" t="s">
        <v>2183</v>
      </c>
      <c r="B482" s="7" t="s">
        <v>1976</v>
      </c>
      <c r="C482" s="9" t="s">
        <v>1704</v>
      </c>
      <c r="D482" s="13" t="s">
        <v>1820</v>
      </c>
    </row>
    <row r="483" customFormat="false" ht="15" hidden="false" customHeight="false" outlineLevel="0" collapsed="false">
      <c r="A483" s="7" t="s">
        <v>2184</v>
      </c>
      <c r="B483" s="7" t="s">
        <v>1883</v>
      </c>
      <c r="C483" s="9" t="s">
        <v>1704</v>
      </c>
      <c r="D483" s="13" t="s">
        <v>1816</v>
      </c>
    </row>
    <row r="484" customFormat="false" ht="15" hidden="false" customHeight="false" outlineLevel="0" collapsed="false">
      <c r="A484" s="7" t="s">
        <v>2185</v>
      </c>
      <c r="B484" s="7" t="s">
        <v>1744</v>
      </c>
      <c r="C484" s="9" t="s">
        <v>1704</v>
      </c>
      <c r="D484" s="13" t="s">
        <v>1745</v>
      </c>
    </row>
    <row r="485" customFormat="false" ht="15" hidden="false" customHeight="false" outlineLevel="0" collapsed="false">
      <c r="A485" s="7" t="s">
        <v>2186</v>
      </c>
      <c r="B485" s="7" t="s">
        <v>1838</v>
      </c>
      <c r="C485" s="9" t="s">
        <v>1704</v>
      </c>
      <c r="D485" s="13" t="s">
        <v>1823</v>
      </c>
    </row>
    <row r="486" customFormat="false" ht="15" hidden="false" customHeight="false" outlineLevel="0" collapsed="false">
      <c r="A486" s="7" t="s">
        <v>2187</v>
      </c>
      <c r="B486" s="7" t="s">
        <v>1883</v>
      </c>
      <c r="C486" s="9" t="s">
        <v>1704</v>
      </c>
      <c r="D486" s="13" t="s">
        <v>1816</v>
      </c>
    </row>
    <row r="487" customFormat="false" ht="15" hidden="false" customHeight="false" outlineLevel="0" collapsed="false">
      <c r="A487" s="7" t="s">
        <v>2187</v>
      </c>
      <c r="B487" s="7" t="s">
        <v>1976</v>
      </c>
      <c r="C487" s="9" t="s">
        <v>1704</v>
      </c>
      <c r="D487" s="13" t="s">
        <v>1820</v>
      </c>
    </row>
    <row r="488" customFormat="false" ht="15" hidden="false" customHeight="false" outlineLevel="0" collapsed="false">
      <c r="A488" s="7" t="s">
        <v>2188</v>
      </c>
      <c r="B488" s="7" t="s">
        <v>1815</v>
      </c>
      <c r="C488" s="9" t="s">
        <v>1704</v>
      </c>
      <c r="D488" s="13" t="s">
        <v>1816</v>
      </c>
    </row>
    <row r="489" customFormat="false" ht="15" hidden="false" customHeight="false" outlineLevel="0" collapsed="false">
      <c r="A489" s="7" t="s">
        <v>2189</v>
      </c>
      <c r="B489" s="7" t="s">
        <v>1815</v>
      </c>
      <c r="C489" s="9" t="s">
        <v>1704</v>
      </c>
      <c r="D489" s="13" t="s">
        <v>1816</v>
      </c>
    </row>
    <row r="490" customFormat="false" ht="15" hidden="false" customHeight="false" outlineLevel="0" collapsed="false">
      <c r="A490" s="7" t="s">
        <v>2190</v>
      </c>
      <c r="B490" s="7" t="s">
        <v>1815</v>
      </c>
      <c r="C490" s="9" t="s">
        <v>1704</v>
      </c>
      <c r="D490" s="13" t="s">
        <v>1816</v>
      </c>
    </row>
    <row r="491" customFormat="false" ht="15" hidden="false" customHeight="false" outlineLevel="0" collapsed="false">
      <c r="A491" s="7" t="s">
        <v>2191</v>
      </c>
      <c r="B491" s="7" t="s">
        <v>1815</v>
      </c>
      <c r="C491" s="9" t="s">
        <v>1704</v>
      </c>
      <c r="D491" s="13" t="s">
        <v>1816</v>
      </c>
    </row>
    <row r="492" customFormat="false" ht="15" hidden="false" customHeight="false" outlineLevel="0" collapsed="false">
      <c r="A492" s="7" t="s">
        <v>2192</v>
      </c>
      <c r="B492" s="7" t="s">
        <v>1815</v>
      </c>
      <c r="C492" s="9" t="s">
        <v>1704</v>
      </c>
      <c r="D492" s="13" t="s">
        <v>1816</v>
      </c>
    </row>
    <row r="493" customFormat="false" ht="15" hidden="false" customHeight="false" outlineLevel="0" collapsed="false">
      <c r="A493" s="7" t="s">
        <v>2193</v>
      </c>
      <c r="B493" s="7" t="s">
        <v>1815</v>
      </c>
      <c r="C493" s="9" t="s">
        <v>1704</v>
      </c>
      <c r="D493" s="13" t="s">
        <v>1816</v>
      </c>
    </row>
    <row r="494" customFormat="false" ht="15" hidden="false" customHeight="false" outlineLevel="0" collapsed="false">
      <c r="A494" s="7" t="s">
        <v>2194</v>
      </c>
      <c r="B494" s="7" t="s">
        <v>1883</v>
      </c>
      <c r="C494" s="9" t="s">
        <v>1704</v>
      </c>
      <c r="D494" s="13" t="s">
        <v>1816</v>
      </c>
    </row>
    <row r="495" customFormat="false" ht="15" hidden="false" customHeight="false" outlineLevel="0" collapsed="false">
      <c r="A495" s="7" t="s">
        <v>2195</v>
      </c>
      <c r="B495" s="7" t="s">
        <v>1815</v>
      </c>
      <c r="C495" s="9" t="s">
        <v>1704</v>
      </c>
      <c r="D495" s="13" t="s">
        <v>1816</v>
      </c>
    </row>
    <row r="496" customFormat="false" ht="15" hidden="false" customHeight="false" outlineLevel="0" collapsed="false">
      <c r="A496" s="7" t="s">
        <v>2195</v>
      </c>
      <c r="B496" s="7" t="s">
        <v>1819</v>
      </c>
      <c r="C496" s="9" t="s">
        <v>1704</v>
      </c>
      <c r="D496" s="13" t="s">
        <v>1820</v>
      </c>
    </row>
    <row r="497" customFormat="false" ht="15" hidden="false" customHeight="false" outlineLevel="0" collapsed="false">
      <c r="A497" s="7" t="s">
        <v>2196</v>
      </c>
      <c r="B497" s="7" t="s">
        <v>1815</v>
      </c>
      <c r="C497" s="9" t="s">
        <v>1704</v>
      </c>
      <c r="D497" s="13" t="s">
        <v>1816</v>
      </c>
    </row>
    <row r="498" customFormat="false" ht="15" hidden="false" customHeight="false" outlineLevel="0" collapsed="false">
      <c r="A498" s="7" t="s">
        <v>2197</v>
      </c>
      <c r="B498" s="7" t="s">
        <v>1883</v>
      </c>
      <c r="C498" s="9" t="s">
        <v>1704</v>
      </c>
      <c r="D498" s="13" t="s">
        <v>1816</v>
      </c>
    </row>
    <row r="499" customFormat="false" ht="15" hidden="false" customHeight="false" outlineLevel="0" collapsed="false">
      <c r="A499" s="7" t="s">
        <v>2198</v>
      </c>
      <c r="B499" s="7" t="s">
        <v>1819</v>
      </c>
      <c r="C499" s="9" t="s">
        <v>1704</v>
      </c>
      <c r="D499" s="13" t="s">
        <v>1820</v>
      </c>
    </row>
    <row r="500" customFormat="false" ht="15" hidden="false" customHeight="false" outlineLevel="0" collapsed="false">
      <c r="A500" s="7" t="s">
        <v>2199</v>
      </c>
      <c r="B500" s="7" t="s">
        <v>1827</v>
      </c>
      <c r="C500" s="9" t="s">
        <v>1704</v>
      </c>
      <c r="D500" s="13" t="s">
        <v>1820</v>
      </c>
    </row>
    <row r="501" customFormat="false" ht="15" hidden="false" customHeight="false" outlineLevel="0" collapsed="false">
      <c r="A501" s="7" t="s">
        <v>2200</v>
      </c>
      <c r="B501" s="7" t="s">
        <v>1976</v>
      </c>
      <c r="C501" s="9" t="s">
        <v>1704</v>
      </c>
      <c r="D501" s="13" t="s">
        <v>1820</v>
      </c>
    </row>
    <row r="502" customFormat="false" ht="15" hidden="false" customHeight="false" outlineLevel="0" collapsed="false">
      <c r="A502" s="7" t="s">
        <v>2201</v>
      </c>
      <c r="B502" s="7" t="s">
        <v>1976</v>
      </c>
      <c r="C502" s="9" t="s">
        <v>1704</v>
      </c>
      <c r="D502" s="13" t="s">
        <v>1820</v>
      </c>
    </row>
    <row r="503" customFormat="false" ht="15" hidden="false" customHeight="false" outlineLevel="0" collapsed="false">
      <c r="A503" s="7" t="s">
        <v>2202</v>
      </c>
      <c r="B503" s="7" t="s">
        <v>1883</v>
      </c>
      <c r="C503" s="9" t="s">
        <v>1704</v>
      </c>
      <c r="D503" s="13" t="s">
        <v>1816</v>
      </c>
    </row>
    <row r="504" customFormat="false" ht="15" hidden="false" customHeight="false" outlineLevel="0" collapsed="false">
      <c r="A504" s="7" t="s">
        <v>2203</v>
      </c>
      <c r="B504" s="7" t="s">
        <v>1929</v>
      </c>
      <c r="C504" s="9" t="s">
        <v>1704</v>
      </c>
      <c r="D504" s="13" t="s">
        <v>1816</v>
      </c>
    </row>
    <row r="505" customFormat="false" ht="15" hidden="false" customHeight="false" outlineLevel="0" collapsed="false">
      <c r="A505" s="7" t="s">
        <v>2204</v>
      </c>
      <c r="B505" s="7" t="s">
        <v>1836</v>
      </c>
      <c r="C505" s="9" t="s">
        <v>1704</v>
      </c>
      <c r="D505" s="13" t="s">
        <v>1816</v>
      </c>
    </row>
    <row r="506" customFormat="false" ht="15" hidden="false" customHeight="false" outlineLevel="0" collapsed="false">
      <c r="A506" s="7" t="s">
        <v>2204</v>
      </c>
      <c r="B506" s="7" t="s">
        <v>1747</v>
      </c>
      <c r="C506" s="9" t="s">
        <v>1704</v>
      </c>
      <c r="D506" s="13" t="s">
        <v>1745</v>
      </c>
    </row>
    <row r="507" customFormat="false" ht="15" hidden="false" customHeight="false" outlineLevel="0" collapsed="false">
      <c r="A507" s="7" t="s">
        <v>2205</v>
      </c>
      <c r="B507" s="7" t="s">
        <v>1836</v>
      </c>
      <c r="C507" s="9" t="s">
        <v>1704</v>
      </c>
      <c r="D507" s="13" t="s">
        <v>1816</v>
      </c>
    </row>
    <row r="508" customFormat="false" ht="15" hidden="false" customHeight="false" outlineLevel="0" collapsed="false">
      <c r="A508" s="7" t="s">
        <v>2206</v>
      </c>
      <c r="B508" s="7" t="s">
        <v>1838</v>
      </c>
      <c r="C508" s="9" t="s">
        <v>1704</v>
      </c>
      <c r="D508" s="13" t="s">
        <v>1823</v>
      </c>
    </row>
    <row r="509" customFormat="false" ht="15" hidden="false" customHeight="false" outlineLevel="0" collapsed="false">
      <c r="A509" s="7" t="s">
        <v>2207</v>
      </c>
      <c r="B509" s="7" t="s">
        <v>1836</v>
      </c>
      <c r="C509" s="9" t="s">
        <v>1704</v>
      </c>
      <c r="D509" s="13" t="s">
        <v>1816</v>
      </c>
    </row>
    <row r="510" customFormat="false" ht="15" hidden="false" customHeight="false" outlineLevel="0" collapsed="false">
      <c r="A510" s="7" t="s">
        <v>2208</v>
      </c>
      <c r="B510" s="7" t="s">
        <v>1854</v>
      </c>
      <c r="C510" s="9" t="s">
        <v>1704</v>
      </c>
      <c r="D510" s="13" t="s">
        <v>1816</v>
      </c>
    </row>
    <row r="511" customFormat="false" ht="15" hidden="false" customHeight="false" outlineLevel="0" collapsed="false">
      <c r="A511" s="7" t="s">
        <v>2209</v>
      </c>
      <c r="B511" s="7" t="s">
        <v>1976</v>
      </c>
      <c r="C511" s="9" t="s">
        <v>1704</v>
      </c>
      <c r="D511" s="13" t="s">
        <v>1820</v>
      </c>
    </row>
    <row r="512" customFormat="false" ht="15" hidden="false" customHeight="false" outlineLevel="0" collapsed="false">
      <c r="A512" s="7" t="s">
        <v>2209</v>
      </c>
      <c r="B512" s="7" t="s">
        <v>1854</v>
      </c>
      <c r="C512" s="8" t="s">
        <v>1706</v>
      </c>
      <c r="D512" s="13" t="s">
        <v>1816</v>
      </c>
    </row>
    <row r="513" customFormat="false" ht="15" hidden="false" customHeight="false" outlineLevel="0" collapsed="false">
      <c r="A513" s="7" t="s">
        <v>2210</v>
      </c>
      <c r="B513" s="7" t="s">
        <v>1854</v>
      </c>
      <c r="C513" s="9" t="s">
        <v>1704</v>
      </c>
      <c r="D513" s="13" t="s">
        <v>1816</v>
      </c>
    </row>
    <row r="514" customFormat="false" ht="15" hidden="false" customHeight="false" outlineLevel="0" collapsed="false">
      <c r="A514" s="7" t="s">
        <v>2210</v>
      </c>
      <c r="B514" s="7" t="s">
        <v>1836</v>
      </c>
      <c r="C514" s="9" t="s">
        <v>1704</v>
      </c>
      <c r="D514" s="13" t="s">
        <v>1816</v>
      </c>
    </row>
    <row r="515" customFormat="false" ht="15" hidden="false" customHeight="false" outlineLevel="0" collapsed="false">
      <c r="A515" s="7" t="s">
        <v>2211</v>
      </c>
      <c r="B515" s="7" t="s">
        <v>1976</v>
      </c>
      <c r="C515" s="9" t="s">
        <v>1704</v>
      </c>
      <c r="D515" s="13" t="s">
        <v>1820</v>
      </c>
    </row>
    <row r="516" customFormat="false" ht="15" hidden="false" customHeight="false" outlineLevel="0" collapsed="false">
      <c r="A516" s="7" t="s">
        <v>2211</v>
      </c>
      <c r="B516" s="7" t="s">
        <v>1854</v>
      </c>
      <c r="C516" s="8" t="s">
        <v>1706</v>
      </c>
      <c r="D516" s="13" t="s">
        <v>1816</v>
      </c>
    </row>
    <row r="517" customFormat="false" ht="15" hidden="false" customHeight="false" outlineLevel="0" collapsed="false">
      <c r="A517" s="7" t="s">
        <v>2212</v>
      </c>
      <c r="B517" s="7" t="s">
        <v>1838</v>
      </c>
      <c r="C517" s="9" t="s">
        <v>1704</v>
      </c>
      <c r="D517" s="13" t="s">
        <v>1823</v>
      </c>
    </row>
    <row r="518" customFormat="false" ht="15" hidden="false" customHeight="false" outlineLevel="0" collapsed="false">
      <c r="A518" s="7" t="s">
        <v>2213</v>
      </c>
      <c r="B518" s="7" t="s">
        <v>1838</v>
      </c>
      <c r="C518" s="9" t="s">
        <v>1704</v>
      </c>
      <c r="D518" s="13" t="s">
        <v>1823</v>
      </c>
    </row>
    <row r="519" customFormat="false" ht="15" hidden="false" customHeight="false" outlineLevel="0" collapsed="false">
      <c r="A519" s="7" t="s">
        <v>2214</v>
      </c>
      <c r="B519" s="7" t="s">
        <v>1883</v>
      </c>
      <c r="C519" s="9" t="s">
        <v>1704</v>
      </c>
      <c r="D519" s="13" t="s">
        <v>1816</v>
      </c>
    </row>
    <row r="520" customFormat="false" ht="15" hidden="false" customHeight="false" outlineLevel="0" collapsed="false">
      <c r="A520" s="7" t="s">
        <v>2215</v>
      </c>
      <c r="B520" s="7" t="s">
        <v>1838</v>
      </c>
      <c r="C520" s="9" t="s">
        <v>1704</v>
      </c>
      <c r="D520" s="13" t="s">
        <v>1823</v>
      </c>
    </row>
    <row r="521" customFormat="false" ht="15" hidden="false" customHeight="false" outlineLevel="0" collapsed="false">
      <c r="A521" s="7" t="s">
        <v>2216</v>
      </c>
      <c r="B521" s="7" t="s">
        <v>1749</v>
      </c>
      <c r="C521" s="8" t="s">
        <v>1706</v>
      </c>
      <c r="D521" s="13" t="s">
        <v>1745</v>
      </c>
    </row>
    <row r="522" customFormat="false" ht="15" hidden="false" customHeight="false" outlineLevel="0" collapsed="false">
      <c r="A522" s="7" t="s">
        <v>2217</v>
      </c>
      <c r="B522" s="7" t="s">
        <v>1827</v>
      </c>
      <c r="C522" s="9" t="s">
        <v>1704</v>
      </c>
      <c r="D522" s="13" t="s">
        <v>1820</v>
      </c>
    </row>
    <row r="523" customFormat="false" ht="15" hidden="false" customHeight="false" outlineLevel="0" collapsed="false">
      <c r="A523" s="7" t="s">
        <v>2218</v>
      </c>
      <c r="B523" s="7" t="s">
        <v>1976</v>
      </c>
      <c r="C523" s="9" t="s">
        <v>1704</v>
      </c>
      <c r="D523" s="13" t="s">
        <v>1820</v>
      </c>
    </row>
    <row r="524" customFormat="false" ht="15" hidden="false" customHeight="false" outlineLevel="0" collapsed="false">
      <c r="A524" s="7" t="s">
        <v>2219</v>
      </c>
      <c r="B524" s="7" t="s">
        <v>1883</v>
      </c>
      <c r="C524" s="9" t="s">
        <v>1704</v>
      </c>
      <c r="D524" s="13" t="s">
        <v>1816</v>
      </c>
    </row>
    <row r="525" customFormat="false" ht="15" hidden="false" customHeight="false" outlineLevel="0" collapsed="false">
      <c r="A525" s="7" t="s">
        <v>2220</v>
      </c>
      <c r="B525" s="7" t="s">
        <v>1838</v>
      </c>
      <c r="C525" s="9" t="s">
        <v>1704</v>
      </c>
      <c r="D525" s="13" t="s">
        <v>1823</v>
      </c>
    </row>
    <row r="526" customFormat="false" ht="15" hidden="false" customHeight="false" outlineLevel="0" collapsed="false">
      <c r="A526" s="7" t="s">
        <v>2220</v>
      </c>
      <c r="B526" s="7" t="s">
        <v>1976</v>
      </c>
      <c r="C526" s="9" t="s">
        <v>1704</v>
      </c>
      <c r="D526" s="13" t="s">
        <v>1820</v>
      </c>
    </row>
    <row r="527" customFormat="false" ht="15" hidden="false" customHeight="false" outlineLevel="0" collapsed="false">
      <c r="A527" s="7" t="s">
        <v>2221</v>
      </c>
      <c r="B527" s="7" t="s">
        <v>1815</v>
      </c>
      <c r="C527" s="9" t="s">
        <v>1704</v>
      </c>
      <c r="D527" s="13" t="s">
        <v>1816</v>
      </c>
    </row>
    <row r="528" customFormat="false" ht="15" hidden="false" customHeight="false" outlineLevel="0" collapsed="false">
      <c r="A528" s="7" t="s">
        <v>1723</v>
      </c>
      <c r="B528" s="7" t="s">
        <v>1815</v>
      </c>
      <c r="C528" s="9" t="s">
        <v>1704</v>
      </c>
      <c r="D528" s="13" t="s">
        <v>1816</v>
      </c>
    </row>
    <row r="529" customFormat="false" ht="15" hidden="false" customHeight="false" outlineLevel="0" collapsed="false">
      <c r="A529" s="7" t="s">
        <v>2222</v>
      </c>
      <c r="B529" s="7" t="s">
        <v>1883</v>
      </c>
      <c r="C529" s="9" t="s">
        <v>1704</v>
      </c>
      <c r="D529" s="13" t="s">
        <v>1816</v>
      </c>
    </row>
    <row r="530" customFormat="false" ht="15" hidden="false" customHeight="false" outlineLevel="0" collapsed="false">
      <c r="A530" s="7" t="s">
        <v>2223</v>
      </c>
      <c r="B530" s="7" t="s">
        <v>1836</v>
      </c>
      <c r="C530" s="9" t="s">
        <v>1704</v>
      </c>
      <c r="D530" s="13" t="s">
        <v>1816</v>
      </c>
    </row>
    <row r="531" customFormat="false" ht="15" hidden="false" customHeight="false" outlineLevel="0" collapsed="false">
      <c r="A531" s="7" t="s">
        <v>2224</v>
      </c>
      <c r="B531" s="7" t="s">
        <v>1976</v>
      </c>
      <c r="C531" s="9" t="s">
        <v>1704</v>
      </c>
      <c r="D531" s="13" t="s">
        <v>1820</v>
      </c>
    </row>
    <row r="532" customFormat="false" ht="15" hidden="false" customHeight="false" outlineLevel="0" collapsed="false">
      <c r="A532" s="7" t="s">
        <v>2224</v>
      </c>
      <c r="B532" s="7" t="s">
        <v>1822</v>
      </c>
      <c r="C532" s="9" t="s">
        <v>1704</v>
      </c>
      <c r="D532" s="13" t="s">
        <v>1823</v>
      </c>
    </row>
    <row r="533" customFormat="false" ht="15" hidden="false" customHeight="false" outlineLevel="0" collapsed="false">
      <c r="A533" s="7" t="s">
        <v>2225</v>
      </c>
      <c r="B533" s="7" t="s">
        <v>1976</v>
      </c>
      <c r="C533" s="9" t="s">
        <v>1704</v>
      </c>
      <c r="D533" s="13" t="s">
        <v>1820</v>
      </c>
    </row>
    <row r="534" customFormat="false" ht="15" hidden="false" customHeight="false" outlineLevel="0" collapsed="false">
      <c r="A534" s="7" t="s">
        <v>2225</v>
      </c>
      <c r="B534" s="7" t="s">
        <v>1929</v>
      </c>
      <c r="C534" s="9" t="s">
        <v>1704</v>
      </c>
      <c r="D534" s="13" t="s">
        <v>1816</v>
      </c>
    </row>
    <row r="535" customFormat="false" ht="15" hidden="false" customHeight="false" outlineLevel="0" collapsed="false">
      <c r="A535" s="7" t="s">
        <v>2226</v>
      </c>
      <c r="B535" s="7" t="s">
        <v>1854</v>
      </c>
      <c r="C535" s="9" t="s">
        <v>1704</v>
      </c>
      <c r="D535" s="13" t="s">
        <v>1816</v>
      </c>
    </row>
    <row r="536" customFormat="false" ht="15" hidden="false" customHeight="false" outlineLevel="0" collapsed="false">
      <c r="A536" s="7" t="s">
        <v>2227</v>
      </c>
      <c r="B536" s="7" t="s">
        <v>1854</v>
      </c>
      <c r="C536" s="8" t="s">
        <v>1706</v>
      </c>
      <c r="D536" s="13" t="s">
        <v>1816</v>
      </c>
    </row>
    <row r="537" customFormat="false" ht="15" hidden="false" customHeight="false" outlineLevel="0" collapsed="false">
      <c r="A537" s="7" t="s">
        <v>2228</v>
      </c>
      <c r="B537" s="7" t="s">
        <v>1854</v>
      </c>
      <c r="C537" s="9" t="s">
        <v>1704</v>
      </c>
      <c r="D537" s="13" t="s">
        <v>1816</v>
      </c>
    </row>
    <row r="538" customFormat="false" ht="15" hidden="false" customHeight="false" outlineLevel="0" collapsed="false">
      <c r="A538" s="7" t="s">
        <v>2229</v>
      </c>
      <c r="B538" s="7" t="s">
        <v>1854</v>
      </c>
      <c r="C538" s="8" t="s">
        <v>1706</v>
      </c>
      <c r="D538" s="13" t="s">
        <v>1816</v>
      </c>
    </row>
    <row r="539" customFormat="false" ht="15" hidden="false" customHeight="false" outlineLevel="0" collapsed="false">
      <c r="A539" s="7" t="s">
        <v>2230</v>
      </c>
      <c r="B539" s="7" t="s">
        <v>1744</v>
      </c>
      <c r="C539" s="9" t="s">
        <v>1704</v>
      </c>
      <c r="D539" s="13" t="s">
        <v>1745</v>
      </c>
    </row>
    <row r="540" customFormat="false" ht="15" hidden="false" customHeight="false" outlineLevel="0" collapsed="false">
      <c r="A540" s="7" t="s">
        <v>2231</v>
      </c>
      <c r="B540" s="7" t="s">
        <v>1838</v>
      </c>
      <c r="C540" s="9" t="s">
        <v>1704</v>
      </c>
      <c r="D540" s="13" t="s">
        <v>1823</v>
      </c>
    </row>
    <row r="541" customFormat="false" ht="15" hidden="false" customHeight="false" outlineLevel="0" collapsed="false">
      <c r="A541" s="7" t="s">
        <v>2232</v>
      </c>
      <c r="B541" s="7" t="s">
        <v>1836</v>
      </c>
      <c r="C541" s="9" t="s">
        <v>1704</v>
      </c>
      <c r="D541" s="13" t="s">
        <v>1816</v>
      </c>
    </row>
    <row r="542" customFormat="false" ht="15" hidden="false" customHeight="false" outlineLevel="0" collapsed="false">
      <c r="A542" s="7" t="s">
        <v>2232</v>
      </c>
      <c r="B542" s="7" t="s">
        <v>1822</v>
      </c>
      <c r="C542" s="9" t="s">
        <v>1704</v>
      </c>
      <c r="D542" s="13" t="s">
        <v>1823</v>
      </c>
    </row>
    <row r="543" customFormat="false" ht="15" hidden="false" customHeight="false" outlineLevel="0" collapsed="false">
      <c r="A543" s="7" t="s">
        <v>2232</v>
      </c>
      <c r="B543" s="7" t="s">
        <v>1976</v>
      </c>
      <c r="C543" s="9" t="s">
        <v>1704</v>
      </c>
      <c r="D543" s="13" t="s">
        <v>1820</v>
      </c>
    </row>
    <row r="544" customFormat="false" ht="15" hidden="false" customHeight="false" outlineLevel="0" collapsed="false">
      <c r="A544" s="7" t="s">
        <v>2233</v>
      </c>
      <c r="B544" s="7" t="s">
        <v>1854</v>
      </c>
      <c r="C544" s="9" t="s">
        <v>1704</v>
      </c>
      <c r="D544" s="13" t="s">
        <v>1816</v>
      </c>
    </row>
    <row r="545" customFormat="false" ht="15" hidden="false" customHeight="false" outlineLevel="0" collapsed="false">
      <c r="A545" s="7" t="s">
        <v>2234</v>
      </c>
      <c r="B545" s="7" t="s">
        <v>1854</v>
      </c>
      <c r="C545" s="8" t="s">
        <v>1706</v>
      </c>
      <c r="D545" s="13" t="s">
        <v>1816</v>
      </c>
    </row>
    <row r="546" customFormat="false" ht="15" hidden="false" customHeight="false" outlineLevel="0" collapsed="false">
      <c r="A546" s="7" t="s">
        <v>2235</v>
      </c>
      <c r="B546" s="7" t="s">
        <v>1838</v>
      </c>
      <c r="C546" s="9" t="s">
        <v>1704</v>
      </c>
      <c r="D546" s="13" t="s">
        <v>1823</v>
      </c>
    </row>
    <row r="547" customFormat="false" ht="15" hidden="false" customHeight="false" outlineLevel="0" collapsed="false">
      <c r="A547" s="7" t="s">
        <v>2236</v>
      </c>
      <c r="B547" s="7" t="s">
        <v>1836</v>
      </c>
      <c r="C547" s="9" t="s">
        <v>1704</v>
      </c>
      <c r="D547" s="13" t="s">
        <v>1816</v>
      </c>
    </row>
    <row r="548" customFormat="false" ht="15" hidden="false" customHeight="false" outlineLevel="0" collapsed="false">
      <c r="A548" s="7" t="s">
        <v>2237</v>
      </c>
      <c r="B548" s="7" t="s">
        <v>1976</v>
      </c>
      <c r="C548" s="9" t="s">
        <v>1704</v>
      </c>
      <c r="D548" s="13" t="s">
        <v>1820</v>
      </c>
    </row>
    <row r="549" customFormat="false" ht="15" hidden="false" customHeight="false" outlineLevel="0" collapsed="false">
      <c r="A549" s="7" t="s">
        <v>2238</v>
      </c>
      <c r="B549" s="7" t="s">
        <v>1854</v>
      </c>
      <c r="C549" s="9" t="s">
        <v>1704</v>
      </c>
      <c r="D549" s="13" t="s">
        <v>1816</v>
      </c>
    </row>
    <row r="550" customFormat="false" ht="15" hidden="false" customHeight="false" outlineLevel="0" collapsed="false">
      <c r="A550" s="7" t="s">
        <v>2239</v>
      </c>
      <c r="B550" s="7" t="s">
        <v>1888</v>
      </c>
      <c r="C550" s="8" t="s">
        <v>1706</v>
      </c>
      <c r="D550" s="13" t="s">
        <v>1820</v>
      </c>
    </row>
    <row r="551" customFormat="false" ht="15" hidden="false" customHeight="false" outlineLevel="0" collapsed="false">
      <c r="A551" s="7" t="s">
        <v>2240</v>
      </c>
      <c r="B551" s="7" t="s">
        <v>1867</v>
      </c>
      <c r="C551" s="9" t="s">
        <v>1704</v>
      </c>
      <c r="D551" s="13" t="s">
        <v>1816</v>
      </c>
    </row>
    <row r="552" customFormat="false" ht="15" hidden="false" customHeight="false" outlineLevel="0" collapsed="false">
      <c r="A552" s="7" t="s">
        <v>2241</v>
      </c>
      <c r="B552" s="7" t="s">
        <v>1875</v>
      </c>
      <c r="C552" s="9" t="s">
        <v>1704</v>
      </c>
      <c r="D552" s="13" t="s">
        <v>1816</v>
      </c>
    </row>
    <row r="553" customFormat="false" ht="15" hidden="false" customHeight="false" outlineLevel="0" collapsed="false">
      <c r="A553" s="7" t="s">
        <v>2242</v>
      </c>
      <c r="B553" s="7" t="s">
        <v>1883</v>
      </c>
      <c r="C553" s="8" t="s">
        <v>1706</v>
      </c>
      <c r="D553" s="13" t="s">
        <v>1816</v>
      </c>
    </row>
    <row r="554" customFormat="false" ht="15" hidden="false" customHeight="false" outlineLevel="0" collapsed="false">
      <c r="A554" s="7" t="s">
        <v>2243</v>
      </c>
      <c r="B554" s="7" t="s">
        <v>1747</v>
      </c>
      <c r="C554" s="9" t="s">
        <v>1704</v>
      </c>
      <c r="D554" s="13" t="s">
        <v>1745</v>
      </c>
    </row>
    <row r="555" customFormat="false" ht="15" hidden="false" customHeight="false" outlineLevel="0" collapsed="false">
      <c r="A555" s="7" t="s">
        <v>2244</v>
      </c>
      <c r="B555" s="7" t="s">
        <v>1888</v>
      </c>
      <c r="C555" s="8" t="s">
        <v>1706</v>
      </c>
      <c r="D555" s="13" t="s">
        <v>1820</v>
      </c>
    </row>
    <row r="556" customFormat="false" ht="15" hidden="false" customHeight="false" outlineLevel="0" collapsed="false">
      <c r="A556" s="7" t="s">
        <v>2244</v>
      </c>
      <c r="B556" s="7" t="s">
        <v>1863</v>
      </c>
      <c r="C556" s="8" t="s">
        <v>1706</v>
      </c>
      <c r="D556" s="13" t="s">
        <v>1816</v>
      </c>
    </row>
    <row r="557" customFormat="false" ht="15" hidden="false" customHeight="false" outlineLevel="0" collapsed="false">
      <c r="A557" s="7" t="s">
        <v>2245</v>
      </c>
      <c r="B557" s="7" t="s">
        <v>1883</v>
      </c>
      <c r="C557" s="8" t="s">
        <v>1706</v>
      </c>
      <c r="D557" s="13" t="s">
        <v>1816</v>
      </c>
    </row>
    <row r="558" customFormat="false" ht="15" hidden="false" customHeight="false" outlineLevel="0" collapsed="false">
      <c r="A558" s="7" t="s">
        <v>2246</v>
      </c>
      <c r="B558" s="7" t="s">
        <v>1883</v>
      </c>
      <c r="C558" s="8" t="s">
        <v>1706</v>
      </c>
      <c r="D558" s="13" t="s">
        <v>1816</v>
      </c>
    </row>
    <row r="559" customFormat="false" ht="15" hidden="false" customHeight="false" outlineLevel="0" collapsed="false">
      <c r="A559" s="7" t="s">
        <v>2247</v>
      </c>
      <c r="B559" s="7" t="s">
        <v>1863</v>
      </c>
      <c r="C559" s="8" t="s">
        <v>1706</v>
      </c>
      <c r="D559" s="13" t="s">
        <v>1816</v>
      </c>
    </row>
    <row r="560" customFormat="false" ht="15" hidden="false" customHeight="false" outlineLevel="0" collapsed="false">
      <c r="A560" s="7" t="s">
        <v>2247</v>
      </c>
      <c r="B560" s="7" t="s">
        <v>1888</v>
      </c>
      <c r="C560" s="8" t="s">
        <v>1706</v>
      </c>
      <c r="D560" s="13" t="s">
        <v>1820</v>
      </c>
    </row>
    <row r="561" customFormat="false" ht="15" hidden="false" customHeight="false" outlineLevel="0" collapsed="false">
      <c r="A561" s="7" t="s">
        <v>2248</v>
      </c>
      <c r="B561" s="7" t="s">
        <v>1863</v>
      </c>
      <c r="C561" s="8" t="s">
        <v>1706</v>
      </c>
      <c r="D561" s="13" t="s">
        <v>1816</v>
      </c>
    </row>
    <row r="562" customFormat="false" ht="15" hidden="false" customHeight="false" outlineLevel="0" collapsed="false">
      <c r="A562" s="7" t="s">
        <v>2249</v>
      </c>
      <c r="B562" s="7" t="s">
        <v>1883</v>
      </c>
      <c r="C562" s="8" t="s">
        <v>1706</v>
      </c>
      <c r="D562" s="13" t="s">
        <v>1816</v>
      </c>
    </row>
    <row r="563" customFormat="false" ht="15" hidden="false" customHeight="false" outlineLevel="0" collapsed="false">
      <c r="A563" s="7" t="s">
        <v>2250</v>
      </c>
      <c r="B563" s="7" t="s">
        <v>1883</v>
      </c>
      <c r="C563" s="8" t="s">
        <v>1706</v>
      </c>
      <c r="D563" s="13" t="s">
        <v>1816</v>
      </c>
    </row>
    <row r="564" customFormat="false" ht="15" hidden="false" customHeight="false" outlineLevel="0" collapsed="false">
      <c r="A564" s="7" t="s">
        <v>2251</v>
      </c>
      <c r="B564" s="7" t="s">
        <v>1929</v>
      </c>
      <c r="C564" s="8" t="s">
        <v>1706</v>
      </c>
      <c r="D564" s="13" t="s">
        <v>1816</v>
      </c>
    </row>
    <row r="565" customFormat="false" ht="15" hidden="false" customHeight="false" outlineLevel="0" collapsed="false">
      <c r="A565" s="7" t="s">
        <v>2252</v>
      </c>
      <c r="B565" s="7" t="s">
        <v>1883</v>
      </c>
      <c r="C565" s="8" t="s">
        <v>1706</v>
      </c>
      <c r="D565" s="13" t="s">
        <v>1816</v>
      </c>
    </row>
    <row r="566" customFormat="false" ht="15" hidden="false" customHeight="false" outlineLevel="0" collapsed="false">
      <c r="A566" s="7" t="s">
        <v>2253</v>
      </c>
      <c r="B566" s="7" t="s">
        <v>1827</v>
      </c>
      <c r="C566" s="9" t="s">
        <v>1704</v>
      </c>
      <c r="D566" s="13" t="s">
        <v>1820</v>
      </c>
    </row>
    <row r="567" customFormat="false" ht="15" hidden="false" customHeight="false" outlineLevel="0" collapsed="false">
      <c r="A567" s="7" t="s">
        <v>2253</v>
      </c>
      <c r="B567" s="7" t="s">
        <v>1819</v>
      </c>
      <c r="C567" s="9" t="s">
        <v>1704</v>
      </c>
      <c r="D567" s="13" t="s">
        <v>1820</v>
      </c>
    </row>
    <row r="568" customFormat="false" ht="15" hidden="false" customHeight="false" outlineLevel="0" collapsed="false">
      <c r="A568" s="7" t="s">
        <v>2254</v>
      </c>
      <c r="B568" s="7" t="s">
        <v>1854</v>
      </c>
      <c r="C568" s="8" t="s">
        <v>1706</v>
      </c>
      <c r="D568" s="13" t="s">
        <v>1816</v>
      </c>
    </row>
    <row r="569" customFormat="false" ht="15" hidden="false" customHeight="false" outlineLevel="0" collapsed="false">
      <c r="A569" s="7" t="s">
        <v>2255</v>
      </c>
      <c r="B569" s="7" t="s">
        <v>1854</v>
      </c>
      <c r="C569" s="9" t="s">
        <v>1704</v>
      </c>
      <c r="D569" s="13" t="s">
        <v>1816</v>
      </c>
    </row>
    <row r="570" customFormat="false" ht="15" hidden="false" customHeight="false" outlineLevel="0" collapsed="false">
      <c r="A570" s="7" t="s">
        <v>2256</v>
      </c>
      <c r="B570" s="7" t="s">
        <v>1854</v>
      </c>
      <c r="C570" s="8" t="s">
        <v>1706</v>
      </c>
      <c r="D570" s="13" t="s">
        <v>1816</v>
      </c>
    </row>
    <row r="571" customFormat="false" ht="15" hidden="false" customHeight="false" outlineLevel="0" collapsed="false">
      <c r="A571" s="7" t="s">
        <v>2257</v>
      </c>
      <c r="B571" s="7" t="s">
        <v>1747</v>
      </c>
      <c r="C571" s="8" t="s">
        <v>1706</v>
      </c>
      <c r="D571" s="13" t="s">
        <v>1745</v>
      </c>
    </row>
    <row r="572" customFormat="false" ht="15" hidden="false" customHeight="false" outlineLevel="0" collapsed="false">
      <c r="A572" s="7" t="s">
        <v>2258</v>
      </c>
      <c r="B572" s="7" t="s">
        <v>1854</v>
      </c>
      <c r="C572" s="9" t="s">
        <v>1704</v>
      </c>
      <c r="D572" s="13" t="s">
        <v>1816</v>
      </c>
    </row>
    <row r="573" customFormat="false" ht="15" hidden="false" customHeight="false" outlineLevel="0" collapsed="false">
      <c r="A573" s="7" t="s">
        <v>1725</v>
      </c>
      <c r="B573" s="7" t="s">
        <v>1819</v>
      </c>
      <c r="C573" s="9" t="s">
        <v>1704</v>
      </c>
      <c r="D573" s="13" t="s">
        <v>1820</v>
      </c>
    </row>
    <row r="574" customFormat="false" ht="15" hidden="false" customHeight="false" outlineLevel="0" collapsed="false">
      <c r="A574" s="7" t="s">
        <v>1725</v>
      </c>
      <c r="B574" s="7" t="s">
        <v>1854</v>
      </c>
      <c r="C574" s="8" t="s">
        <v>1706</v>
      </c>
      <c r="D574" s="13" t="s">
        <v>1816</v>
      </c>
    </row>
    <row r="575" customFormat="false" ht="15" hidden="false" customHeight="false" outlineLevel="0" collapsed="false">
      <c r="A575" s="7" t="s">
        <v>1725</v>
      </c>
      <c r="B575" s="7" t="s">
        <v>1815</v>
      </c>
      <c r="C575" s="9" t="s">
        <v>1704</v>
      </c>
      <c r="D575" s="13" t="s">
        <v>1816</v>
      </c>
    </row>
    <row r="576" customFormat="false" ht="15" hidden="false" customHeight="false" outlineLevel="0" collapsed="false">
      <c r="A576" s="7" t="s">
        <v>2259</v>
      </c>
      <c r="B576" s="7" t="s">
        <v>1854</v>
      </c>
      <c r="C576" s="9" t="s">
        <v>1704</v>
      </c>
      <c r="D576" s="13" t="s">
        <v>1816</v>
      </c>
    </row>
    <row r="577" customFormat="false" ht="15" hidden="false" customHeight="false" outlineLevel="0" collapsed="false">
      <c r="A577" s="7" t="s">
        <v>2260</v>
      </c>
      <c r="B577" s="7" t="s">
        <v>1883</v>
      </c>
      <c r="C577" s="8" t="s">
        <v>1706</v>
      </c>
      <c r="D577" s="13" t="s">
        <v>1816</v>
      </c>
    </row>
    <row r="578" customFormat="false" ht="15" hidden="false" customHeight="false" outlineLevel="0" collapsed="false">
      <c r="A578" s="7" t="s">
        <v>2261</v>
      </c>
      <c r="B578" s="7" t="s">
        <v>1883</v>
      </c>
      <c r="C578" s="8" t="s">
        <v>1706</v>
      </c>
      <c r="D578" s="13" t="s">
        <v>1816</v>
      </c>
    </row>
    <row r="579" customFormat="false" ht="15" hidden="false" customHeight="false" outlineLevel="0" collapsed="false">
      <c r="A579" s="7" t="s">
        <v>2262</v>
      </c>
      <c r="B579" s="7" t="s">
        <v>1929</v>
      </c>
      <c r="C579" s="8" t="s">
        <v>1706</v>
      </c>
      <c r="D579" s="13" t="s">
        <v>1816</v>
      </c>
    </row>
    <row r="580" customFormat="false" ht="15" hidden="false" customHeight="false" outlineLevel="0" collapsed="false">
      <c r="A580" s="7" t="s">
        <v>2263</v>
      </c>
      <c r="B580" s="7" t="s">
        <v>1854</v>
      </c>
      <c r="C580" s="8" t="s">
        <v>1706</v>
      </c>
      <c r="D580" s="13" t="s">
        <v>1816</v>
      </c>
    </row>
    <row r="581" customFormat="false" ht="15" hidden="false" customHeight="false" outlineLevel="0" collapsed="false">
      <c r="A581" s="7" t="s">
        <v>2264</v>
      </c>
      <c r="B581" s="7" t="s">
        <v>1854</v>
      </c>
      <c r="C581" s="9" t="s">
        <v>1704</v>
      </c>
      <c r="D581" s="13" t="s">
        <v>1816</v>
      </c>
    </row>
    <row r="582" customFormat="false" ht="15" hidden="false" customHeight="false" outlineLevel="0" collapsed="false">
      <c r="A582" s="7" t="s">
        <v>2265</v>
      </c>
      <c r="B582" s="7" t="s">
        <v>1854</v>
      </c>
      <c r="C582" s="8" t="s">
        <v>1706</v>
      </c>
      <c r="D582" s="13" t="s">
        <v>1816</v>
      </c>
    </row>
    <row r="583" customFormat="false" ht="15" hidden="false" customHeight="false" outlineLevel="0" collapsed="false">
      <c r="A583" s="7" t="s">
        <v>2266</v>
      </c>
      <c r="B583" s="7" t="s">
        <v>1854</v>
      </c>
      <c r="C583" s="9" t="s">
        <v>1704</v>
      </c>
      <c r="D583" s="13" t="s">
        <v>1816</v>
      </c>
    </row>
    <row r="584" customFormat="false" ht="15" hidden="false" customHeight="false" outlineLevel="0" collapsed="false">
      <c r="A584" s="7" t="s">
        <v>2267</v>
      </c>
      <c r="B584" s="7" t="s">
        <v>1883</v>
      </c>
      <c r="C584" s="8" t="s">
        <v>1706</v>
      </c>
      <c r="D584" s="13" t="s">
        <v>1816</v>
      </c>
    </row>
    <row r="585" customFormat="false" ht="15" hidden="false" customHeight="false" outlineLevel="0" collapsed="false">
      <c r="A585" s="7" t="s">
        <v>2268</v>
      </c>
      <c r="B585" s="7" t="s">
        <v>1888</v>
      </c>
      <c r="C585" s="8" t="s">
        <v>1706</v>
      </c>
      <c r="D585" s="13" t="s">
        <v>1820</v>
      </c>
    </row>
    <row r="586" customFormat="false" ht="15" hidden="false" customHeight="false" outlineLevel="0" collapsed="false">
      <c r="A586" s="7" t="s">
        <v>2269</v>
      </c>
      <c r="B586" s="7" t="s">
        <v>1863</v>
      </c>
      <c r="C586" s="8" t="s">
        <v>1706</v>
      </c>
      <c r="D586" s="13" t="s">
        <v>1816</v>
      </c>
    </row>
    <row r="587" customFormat="false" ht="15" hidden="false" customHeight="false" outlineLevel="0" collapsed="false">
      <c r="A587" s="7" t="s">
        <v>2270</v>
      </c>
      <c r="B587" s="7" t="s">
        <v>1863</v>
      </c>
      <c r="C587" s="8" t="s">
        <v>1706</v>
      </c>
      <c r="D587" s="13" t="s">
        <v>1816</v>
      </c>
    </row>
    <row r="588" customFormat="false" ht="15" hidden="false" customHeight="false" outlineLevel="0" collapsed="false">
      <c r="A588" s="7" t="s">
        <v>2271</v>
      </c>
      <c r="B588" s="7" t="s">
        <v>1883</v>
      </c>
      <c r="C588" s="8" t="s">
        <v>1706</v>
      </c>
      <c r="D588" s="13" t="s">
        <v>1816</v>
      </c>
    </row>
    <row r="589" customFormat="false" ht="15" hidden="false" customHeight="false" outlineLevel="0" collapsed="false">
      <c r="A589" s="7" t="s">
        <v>2272</v>
      </c>
      <c r="B589" s="7" t="s">
        <v>1863</v>
      </c>
      <c r="C589" s="8" t="s">
        <v>1706</v>
      </c>
      <c r="D589" s="13" t="s">
        <v>1816</v>
      </c>
    </row>
    <row r="590" customFormat="false" ht="15" hidden="false" customHeight="false" outlineLevel="0" collapsed="false">
      <c r="A590" s="7" t="s">
        <v>2273</v>
      </c>
      <c r="B590" s="7" t="s">
        <v>1863</v>
      </c>
      <c r="C590" s="8" t="s">
        <v>1706</v>
      </c>
      <c r="D590" s="13" t="s">
        <v>1816</v>
      </c>
    </row>
    <row r="591" customFormat="false" ht="15" hidden="false" customHeight="false" outlineLevel="0" collapsed="false">
      <c r="A591" s="7" t="s">
        <v>2274</v>
      </c>
      <c r="B591" s="7" t="s">
        <v>1863</v>
      </c>
      <c r="C591" s="8" t="s">
        <v>1706</v>
      </c>
      <c r="D591" s="13" t="s">
        <v>1816</v>
      </c>
    </row>
    <row r="592" customFormat="false" ht="15" hidden="false" customHeight="false" outlineLevel="0" collapsed="false">
      <c r="A592" s="7" t="s">
        <v>1726</v>
      </c>
      <c r="B592" s="7" t="s">
        <v>1863</v>
      </c>
      <c r="C592" s="8" t="s">
        <v>1706</v>
      </c>
      <c r="D592" s="13" t="s">
        <v>1816</v>
      </c>
    </row>
    <row r="593" customFormat="false" ht="15" hidden="false" customHeight="false" outlineLevel="0" collapsed="false">
      <c r="A593" s="7" t="s">
        <v>2275</v>
      </c>
      <c r="B593" s="7" t="s">
        <v>1761</v>
      </c>
      <c r="C593" s="9" t="s">
        <v>1704</v>
      </c>
      <c r="D593" s="13" t="s">
        <v>1745</v>
      </c>
    </row>
    <row r="594" customFormat="false" ht="15" hidden="false" customHeight="false" outlineLevel="0" collapsed="false">
      <c r="A594" s="7" t="s">
        <v>2276</v>
      </c>
      <c r="B594" s="7" t="s">
        <v>1888</v>
      </c>
      <c r="C594" s="8" t="s">
        <v>1706</v>
      </c>
      <c r="D594" s="13" t="s">
        <v>1820</v>
      </c>
    </row>
    <row r="595" customFormat="false" ht="15" hidden="false" customHeight="false" outlineLevel="0" collapsed="false">
      <c r="A595" s="7" t="s">
        <v>2276</v>
      </c>
      <c r="B595" s="7" t="s">
        <v>1861</v>
      </c>
      <c r="C595" s="8" t="s">
        <v>1706</v>
      </c>
      <c r="D595" s="13" t="s">
        <v>1823</v>
      </c>
    </row>
    <row r="596" customFormat="false" ht="15" hidden="false" customHeight="false" outlineLevel="0" collapsed="false">
      <c r="A596" s="7" t="s">
        <v>2276</v>
      </c>
      <c r="B596" s="7" t="s">
        <v>1863</v>
      </c>
      <c r="C596" s="8" t="s">
        <v>1706</v>
      </c>
      <c r="D596" s="13" t="s">
        <v>1816</v>
      </c>
    </row>
    <row r="597" customFormat="false" ht="15" hidden="false" customHeight="false" outlineLevel="0" collapsed="false">
      <c r="A597" s="7" t="s">
        <v>2277</v>
      </c>
      <c r="B597" s="7" t="s">
        <v>1863</v>
      </c>
      <c r="C597" s="8" t="s">
        <v>1706</v>
      </c>
      <c r="D597" s="13" t="s">
        <v>1816</v>
      </c>
    </row>
    <row r="598" customFormat="false" ht="15" hidden="false" customHeight="false" outlineLevel="0" collapsed="false">
      <c r="A598" s="7" t="s">
        <v>2278</v>
      </c>
      <c r="B598" s="7" t="s">
        <v>1863</v>
      </c>
      <c r="C598" s="8" t="s">
        <v>1706</v>
      </c>
      <c r="D598" s="13" t="s">
        <v>1816</v>
      </c>
    </row>
    <row r="599" customFormat="false" ht="15" hidden="false" customHeight="false" outlineLevel="0" collapsed="false">
      <c r="A599" s="7" t="s">
        <v>2279</v>
      </c>
      <c r="B599" s="7" t="s">
        <v>1861</v>
      </c>
      <c r="C599" s="8" t="s">
        <v>1706</v>
      </c>
      <c r="D599" s="13" t="s">
        <v>1823</v>
      </c>
    </row>
    <row r="600" customFormat="false" ht="15" hidden="false" customHeight="false" outlineLevel="0" collapsed="false">
      <c r="A600" s="7" t="s">
        <v>2280</v>
      </c>
      <c r="B600" s="7" t="s">
        <v>1761</v>
      </c>
      <c r="C600" s="9" t="s">
        <v>1704</v>
      </c>
      <c r="D600" s="13" t="s">
        <v>1745</v>
      </c>
    </row>
    <row r="601" customFormat="false" ht="15" hidden="false" customHeight="false" outlineLevel="0" collapsed="false">
      <c r="A601" s="7" t="s">
        <v>2281</v>
      </c>
      <c r="B601" s="7" t="s">
        <v>1863</v>
      </c>
      <c r="C601" s="8" t="s">
        <v>1706</v>
      </c>
      <c r="D601" s="13" t="s">
        <v>1816</v>
      </c>
    </row>
    <row r="602" customFormat="false" ht="15" hidden="false" customHeight="false" outlineLevel="0" collapsed="false">
      <c r="A602" s="7" t="s">
        <v>2282</v>
      </c>
      <c r="B602" s="7" t="s">
        <v>1761</v>
      </c>
      <c r="C602" s="9" t="s">
        <v>1704</v>
      </c>
      <c r="D602" s="13" t="s">
        <v>1745</v>
      </c>
    </row>
    <row r="603" customFormat="false" ht="15" hidden="false" customHeight="false" outlineLevel="0" collapsed="false">
      <c r="A603" s="7" t="s">
        <v>2283</v>
      </c>
      <c r="B603" s="7" t="s">
        <v>1827</v>
      </c>
      <c r="C603" s="9" t="s">
        <v>1704</v>
      </c>
      <c r="D603" s="13" t="s">
        <v>1820</v>
      </c>
    </row>
    <row r="604" customFormat="false" ht="15" hidden="false" customHeight="false" outlineLevel="0" collapsed="false">
      <c r="A604" s="7" t="s">
        <v>2284</v>
      </c>
      <c r="B604" s="7" t="s">
        <v>1854</v>
      </c>
      <c r="C604" s="8" t="s">
        <v>1706</v>
      </c>
      <c r="D604" s="13" t="s">
        <v>1816</v>
      </c>
    </row>
    <row r="605" customFormat="false" ht="15" hidden="false" customHeight="false" outlineLevel="0" collapsed="false">
      <c r="A605" s="7" t="s">
        <v>2285</v>
      </c>
      <c r="B605" s="7" t="s">
        <v>1854</v>
      </c>
      <c r="C605" s="9" t="s">
        <v>1704</v>
      </c>
      <c r="D605" s="13" t="s">
        <v>1816</v>
      </c>
    </row>
    <row r="606" customFormat="false" ht="15" hidden="false" customHeight="false" outlineLevel="0" collapsed="false">
      <c r="A606" s="7" t="s">
        <v>2286</v>
      </c>
      <c r="B606" s="7" t="s">
        <v>1854</v>
      </c>
      <c r="C606" s="8" t="s">
        <v>1706</v>
      </c>
      <c r="D606" s="13" t="s">
        <v>1816</v>
      </c>
    </row>
    <row r="607" customFormat="false" ht="15" hidden="false" customHeight="false" outlineLevel="0" collapsed="false">
      <c r="A607" s="7" t="s">
        <v>2287</v>
      </c>
      <c r="B607" s="7" t="s">
        <v>1854</v>
      </c>
      <c r="C607" s="9" t="s">
        <v>1704</v>
      </c>
      <c r="D607" s="13" t="s">
        <v>1816</v>
      </c>
    </row>
    <row r="608" customFormat="false" ht="15" hidden="false" customHeight="false" outlineLevel="0" collapsed="false">
      <c r="A608" s="7" t="s">
        <v>2288</v>
      </c>
      <c r="B608" s="7" t="s">
        <v>1854</v>
      </c>
      <c r="C608" s="8" t="s">
        <v>1706</v>
      </c>
      <c r="D608" s="13" t="s">
        <v>1816</v>
      </c>
    </row>
    <row r="609" customFormat="false" ht="15" hidden="false" customHeight="false" outlineLevel="0" collapsed="false">
      <c r="A609" s="7" t="s">
        <v>2288</v>
      </c>
      <c r="B609" s="7" t="s">
        <v>1822</v>
      </c>
      <c r="C609" s="9" t="s">
        <v>1704</v>
      </c>
      <c r="D609" s="13" t="s">
        <v>1823</v>
      </c>
    </row>
    <row r="610" customFormat="false" ht="15" hidden="false" customHeight="false" outlineLevel="0" collapsed="false">
      <c r="A610" s="7" t="s">
        <v>2289</v>
      </c>
      <c r="B610" s="7" t="s">
        <v>1867</v>
      </c>
      <c r="C610" s="8" t="s">
        <v>1706</v>
      </c>
      <c r="D610" s="13" t="s">
        <v>1816</v>
      </c>
    </row>
    <row r="611" customFormat="false" ht="15" hidden="false" customHeight="false" outlineLevel="0" collapsed="false">
      <c r="A611" s="7" t="s">
        <v>2289</v>
      </c>
      <c r="B611" s="7" t="s">
        <v>1819</v>
      </c>
      <c r="C611" s="9" t="s">
        <v>1704</v>
      </c>
      <c r="D611" s="13" t="s">
        <v>1820</v>
      </c>
    </row>
    <row r="612" customFormat="false" ht="15" hidden="false" customHeight="false" outlineLevel="0" collapsed="false">
      <c r="A612" s="7" t="s">
        <v>2289</v>
      </c>
      <c r="B612" s="7" t="s">
        <v>1815</v>
      </c>
      <c r="C612" s="9" t="s">
        <v>1704</v>
      </c>
      <c r="D612" s="13" t="s">
        <v>1816</v>
      </c>
    </row>
    <row r="613" customFormat="false" ht="15" hidden="false" customHeight="false" outlineLevel="0" collapsed="false">
      <c r="A613" s="7" t="s">
        <v>2290</v>
      </c>
      <c r="B613" s="7" t="s">
        <v>1747</v>
      </c>
      <c r="C613" s="8" t="s">
        <v>1706</v>
      </c>
      <c r="D613" s="13" t="s">
        <v>1745</v>
      </c>
    </row>
    <row r="614" customFormat="false" ht="15" hidden="false" customHeight="false" outlineLevel="0" collapsed="false">
      <c r="A614" s="7" t="s">
        <v>2291</v>
      </c>
      <c r="B614" s="7" t="s">
        <v>1822</v>
      </c>
      <c r="C614" s="9" t="s">
        <v>1704</v>
      </c>
      <c r="D614" s="13" t="s">
        <v>1823</v>
      </c>
    </row>
    <row r="615" customFormat="false" ht="15" hidden="false" customHeight="false" outlineLevel="0" collapsed="false">
      <c r="A615" s="7" t="s">
        <v>2292</v>
      </c>
      <c r="B615" s="7" t="s">
        <v>1815</v>
      </c>
      <c r="C615" s="9" t="s">
        <v>1704</v>
      </c>
      <c r="D615" s="13" t="s">
        <v>1816</v>
      </c>
    </row>
    <row r="616" customFormat="false" ht="15" hidden="false" customHeight="false" outlineLevel="0" collapsed="false">
      <c r="A616" s="7" t="s">
        <v>2292</v>
      </c>
      <c r="B616" s="7" t="s">
        <v>1822</v>
      </c>
      <c r="C616" s="9" t="s">
        <v>1704</v>
      </c>
      <c r="D616" s="13" t="s">
        <v>1823</v>
      </c>
    </row>
    <row r="617" customFormat="false" ht="15" hidden="false" customHeight="false" outlineLevel="0" collapsed="false">
      <c r="A617" s="7" t="s">
        <v>2293</v>
      </c>
      <c r="B617" s="7" t="s">
        <v>1815</v>
      </c>
      <c r="C617" s="9" t="s">
        <v>1704</v>
      </c>
      <c r="D617" s="13" t="s">
        <v>1816</v>
      </c>
    </row>
    <row r="618" customFormat="false" ht="15" hidden="false" customHeight="false" outlineLevel="0" collapsed="false">
      <c r="A618" s="7" t="s">
        <v>2294</v>
      </c>
      <c r="B618" s="7" t="s">
        <v>1827</v>
      </c>
      <c r="C618" s="9" t="s">
        <v>1704</v>
      </c>
      <c r="D618" s="13" t="s">
        <v>1820</v>
      </c>
    </row>
    <row r="619" customFormat="false" ht="15" hidden="false" customHeight="false" outlineLevel="0" collapsed="false">
      <c r="A619" s="7" t="s">
        <v>2294</v>
      </c>
      <c r="B619" s="7" t="s">
        <v>1815</v>
      </c>
      <c r="C619" s="9" t="s">
        <v>1704</v>
      </c>
      <c r="D619" s="13" t="s">
        <v>1816</v>
      </c>
    </row>
    <row r="620" customFormat="false" ht="15" hidden="false" customHeight="false" outlineLevel="0" collapsed="false">
      <c r="A620" s="7" t="s">
        <v>2295</v>
      </c>
      <c r="B620" s="7" t="s">
        <v>1815</v>
      </c>
      <c r="C620" s="9" t="s">
        <v>1704</v>
      </c>
      <c r="D620" s="13" t="s">
        <v>1816</v>
      </c>
    </row>
    <row r="621" customFormat="false" ht="15" hidden="false" customHeight="false" outlineLevel="0" collapsed="false">
      <c r="A621" s="7" t="s">
        <v>2296</v>
      </c>
      <c r="B621" s="7" t="s">
        <v>1815</v>
      </c>
      <c r="C621" s="9" t="s">
        <v>1704</v>
      </c>
      <c r="D621" s="13" t="s">
        <v>1816</v>
      </c>
    </row>
    <row r="622" customFormat="false" ht="15" hidden="false" customHeight="false" outlineLevel="0" collapsed="false">
      <c r="A622" s="7" t="s">
        <v>2297</v>
      </c>
      <c r="B622" s="7" t="s">
        <v>1815</v>
      </c>
      <c r="C622" s="9" t="s">
        <v>1704</v>
      </c>
      <c r="D622" s="13" t="s">
        <v>1816</v>
      </c>
    </row>
    <row r="623" customFormat="false" ht="15" hidden="false" customHeight="false" outlineLevel="0" collapsed="false">
      <c r="A623" s="7" t="s">
        <v>2298</v>
      </c>
      <c r="B623" s="7" t="s">
        <v>1815</v>
      </c>
      <c r="C623" s="9" t="s">
        <v>1704</v>
      </c>
      <c r="D623" s="13" t="s">
        <v>1816</v>
      </c>
    </row>
    <row r="624" customFormat="false" ht="15" hidden="false" customHeight="false" outlineLevel="0" collapsed="false">
      <c r="A624" s="7" t="s">
        <v>2299</v>
      </c>
      <c r="B624" s="7" t="s">
        <v>1815</v>
      </c>
      <c r="C624" s="9" t="s">
        <v>1704</v>
      </c>
      <c r="D624" s="13" t="s">
        <v>1816</v>
      </c>
    </row>
    <row r="625" customFormat="false" ht="15" hidden="false" customHeight="false" outlineLevel="0" collapsed="false">
      <c r="A625" s="7" t="s">
        <v>2300</v>
      </c>
      <c r="B625" s="7" t="s">
        <v>1744</v>
      </c>
      <c r="C625" s="8" t="s">
        <v>1706</v>
      </c>
      <c r="D625" s="13" t="s">
        <v>1745</v>
      </c>
    </row>
    <row r="626" customFormat="false" ht="15" hidden="false" customHeight="false" outlineLevel="0" collapsed="false">
      <c r="A626" s="7" t="s">
        <v>2301</v>
      </c>
      <c r="B626" s="7" t="s">
        <v>1883</v>
      </c>
      <c r="C626" s="9" t="s">
        <v>1704</v>
      </c>
      <c r="D626" s="13" t="s">
        <v>1816</v>
      </c>
    </row>
    <row r="627" customFormat="false" ht="15" hidden="false" customHeight="false" outlineLevel="0" collapsed="false">
      <c r="A627" s="7" t="s">
        <v>2302</v>
      </c>
      <c r="B627" s="7" t="s">
        <v>1838</v>
      </c>
      <c r="C627" s="9" t="s">
        <v>1704</v>
      </c>
      <c r="D627" s="13" t="s">
        <v>1823</v>
      </c>
    </row>
    <row r="628" customFormat="false" ht="15" hidden="false" customHeight="false" outlineLevel="0" collapsed="false">
      <c r="A628" s="7" t="s">
        <v>2303</v>
      </c>
      <c r="B628" s="7" t="s">
        <v>1819</v>
      </c>
      <c r="C628" s="9" t="s">
        <v>1704</v>
      </c>
      <c r="D628" s="13" t="s">
        <v>1820</v>
      </c>
    </row>
    <row r="629" customFormat="false" ht="15" hidden="false" customHeight="false" outlineLevel="0" collapsed="false">
      <c r="A629" s="7" t="s">
        <v>2303</v>
      </c>
      <c r="B629" s="7" t="s">
        <v>1815</v>
      </c>
      <c r="C629" s="9" t="s">
        <v>1704</v>
      </c>
      <c r="D629" s="13" t="s">
        <v>1816</v>
      </c>
    </row>
    <row r="630" customFormat="false" ht="15" hidden="false" customHeight="false" outlineLevel="0" collapsed="false">
      <c r="A630" s="7" t="s">
        <v>2304</v>
      </c>
      <c r="B630" s="7" t="s">
        <v>1815</v>
      </c>
      <c r="C630" s="9" t="s">
        <v>1704</v>
      </c>
      <c r="D630" s="13" t="s">
        <v>1816</v>
      </c>
    </row>
    <row r="631" customFormat="false" ht="15" hidden="false" customHeight="false" outlineLevel="0" collapsed="false">
      <c r="A631" s="7" t="s">
        <v>2305</v>
      </c>
      <c r="B631" s="7" t="s">
        <v>1815</v>
      </c>
      <c r="C631" s="9" t="s">
        <v>1704</v>
      </c>
      <c r="D631" s="13" t="s">
        <v>1816</v>
      </c>
    </row>
    <row r="632" customFormat="false" ht="15" hidden="false" customHeight="false" outlineLevel="0" collapsed="false">
      <c r="A632" s="7" t="s">
        <v>2306</v>
      </c>
      <c r="B632" s="7" t="s">
        <v>1976</v>
      </c>
      <c r="C632" s="9" t="s">
        <v>1704</v>
      </c>
      <c r="D632" s="13" t="s">
        <v>1820</v>
      </c>
    </row>
    <row r="633" customFormat="false" ht="15" hidden="false" customHeight="false" outlineLevel="0" collapsed="false">
      <c r="A633" s="7" t="s">
        <v>2307</v>
      </c>
      <c r="B633" s="7" t="s">
        <v>1883</v>
      </c>
      <c r="C633" s="9" t="s">
        <v>1704</v>
      </c>
      <c r="D633" s="13" t="s">
        <v>1816</v>
      </c>
    </row>
    <row r="634" customFormat="false" ht="15" hidden="false" customHeight="false" outlineLevel="0" collapsed="false">
      <c r="A634" s="7" t="s">
        <v>2308</v>
      </c>
      <c r="B634" s="7" t="s">
        <v>1838</v>
      </c>
      <c r="C634" s="9" t="s">
        <v>1704</v>
      </c>
      <c r="D634" s="13" t="s">
        <v>1823</v>
      </c>
    </row>
    <row r="635" customFormat="false" ht="15" hidden="false" customHeight="false" outlineLevel="0" collapsed="false">
      <c r="A635" s="7" t="s">
        <v>2309</v>
      </c>
      <c r="B635" s="7" t="s">
        <v>1838</v>
      </c>
      <c r="C635" s="9" t="s">
        <v>1704</v>
      </c>
      <c r="D635" s="13" t="s">
        <v>1823</v>
      </c>
    </row>
    <row r="636" customFormat="false" ht="15" hidden="false" customHeight="false" outlineLevel="0" collapsed="false">
      <c r="A636" s="7" t="s">
        <v>2310</v>
      </c>
      <c r="B636" s="7" t="s">
        <v>1836</v>
      </c>
      <c r="C636" s="9" t="s">
        <v>1704</v>
      </c>
      <c r="D636" s="13" t="s">
        <v>1816</v>
      </c>
    </row>
    <row r="637" customFormat="false" ht="15" hidden="false" customHeight="false" outlineLevel="0" collapsed="false">
      <c r="A637" s="7" t="s">
        <v>2311</v>
      </c>
      <c r="B637" s="7" t="s">
        <v>1838</v>
      </c>
      <c r="C637" s="9" t="s">
        <v>1704</v>
      </c>
      <c r="D637" s="13" t="s">
        <v>1823</v>
      </c>
    </row>
    <row r="638" customFormat="false" ht="15" hidden="false" customHeight="false" outlineLevel="0" collapsed="false">
      <c r="A638" s="7" t="s">
        <v>2312</v>
      </c>
      <c r="B638" s="7" t="s">
        <v>1929</v>
      </c>
      <c r="C638" s="9" t="s">
        <v>1704</v>
      </c>
      <c r="D638" s="13" t="s">
        <v>1816</v>
      </c>
    </row>
    <row r="639" customFormat="false" ht="15" hidden="false" customHeight="false" outlineLevel="0" collapsed="false">
      <c r="A639" s="7" t="s">
        <v>2313</v>
      </c>
      <c r="B639" s="7" t="s">
        <v>1819</v>
      </c>
      <c r="C639" s="9" t="s">
        <v>1704</v>
      </c>
      <c r="D639" s="13" t="s">
        <v>1820</v>
      </c>
    </row>
    <row r="640" customFormat="false" ht="15" hidden="false" customHeight="false" outlineLevel="0" collapsed="false">
      <c r="A640" s="7" t="s">
        <v>2314</v>
      </c>
      <c r="B640" s="7" t="s">
        <v>1827</v>
      </c>
      <c r="C640" s="9" t="s">
        <v>1704</v>
      </c>
      <c r="D640" s="13" t="s">
        <v>1820</v>
      </c>
    </row>
    <row r="641" customFormat="false" ht="15" hidden="false" customHeight="false" outlineLevel="0" collapsed="false">
      <c r="A641" s="7" t="s">
        <v>2315</v>
      </c>
      <c r="B641" s="7" t="s">
        <v>1883</v>
      </c>
      <c r="C641" s="9" t="s">
        <v>1704</v>
      </c>
      <c r="D641" s="13" t="s">
        <v>1816</v>
      </c>
    </row>
    <row r="642" customFormat="false" ht="15" hidden="false" customHeight="false" outlineLevel="0" collapsed="false">
      <c r="A642" s="7" t="s">
        <v>2316</v>
      </c>
      <c r="B642" s="7" t="s">
        <v>1815</v>
      </c>
      <c r="C642" s="9" t="s">
        <v>1704</v>
      </c>
      <c r="D642" s="13" t="s">
        <v>1816</v>
      </c>
    </row>
    <row r="643" customFormat="false" ht="15" hidden="false" customHeight="false" outlineLevel="0" collapsed="false">
      <c r="A643" s="7" t="s">
        <v>2317</v>
      </c>
      <c r="B643" s="7" t="s">
        <v>1976</v>
      </c>
      <c r="C643" s="9" t="s">
        <v>1704</v>
      </c>
      <c r="D643" s="13" t="s">
        <v>1820</v>
      </c>
    </row>
    <row r="644" customFormat="false" ht="15" hidden="false" customHeight="false" outlineLevel="0" collapsed="false">
      <c r="A644" s="7" t="s">
        <v>2318</v>
      </c>
      <c r="B644" s="7" t="s">
        <v>1827</v>
      </c>
      <c r="C644" s="9" t="s">
        <v>1704</v>
      </c>
      <c r="D644" s="13" t="s">
        <v>1820</v>
      </c>
    </row>
    <row r="645" customFormat="false" ht="15" hidden="false" customHeight="false" outlineLevel="0" collapsed="false">
      <c r="A645" s="7" t="s">
        <v>2319</v>
      </c>
      <c r="B645" s="7" t="s">
        <v>1883</v>
      </c>
      <c r="C645" s="9" t="s">
        <v>1704</v>
      </c>
      <c r="D645" s="13" t="s">
        <v>1816</v>
      </c>
    </row>
    <row r="646" customFormat="false" ht="15" hidden="false" customHeight="false" outlineLevel="0" collapsed="false">
      <c r="A646" s="7" t="s">
        <v>2319</v>
      </c>
      <c r="B646" s="7" t="s">
        <v>1838</v>
      </c>
      <c r="C646" s="9" t="s">
        <v>1704</v>
      </c>
      <c r="D646" s="13" t="s">
        <v>1823</v>
      </c>
    </row>
    <row r="647" customFormat="false" ht="15" hidden="false" customHeight="false" outlineLevel="0" collapsed="false">
      <c r="A647" s="7" t="s">
        <v>2320</v>
      </c>
      <c r="B647" s="7" t="s">
        <v>1815</v>
      </c>
      <c r="C647" s="9" t="s">
        <v>1704</v>
      </c>
      <c r="D647" s="13" t="s">
        <v>1816</v>
      </c>
    </row>
    <row r="648" customFormat="false" ht="15" hidden="false" customHeight="false" outlineLevel="0" collapsed="false">
      <c r="A648" s="7" t="s">
        <v>2320</v>
      </c>
      <c r="B648" s="7" t="s">
        <v>1819</v>
      </c>
      <c r="C648" s="9" t="s">
        <v>1704</v>
      </c>
      <c r="D648" s="13" t="s">
        <v>1820</v>
      </c>
    </row>
    <row r="649" customFormat="false" ht="15" hidden="false" customHeight="false" outlineLevel="0" collapsed="false">
      <c r="A649" s="7" t="s">
        <v>2321</v>
      </c>
      <c r="B649" s="7" t="s">
        <v>1883</v>
      </c>
      <c r="C649" s="9" t="s">
        <v>1704</v>
      </c>
      <c r="D649" s="13" t="s">
        <v>1816</v>
      </c>
    </row>
    <row r="650" customFormat="false" ht="15" hidden="false" customHeight="false" outlineLevel="0" collapsed="false">
      <c r="A650" s="7" t="s">
        <v>2322</v>
      </c>
      <c r="B650" s="7" t="s">
        <v>1929</v>
      </c>
      <c r="C650" s="9" t="s">
        <v>1704</v>
      </c>
      <c r="D650" s="13" t="s">
        <v>1816</v>
      </c>
    </row>
    <row r="651" customFormat="false" ht="15" hidden="false" customHeight="false" outlineLevel="0" collapsed="false">
      <c r="A651" s="7" t="s">
        <v>2323</v>
      </c>
      <c r="B651" s="7" t="s">
        <v>1838</v>
      </c>
      <c r="C651" s="9" t="s">
        <v>1704</v>
      </c>
      <c r="D651" s="13" t="s">
        <v>1823</v>
      </c>
    </row>
    <row r="652" customFormat="false" ht="15" hidden="false" customHeight="false" outlineLevel="0" collapsed="false">
      <c r="A652" s="7" t="s">
        <v>2324</v>
      </c>
      <c r="B652" s="7" t="s">
        <v>1836</v>
      </c>
      <c r="C652" s="9" t="s">
        <v>1704</v>
      </c>
      <c r="D652" s="13" t="s">
        <v>1816</v>
      </c>
    </row>
    <row r="653" customFormat="false" ht="15" hidden="false" customHeight="false" outlineLevel="0" collapsed="false">
      <c r="A653" s="7" t="s">
        <v>2324</v>
      </c>
      <c r="B653" s="7" t="s">
        <v>1976</v>
      </c>
      <c r="C653" s="9" t="s">
        <v>1704</v>
      </c>
      <c r="D653" s="13" t="s">
        <v>1820</v>
      </c>
    </row>
    <row r="654" customFormat="false" ht="15" hidden="false" customHeight="false" outlineLevel="0" collapsed="false">
      <c r="A654" s="7" t="s">
        <v>2325</v>
      </c>
      <c r="B654" s="7" t="s">
        <v>1836</v>
      </c>
      <c r="C654" s="9" t="s">
        <v>1704</v>
      </c>
      <c r="D654" s="13" t="s">
        <v>1816</v>
      </c>
    </row>
    <row r="655" customFormat="false" ht="15" hidden="false" customHeight="false" outlineLevel="0" collapsed="false">
      <c r="A655" s="7" t="s">
        <v>2326</v>
      </c>
      <c r="B655" s="7" t="s">
        <v>1976</v>
      </c>
      <c r="C655" s="9" t="s">
        <v>1704</v>
      </c>
      <c r="D655" s="13" t="s">
        <v>1820</v>
      </c>
    </row>
    <row r="656" customFormat="false" ht="15" hidden="false" customHeight="false" outlineLevel="0" collapsed="false">
      <c r="A656" s="7" t="s">
        <v>2327</v>
      </c>
      <c r="B656" s="7" t="s">
        <v>1976</v>
      </c>
      <c r="C656" s="9" t="s">
        <v>1704</v>
      </c>
      <c r="D656" s="13" t="s">
        <v>1820</v>
      </c>
    </row>
    <row r="657" customFormat="false" ht="15" hidden="false" customHeight="false" outlineLevel="0" collapsed="false">
      <c r="A657" s="7" t="s">
        <v>2328</v>
      </c>
      <c r="B657" s="7" t="s">
        <v>1838</v>
      </c>
      <c r="C657" s="9" t="s">
        <v>1704</v>
      </c>
      <c r="D657" s="13" t="s">
        <v>1823</v>
      </c>
    </row>
    <row r="658" customFormat="false" ht="15" hidden="false" customHeight="false" outlineLevel="0" collapsed="false">
      <c r="A658" s="7" t="s">
        <v>2329</v>
      </c>
      <c r="B658" s="7" t="s">
        <v>1815</v>
      </c>
      <c r="C658" s="9" t="s">
        <v>1704</v>
      </c>
      <c r="D658" s="13" t="s">
        <v>1816</v>
      </c>
    </row>
    <row r="659" customFormat="false" ht="15" hidden="false" customHeight="false" outlineLevel="0" collapsed="false">
      <c r="A659" s="7" t="s">
        <v>2330</v>
      </c>
      <c r="B659" s="7" t="s">
        <v>1838</v>
      </c>
      <c r="C659" s="9" t="s">
        <v>1704</v>
      </c>
      <c r="D659" s="13" t="s">
        <v>1823</v>
      </c>
    </row>
    <row r="660" customFormat="false" ht="15" hidden="false" customHeight="false" outlineLevel="0" collapsed="false">
      <c r="A660" s="7" t="s">
        <v>2331</v>
      </c>
      <c r="B660" s="7" t="s">
        <v>1838</v>
      </c>
      <c r="C660" s="9" t="s">
        <v>1704</v>
      </c>
      <c r="D660" s="13" t="s">
        <v>1823</v>
      </c>
    </row>
    <row r="661" customFormat="false" ht="15" hidden="false" customHeight="false" outlineLevel="0" collapsed="false">
      <c r="A661" s="7" t="s">
        <v>2332</v>
      </c>
      <c r="B661" s="7" t="s">
        <v>1883</v>
      </c>
      <c r="C661" s="9" t="s">
        <v>1704</v>
      </c>
      <c r="D661" s="13" t="s">
        <v>1816</v>
      </c>
    </row>
    <row r="662" customFormat="false" ht="15" hidden="false" customHeight="false" outlineLevel="0" collapsed="false">
      <c r="A662" s="7" t="s">
        <v>2333</v>
      </c>
      <c r="B662" s="7" t="s">
        <v>1836</v>
      </c>
      <c r="C662" s="9" t="s">
        <v>1704</v>
      </c>
      <c r="D662" s="13" t="s">
        <v>1816</v>
      </c>
    </row>
    <row r="663" customFormat="false" ht="15" hidden="false" customHeight="false" outlineLevel="0" collapsed="false">
      <c r="A663" s="7" t="s">
        <v>2334</v>
      </c>
      <c r="B663" s="7" t="s">
        <v>1822</v>
      </c>
      <c r="C663" s="9" t="s">
        <v>1704</v>
      </c>
      <c r="D663" s="13" t="s">
        <v>1823</v>
      </c>
    </row>
    <row r="664" customFormat="false" ht="15" hidden="false" customHeight="false" outlineLevel="0" collapsed="false">
      <c r="A664" s="7" t="s">
        <v>2335</v>
      </c>
      <c r="B664" s="7" t="s">
        <v>2336</v>
      </c>
      <c r="C664" s="8" t="s">
        <v>1706</v>
      </c>
      <c r="D664" s="13" t="s">
        <v>1820</v>
      </c>
    </row>
    <row r="665" customFormat="false" ht="15" hidden="false" customHeight="false" outlineLevel="0" collapsed="false">
      <c r="A665" s="7" t="s">
        <v>2337</v>
      </c>
      <c r="B665" s="7" t="s">
        <v>1838</v>
      </c>
      <c r="C665" s="9" t="s">
        <v>1704</v>
      </c>
      <c r="D665" s="13" t="s">
        <v>1823</v>
      </c>
    </row>
    <row r="666" customFormat="false" ht="15" hidden="false" customHeight="false" outlineLevel="0" collapsed="false">
      <c r="A666" s="7" t="s">
        <v>2338</v>
      </c>
      <c r="B666" s="7" t="s">
        <v>1976</v>
      </c>
      <c r="C666" s="9" t="s">
        <v>1704</v>
      </c>
      <c r="D666" s="13" t="s">
        <v>1820</v>
      </c>
    </row>
    <row r="667" customFormat="false" ht="15" hidden="false" customHeight="false" outlineLevel="0" collapsed="false">
      <c r="A667" s="7" t="s">
        <v>2338</v>
      </c>
      <c r="B667" s="7" t="s">
        <v>1836</v>
      </c>
      <c r="C667" s="9" t="s">
        <v>1704</v>
      </c>
      <c r="D667" s="13" t="s">
        <v>1816</v>
      </c>
    </row>
    <row r="668" customFormat="false" ht="15" hidden="false" customHeight="false" outlineLevel="0" collapsed="false">
      <c r="A668" s="7" t="s">
        <v>2339</v>
      </c>
      <c r="B668" s="7" t="s">
        <v>1854</v>
      </c>
      <c r="C668" s="9" t="s">
        <v>1704</v>
      </c>
      <c r="D668" s="13" t="s">
        <v>1816</v>
      </c>
    </row>
    <row r="669" customFormat="false" ht="15" hidden="false" customHeight="false" outlineLevel="0" collapsed="false">
      <c r="A669" s="7" t="s">
        <v>2340</v>
      </c>
      <c r="B669" s="7" t="s">
        <v>1854</v>
      </c>
      <c r="C669" s="8" t="s">
        <v>1706</v>
      </c>
      <c r="D669" s="13" t="s">
        <v>1816</v>
      </c>
    </row>
    <row r="670" customFormat="false" ht="15" hidden="false" customHeight="false" outlineLevel="0" collapsed="false">
      <c r="A670" s="7" t="s">
        <v>2341</v>
      </c>
      <c r="B670" s="7" t="s">
        <v>1854</v>
      </c>
      <c r="C670" s="9" t="s">
        <v>1704</v>
      </c>
      <c r="D670" s="13" t="s">
        <v>1816</v>
      </c>
    </row>
    <row r="671" customFormat="false" ht="15" hidden="false" customHeight="false" outlineLevel="0" collapsed="false">
      <c r="A671" s="7" t="s">
        <v>2342</v>
      </c>
      <c r="B671" s="7" t="s">
        <v>1854</v>
      </c>
      <c r="C671" s="8" t="s">
        <v>1706</v>
      </c>
      <c r="D671" s="13" t="s">
        <v>1816</v>
      </c>
    </row>
    <row r="672" customFormat="false" ht="15" hidden="false" customHeight="false" outlineLevel="0" collapsed="false">
      <c r="A672" s="7" t="s">
        <v>2343</v>
      </c>
      <c r="B672" s="7" t="s">
        <v>1854</v>
      </c>
      <c r="C672" s="9" t="s">
        <v>1704</v>
      </c>
      <c r="D672" s="13" t="s">
        <v>1816</v>
      </c>
    </row>
    <row r="673" customFormat="false" ht="15" hidden="false" customHeight="false" outlineLevel="0" collapsed="false">
      <c r="A673" s="7" t="s">
        <v>2344</v>
      </c>
      <c r="B673" s="7" t="s">
        <v>1854</v>
      </c>
      <c r="C673" s="8" t="s">
        <v>1706</v>
      </c>
      <c r="D673" s="13" t="s">
        <v>1816</v>
      </c>
    </row>
    <row r="674" customFormat="false" ht="15" hidden="false" customHeight="false" outlineLevel="0" collapsed="false">
      <c r="A674" s="7" t="s">
        <v>2345</v>
      </c>
      <c r="B674" s="7" t="s">
        <v>1854</v>
      </c>
      <c r="C674" s="9" t="s">
        <v>1704</v>
      </c>
      <c r="D674" s="13" t="s">
        <v>1816</v>
      </c>
    </row>
    <row r="675" customFormat="false" ht="15" hidden="false" customHeight="false" outlineLevel="0" collapsed="false">
      <c r="A675" s="7" t="s">
        <v>2346</v>
      </c>
      <c r="B675" s="7" t="s">
        <v>1863</v>
      </c>
      <c r="C675" s="8" t="s">
        <v>1706</v>
      </c>
      <c r="D675" s="13" t="s">
        <v>1816</v>
      </c>
    </row>
    <row r="676" customFormat="false" ht="15" hidden="false" customHeight="false" outlineLevel="0" collapsed="false">
      <c r="A676" s="7" t="s">
        <v>2347</v>
      </c>
      <c r="B676" s="7" t="s">
        <v>1863</v>
      </c>
      <c r="C676" s="8" t="s">
        <v>1706</v>
      </c>
      <c r="D676" s="13" t="s">
        <v>1816</v>
      </c>
    </row>
    <row r="677" customFormat="false" ht="15" hidden="false" customHeight="false" outlineLevel="0" collapsed="false">
      <c r="A677" s="7" t="s">
        <v>2348</v>
      </c>
      <c r="B677" s="7" t="s">
        <v>1863</v>
      </c>
      <c r="C677" s="8" t="s">
        <v>1706</v>
      </c>
      <c r="D677" s="13" t="s">
        <v>1816</v>
      </c>
    </row>
    <row r="678" customFormat="false" ht="15" hidden="false" customHeight="false" outlineLevel="0" collapsed="false">
      <c r="A678" s="7" t="s">
        <v>2349</v>
      </c>
      <c r="B678" s="7" t="s">
        <v>1854</v>
      </c>
      <c r="C678" s="8" t="s">
        <v>1706</v>
      </c>
      <c r="D678" s="13" t="s">
        <v>1816</v>
      </c>
    </row>
    <row r="679" customFormat="false" ht="15" hidden="false" customHeight="false" outlineLevel="0" collapsed="false">
      <c r="A679" s="7" t="s">
        <v>2350</v>
      </c>
      <c r="B679" s="7" t="s">
        <v>1854</v>
      </c>
      <c r="C679" s="9" t="s">
        <v>1704</v>
      </c>
      <c r="D679" s="13" t="s">
        <v>1816</v>
      </c>
    </row>
    <row r="680" customFormat="false" ht="15" hidden="false" customHeight="false" outlineLevel="0" collapsed="false">
      <c r="A680" s="7" t="s">
        <v>2351</v>
      </c>
      <c r="B680" s="7" t="s">
        <v>1888</v>
      </c>
      <c r="C680" s="8" t="s">
        <v>1706</v>
      </c>
      <c r="D680" s="13" t="s">
        <v>1820</v>
      </c>
    </row>
    <row r="681" customFormat="false" ht="15" hidden="false" customHeight="false" outlineLevel="0" collapsed="false">
      <c r="A681" s="7" t="s">
        <v>2352</v>
      </c>
      <c r="B681" s="7" t="s">
        <v>1747</v>
      </c>
      <c r="C681" s="9" t="s">
        <v>1704</v>
      </c>
      <c r="D681" s="13" t="s">
        <v>1745</v>
      </c>
    </row>
    <row r="682" customFormat="false" ht="15" hidden="false" customHeight="false" outlineLevel="0" collapsed="false">
      <c r="A682" s="7" t="s">
        <v>2353</v>
      </c>
      <c r="B682" s="7" t="s">
        <v>1867</v>
      </c>
      <c r="C682" s="9" t="s">
        <v>1704</v>
      </c>
      <c r="D682" s="13" t="s">
        <v>1816</v>
      </c>
    </row>
    <row r="683" customFormat="false" ht="15" hidden="false" customHeight="false" outlineLevel="0" collapsed="false">
      <c r="A683" s="7" t="s">
        <v>2354</v>
      </c>
      <c r="B683" s="7" t="s">
        <v>1854</v>
      </c>
      <c r="C683" s="8" t="s">
        <v>1706</v>
      </c>
      <c r="D683" s="13" t="s">
        <v>1816</v>
      </c>
    </row>
    <row r="684" customFormat="false" ht="15" hidden="false" customHeight="false" outlineLevel="0" collapsed="false">
      <c r="A684" s="7" t="s">
        <v>2355</v>
      </c>
      <c r="B684" s="7" t="s">
        <v>1854</v>
      </c>
      <c r="C684" s="9" t="s">
        <v>1704</v>
      </c>
      <c r="D684" s="13" t="s">
        <v>1816</v>
      </c>
    </row>
    <row r="685" customFormat="false" ht="15" hidden="false" customHeight="false" outlineLevel="0" collapsed="false">
      <c r="A685" s="7" t="s">
        <v>2356</v>
      </c>
      <c r="B685" s="7" t="s">
        <v>1744</v>
      </c>
      <c r="C685" s="8" t="s">
        <v>1706</v>
      </c>
      <c r="D685" s="13" t="s">
        <v>1745</v>
      </c>
    </row>
    <row r="686" customFormat="false" ht="15" hidden="false" customHeight="false" outlineLevel="0" collapsed="false">
      <c r="A686" s="7" t="s">
        <v>2357</v>
      </c>
      <c r="B686" s="7" t="s">
        <v>1854</v>
      </c>
      <c r="C686" s="8" t="s">
        <v>1706</v>
      </c>
      <c r="D686" s="13" t="s">
        <v>1816</v>
      </c>
    </row>
    <row r="687" customFormat="false" ht="15" hidden="false" customHeight="false" outlineLevel="0" collapsed="false">
      <c r="A687" s="7" t="s">
        <v>2358</v>
      </c>
      <c r="B687" s="7" t="s">
        <v>1854</v>
      </c>
      <c r="C687" s="9" t="s">
        <v>1704</v>
      </c>
      <c r="D687" s="13" t="s">
        <v>1816</v>
      </c>
    </row>
    <row r="688" customFormat="false" ht="15" hidden="false" customHeight="false" outlineLevel="0" collapsed="false">
      <c r="A688" s="7" t="s">
        <v>2359</v>
      </c>
      <c r="B688" s="7" t="s">
        <v>1747</v>
      </c>
      <c r="C688" s="9" t="s">
        <v>1704</v>
      </c>
      <c r="D688" s="13" t="s">
        <v>1745</v>
      </c>
    </row>
    <row r="689" customFormat="false" ht="15" hidden="false" customHeight="false" outlineLevel="0" collapsed="false">
      <c r="A689" s="7" t="s">
        <v>2360</v>
      </c>
      <c r="B689" s="7" t="s">
        <v>1883</v>
      </c>
      <c r="C689" s="8" t="s">
        <v>1706</v>
      </c>
      <c r="D689" s="13" t="s">
        <v>1816</v>
      </c>
    </row>
    <row r="690" customFormat="false" ht="15" hidden="false" customHeight="false" outlineLevel="0" collapsed="false">
      <c r="A690" s="7" t="s">
        <v>2361</v>
      </c>
      <c r="B690" s="7" t="s">
        <v>1854</v>
      </c>
      <c r="C690" s="8" t="s">
        <v>1706</v>
      </c>
      <c r="D690" s="13" t="s">
        <v>1816</v>
      </c>
    </row>
    <row r="691" customFormat="false" ht="15" hidden="false" customHeight="false" outlineLevel="0" collapsed="false">
      <c r="A691" s="7" t="s">
        <v>2362</v>
      </c>
      <c r="B691" s="7" t="s">
        <v>1929</v>
      </c>
      <c r="C691" s="8" t="s">
        <v>1706</v>
      </c>
      <c r="D691" s="13" t="s">
        <v>1816</v>
      </c>
    </row>
    <row r="692" customFormat="false" ht="15" hidden="false" customHeight="false" outlineLevel="0" collapsed="false">
      <c r="A692" s="7" t="s">
        <v>2363</v>
      </c>
      <c r="B692" s="7" t="s">
        <v>1976</v>
      </c>
      <c r="C692" s="9" t="s">
        <v>1704</v>
      </c>
      <c r="D692" s="13" t="s">
        <v>1820</v>
      </c>
    </row>
    <row r="693" customFormat="false" ht="15" hidden="false" customHeight="false" outlineLevel="0" collapsed="false">
      <c r="A693" s="7" t="s">
        <v>2364</v>
      </c>
      <c r="B693" s="7" t="s">
        <v>1836</v>
      </c>
      <c r="C693" s="9" t="s">
        <v>1704</v>
      </c>
      <c r="D693" s="13" t="s">
        <v>1816</v>
      </c>
    </row>
    <row r="694" customFormat="false" ht="15" hidden="false" customHeight="false" outlineLevel="0" collapsed="false">
      <c r="A694" s="7" t="s">
        <v>2365</v>
      </c>
      <c r="B694" s="7" t="s">
        <v>1836</v>
      </c>
      <c r="C694" s="9" t="s">
        <v>1704</v>
      </c>
      <c r="D694" s="13" t="s">
        <v>1816</v>
      </c>
    </row>
    <row r="695" customFormat="false" ht="15" hidden="false" customHeight="false" outlineLevel="0" collapsed="false">
      <c r="A695" s="7" t="s">
        <v>2366</v>
      </c>
      <c r="B695" s="7" t="s">
        <v>1819</v>
      </c>
      <c r="C695" s="9" t="s">
        <v>1704</v>
      </c>
      <c r="D695" s="13" t="s">
        <v>1820</v>
      </c>
    </row>
    <row r="696" customFormat="false" ht="15" hidden="false" customHeight="false" outlineLevel="0" collapsed="false">
      <c r="A696" s="7" t="s">
        <v>2366</v>
      </c>
      <c r="B696" s="7" t="s">
        <v>1815</v>
      </c>
      <c r="C696" s="9" t="s">
        <v>1704</v>
      </c>
      <c r="D696" s="13" t="s">
        <v>1816</v>
      </c>
    </row>
    <row r="697" customFormat="false" ht="15" hidden="false" customHeight="false" outlineLevel="0" collapsed="false">
      <c r="A697" s="7" t="s">
        <v>2367</v>
      </c>
      <c r="B697" s="7" t="s">
        <v>1815</v>
      </c>
      <c r="C697" s="9" t="s">
        <v>1704</v>
      </c>
      <c r="D697" s="13" t="s">
        <v>1816</v>
      </c>
    </row>
    <row r="698" customFormat="false" ht="15" hidden="false" customHeight="false" outlineLevel="0" collapsed="false">
      <c r="A698" s="7" t="s">
        <v>2368</v>
      </c>
      <c r="B698" s="7" t="s">
        <v>1815</v>
      </c>
      <c r="C698" s="9" t="s">
        <v>1704</v>
      </c>
      <c r="D698" s="13" t="s">
        <v>1816</v>
      </c>
    </row>
    <row r="699" customFormat="false" ht="15" hidden="false" customHeight="false" outlineLevel="0" collapsed="false">
      <c r="A699" s="7" t="s">
        <v>2368</v>
      </c>
      <c r="B699" s="7" t="s">
        <v>1827</v>
      </c>
      <c r="C699" s="9" t="s">
        <v>1704</v>
      </c>
      <c r="D699" s="13" t="s">
        <v>1820</v>
      </c>
    </row>
    <row r="700" customFormat="false" ht="15" hidden="false" customHeight="false" outlineLevel="0" collapsed="false">
      <c r="A700" s="7" t="s">
        <v>2369</v>
      </c>
      <c r="B700" s="7" t="s">
        <v>1815</v>
      </c>
      <c r="C700" s="9" t="s">
        <v>1704</v>
      </c>
      <c r="D700" s="13" t="s">
        <v>1816</v>
      </c>
    </row>
    <row r="701" customFormat="false" ht="15" hidden="false" customHeight="false" outlineLevel="0" collapsed="false">
      <c r="A701" s="7" t="s">
        <v>2370</v>
      </c>
      <c r="B701" s="7" t="s">
        <v>1867</v>
      </c>
      <c r="C701" s="8" t="s">
        <v>1706</v>
      </c>
      <c r="D701" s="13" t="s">
        <v>1816</v>
      </c>
    </row>
    <row r="702" customFormat="false" ht="15" hidden="false" customHeight="false" outlineLevel="0" collapsed="false">
      <c r="A702" s="7" t="s">
        <v>2371</v>
      </c>
      <c r="B702" s="7" t="s">
        <v>1761</v>
      </c>
      <c r="C702" s="9" t="s">
        <v>1704</v>
      </c>
      <c r="D702" s="13" t="s">
        <v>1745</v>
      </c>
    </row>
    <row r="703" customFormat="false" ht="15" hidden="false" customHeight="false" outlineLevel="0" collapsed="false">
      <c r="A703" s="7" t="s">
        <v>2372</v>
      </c>
      <c r="B703" s="7" t="s">
        <v>1883</v>
      </c>
      <c r="C703" s="9" t="s">
        <v>1704</v>
      </c>
      <c r="D703" s="13" t="s">
        <v>1816</v>
      </c>
    </row>
    <row r="704" customFormat="false" ht="15" hidden="false" customHeight="false" outlineLevel="0" collapsed="false">
      <c r="A704" s="7" t="s">
        <v>2373</v>
      </c>
      <c r="B704" s="7" t="s">
        <v>1838</v>
      </c>
      <c r="C704" s="9" t="s">
        <v>1704</v>
      </c>
      <c r="D704" s="13" t="s">
        <v>1823</v>
      </c>
    </row>
    <row r="705" customFormat="false" ht="15" hidden="false" customHeight="false" outlineLevel="0" collapsed="false">
      <c r="A705" s="7" t="s">
        <v>2374</v>
      </c>
      <c r="B705" s="7" t="s">
        <v>1976</v>
      </c>
      <c r="C705" s="9" t="s">
        <v>1704</v>
      </c>
      <c r="D705" s="13" t="s">
        <v>1820</v>
      </c>
    </row>
    <row r="706" customFormat="false" ht="15" hidden="false" customHeight="false" outlineLevel="0" collapsed="false">
      <c r="A706" s="7" t="s">
        <v>2375</v>
      </c>
      <c r="B706" s="7" t="s">
        <v>1819</v>
      </c>
      <c r="C706" s="9" t="s">
        <v>1704</v>
      </c>
      <c r="D706" s="13" t="s">
        <v>1820</v>
      </c>
    </row>
    <row r="707" customFormat="false" ht="15" hidden="false" customHeight="false" outlineLevel="0" collapsed="false">
      <c r="A707" s="7" t="s">
        <v>2375</v>
      </c>
      <c r="B707" s="7" t="s">
        <v>1815</v>
      </c>
      <c r="C707" s="9" t="s">
        <v>1704</v>
      </c>
      <c r="D707" s="13" t="s">
        <v>1816</v>
      </c>
    </row>
    <row r="708" customFormat="false" ht="15" hidden="false" customHeight="false" outlineLevel="0" collapsed="false">
      <c r="A708" s="7" t="s">
        <v>2376</v>
      </c>
      <c r="B708" s="7" t="s">
        <v>1815</v>
      </c>
      <c r="C708" s="9" t="s">
        <v>1704</v>
      </c>
      <c r="D708" s="13" t="s">
        <v>1816</v>
      </c>
    </row>
    <row r="709" customFormat="false" ht="15" hidden="false" customHeight="false" outlineLevel="0" collapsed="false">
      <c r="A709" s="7" t="s">
        <v>2376</v>
      </c>
      <c r="B709" s="7" t="s">
        <v>1827</v>
      </c>
      <c r="C709" s="9" t="s">
        <v>1704</v>
      </c>
      <c r="D709" s="13" t="s">
        <v>1820</v>
      </c>
    </row>
    <row r="710" customFormat="false" ht="15" hidden="false" customHeight="false" outlineLevel="0" collapsed="false">
      <c r="A710" s="7" t="s">
        <v>2377</v>
      </c>
      <c r="B710" s="7" t="s">
        <v>1815</v>
      </c>
      <c r="C710" s="9" t="s">
        <v>1704</v>
      </c>
      <c r="D710" s="13" t="s">
        <v>1816</v>
      </c>
    </row>
    <row r="711" customFormat="false" ht="15" hidden="false" customHeight="false" outlineLevel="0" collapsed="false">
      <c r="A711" s="7" t="s">
        <v>2378</v>
      </c>
      <c r="B711" s="7" t="s">
        <v>1815</v>
      </c>
      <c r="C711" s="9" t="s">
        <v>1704</v>
      </c>
      <c r="D711" s="13" t="s">
        <v>1816</v>
      </c>
    </row>
    <row r="712" customFormat="false" ht="15" hidden="false" customHeight="false" outlineLevel="0" collapsed="false">
      <c r="A712" s="7" t="s">
        <v>2379</v>
      </c>
      <c r="B712" s="7" t="s">
        <v>1815</v>
      </c>
      <c r="C712" s="9" t="s">
        <v>1704</v>
      </c>
      <c r="D712" s="13" t="s">
        <v>1816</v>
      </c>
    </row>
    <row r="713" customFormat="false" ht="15" hidden="false" customHeight="false" outlineLevel="0" collapsed="false">
      <c r="A713" s="7" t="s">
        <v>2380</v>
      </c>
      <c r="B713" s="7" t="s">
        <v>1815</v>
      </c>
      <c r="C713" s="9" t="s">
        <v>1704</v>
      </c>
      <c r="D713" s="13" t="s">
        <v>1816</v>
      </c>
    </row>
    <row r="714" customFormat="false" ht="15" hidden="false" customHeight="false" outlineLevel="0" collapsed="false">
      <c r="A714" s="7" t="s">
        <v>2381</v>
      </c>
      <c r="B714" s="7" t="s">
        <v>1827</v>
      </c>
      <c r="C714" s="9" t="s">
        <v>1704</v>
      </c>
      <c r="D714" s="13" t="s">
        <v>1820</v>
      </c>
    </row>
    <row r="715" customFormat="false" ht="15" hidden="false" customHeight="false" outlineLevel="0" collapsed="false">
      <c r="A715" s="7" t="s">
        <v>2382</v>
      </c>
      <c r="B715" s="7" t="s">
        <v>1838</v>
      </c>
      <c r="C715" s="9" t="s">
        <v>1704</v>
      </c>
      <c r="D715" s="13" t="s">
        <v>1823</v>
      </c>
    </row>
    <row r="716" customFormat="false" ht="15" hidden="false" customHeight="false" outlineLevel="0" collapsed="false">
      <c r="A716" s="7" t="s">
        <v>2383</v>
      </c>
      <c r="B716" s="7" t="s">
        <v>1883</v>
      </c>
      <c r="C716" s="9" t="s">
        <v>1704</v>
      </c>
      <c r="D716" s="13" t="s">
        <v>1816</v>
      </c>
    </row>
    <row r="717" customFormat="false" ht="15" hidden="false" customHeight="false" outlineLevel="0" collapsed="false">
      <c r="A717" s="7" t="s">
        <v>2384</v>
      </c>
      <c r="B717" s="7" t="s">
        <v>1815</v>
      </c>
      <c r="C717" s="9" t="s">
        <v>1704</v>
      </c>
      <c r="D717" s="13" t="s">
        <v>1816</v>
      </c>
    </row>
    <row r="718" customFormat="false" ht="15" hidden="false" customHeight="false" outlineLevel="0" collapsed="false">
      <c r="A718" s="7" t="s">
        <v>2385</v>
      </c>
      <c r="B718" s="7" t="s">
        <v>1815</v>
      </c>
      <c r="C718" s="9" t="s">
        <v>1704</v>
      </c>
      <c r="D718" s="13" t="s">
        <v>1816</v>
      </c>
    </row>
    <row r="719" customFormat="false" ht="15" hidden="false" customHeight="false" outlineLevel="0" collapsed="false">
      <c r="A719" s="7" t="s">
        <v>2386</v>
      </c>
      <c r="B719" s="7" t="s">
        <v>1815</v>
      </c>
      <c r="C719" s="9" t="s">
        <v>1704</v>
      </c>
      <c r="D719" s="13" t="s">
        <v>1816</v>
      </c>
    </row>
    <row r="720" customFormat="false" ht="15" hidden="false" customHeight="false" outlineLevel="0" collapsed="false">
      <c r="A720" s="7" t="s">
        <v>2387</v>
      </c>
      <c r="B720" s="7" t="s">
        <v>1815</v>
      </c>
      <c r="C720" s="9" t="s">
        <v>1704</v>
      </c>
      <c r="D720" s="13" t="s">
        <v>1816</v>
      </c>
    </row>
    <row r="721" customFormat="false" ht="15" hidden="false" customHeight="false" outlineLevel="0" collapsed="false">
      <c r="A721" s="7" t="s">
        <v>2388</v>
      </c>
      <c r="B721" s="7" t="s">
        <v>1815</v>
      </c>
      <c r="C721" s="9" t="s">
        <v>1704</v>
      </c>
      <c r="D721" s="13" t="s">
        <v>1816</v>
      </c>
    </row>
    <row r="722" customFormat="false" ht="15" hidden="false" customHeight="false" outlineLevel="0" collapsed="false">
      <c r="A722" s="7" t="s">
        <v>2389</v>
      </c>
      <c r="B722" s="7" t="s">
        <v>1815</v>
      </c>
      <c r="C722" s="9" t="s">
        <v>1704</v>
      </c>
      <c r="D722" s="13" t="s">
        <v>1816</v>
      </c>
    </row>
    <row r="723" customFormat="false" ht="15" hidden="false" customHeight="false" outlineLevel="0" collapsed="false">
      <c r="A723" s="7" t="s">
        <v>2390</v>
      </c>
      <c r="B723" s="7" t="s">
        <v>1815</v>
      </c>
      <c r="C723" s="9" t="s">
        <v>1704</v>
      </c>
      <c r="D723" s="13" t="s">
        <v>1816</v>
      </c>
    </row>
    <row r="724" customFormat="false" ht="15" hidden="false" customHeight="false" outlineLevel="0" collapsed="false">
      <c r="A724" s="7" t="s">
        <v>2391</v>
      </c>
      <c r="B724" s="7" t="s">
        <v>1976</v>
      </c>
      <c r="C724" s="9" t="s">
        <v>1704</v>
      </c>
      <c r="D724" s="13" t="s">
        <v>1820</v>
      </c>
    </row>
    <row r="725" customFormat="false" ht="15" hidden="false" customHeight="false" outlineLevel="0" collapsed="false">
      <c r="A725" s="7" t="s">
        <v>2392</v>
      </c>
      <c r="B725" s="7" t="s">
        <v>1883</v>
      </c>
      <c r="C725" s="9" t="s">
        <v>1704</v>
      </c>
      <c r="D725" s="13" t="s">
        <v>1816</v>
      </c>
    </row>
    <row r="726" customFormat="false" ht="15" hidden="false" customHeight="false" outlineLevel="0" collapsed="false">
      <c r="A726" s="7" t="s">
        <v>2393</v>
      </c>
      <c r="B726" s="7" t="s">
        <v>1976</v>
      </c>
      <c r="C726" s="9" t="s">
        <v>1704</v>
      </c>
      <c r="D726" s="13" t="s">
        <v>1820</v>
      </c>
    </row>
    <row r="727" customFormat="false" ht="15" hidden="false" customHeight="false" outlineLevel="0" collapsed="false">
      <c r="A727" s="7" t="s">
        <v>2394</v>
      </c>
      <c r="B727" s="7" t="s">
        <v>1883</v>
      </c>
      <c r="C727" s="9" t="s">
        <v>1704</v>
      </c>
      <c r="D727" s="13" t="s">
        <v>1816</v>
      </c>
    </row>
    <row r="728" customFormat="false" ht="15" hidden="false" customHeight="false" outlineLevel="0" collapsed="false">
      <c r="A728" s="7" t="s">
        <v>2395</v>
      </c>
      <c r="B728" s="7" t="s">
        <v>1929</v>
      </c>
      <c r="C728" s="9" t="s">
        <v>1704</v>
      </c>
      <c r="D728" s="13" t="s">
        <v>1816</v>
      </c>
    </row>
    <row r="729" customFormat="false" ht="15" hidden="false" customHeight="false" outlineLevel="0" collapsed="false">
      <c r="A729" s="7" t="s">
        <v>2396</v>
      </c>
      <c r="B729" s="7" t="s">
        <v>1836</v>
      </c>
      <c r="C729" s="9" t="s">
        <v>1704</v>
      </c>
      <c r="D729" s="13" t="s">
        <v>1816</v>
      </c>
    </row>
    <row r="730" customFormat="false" ht="15" hidden="false" customHeight="false" outlineLevel="0" collapsed="false">
      <c r="A730" s="7" t="s">
        <v>2397</v>
      </c>
      <c r="B730" s="7" t="s">
        <v>1838</v>
      </c>
      <c r="C730" s="9" t="s">
        <v>1704</v>
      </c>
      <c r="D730" s="13" t="s">
        <v>1823</v>
      </c>
    </row>
    <row r="731" customFormat="false" ht="15" hidden="false" customHeight="false" outlineLevel="0" collapsed="false">
      <c r="A731" s="7" t="s">
        <v>2398</v>
      </c>
      <c r="B731" s="7" t="s">
        <v>1883</v>
      </c>
      <c r="C731" s="9" t="s">
        <v>1704</v>
      </c>
      <c r="D731" s="13" t="s">
        <v>1816</v>
      </c>
    </row>
    <row r="732" customFormat="false" ht="15" hidden="false" customHeight="false" outlineLevel="0" collapsed="false">
      <c r="A732" s="7" t="s">
        <v>2399</v>
      </c>
      <c r="B732" s="7" t="s">
        <v>1815</v>
      </c>
      <c r="C732" s="9" t="s">
        <v>1704</v>
      </c>
      <c r="D732" s="13" t="s">
        <v>1816</v>
      </c>
    </row>
    <row r="733" customFormat="false" ht="15" hidden="false" customHeight="false" outlineLevel="0" collapsed="false">
      <c r="A733" s="7" t="s">
        <v>2400</v>
      </c>
      <c r="B733" s="7" t="s">
        <v>1883</v>
      </c>
      <c r="C733" s="9" t="s">
        <v>1704</v>
      </c>
      <c r="D733" s="13" t="s">
        <v>1816</v>
      </c>
    </row>
    <row r="734" customFormat="false" ht="15" hidden="false" customHeight="false" outlineLevel="0" collapsed="false">
      <c r="A734" s="7" t="s">
        <v>2401</v>
      </c>
      <c r="B734" s="7" t="s">
        <v>1838</v>
      </c>
      <c r="C734" s="9" t="s">
        <v>1704</v>
      </c>
      <c r="D734" s="13" t="s">
        <v>1823</v>
      </c>
    </row>
    <row r="735" customFormat="false" ht="15" hidden="false" customHeight="false" outlineLevel="0" collapsed="false">
      <c r="A735" s="7" t="s">
        <v>2402</v>
      </c>
      <c r="B735" s="7" t="s">
        <v>1976</v>
      </c>
      <c r="C735" s="9" t="s">
        <v>1704</v>
      </c>
      <c r="D735" s="13" t="s">
        <v>1820</v>
      </c>
    </row>
    <row r="736" customFormat="false" ht="15" hidden="false" customHeight="false" outlineLevel="0" collapsed="false">
      <c r="A736" s="7" t="s">
        <v>2403</v>
      </c>
      <c r="B736" s="7" t="s">
        <v>1883</v>
      </c>
      <c r="C736" s="9" t="s">
        <v>1704</v>
      </c>
      <c r="D736" s="13" t="s">
        <v>1816</v>
      </c>
    </row>
    <row r="737" customFormat="false" ht="15" hidden="false" customHeight="false" outlineLevel="0" collapsed="false">
      <c r="A737" s="7" t="s">
        <v>2404</v>
      </c>
      <c r="B737" s="7" t="s">
        <v>1976</v>
      </c>
      <c r="C737" s="9" t="s">
        <v>1704</v>
      </c>
      <c r="D737" s="13" t="s">
        <v>1820</v>
      </c>
    </row>
    <row r="738" customFormat="false" ht="15" hidden="false" customHeight="false" outlineLevel="0" collapsed="false">
      <c r="A738" s="7" t="s">
        <v>2405</v>
      </c>
      <c r="B738" s="7" t="s">
        <v>1836</v>
      </c>
      <c r="C738" s="9" t="s">
        <v>1704</v>
      </c>
      <c r="D738" s="13" t="s">
        <v>1816</v>
      </c>
    </row>
    <row r="739" customFormat="false" ht="15" hidden="false" customHeight="false" outlineLevel="0" collapsed="false">
      <c r="A739" s="7" t="s">
        <v>2406</v>
      </c>
      <c r="B739" s="7" t="s">
        <v>1976</v>
      </c>
      <c r="C739" s="9" t="s">
        <v>1704</v>
      </c>
      <c r="D739" s="13" t="s">
        <v>1820</v>
      </c>
    </row>
    <row r="740" customFormat="false" ht="15" hidden="false" customHeight="false" outlineLevel="0" collapsed="false">
      <c r="A740" s="7" t="s">
        <v>2407</v>
      </c>
      <c r="B740" s="7" t="s">
        <v>1854</v>
      </c>
      <c r="C740" s="9" t="s">
        <v>1704</v>
      </c>
      <c r="D740" s="13" t="s">
        <v>1816</v>
      </c>
    </row>
    <row r="741" customFormat="false" ht="15" hidden="false" customHeight="false" outlineLevel="0" collapsed="false">
      <c r="A741" s="7" t="s">
        <v>2408</v>
      </c>
      <c r="B741" s="7" t="s">
        <v>1888</v>
      </c>
      <c r="C741" s="8" t="s">
        <v>1706</v>
      </c>
      <c r="D741" s="13" t="s">
        <v>1820</v>
      </c>
    </row>
    <row r="742" customFormat="false" ht="15" hidden="false" customHeight="false" outlineLevel="0" collapsed="false">
      <c r="A742" s="7" t="s">
        <v>2409</v>
      </c>
      <c r="B742" s="7" t="s">
        <v>1976</v>
      </c>
      <c r="C742" s="9" t="s">
        <v>1704</v>
      </c>
      <c r="D742" s="13" t="s">
        <v>1820</v>
      </c>
    </row>
    <row r="743" customFormat="false" ht="15" hidden="false" customHeight="false" outlineLevel="0" collapsed="false">
      <c r="A743" s="7" t="s">
        <v>2409</v>
      </c>
      <c r="B743" s="7" t="s">
        <v>1854</v>
      </c>
      <c r="C743" s="8" t="s">
        <v>1706</v>
      </c>
      <c r="D743" s="13" t="s">
        <v>1816</v>
      </c>
    </row>
    <row r="744" customFormat="false" ht="15" hidden="false" customHeight="false" outlineLevel="0" collapsed="false">
      <c r="A744" s="7" t="s">
        <v>2410</v>
      </c>
      <c r="B744" s="7" t="s">
        <v>1838</v>
      </c>
      <c r="C744" s="9" t="s">
        <v>1704</v>
      </c>
      <c r="D744" s="13" t="s">
        <v>1823</v>
      </c>
    </row>
    <row r="745" customFormat="false" ht="15" hidden="false" customHeight="false" outlineLevel="0" collapsed="false">
      <c r="A745" s="7" t="s">
        <v>2411</v>
      </c>
      <c r="B745" s="7" t="s">
        <v>1883</v>
      </c>
      <c r="C745" s="9" t="s">
        <v>1704</v>
      </c>
      <c r="D745" s="13" t="s">
        <v>1816</v>
      </c>
    </row>
    <row r="746" customFormat="false" ht="15" hidden="false" customHeight="false" outlineLevel="0" collapsed="false">
      <c r="A746" s="7" t="s">
        <v>2412</v>
      </c>
      <c r="B746" s="7" t="s">
        <v>1976</v>
      </c>
      <c r="C746" s="9" t="s">
        <v>1704</v>
      </c>
      <c r="D746" s="13" t="s">
        <v>1820</v>
      </c>
    </row>
    <row r="747" customFormat="false" ht="15" hidden="false" customHeight="false" outlineLevel="0" collapsed="false">
      <c r="A747" s="7" t="s">
        <v>2412</v>
      </c>
      <c r="B747" s="7" t="s">
        <v>1883</v>
      </c>
      <c r="C747" s="9" t="s">
        <v>1704</v>
      </c>
      <c r="D747" s="13" t="s">
        <v>1816</v>
      </c>
    </row>
    <row r="748" customFormat="false" ht="15" hidden="false" customHeight="false" outlineLevel="0" collapsed="false">
      <c r="A748" s="7" t="s">
        <v>2413</v>
      </c>
      <c r="B748" s="7" t="s">
        <v>1976</v>
      </c>
      <c r="C748" s="9" t="s">
        <v>1704</v>
      </c>
      <c r="D748" s="13" t="s">
        <v>1820</v>
      </c>
    </row>
    <row r="749" customFormat="false" ht="15" hidden="false" customHeight="false" outlineLevel="0" collapsed="false">
      <c r="A749" s="7" t="s">
        <v>2413</v>
      </c>
      <c r="B749" s="7" t="s">
        <v>1854</v>
      </c>
      <c r="C749" s="9" t="s">
        <v>1704</v>
      </c>
      <c r="D749" s="13" t="s">
        <v>1816</v>
      </c>
    </row>
    <row r="750" customFormat="false" ht="15" hidden="false" customHeight="false" outlineLevel="0" collapsed="false">
      <c r="A750" s="7" t="s">
        <v>2413</v>
      </c>
      <c r="B750" s="7" t="s">
        <v>1836</v>
      </c>
      <c r="C750" s="9" t="s">
        <v>1704</v>
      </c>
      <c r="D750" s="13" t="s">
        <v>1816</v>
      </c>
    </row>
    <row r="751" customFormat="false" ht="15" hidden="false" customHeight="false" outlineLevel="0" collapsed="false">
      <c r="A751" s="7" t="s">
        <v>2414</v>
      </c>
      <c r="B751" s="7" t="s">
        <v>1888</v>
      </c>
      <c r="C751" s="8" t="s">
        <v>1706</v>
      </c>
      <c r="D751" s="13" t="s">
        <v>1820</v>
      </c>
    </row>
    <row r="752" customFormat="false" ht="15" hidden="false" customHeight="false" outlineLevel="0" collapsed="false">
      <c r="A752" s="7" t="s">
        <v>2415</v>
      </c>
      <c r="B752" s="7" t="s">
        <v>1867</v>
      </c>
      <c r="C752" s="9" t="s">
        <v>1704</v>
      </c>
      <c r="D752" s="13" t="s">
        <v>1816</v>
      </c>
    </row>
    <row r="753" customFormat="false" ht="15" hidden="false" customHeight="false" outlineLevel="0" collapsed="false">
      <c r="A753" s="7" t="s">
        <v>2416</v>
      </c>
      <c r="B753" s="7" t="s">
        <v>2336</v>
      </c>
      <c r="C753" s="8" t="s">
        <v>1706</v>
      </c>
      <c r="D753" s="13" t="s">
        <v>1820</v>
      </c>
    </row>
    <row r="754" customFormat="false" ht="15" hidden="false" customHeight="false" outlineLevel="0" collapsed="false">
      <c r="A754" s="7" t="s">
        <v>2417</v>
      </c>
      <c r="B754" s="7" t="s">
        <v>1863</v>
      </c>
      <c r="C754" s="8" t="s">
        <v>1706</v>
      </c>
      <c r="D754" s="13" t="s">
        <v>1816</v>
      </c>
    </row>
    <row r="755" customFormat="false" ht="15" hidden="false" customHeight="false" outlineLevel="0" collapsed="false">
      <c r="A755" s="7" t="s">
        <v>2418</v>
      </c>
      <c r="B755" s="7" t="s">
        <v>1875</v>
      </c>
      <c r="C755" s="9" t="s">
        <v>1704</v>
      </c>
      <c r="D755" s="13" t="s">
        <v>1816</v>
      </c>
    </row>
    <row r="756" customFormat="false" ht="15" hidden="false" customHeight="false" outlineLevel="0" collapsed="false">
      <c r="A756" s="7" t="s">
        <v>2419</v>
      </c>
      <c r="B756" s="7" t="s">
        <v>1744</v>
      </c>
      <c r="C756" s="9" t="s">
        <v>1704</v>
      </c>
      <c r="D756" s="13" t="s">
        <v>1745</v>
      </c>
    </row>
    <row r="757" customFormat="false" ht="15" hidden="false" customHeight="false" outlineLevel="0" collapsed="false">
      <c r="A757" s="7" t="s">
        <v>2419</v>
      </c>
      <c r="B757" s="7" t="s">
        <v>1747</v>
      </c>
      <c r="C757" s="9" t="s">
        <v>1704</v>
      </c>
      <c r="D757" s="13" t="s">
        <v>1745</v>
      </c>
    </row>
    <row r="758" customFormat="false" ht="15" hidden="false" customHeight="false" outlineLevel="0" collapsed="false">
      <c r="A758" s="7" t="s">
        <v>1734</v>
      </c>
      <c r="B758" s="7" t="s">
        <v>1888</v>
      </c>
      <c r="C758" s="8" t="s">
        <v>1706</v>
      </c>
      <c r="D758" s="13" t="s">
        <v>1820</v>
      </c>
    </row>
    <row r="759" customFormat="false" ht="15" hidden="false" customHeight="false" outlineLevel="0" collapsed="false">
      <c r="A759" s="7" t="s">
        <v>2420</v>
      </c>
      <c r="B759" s="7" t="s">
        <v>1883</v>
      </c>
      <c r="C759" s="8" t="s">
        <v>1706</v>
      </c>
      <c r="D759" s="13" t="s">
        <v>1816</v>
      </c>
    </row>
    <row r="760" customFormat="false" ht="15" hidden="false" customHeight="false" outlineLevel="0" collapsed="false">
      <c r="A760" s="7" t="s">
        <v>2421</v>
      </c>
      <c r="B760" s="7" t="s">
        <v>1976</v>
      </c>
      <c r="C760" s="9" t="s">
        <v>1704</v>
      </c>
      <c r="D760" s="13" t="s">
        <v>1820</v>
      </c>
    </row>
    <row r="761" customFormat="false" ht="15" hidden="false" customHeight="false" outlineLevel="0" collapsed="false">
      <c r="A761" s="7" t="s">
        <v>2422</v>
      </c>
      <c r="B761" s="7" t="s">
        <v>1929</v>
      </c>
      <c r="C761" s="8" t="s">
        <v>1706</v>
      </c>
      <c r="D761" s="13" t="s">
        <v>1816</v>
      </c>
    </row>
    <row r="762" customFormat="false" ht="15" hidden="false" customHeight="false" outlineLevel="0" collapsed="false">
      <c r="A762" s="7" t="s">
        <v>2423</v>
      </c>
      <c r="B762" s="7" t="s">
        <v>1854</v>
      </c>
      <c r="C762" s="8" t="s">
        <v>1706</v>
      </c>
      <c r="D762" s="13" t="s">
        <v>1816</v>
      </c>
    </row>
    <row r="763" customFormat="false" ht="15" hidden="false" customHeight="false" outlineLevel="0" collapsed="false">
      <c r="A763" s="7" t="s">
        <v>2423</v>
      </c>
      <c r="B763" s="7" t="s">
        <v>1976</v>
      </c>
      <c r="C763" s="9" t="s">
        <v>1704</v>
      </c>
      <c r="D763" s="13" t="s">
        <v>1820</v>
      </c>
    </row>
    <row r="764" customFormat="false" ht="15" hidden="false" customHeight="false" outlineLevel="0" collapsed="false">
      <c r="A764" s="7" t="s">
        <v>2424</v>
      </c>
      <c r="B764" s="7" t="s">
        <v>1854</v>
      </c>
      <c r="C764" s="9" t="s">
        <v>1704</v>
      </c>
      <c r="D764" s="13" t="s">
        <v>1816</v>
      </c>
    </row>
    <row r="765" customFormat="false" ht="15" hidden="false" customHeight="false" outlineLevel="0" collapsed="false">
      <c r="A765" s="7" t="s">
        <v>2425</v>
      </c>
      <c r="B765" s="7" t="s">
        <v>1976</v>
      </c>
      <c r="C765" s="9" t="s">
        <v>1704</v>
      </c>
      <c r="D765" s="13" t="s">
        <v>1820</v>
      </c>
    </row>
    <row r="766" customFormat="false" ht="15" hidden="false" customHeight="false" outlineLevel="0" collapsed="false">
      <c r="A766" s="7" t="s">
        <v>2426</v>
      </c>
      <c r="B766" s="7" t="s">
        <v>1838</v>
      </c>
      <c r="C766" s="9" t="s">
        <v>1704</v>
      </c>
      <c r="D766" s="13" t="s">
        <v>1823</v>
      </c>
    </row>
    <row r="767" customFormat="false" ht="15" hidden="false" customHeight="false" outlineLevel="0" collapsed="false">
      <c r="A767" s="7" t="s">
        <v>2426</v>
      </c>
      <c r="B767" s="7" t="s">
        <v>1854</v>
      </c>
      <c r="C767" s="8" t="s">
        <v>1706</v>
      </c>
      <c r="D767" s="13" t="s">
        <v>1816</v>
      </c>
    </row>
    <row r="768" customFormat="false" ht="15" hidden="false" customHeight="false" outlineLevel="0" collapsed="false">
      <c r="A768" s="7" t="s">
        <v>2427</v>
      </c>
      <c r="B768" s="7" t="s">
        <v>1836</v>
      </c>
      <c r="C768" s="9" t="s">
        <v>1704</v>
      </c>
      <c r="D768" s="13" t="s">
        <v>1816</v>
      </c>
    </row>
    <row r="769" customFormat="false" ht="15" hidden="false" customHeight="false" outlineLevel="0" collapsed="false">
      <c r="A769" s="7" t="s">
        <v>2427</v>
      </c>
      <c r="B769" s="7" t="s">
        <v>1854</v>
      </c>
      <c r="C769" s="9" t="s">
        <v>1704</v>
      </c>
      <c r="D769" s="13" t="s">
        <v>1816</v>
      </c>
    </row>
    <row r="770" customFormat="false" ht="15" hidden="false" customHeight="false" outlineLevel="0" collapsed="false">
      <c r="A770" s="7" t="s">
        <v>2428</v>
      </c>
      <c r="B770" s="7" t="s">
        <v>1854</v>
      </c>
      <c r="C770" s="8" t="s">
        <v>1706</v>
      </c>
      <c r="D770" s="13" t="s">
        <v>1816</v>
      </c>
    </row>
    <row r="771" customFormat="false" ht="15" hidden="false" customHeight="false" outlineLevel="0" collapsed="false">
      <c r="A771" s="7" t="s">
        <v>2429</v>
      </c>
      <c r="B771" s="7" t="s">
        <v>1854</v>
      </c>
      <c r="C771" s="9" t="s">
        <v>1704</v>
      </c>
      <c r="D771" s="13" t="s">
        <v>1816</v>
      </c>
    </row>
    <row r="772" customFormat="false" ht="15" hidden="false" customHeight="false" outlineLevel="0" collapsed="false">
      <c r="A772" s="7" t="s">
        <v>2430</v>
      </c>
      <c r="B772" s="7" t="s">
        <v>1854</v>
      </c>
      <c r="C772" s="8" t="s">
        <v>1706</v>
      </c>
      <c r="D772" s="13" t="s">
        <v>1816</v>
      </c>
    </row>
    <row r="773" customFormat="false" ht="15" hidden="false" customHeight="false" outlineLevel="0" collapsed="false">
      <c r="A773" s="7" t="s">
        <v>2431</v>
      </c>
      <c r="B773" s="7" t="s">
        <v>1836</v>
      </c>
      <c r="C773" s="9" t="s">
        <v>1704</v>
      </c>
      <c r="D773" s="13" t="s">
        <v>1816</v>
      </c>
    </row>
    <row r="774" customFormat="false" ht="15" hidden="false" customHeight="false" outlineLevel="0" collapsed="false">
      <c r="A774" s="7" t="s">
        <v>2431</v>
      </c>
      <c r="B774" s="7" t="s">
        <v>1854</v>
      </c>
      <c r="C774" s="9" t="s">
        <v>1704</v>
      </c>
      <c r="D774" s="13" t="s">
        <v>1816</v>
      </c>
    </row>
    <row r="775" customFormat="false" ht="15" hidden="false" customHeight="false" outlineLevel="0" collapsed="false">
      <c r="A775" s="7" t="s">
        <v>2432</v>
      </c>
      <c r="B775" s="7" t="s">
        <v>1976</v>
      </c>
      <c r="C775" s="9" t="s">
        <v>1704</v>
      </c>
      <c r="D775" s="13" t="s">
        <v>1820</v>
      </c>
    </row>
    <row r="776" customFormat="false" ht="15" hidden="false" customHeight="false" outlineLevel="0" collapsed="false">
      <c r="A776" s="7" t="s">
        <v>2433</v>
      </c>
      <c r="B776" s="7" t="s">
        <v>1854</v>
      </c>
      <c r="C776" s="8" t="s">
        <v>1706</v>
      </c>
      <c r="D776" s="13" t="s">
        <v>1816</v>
      </c>
    </row>
    <row r="777" customFormat="false" ht="15" hidden="false" customHeight="false" outlineLevel="0" collapsed="false">
      <c r="A777" s="7" t="s">
        <v>2434</v>
      </c>
      <c r="B777" s="7" t="s">
        <v>1867</v>
      </c>
      <c r="C777" s="8" t="s">
        <v>1706</v>
      </c>
      <c r="D777" s="13" t="s">
        <v>1816</v>
      </c>
    </row>
    <row r="778" customFormat="false" ht="15" hidden="false" customHeight="false" outlineLevel="0" collapsed="false">
      <c r="A778" s="7" t="s">
        <v>2435</v>
      </c>
      <c r="B778" s="7" t="s">
        <v>1838</v>
      </c>
      <c r="C778" s="9" t="s">
        <v>1704</v>
      </c>
      <c r="D778" s="13" t="s">
        <v>1823</v>
      </c>
    </row>
    <row r="779" customFormat="false" ht="15" hidden="false" customHeight="false" outlineLevel="0" collapsed="false">
      <c r="A779" s="7" t="s">
        <v>2436</v>
      </c>
      <c r="B779" s="7" t="s">
        <v>1819</v>
      </c>
      <c r="C779" s="9" t="s">
        <v>1704</v>
      </c>
      <c r="D779" s="13" t="s">
        <v>1820</v>
      </c>
    </row>
    <row r="780" customFormat="false" ht="15" hidden="false" customHeight="false" outlineLevel="0" collapsed="false">
      <c r="A780" s="7" t="s">
        <v>2436</v>
      </c>
      <c r="B780" s="7" t="s">
        <v>1815</v>
      </c>
      <c r="C780" s="9" t="s">
        <v>1704</v>
      </c>
      <c r="D780" s="13" t="s">
        <v>1816</v>
      </c>
    </row>
    <row r="781" customFormat="false" ht="15" hidden="false" customHeight="false" outlineLevel="0" collapsed="false">
      <c r="A781" s="7" t="s">
        <v>2437</v>
      </c>
      <c r="B781" s="7" t="s">
        <v>1815</v>
      </c>
      <c r="C781" s="9" t="s">
        <v>1704</v>
      </c>
      <c r="D781" s="13" t="s">
        <v>1816</v>
      </c>
    </row>
    <row r="782" customFormat="false" ht="15" hidden="false" customHeight="false" outlineLevel="0" collapsed="false">
      <c r="A782" s="7" t="s">
        <v>2438</v>
      </c>
      <c r="B782" s="7" t="s">
        <v>1838</v>
      </c>
      <c r="C782" s="9" t="s">
        <v>1704</v>
      </c>
      <c r="D782" s="13" t="s">
        <v>1823</v>
      </c>
    </row>
    <row r="783" customFormat="false" ht="15" hidden="false" customHeight="false" outlineLevel="0" collapsed="false">
      <c r="A783" s="7" t="s">
        <v>2438</v>
      </c>
      <c r="B783" s="7" t="s">
        <v>1744</v>
      </c>
      <c r="C783" s="8" t="s">
        <v>1706</v>
      </c>
      <c r="D783" s="13" t="s">
        <v>1745</v>
      </c>
    </row>
    <row r="784" customFormat="false" ht="15" hidden="false" customHeight="false" outlineLevel="0" collapsed="false">
      <c r="A784" s="7" t="s">
        <v>2439</v>
      </c>
      <c r="B784" s="7" t="s">
        <v>1815</v>
      </c>
      <c r="C784" s="9" t="s">
        <v>1704</v>
      </c>
      <c r="D784" s="13" t="s">
        <v>1816</v>
      </c>
    </row>
    <row r="785" customFormat="false" ht="15" hidden="false" customHeight="false" outlineLevel="0" collapsed="false">
      <c r="A785" s="7" t="s">
        <v>2440</v>
      </c>
      <c r="B785" s="7" t="s">
        <v>1883</v>
      </c>
      <c r="C785" s="9" t="s">
        <v>1704</v>
      </c>
      <c r="D785" s="13" t="s">
        <v>1816</v>
      </c>
    </row>
    <row r="786" customFormat="false" ht="15" hidden="false" customHeight="false" outlineLevel="0" collapsed="false">
      <c r="A786" s="7" t="s">
        <v>2440</v>
      </c>
      <c r="B786" s="7" t="s">
        <v>1838</v>
      </c>
      <c r="C786" s="9" t="s">
        <v>1704</v>
      </c>
      <c r="D786" s="13" t="s">
        <v>1823</v>
      </c>
    </row>
    <row r="787" customFormat="false" ht="15" hidden="false" customHeight="false" outlineLevel="0" collapsed="false">
      <c r="A787" s="7" t="s">
        <v>2441</v>
      </c>
      <c r="B787" s="7" t="s">
        <v>1819</v>
      </c>
      <c r="C787" s="9" t="s">
        <v>1704</v>
      </c>
      <c r="D787" s="13" t="s">
        <v>1820</v>
      </c>
    </row>
    <row r="788" customFormat="false" ht="15" hidden="false" customHeight="false" outlineLevel="0" collapsed="false">
      <c r="A788" s="7" t="s">
        <v>2441</v>
      </c>
      <c r="B788" s="7" t="s">
        <v>1815</v>
      </c>
      <c r="C788" s="9" t="s">
        <v>1704</v>
      </c>
      <c r="D788" s="13" t="s">
        <v>1816</v>
      </c>
    </row>
    <row r="789" customFormat="false" ht="15" hidden="false" customHeight="false" outlineLevel="0" collapsed="false">
      <c r="A789" s="7" t="s">
        <v>2442</v>
      </c>
      <c r="B789" s="7" t="s">
        <v>1815</v>
      </c>
      <c r="C789" s="9" t="s">
        <v>1704</v>
      </c>
      <c r="D789" s="13" t="s">
        <v>1816</v>
      </c>
    </row>
    <row r="790" customFormat="false" ht="15" hidden="false" customHeight="false" outlineLevel="0" collapsed="false">
      <c r="A790" s="7" t="s">
        <v>2443</v>
      </c>
      <c r="B790" s="7" t="s">
        <v>1883</v>
      </c>
      <c r="C790" s="9" t="s">
        <v>1704</v>
      </c>
      <c r="D790" s="13" t="s">
        <v>1816</v>
      </c>
    </row>
    <row r="791" customFormat="false" ht="15" hidden="false" customHeight="false" outlineLevel="0" collapsed="false">
      <c r="A791" s="7" t="s">
        <v>2444</v>
      </c>
      <c r="B791" s="7" t="s">
        <v>1976</v>
      </c>
      <c r="C791" s="9" t="s">
        <v>1704</v>
      </c>
      <c r="D791" s="13" t="s">
        <v>1820</v>
      </c>
    </row>
    <row r="792" customFormat="false" ht="15" hidden="false" customHeight="false" outlineLevel="0" collapsed="false">
      <c r="A792" s="7" t="s">
        <v>2445</v>
      </c>
      <c r="B792" s="7" t="s">
        <v>1838</v>
      </c>
      <c r="C792" s="9" t="s">
        <v>1704</v>
      </c>
      <c r="D792" s="13" t="s">
        <v>1823</v>
      </c>
    </row>
    <row r="793" customFormat="false" ht="15" hidden="false" customHeight="false" outlineLevel="0" collapsed="false">
      <c r="A793" s="7" t="s">
        <v>2446</v>
      </c>
      <c r="B793" s="7" t="s">
        <v>1929</v>
      </c>
      <c r="C793" s="9" t="s">
        <v>1704</v>
      </c>
      <c r="D793" s="13" t="s">
        <v>1816</v>
      </c>
    </row>
    <row r="794" customFormat="false" ht="15" hidden="false" customHeight="false" outlineLevel="0" collapsed="false">
      <c r="A794" s="7" t="s">
        <v>2447</v>
      </c>
      <c r="B794" s="7" t="s">
        <v>1836</v>
      </c>
      <c r="C794" s="9" t="s">
        <v>1704</v>
      </c>
      <c r="D794" s="13" t="s">
        <v>1816</v>
      </c>
    </row>
    <row r="795" customFormat="false" ht="15" hidden="false" customHeight="false" outlineLevel="0" collapsed="false">
      <c r="A795" s="7" t="s">
        <v>2448</v>
      </c>
      <c r="B795" s="7" t="s">
        <v>1854</v>
      </c>
      <c r="C795" s="9" t="s">
        <v>1704</v>
      </c>
      <c r="D795" s="13" t="s">
        <v>1816</v>
      </c>
    </row>
    <row r="796" customFormat="false" ht="15" hidden="false" customHeight="false" outlineLevel="0" collapsed="false">
      <c r="A796" s="7" t="s">
        <v>2448</v>
      </c>
      <c r="B796" s="7" t="s">
        <v>1863</v>
      </c>
      <c r="C796" s="8" t="s">
        <v>1706</v>
      </c>
      <c r="D796" s="13" t="s">
        <v>1816</v>
      </c>
    </row>
    <row r="797" customFormat="false" ht="15" hidden="false" customHeight="false" outlineLevel="0" collapsed="false">
      <c r="A797" s="7" t="s">
        <v>2449</v>
      </c>
      <c r="B797" s="7" t="s">
        <v>1854</v>
      </c>
      <c r="C797" s="8" t="s">
        <v>1706</v>
      </c>
      <c r="D797" s="13" t="s">
        <v>1816</v>
      </c>
    </row>
    <row r="798" customFormat="false" ht="15" hidden="false" customHeight="false" outlineLevel="0" collapsed="false">
      <c r="A798" s="7" t="s">
        <v>2450</v>
      </c>
      <c r="B798" s="7" t="s">
        <v>1976</v>
      </c>
      <c r="C798" s="9" t="s">
        <v>1704</v>
      </c>
      <c r="D798" s="13" t="s">
        <v>1820</v>
      </c>
    </row>
    <row r="799" customFormat="false" ht="15" hidden="false" customHeight="false" outlineLevel="0" collapsed="false">
      <c r="A799" s="7" t="s">
        <v>2451</v>
      </c>
      <c r="B799" s="7" t="s">
        <v>1976</v>
      </c>
      <c r="C799" s="9" t="s">
        <v>1704</v>
      </c>
      <c r="D799" s="13" t="s">
        <v>1820</v>
      </c>
    </row>
    <row r="800" customFormat="false" ht="15" hidden="false" customHeight="false" outlineLevel="0" collapsed="false">
      <c r="A800" s="7" t="s">
        <v>2452</v>
      </c>
      <c r="B800" s="7" t="s">
        <v>1976</v>
      </c>
      <c r="C800" s="9" t="s">
        <v>1704</v>
      </c>
      <c r="D800" s="13" t="s">
        <v>1820</v>
      </c>
    </row>
    <row r="801" customFormat="false" ht="15" hidden="false" customHeight="false" outlineLevel="0" collapsed="false">
      <c r="A801" s="7" t="s">
        <v>2453</v>
      </c>
      <c r="B801" s="7" t="s">
        <v>1838</v>
      </c>
      <c r="C801" s="9" t="s">
        <v>1704</v>
      </c>
      <c r="D801" s="13" t="s">
        <v>1823</v>
      </c>
    </row>
    <row r="802" customFormat="false" ht="15" hidden="false" customHeight="false" outlineLevel="0" collapsed="false">
      <c r="A802" s="7" t="s">
        <v>2454</v>
      </c>
      <c r="B802" s="7" t="s">
        <v>1836</v>
      </c>
      <c r="C802" s="9" t="s">
        <v>1704</v>
      </c>
      <c r="D802" s="13" t="s">
        <v>1816</v>
      </c>
    </row>
    <row r="803" customFormat="false" ht="15" hidden="false" customHeight="false" outlineLevel="0" collapsed="false">
      <c r="A803" s="7" t="s">
        <v>2455</v>
      </c>
      <c r="B803" s="7" t="s">
        <v>1976</v>
      </c>
      <c r="C803" s="9" t="s">
        <v>1704</v>
      </c>
      <c r="D803" s="13" t="s">
        <v>1820</v>
      </c>
    </row>
    <row r="804" customFormat="false" ht="15" hidden="false" customHeight="false" outlineLevel="0" collapsed="false">
      <c r="A804" s="7" t="s">
        <v>2456</v>
      </c>
      <c r="B804" s="7" t="s">
        <v>1976</v>
      </c>
      <c r="C804" s="9" t="s">
        <v>1704</v>
      </c>
      <c r="D804" s="13" t="s">
        <v>1820</v>
      </c>
    </row>
    <row r="805" customFormat="false" ht="15" hidden="false" customHeight="false" outlineLevel="0" collapsed="false">
      <c r="A805" s="7" t="s">
        <v>2457</v>
      </c>
      <c r="B805" s="7" t="s">
        <v>1836</v>
      </c>
      <c r="C805" s="9" t="s">
        <v>1704</v>
      </c>
      <c r="D805" s="13" t="s">
        <v>1816</v>
      </c>
    </row>
    <row r="806" customFormat="false" ht="15" hidden="false" customHeight="false" outlineLevel="0" collapsed="false">
      <c r="A806" s="7" t="s">
        <v>2458</v>
      </c>
      <c r="B806" s="7" t="s">
        <v>1976</v>
      </c>
      <c r="C806" s="9" t="s">
        <v>1704</v>
      </c>
      <c r="D806" s="13" t="s">
        <v>1820</v>
      </c>
    </row>
    <row r="807" customFormat="false" ht="15" hidden="false" customHeight="false" outlineLevel="0" collapsed="false">
      <c r="A807" s="7" t="s">
        <v>2459</v>
      </c>
      <c r="B807" s="7" t="s">
        <v>1836</v>
      </c>
      <c r="C807" s="9" t="s">
        <v>1704</v>
      </c>
      <c r="D807" s="13" t="s">
        <v>1816</v>
      </c>
    </row>
    <row r="808" customFormat="false" ht="15" hidden="false" customHeight="false" outlineLevel="0" collapsed="false">
      <c r="A808" s="7" t="s">
        <v>2460</v>
      </c>
      <c r="B808" s="7" t="s">
        <v>1827</v>
      </c>
      <c r="C808" s="9" t="s">
        <v>1704</v>
      </c>
      <c r="D808" s="13" t="s">
        <v>1820</v>
      </c>
    </row>
    <row r="809" customFormat="false" ht="15" hidden="false" customHeight="false" outlineLevel="0" collapsed="false">
      <c r="A809" s="7" t="s">
        <v>2461</v>
      </c>
      <c r="B809" s="7" t="s">
        <v>1976</v>
      </c>
      <c r="C809" s="9" t="s">
        <v>1704</v>
      </c>
      <c r="D809" s="13" t="s">
        <v>1820</v>
      </c>
    </row>
    <row r="810" customFormat="false" ht="15" hidden="false" customHeight="false" outlineLevel="0" collapsed="false">
      <c r="A810" s="7" t="s">
        <v>2462</v>
      </c>
      <c r="B810" s="7" t="s">
        <v>1827</v>
      </c>
      <c r="C810" s="9" t="s">
        <v>1704</v>
      </c>
      <c r="D810" s="13" t="s">
        <v>1820</v>
      </c>
    </row>
    <row r="811" customFormat="false" ht="15" hidden="false" customHeight="false" outlineLevel="0" collapsed="false">
      <c r="A811" s="7" t="s">
        <v>2463</v>
      </c>
      <c r="B811" s="7" t="s">
        <v>1883</v>
      </c>
      <c r="C811" s="9" t="s">
        <v>1704</v>
      </c>
      <c r="D811" s="13" t="s">
        <v>1816</v>
      </c>
    </row>
    <row r="812" customFormat="false" ht="15" hidden="false" customHeight="false" outlineLevel="0" collapsed="false">
      <c r="A812" s="7" t="s">
        <v>2464</v>
      </c>
      <c r="B812" s="7" t="s">
        <v>1883</v>
      </c>
      <c r="C812" s="9" t="s">
        <v>1704</v>
      </c>
      <c r="D812" s="13" t="s">
        <v>1816</v>
      </c>
    </row>
    <row r="813" customFormat="false" ht="15" hidden="false" customHeight="false" outlineLevel="0" collapsed="false">
      <c r="A813" s="7" t="s">
        <v>2465</v>
      </c>
      <c r="B813" s="7" t="s">
        <v>1838</v>
      </c>
      <c r="C813" s="9" t="s">
        <v>1704</v>
      </c>
      <c r="D813" s="13" t="s">
        <v>1823</v>
      </c>
    </row>
    <row r="814" customFormat="false" ht="15" hidden="false" customHeight="false" outlineLevel="0" collapsed="false">
      <c r="A814" s="7" t="s">
        <v>2466</v>
      </c>
      <c r="B814" s="7" t="s">
        <v>1883</v>
      </c>
      <c r="C814" s="9" t="s">
        <v>1704</v>
      </c>
      <c r="D814" s="13" t="s">
        <v>1816</v>
      </c>
    </row>
    <row r="815" customFormat="false" ht="15" hidden="false" customHeight="false" outlineLevel="0" collapsed="false">
      <c r="A815" s="7" t="s">
        <v>2467</v>
      </c>
      <c r="B815" s="7" t="s">
        <v>1744</v>
      </c>
      <c r="C815" s="8" t="s">
        <v>1706</v>
      </c>
      <c r="D815" s="13" t="s">
        <v>1745</v>
      </c>
    </row>
    <row r="816" customFormat="false" ht="15" hidden="false" customHeight="false" outlineLevel="0" collapsed="false">
      <c r="A816" s="7" t="s">
        <v>2468</v>
      </c>
      <c r="B816" s="7" t="s">
        <v>1883</v>
      </c>
      <c r="C816" s="9" t="s">
        <v>1704</v>
      </c>
      <c r="D816" s="13" t="s">
        <v>1816</v>
      </c>
    </row>
    <row r="817" customFormat="false" ht="15" hidden="false" customHeight="false" outlineLevel="0" collapsed="false">
      <c r="A817" s="7" t="s">
        <v>2469</v>
      </c>
      <c r="B817" s="7" t="s">
        <v>1976</v>
      </c>
      <c r="C817" s="9" t="s">
        <v>1704</v>
      </c>
      <c r="D817" s="13" t="s">
        <v>1820</v>
      </c>
    </row>
    <row r="818" customFormat="false" ht="15" hidden="false" customHeight="false" outlineLevel="0" collapsed="false">
      <c r="A818" s="7" t="s">
        <v>2470</v>
      </c>
      <c r="B818" s="7" t="s">
        <v>1929</v>
      </c>
      <c r="C818" s="9" t="s">
        <v>1704</v>
      </c>
      <c r="D818" s="13" t="s">
        <v>1816</v>
      </c>
    </row>
    <row r="819" customFormat="false" ht="15" hidden="false" customHeight="false" outlineLevel="0" collapsed="false">
      <c r="A819" s="7" t="s">
        <v>2471</v>
      </c>
      <c r="B819" s="7" t="s">
        <v>1836</v>
      </c>
      <c r="C819" s="9" t="s">
        <v>1704</v>
      </c>
      <c r="D819" s="13" t="s">
        <v>1816</v>
      </c>
    </row>
    <row r="820" customFormat="false" ht="15" hidden="false" customHeight="false" outlineLevel="0" collapsed="false">
      <c r="A820" s="7" t="s">
        <v>2472</v>
      </c>
      <c r="B820" s="7" t="s">
        <v>1836</v>
      </c>
      <c r="C820" s="9" t="s">
        <v>1704</v>
      </c>
      <c r="D820" s="13" t="s">
        <v>1816</v>
      </c>
    </row>
    <row r="821" customFormat="false" ht="15" hidden="false" customHeight="false" outlineLevel="0" collapsed="false">
      <c r="A821" s="7" t="s">
        <v>2473</v>
      </c>
      <c r="B821" s="7" t="s">
        <v>1854</v>
      </c>
      <c r="C821" s="9" t="s">
        <v>1704</v>
      </c>
      <c r="D821" s="13" t="s">
        <v>1816</v>
      </c>
    </row>
    <row r="822" customFormat="false" ht="15" hidden="false" customHeight="false" outlineLevel="0" collapsed="false">
      <c r="A822" s="7" t="s">
        <v>2473</v>
      </c>
      <c r="B822" s="7" t="s">
        <v>1836</v>
      </c>
      <c r="C822" s="9" t="s">
        <v>1704</v>
      </c>
      <c r="D822" s="13" t="s">
        <v>1816</v>
      </c>
    </row>
    <row r="823" customFormat="false" ht="15" hidden="false" customHeight="false" outlineLevel="0" collapsed="false">
      <c r="A823" s="7" t="s">
        <v>2474</v>
      </c>
      <c r="B823" s="7" t="s">
        <v>1976</v>
      </c>
      <c r="C823" s="9" t="s">
        <v>1704</v>
      </c>
      <c r="D823" s="13" t="s">
        <v>1820</v>
      </c>
    </row>
    <row r="824" customFormat="false" ht="15" hidden="false" customHeight="false" outlineLevel="0" collapsed="false">
      <c r="A824" s="7" t="s">
        <v>2475</v>
      </c>
      <c r="B824" s="7" t="s">
        <v>1854</v>
      </c>
      <c r="C824" s="8" t="s">
        <v>1706</v>
      </c>
      <c r="D824" s="13" t="s">
        <v>1816</v>
      </c>
    </row>
    <row r="825" customFormat="false" ht="15" hidden="false" customHeight="false" outlineLevel="0" collapsed="false">
      <c r="A825" s="7" t="s">
        <v>2476</v>
      </c>
      <c r="B825" s="7" t="s">
        <v>1836</v>
      </c>
      <c r="C825" s="9" t="s">
        <v>1704</v>
      </c>
      <c r="D825" s="13" t="s">
        <v>1816</v>
      </c>
    </row>
    <row r="826" customFormat="false" ht="15" hidden="false" customHeight="false" outlineLevel="0" collapsed="false">
      <c r="A826" s="7" t="s">
        <v>2476</v>
      </c>
      <c r="B826" s="7" t="s">
        <v>1854</v>
      </c>
      <c r="C826" s="9" t="s">
        <v>1704</v>
      </c>
      <c r="D826" s="13" t="s">
        <v>1816</v>
      </c>
    </row>
    <row r="827" customFormat="false" ht="15" hidden="false" customHeight="false" outlineLevel="0" collapsed="false">
      <c r="A827" s="7" t="s">
        <v>2477</v>
      </c>
      <c r="B827" s="7" t="s">
        <v>1854</v>
      </c>
      <c r="C827" s="8" t="s">
        <v>1706</v>
      </c>
      <c r="D827" s="13" t="s">
        <v>1816</v>
      </c>
    </row>
    <row r="828" customFormat="false" ht="15" hidden="false" customHeight="false" outlineLevel="0" collapsed="false">
      <c r="A828" s="7" t="s">
        <v>2478</v>
      </c>
      <c r="B828" s="7" t="s">
        <v>1867</v>
      </c>
      <c r="C828" s="9" t="s">
        <v>1704</v>
      </c>
      <c r="D828" s="13" t="s">
        <v>1816</v>
      </c>
    </row>
    <row r="829" customFormat="false" ht="15" hidden="false" customHeight="false" outlineLevel="0" collapsed="false">
      <c r="A829" s="7" t="s">
        <v>2478</v>
      </c>
      <c r="B829" s="7" t="s">
        <v>1854</v>
      </c>
      <c r="C829" s="9" t="s">
        <v>1704</v>
      </c>
      <c r="D829" s="13" t="s">
        <v>1816</v>
      </c>
    </row>
    <row r="830" customFormat="false" ht="15" hidden="false" customHeight="false" outlineLevel="0" collapsed="false">
      <c r="A830" s="7" t="s">
        <v>2479</v>
      </c>
      <c r="B830" s="7" t="s">
        <v>1854</v>
      </c>
      <c r="C830" s="8" t="s">
        <v>1706</v>
      </c>
      <c r="D830" s="13" t="s">
        <v>1816</v>
      </c>
    </row>
    <row r="831" customFormat="false" ht="15" hidden="false" customHeight="false" outlineLevel="0" collapsed="false">
      <c r="A831" s="7" t="s">
        <v>2480</v>
      </c>
      <c r="B831" s="7" t="s">
        <v>1836</v>
      </c>
      <c r="C831" s="9" t="s">
        <v>1704</v>
      </c>
      <c r="D831" s="13" t="s">
        <v>1816</v>
      </c>
    </row>
    <row r="832" customFormat="false" ht="15" hidden="false" customHeight="false" outlineLevel="0" collapsed="false">
      <c r="A832" s="7" t="s">
        <v>2481</v>
      </c>
      <c r="B832" s="7" t="s">
        <v>1854</v>
      </c>
      <c r="C832" s="9" t="s">
        <v>1704</v>
      </c>
      <c r="D832" s="13" t="s">
        <v>1816</v>
      </c>
    </row>
    <row r="833" customFormat="false" ht="15" hidden="false" customHeight="false" outlineLevel="0" collapsed="false">
      <c r="A833" s="7" t="s">
        <v>2482</v>
      </c>
      <c r="B833" s="7" t="s">
        <v>1854</v>
      </c>
      <c r="C833" s="8" t="s">
        <v>1706</v>
      </c>
      <c r="D833" s="13" t="s">
        <v>1816</v>
      </c>
    </row>
    <row r="834" customFormat="false" ht="15" hidden="false" customHeight="false" outlineLevel="0" collapsed="false">
      <c r="A834" s="7" t="s">
        <v>2483</v>
      </c>
      <c r="B834" s="7" t="s">
        <v>1854</v>
      </c>
      <c r="C834" s="9" t="s">
        <v>1704</v>
      </c>
      <c r="D834" s="13" t="s">
        <v>1816</v>
      </c>
    </row>
    <row r="835" customFormat="false" ht="15" hidden="false" customHeight="false" outlineLevel="0" collapsed="false">
      <c r="A835" s="7" t="s">
        <v>2483</v>
      </c>
      <c r="B835" s="7" t="s">
        <v>1836</v>
      </c>
      <c r="C835" s="9" t="s">
        <v>1704</v>
      </c>
      <c r="D835" s="13" t="s">
        <v>1816</v>
      </c>
    </row>
    <row r="836" customFormat="false" ht="15" hidden="false" customHeight="false" outlineLevel="0" collapsed="false">
      <c r="A836" s="7" t="s">
        <v>2484</v>
      </c>
      <c r="B836" s="7" t="s">
        <v>1854</v>
      </c>
      <c r="C836" s="8" t="s">
        <v>1706</v>
      </c>
      <c r="D836" s="13" t="s">
        <v>1816</v>
      </c>
    </row>
    <row r="837" customFormat="false" ht="15" hidden="false" customHeight="false" outlineLevel="0" collapsed="false">
      <c r="A837" s="7" t="s">
        <v>2485</v>
      </c>
      <c r="B837" s="7" t="s">
        <v>1838</v>
      </c>
      <c r="C837" s="9" t="s">
        <v>1704</v>
      </c>
      <c r="D837" s="13" t="s">
        <v>1823</v>
      </c>
    </row>
    <row r="838" customFormat="false" ht="15" hidden="false" customHeight="false" outlineLevel="0" collapsed="false">
      <c r="A838" s="7" t="s">
        <v>2486</v>
      </c>
      <c r="B838" s="7" t="s">
        <v>1867</v>
      </c>
      <c r="C838" s="8" t="s">
        <v>1706</v>
      </c>
      <c r="D838" s="13" t="s">
        <v>1816</v>
      </c>
    </row>
    <row r="839" customFormat="false" ht="15" hidden="false" customHeight="false" outlineLevel="0" collapsed="false">
      <c r="A839" s="7" t="s">
        <v>2487</v>
      </c>
      <c r="B839" s="7" t="s">
        <v>1838</v>
      </c>
      <c r="C839" s="9" t="s">
        <v>1704</v>
      </c>
      <c r="D839" s="13" t="s">
        <v>1823</v>
      </c>
    </row>
    <row r="840" customFormat="false" ht="15" hidden="false" customHeight="false" outlineLevel="0" collapsed="false">
      <c r="A840" s="7" t="s">
        <v>2488</v>
      </c>
      <c r="B840" s="7" t="s">
        <v>1819</v>
      </c>
      <c r="C840" s="9" t="s">
        <v>1704</v>
      </c>
      <c r="D840" s="13" t="s">
        <v>1820</v>
      </c>
    </row>
    <row r="841" customFormat="false" ht="15" hidden="false" customHeight="false" outlineLevel="0" collapsed="false">
      <c r="A841" s="7" t="s">
        <v>2489</v>
      </c>
      <c r="B841" s="7" t="s">
        <v>1838</v>
      </c>
      <c r="C841" s="9" t="s">
        <v>1704</v>
      </c>
      <c r="D841" s="13" t="s">
        <v>1823</v>
      </c>
    </row>
    <row r="842" customFormat="false" ht="15" hidden="false" customHeight="false" outlineLevel="0" collapsed="false">
      <c r="A842" s="7" t="s">
        <v>2490</v>
      </c>
      <c r="B842" s="7" t="s">
        <v>1815</v>
      </c>
      <c r="C842" s="9" t="s">
        <v>1704</v>
      </c>
      <c r="D842" s="13" t="s">
        <v>1816</v>
      </c>
    </row>
    <row r="843" customFormat="false" ht="15" hidden="false" customHeight="false" outlineLevel="0" collapsed="false">
      <c r="A843" s="7" t="s">
        <v>2491</v>
      </c>
      <c r="B843" s="7" t="s">
        <v>1819</v>
      </c>
      <c r="C843" s="9" t="s">
        <v>1704</v>
      </c>
      <c r="D843" s="13" t="s">
        <v>1820</v>
      </c>
    </row>
    <row r="844" customFormat="false" ht="15" hidden="false" customHeight="false" outlineLevel="0" collapsed="false">
      <c r="A844" s="7" t="s">
        <v>2492</v>
      </c>
      <c r="B844" s="7" t="s">
        <v>1883</v>
      </c>
      <c r="C844" s="9" t="s">
        <v>1704</v>
      </c>
      <c r="D844" s="13" t="s">
        <v>1816</v>
      </c>
    </row>
    <row r="845" customFormat="false" ht="15" hidden="false" customHeight="false" outlineLevel="0" collapsed="false">
      <c r="A845" s="7" t="s">
        <v>2493</v>
      </c>
      <c r="B845" s="7" t="s">
        <v>1815</v>
      </c>
      <c r="C845" s="9" t="s">
        <v>1704</v>
      </c>
      <c r="D845" s="13" t="s">
        <v>1816</v>
      </c>
    </row>
    <row r="846" customFormat="false" ht="15" hidden="false" customHeight="false" outlineLevel="0" collapsed="false">
      <c r="A846" s="7" t="s">
        <v>2494</v>
      </c>
      <c r="B846" s="7" t="s">
        <v>1815</v>
      </c>
      <c r="C846" s="9" t="s">
        <v>1704</v>
      </c>
      <c r="D846" s="13" t="s">
        <v>1816</v>
      </c>
    </row>
    <row r="847" customFormat="false" ht="15" hidden="false" customHeight="false" outlineLevel="0" collapsed="false">
      <c r="A847" s="7" t="s">
        <v>2495</v>
      </c>
      <c r="B847" s="7" t="s">
        <v>1976</v>
      </c>
      <c r="C847" s="9" t="s">
        <v>1704</v>
      </c>
      <c r="D847" s="13" t="s">
        <v>1820</v>
      </c>
    </row>
    <row r="848" customFormat="false" ht="15" hidden="false" customHeight="false" outlineLevel="0" collapsed="false">
      <c r="A848" s="7" t="s">
        <v>2496</v>
      </c>
      <c r="B848" s="7" t="s">
        <v>1883</v>
      </c>
      <c r="C848" s="9" t="s">
        <v>1704</v>
      </c>
      <c r="D848" s="13" t="s">
        <v>1816</v>
      </c>
    </row>
    <row r="849" customFormat="false" ht="15" hidden="false" customHeight="false" outlineLevel="0" collapsed="false">
      <c r="A849" s="7" t="s">
        <v>2497</v>
      </c>
      <c r="B849" s="7" t="s">
        <v>1819</v>
      </c>
      <c r="C849" s="9" t="s">
        <v>1704</v>
      </c>
      <c r="D849" s="13" t="s">
        <v>1820</v>
      </c>
    </row>
    <row r="850" customFormat="false" ht="15" hidden="false" customHeight="false" outlineLevel="0" collapsed="false">
      <c r="A850" s="7" t="s">
        <v>2497</v>
      </c>
      <c r="B850" s="7" t="s">
        <v>1815</v>
      </c>
      <c r="C850" s="9" t="s">
        <v>1704</v>
      </c>
      <c r="D850" s="13" t="s">
        <v>1816</v>
      </c>
    </row>
    <row r="851" customFormat="false" ht="15" hidden="false" customHeight="false" outlineLevel="0" collapsed="false">
      <c r="A851" s="7" t="s">
        <v>2498</v>
      </c>
      <c r="B851" s="7" t="s">
        <v>1883</v>
      </c>
      <c r="C851" s="9" t="s">
        <v>1704</v>
      </c>
      <c r="D851" s="13" t="s">
        <v>1816</v>
      </c>
    </row>
    <row r="852" customFormat="false" ht="15" hidden="false" customHeight="false" outlineLevel="0" collapsed="false">
      <c r="A852" s="7" t="s">
        <v>2499</v>
      </c>
      <c r="B852" s="7" t="s">
        <v>1976</v>
      </c>
      <c r="C852" s="9" t="s">
        <v>1704</v>
      </c>
      <c r="D852" s="13" t="s">
        <v>1820</v>
      </c>
    </row>
    <row r="853" customFormat="false" ht="15" hidden="false" customHeight="false" outlineLevel="0" collapsed="false">
      <c r="A853" s="7" t="s">
        <v>2500</v>
      </c>
      <c r="B853" s="7" t="s">
        <v>1815</v>
      </c>
      <c r="C853" s="9" t="s">
        <v>1704</v>
      </c>
      <c r="D853" s="13" t="s">
        <v>1816</v>
      </c>
    </row>
    <row r="854" customFormat="false" ht="15" hidden="false" customHeight="false" outlineLevel="0" collapsed="false">
      <c r="A854" s="7" t="s">
        <v>2501</v>
      </c>
      <c r="B854" s="7" t="s">
        <v>1815</v>
      </c>
      <c r="C854" s="9" t="s">
        <v>1704</v>
      </c>
      <c r="D854" s="13" t="s">
        <v>1816</v>
      </c>
    </row>
    <row r="855" customFormat="false" ht="15" hidden="false" customHeight="false" outlineLevel="0" collapsed="false">
      <c r="A855" s="7" t="s">
        <v>2502</v>
      </c>
      <c r="B855" s="7" t="s">
        <v>1883</v>
      </c>
      <c r="C855" s="9" t="s">
        <v>1704</v>
      </c>
      <c r="D855" s="13" t="s">
        <v>1816</v>
      </c>
    </row>
    <row r="856" customFormat="false" ht="15" hidden="false" customHeight="false" outlineLevel="0" collapsed="false">
      <c r="A856" s="7" t="s">
        <v>2503</v>
      </c>
      <c r="B856" s="7" t="s">
        <v>1815</v>
      </c>
      <c r="C856" s="9" t="s">
        <v>1704</v>
      </c>
      <c r="D856" s="13" t="s">
        <v>1816</v>
      </c>
    </row>
    <row r="857" customFormat="false" ht="15" hidden="false" customHeight="false" outlineLevel="0" collapsed="false">
      <c r="A857" s="7" t="s">
        <v>2504</v>
      </c>
      <c r="B857" s="7" t="s">
        <v>1815</v>
      </c>
      <c r="C857" s="9" t="s">
        <v>1704</v>
      </c>
      <c r="D857" s="13" t="s">
        <v>1816</v>
      </c>
    </row>
    <row r="858" customFormat="false" ht="15" hidden="false" customHeight="false" outlineLevel="0" collapsed="false">
      <c r="A858" s="7" t="s">
        <v>2505</v>
      </c>
      <c r="B858" s="7" t="s">
        <v>1883</v>
      </c>
      <c r="C858" s="9" t="s">
        <v>1704</v>
      </c>
      <c r="D858" s="13" t="s">
        <v>1816</v>
      </c>
    </row>
    <row r="859" customFormat="false" ht="15" hidden="false" customHeight="false" outlineLevel="0" collapsed="false">
      <c r="A859" s="7" t="s">
        <v>2506</v>
      </c>
      <c r="B859" s="7" t="s">
        <v>1838</v>
      </c>
      <c r="C859" s="9" t="s">
        <v>1704</v>
      </c>
      <c r="D859" s="13" t="s">
        <v>1823</v>
      </c>
    </row>
    <row r="860" customFormat="false" ht="15" hidden="false" customHeight="false" outlineLevel="0" collapsed="false">
      <c r="A860" s="7" t="s">
        <v>2507</v>
      </c>
      <c r="B860" s="7" t="s">
        <v>1838</v>
      </c>
      <c r="C860" s="9" t="s">
        <v>1704</v>
      </c>
      <c r="D860" s="13" t="s">
        <v>1823</v>
      </c>
    </row>
    <row r="861" customFormat="false" ht="15" hidden="false" customHeight="false" outlineLevel="0" collapsed="false">
      <c r="A861" s="7" t="s">
        <v>2508</v>
      </c>
      <c r="B861" s="7" t="s">
        <v>1883</v>
      </c>
      <c r="C861" s="9" t="s">
        <v>1704</v>
      </c>
      <c r="D861" s="13" t="s">
        <v>1816</v>
      </c>
    </row>
    <row r="862" customFormat="false" ht="15" hidden="false" customHeight="false" outlineLevel="0" collapsed="false">
      <c r="A862" s="7" t="s">
        <v>2509</v>
      </c>
      <c r="B862" s="7" t="s">
        <v>1976</v>
      </c>
      <c r="C862" s="9" t="s">
        <v>1704</v>
      </c>
      <c r="D862" s="13" t="s">
        <v>1820</v>
      </c>
    </row>
    <row r="863" customFormat="false" ht="15" hidden="false" customHeight="false" outlineLevel="0" collapsed="false">
      <c r="A863" s="7" t="s">
        <v>2509</v>
      </c>
      <c r="B863" s="7" t="s">
        <v>1883</v>
      </c>
      <c r="C863" s="9" t="s">
        <v>1704</v>
      </c>
      <c r="D863" s="13" t="s">
        <v>1816</v>
      </c>
    </row>
    <row r="864" customFormat="false" ht="15" hidden="false" customHeight="false" outlineLevel="0" collapsed="false">
      <c r="A864" s="7" t="s">
        <v>2510</v>
      </c>
      <c r="B864" s="7" t="s">
        <v>1838</v>
      </c>
      <c r="C864" s="9" t="s">
        <v>1704</v>
      </c>
      <c r="D864" s="13" t="s">
        <v>1823</v>
      </c>
    </row>
    <row r="865" customFormat="false" ht="15" hidden="false" customHeight="false" outlineLevel="0" collapsed="false">
      <c r="A865" s="7" t="s">
        <v>2511</v>
      </c>
      <c r="B865" s="7" t="s">
        <v>1929</v>
      </c>
      <c r="C865" s="9" t="s">
        <v>1704</v>
      </c>
      <c r="D865" s="13" t="s">
        <v>1816</v>
      </c>
    </row>
    <row r="866" customFormat="false" ht="15" hidden="false" customHeight="false" outlineLevel="0" collapsed="false">
      <c r="A866" s="7" t="s">
        <v>2512</v>
      </c>
      <c r="B866" s="7" t="s">
        <v>1815</v>
      </c>
      <c r="C866" s="9" t="s">
        <v>1704</v>
      </c>
      <c r="D866" s="13" t="s">
        <v>1816</v>
      </c>
    </row>
    <row r="867" customFormat="false" ht="15" hidden="false" customHeight="false" outlineLevel="0" collapsed="false">
      <c r="A867" s="7" t="s">
        <v>2513</v>
      </c>
      <c r="B867" s="7" t="s">
        <v>1815</v>
      </c>
      <c r="C867" s="9" t="s">
        <v>1704</v>
      </c>
      <c r="D867" s="13" t="s">
        <v>1816</v>
      </c>
    </row>
    <row r="868" customFormat="false" ht="15" hidden="false" customHeight="false" outlineLevel="0" collapsed="false">
      <c r="A868" s="7" t="s">
        <v>2514</v>
      </c>
      <c r="B868" s="7" t="s">
        <v>1815</v>
      </c>
      <c r="C868" s="9" t="s">
        <v>1704</v>
      </c>
      <c r="D868" s="13" t="s">
        <v>1816</v>
      </c>
    </row>
    <row r="869" customFormat="false" ht="15" hidden="false" customHeight="false" outlineLevel="0" collapsed="false">
      <c r="A869" s="7" t="s">
        <v>2515</v>
      </c>
      <c r="B869" s="7" t="s">
        <v>1815</v>
      </c>
      <c r="C869" s="9" t="s">
        <v>1704</v>
      </c>
      <c r="D869" s="13" t="s">
        <v>1816</v>
      </c>
    </row>
    <row r="870" customFormat="false" ht="15" hidden="false" customHeight="false" outlineLevel="0" collapsed="false">
      <c r="A870" s="7" t="s">
        <v>2516</v>
      </c>
      <c r="B870" s="7" t="s">
        <v>1827</v>
      </c>
      <c r="C870" s="9" t="s">
        <v>1704</v>
      </c>
      <c r="D870" s="13" t="s">
        <v>1820</v>
      </c>
    </row>
    <row r="871" customFormat="false" ht="15" hidden="false" customHeight="false" outlineLevel="0" collapsed="false">
      <c r="A871" s="7" t="s">
        <v>2516</v>
      </c>
      <c r="B871" s="7" t="s">
        <v>1815</v>
      </c>
      <c r="C871" s="9" t="s">
        <v>1704</v>
      </c>
      <c r="D871" s="13" t="s">
        <v>1816</v>
      </c>
    </row>
    <row r="872" customFormat="false" ht="15" hidden="false" customHeight="false" outlineLevel="0" collapsed="false">
      <c r="A872" s="7" t="s">
        <v>2517</v>
      </c>
      <c r="B872" s="7" t="s">
        <v>1815</v>
      </c>
      <c r="C872" s="9" t="s">
        <v>1704</v>
      </c>
      <c r="D872" s="13" t="s">
        <v>1816</v>
      </c>
    </row>
    <row r="873" customFormat="false" ht="15" hidden="false" customHeight="false" outlineLevel="0" collapsed="false">
      <c r="A873" s="7" t="s">
        <v>2518</v>
      </c>
      <c r="B873" s="7" t="s">
        <v>1815</v>
      </c>
      <c r="C873" s="9" t="s">
        <v>1704</v>
      </c>
      <c r="D873" s="13" t="s">
        <v>1816</v>
      </c>
    </row>
    <row r="874" customFormat="false" ht="15" hidden="false" customHeight="false" outlineLevel="0" collapsed="false">
      <c r="A874" s="7" t="s">
        <v>2519</v>
      </c>
      <c r="B874" s="7" t="s">
        <v>1883</v>
      </c>
      <c r="C874" s="9" t="s">
        <v>1704</v>
      </c>
      <c r="D874" s="13" t="s">
        <v>1816</v>
      </c>
    </row>
    <row r="875" customFormat="false" ht="15" hidden="false" customHeight="false" outlineLevel="0" collapsed="false">
      <c r="A875" s="7" t="s">
        <v>2520</v>
      </c>
      <c r="B875" s="7" t="s">
        <v>1815</v>
      </c>
      <c r="C875" s="9" t="s">
        <v>1704</v>
      </c>
      <c r="D875" s="13" t="s">
        <v>1816</v>
      </c>
    </row>
    <row r="876" customFormat="false" ht="15" hidden="false" customHeight="false" outlineLevel="0" collapsed="false">
      <c r="A876" s="7" t="s">
        <v>2521</v>
      </c>
      <c r="B876" s="7" t="s">
        <v>1815</v>
      </c>
      <c r="C876" s="9" t="s">
        <v>1704</v>
      </c>
      <c r="D876" s="13" t="s">
        <v>1816</v>
      </c>
    </row>
    <row r="877" customFormat="false" ht="15" hidden="false" customHeight="false" outlineLevel="0" collapsed="false">
      <c r="A877" s="7" t="s">
        <v>2522</v>
      </c>
      <c r="B877" s="7" t="s">
        <v>1815</v>
      </c>
      <c r="C877" s="9" t="s">
        <v>1704</v>
      </c>
      <c r="D877" s="13" t="s">
        <v>1816</v>
      </c>
    </row>
    <row r="878" customFormat="false" ht="15" hidden="false" customHeight="false" outlineLevel="0" collapsed="false">
      <c r="A878" s="7" t="s">
        <v>2522</v>
      </c>
      <c r="B878" s="7" t="s">
        <v>1744</v>
      </c>
      <c r="C878" s="9" t="s">
        <v>1704</v>
      </c>
      <c r="D878" s="13" t="s">
        <v>1745</v>
      </c>
    </row>
    <row r="879" customFormat="false" ht="15" hidden="false" customHeight="false" outlineLevel="0" collapsed="false">
      <c r="A879" s="7" t="s">
        <v>2523</v>
      </c>
      <c r="B879" s="7" t="s">
        <v>1827</v>
      </c>
      <c r="C879" s="9" t="s">
        <v>1704</v>
      </c>
      <c r="D879" s="13" t="s">
        <v>1820</v>
      </c>
    </row>
    <row r="880" customFormat="false" ht="15" hidden="false" customHeight="false" outlineLevel="0" collapsed="false">
      <c r="A880" s="7" t="s">
        <v>2524</v>
      </c>
      <c r="B880" s="7" t="s">
        <v>1883</v>
      </c>
      <c r="C880" s="9" t="s">
        <v>1704</v>
      </c>
      <c r="D880" s="13" t="s">
        <v>1816</v>
      </c>
    </row>
    <row r="881" customFormat="false" ht="15" hidden="false" customHeight="false" outlineLevel="0" collapsed="false">
      <c r="A881" s="7" t="s">
        <v>2525</v>
      </c>
      <c r="B881" s="7" t="s">
        <v>1838</v>
      </c>
      <c r="C881" s="9" t="s">
        <v>1704</v>
      </c>
      <c r="D881" s="13" t="s">
        <v>1823</v>
      </c>
    </row>
    <row r="882" customFormat="false" ht="15" hidden="false" customHeight="false" outlineLevel="0" collapsed="false">
      <c r="A882" s="7" t="s">
        <v>2526</v>
      </c>
      <c r="B882" s="7" t="s">
        <v>1883</v>
      </c>
      <c r="C882" s="9" t="s">
        <v>1704</v>
      </c>
      <c r="D882" s="13" t="s">
        <v>1816</v>
      </c>
    </row>
    <row r="883" customFormat="false" ht="15" hidden="false" customHeight="false" outlineLevel="0" collapsed="false">
      <c r="A883" s="7" t="s">
        <v>2527</v>
      </c>
      <c r="B883" s="7" t="s">
        <v>1815</v>
      </c>
      <c r="C883" s="9" t="s">
        <v>1704</v>
      </c>
      <c r="D883" s="13" t="s">
        <v>1816</v>
      </c>
    </row>
    <row r="884" customFormat="false" ht="15" hidden="false" customHeight="false" outlineLevel="0" collapsed="false">
      <c r="A884" s="7" t="s">
        <v>2528</v>
      </c>
      <c r="B884" s="7" t="s">
        <v>1815</v>
      </c>
      <c r="C884" s="9" t="s">
        <v>1704</v>
      </c>
      <c r="D884" s="13" t="s">
        <v>1816</v>
      </c>
    </row>
    <row r="885" customFormat="false" ht="15" hidden="false" customHeight="false" outlineLevel="0" collapsed="false">
      <c r="A885" s="7" t="s">
        <v>2529</v>
      </c>
      <c r="B885" s="7" t="s">
        <v>1827</v>
      </c>
      <c r="C885" s="9" t="s">
        <v>1704</v>
      </c>
      <c r="D885" s="13" t="s">
        <v>1820</v>
      </c>
    </row>
    <row r="886" customFormat="false" ht="15" hidden="false" customHeight="false" outlineLevel="0" collapsed="false">
      <c r="A886" s="7" t="s">
        <v>2529</v>
      </c>
      <c r="B886" s="7" t="s">
        <v>1815</v>
      </c>
      <c r="C886" s="9" t="s">
        <v>1704</v>
      </c>
      <c r="D886" s="13" t="s">
        <v>1816</v>
      </c>
    </row>
    <row r="887" customFormat="false" ht="15" hidden="false" customHeight="false" outlineLevel="0" collapsed="false">
      <c r="A887" s="7" t="s">
        <v>2530</v>
      </c>
      <c r="B887" s="7" t="s">
        <v>1815</v>
      </c>
      <c r="C887" s="9" t="s">
        <v>1704</v>
      </c>
      <c r="D887" s="13" t="s">
        <v>1816</v>
      </c>
    </row>
    <row r="888" customFormat="false" ht="15" hidden="false" customHeight="false" outlineLevel="0" collapsed="false">
      <c r="A888" s="7" t="s">
        <v>2531</v>
      </c>
      <c r="B888" s="7" t="s">
        <v>1815</v>
      </c>
      <c r="C888" s="9" t="s">
        <v>1704</v>
      </c>
      <c r="D888" s="13" t="s">
        <v>1816</v>
      </c>
    </row>
    <row r="889" customFormat="false" ht="15" hidden="false" customHeight="false" outlineLevel="0" collapsed="false">
      <c r="A889" s="7" t="s">
        <v>2532</v>
      </c>
      <c r="B889" s="7" t="s">
        <v>1819</v>
      </c>
      <c r="C889" s="9" t="s">
        <v>1704</v>
      </c>
      <c r="D889" s="13" t="s">
        <v>1820</v>
      </c>
    </row>
    <row r="890" customFormat="false" ht="15" hidden="false" customHeight="false" outlineLevel="0" collapsed="false">
      <c r="A890" s="7" t="s">
        <v>2533</v>
      </c>
      <c r="B890" s="7" t="s">
        <v>1883</v>
      </c>
      <c r="C890" s="9" t="s">
        <v>1704</v>
      </c>
      <c r="D890" s="13" t="s">
        <v>1816</v>
      </c>
    </row>
    <row r="891" customFormat="false" ht="15" hidden="false" customHeight="false" outlineLevel="0" collapsed="false">
      <c r="A891" s="7" t="s">
        <v>2533</v>
      </c>
      <c r="B891" s="7" t="s">
        <v>1838</v>
      </c>
      <c r="C891" s="9" t="s">
        <v>1704</v>
      </c>
      <c r="D891" s="13" t="s">
        <v>1823</v>
      </c>
    </row>
    <row r="892" customFormat="false" ht="15" hidden="false" customHeight="false" outlineLevel="0" collapsed="false">
      <c r="A892" s="7" t="s">
        <v>2534</v>
      </c>
      <c r="B892" s="7" t="s">
        <v>1976</v>
      </c>
      <c r="C892" s="9" t="s">
        <v>1704</v>
      </c>
      <c r="D892" s="13" t="s">
        <v>1820</v>
      </c>
    </row>
    <row r="893" customFormat="false" ht="15" hidden="false" customHeight="false" outlineLevel="0" collapsed="false">
      <c r="A893" s="7" t="s">
        <v>2535</v>
      </c>
      <c r="B893" s="7" t="s">
        <v>1815</v>
      </c>
      <c r="C893" s="9" t="s">
        <v>1704</v>
      </c>
      <c r="D893" s="13" t="s">
        <v>1816</v>
      </c>
    </row>
    <row r="894" customFormat="false" ht="15" hidden="false" customHeight="false" outlineLevel="0" collapsed="false">
      <c r="A894" s="7" t="s">
        <v>2535</v>
      </c>
      <c r="B894" s="7" t="s">
        <v>1819</v>
      </c>
      <c r="C894" s="9" t="s">
        <v>1704</v>
      </c>
      <c r="D894" s="13" t="s">
        <v>1820</v>
      </c>
    </row>
    <row r="895" customFormat="false" ht="15" hidden="false" customHeight="false" outlineLevel="0" collapsed="false">
      <c r="A895" s="7" t="s">
        <v>2536</v>
      </c>
      <c r="B895" s="7" t="s">
        <v>1815</v>
      </c>
      <c r="C895" s="9" t="s">
        <v>1704</v>
      </c>
      <c r="D895" s="13" t="s">
        <v>1816</v>
      </c>
    </row>
    <row r="896" customFormat="false" ht="15" hidden="false" customHeight="false" outlineLevel="0" collapsed="false">
      <c r="A896" s="7" t="s">
        <v>2537</v>
      </c>
      <c r="B896" s="7" t="s">
        <v>1883</v>
      </c>
      <c r="C896" s="9" t="s">
        <v>1704</v>
      </c>
      <c r="D896" s="13" t="s">
        <v>1816</v>
      </c>
    </row>
    <row r="897" customFormat="false" ht="15" hidden="false" customHeight="false" outlineLevel="0" collapsed="false">
      <c r="A897" s="7" t="s">
        <v>2538</v>
      </c>
      <c r="B897" s="7" t="s">
        <v>1815</v>
      </c>
      <c r="C897" s="9" t="s">
        <v>1704</v>
      </c>
      <c r="D897" s="13" t="s">
        <v>1816</v>
      </c>
    </row>
    <row r="898" customFormat="false" ht="15" hidden="false" customHeight="false" outlineLevel="0" collapsed="false">
      <c r="A898" s="7" t="s">
        <v>2539</v>
      </c>
      <c r="B898" s="7" t="s">
        <v>1815</v>
      </c>
      <c r="C898" s="9" t="s">
        <v>1704</v>
      </c>
      <c r="D898" s="13" t="s">
        <v>1816</v>
      </c>
    </row>
    <row r="899" customFormat="false" ht="15" hidden="false" customHeight="false" outlineLevel="0" collapsed="false">
      <c r="A899" s="7" t="s">
        <v>2540</v>
      </c>
      <c r="B899" s="7" t="s">
        <v>1815</v>
      </c>
      <c r="C899" s="9" t="s">
        <v>1704</v>
      </c>
      <c r="D899" s="13" t="s">
        <v>1816</v>
      </c>
    </row>
    <row r="900" customFormat="false" ht="15" hidden="false" customHeight="false" outlineLevel="0" collapsed="false">
      <c r="A900" s="7" t="s">
        <v>2541</v>
      </c>
      <c r="B900" s="7" t="s">
        <v>1815</v>
      </c>
      <c r="C900" s="9" t="s">
        <v>1704</v>
      </c>
      <c r="D900" s="13" t="s">
        <v>1816</v>
      </c>
    </row>
    <row r="901" customFormat="false" ht="15" hidden="false" customHeight="false" outlineLevel="0" collapsed="false">
      <c r="A901" s="7" t="s">
        <v>2541</v>
      </c>
      <c r="B901" s="7" t="s">
        <v>1883</v>
      </c>
      <c r="C901" s="9" t="s">
        <v>1704</v>
      </c>
      <c r="D901" s="13" t="s">
        <v>1816</v>
      </c>
    </row>
    <row r="902" customFormat="false" ht="15" hidden="false" customHeight="false" outlineLevel="0" collapsed="false">
      <c r="A902" s="7" t="s">
        <v>2542</v>
      </c>
      <c r="B902" s="7" t="s">
        <v>1815</v>
      </c>
      <c r="C902" s="9" t="s">
        <v>1704</v>
      </c>
      <c r="D902" s="13" t="s">
        <v>1816</v>
      </c>
    </row>
    <row r="903" customFormat="false" ht="15" hidden="false" customHeight="false" outlineLevel="0" collapsed="false">
      <c r="A903" s="7" t="s">
        <v>2543</v>
      </c>
      <c r="B903" s="7" t="s">
        <v>1815</v>
      </c>
      <c r="C903" s="9" t="s">
        <v>1704</v>
      </c>
      <c r="D903" s="13" t="s">
        <v>1816</v>
      </c>
    </row>
    <row r="904" customFormat="false" ht="15" hidden="false" customHeight="false" outlineLevel="0" collapsed="false">
      <c r="A904" s="7" t="s">
        <v>2544</v>
      </c>
      <c r="B904" s="7" t="s">
        <v>1827</v>
      </c>
      <c r="C904" s="9" t="s">
        <v>1704</v>
      </c>
      <c r="D904" s="13" t="s">
        <v>1820</v>
      </c>
    </row>
    <row r="905" customFormat="false" ht="15" hidden="false" customHeight="false" outlineLevel="0" collapsed="false">
      <c r="A905" s="7" t="s">
        <v>2545</v>
      </c>
      <c r="B905" s="7" t="s">
        <v>1838</v>
      </c>
      <c r="C905" s="9" t="s">
        <v>1704</v>
      </c>
      <c r="D905" s="13" t="s">
        <v>1823</v>
      </c>
    </row>
    <row r="906" customFormat="false" ht="15" hidden="false" customHeight="false" outlineLevel="0" collapsed="false">
      <c r="A906" s="7" t="s">
        <v>2546</v>
      </c>
      <c r="B906" s="7" t="s">
        <v>1883</v>
      </c>
      <c r="C906" s="9" t="s">
        <v>1704</v>
      </c>
      <c r="D906" s="13" t="s">
        <v>1816</v>
      </c>
    </row>
    <row r="907" customFormat="false" ht="15" hidden="false" customHeight="false" outlineLevel="0" collapsed="false">
      <c r="A907" s="7" t="s">
        <v>2547</v>
      </c>
      <c r="B907" s="7" t="s">
        <v>1819</v>
      </c>
      <c r="C907" s="9" t="s">
        <v>1704</v>
      </c>
      <c r="D907" s="13" t="s">
        <v>1820</v>
      </c>
    </row>
    <row r="908" customFormat="false" ht="15" hidden="false" customHeight="false" outlineLevel="0" collapsed="false">
      <c r="A908" s="7" t="s">
        <v>2547</v>
      </c>
      <c r="B908" s="7" t="s">
        <v>1815</v>
      </c>
      <c r="C908" s="9" t="s">
        <v>1704</v>
      </c>
      <c r="D908" s="13" t="s">
        <v>1816</v>
      </c>
    </row>
    <row r="909" customFormat="false" ht="15" hidden="false" customHeight="false" outlineLevel="0" collapsed="false">
      <c r="A909" s="7" t="s">
        <v>2548</v>
      </c>
      <c r="B909" s="7" t="s">
        <v>1827</v>
      </c>
      <c r="C909" s="9" t="s">
        <v>1704</v>
      </c>
      <c r="D909" s="13" t="s">
        <v>1820</v>
      </c>
    </row>
    <row r="910" customFormat="false" ht="15" hidden="false" customHeight="false" outlineLevel="0" collapsed="false">
      <c r="A910" s="7" t="s">
        <v>2549</v>
      </c>
      <c r="B910" s="7" t="s">
        <v>1976</v>
      </c>
      <c r="C910" s="9" t="s">
        <v>1704</v>
      </c>
      <c r="D910" s="13" t="s">
        <v>1820</v>
      </c>
    </row>
    <row r="911" customFormat="false" ht="15" hidden="false" customHeight="false" outlineLevel="0" collapsed="false">
      <c r="A911" s="7" t="s">
        <v>2549</v>
      </c>
      <c r="B911" s="7" t="s">
        <v>1883</v>
      </c>
      <c r="C911" s="9" t="s">
        <v>1704</v>
      </c>
      <c r="D911" s="13" t="s">
        <v>1816</v>
      </c>
    </row>
    <row r="912" customFormat="false" ht="15" hidden="false" customHeight="false" outlineLevel="0" collapsed="false">
      <c r="A912" s="7" t="s">
        <v>2550</v>
      </c>
      <c r="B912" s="7" t="s">
        <v>1838</v>
      </c>
      <c r="C912" s="9" t="s">
        <v>1704</v>
      </c>
      <c r="D912" s="13" t="s">
        <v>1823</v>
      </c>
    </row>
    <row r="913" customFormat="false" ht="15" hidden="false" customHeight="false" outlineLevel="0" collapsed="false">
      <c r="A913" s="7" t="s">
        <v>2551</v>
      </c>
      <c r="B913" s="7" t="s">
        <v>1976</v>
      </c>
      <c r="C913" s="9" t="s">
        <v>1704</v>
      </c>
      <c r="D913" s="13" t="s">
        <v>1820</v>
      </c>
    </row>
    <row r="914" customFormat="false" ht="15" hidden="false" customHeight="false" outlineLevel="0" collapsed="false">
      <c r="A914" s="7" t="s">
        <v>2551</v>
      </c>
      <c r="B914" s="7" t="s">
        <v>1838</v>
      </c>
      <c r="C914" s="9" t="s">
        <v>1704</v>
      </c>
      <c r="D914" s="13" t="s">
        <v>1823</v>
      </c>
    </row>
    <row r="915" customFormat="false" ht="15" hidden="false" customHeight="false" outlineLevel="0" collapsed="false">
      <c r="A915" s="7" t="s">
        <v>2552</v>
      </c>
      <c r="B915" s="7" t="s">
        <v>1819</v>
      </c>
      <c r="C915" s="9" t="s">
        <v>1704</v>
      </c>
      <c r="D915" s="13" t="s">
        <v>1820</v>
      </c>
    </row>
    <row r="916" customFormat="false" ht="15" hidden="false" customHeight="false" outlineLevel="0" collapsed="false">
      <c r="A916" s="7" t="s">
        <v>2552</v>
      </c>
      <c r="B916" s="7" t="s">
        <v>1815</v>
      </c>
      <c r="C916" s="9" t="s">
        <v>1704</v>
      </c>
      <c r="D916" s="13" t="s">
        <v>1816</v>
      </c>
    </row>
    <row r="917" customFormat="false" ht="15" hidden="false" customHeight="false" outlineLevel="0" collapsed="false">
      <c r="A917" s="7" t="s">
        <v>2553</v>
      </c>
      <c r="B917" s="7" t="s">
        <v>1815</v>
      </c>
      <c r="C917" s="9" t="s">
        <v>1704</v>
      </c>
      <c r="D917" s="13" t="s">
        <v>1816</v>
      </c>
    </row>
    <row r="918" customFormat="false" ht="15" hidden="false" customHeight="false" outlineLevel="0" collapsed="false">
      <c r="A918" s="7" t="s">
        <v>2554</v>
      </c>
      <c r="B918" s="7" t="s">
        <v>1815</v>
      </c>
      <c r="C918" s="9" t="s">
        <v>1704</v>
      </c>
      <c r="D918" s="13" t="s">
        <v>1816</v>
      </c>
    </row>
    <row r="919" customFormat="false" ht="15" hidden="false" customHeight="false" outlineLevel="0" collapsed="false">
      <c r="A919" s="7" t="s">
        <v>2555</v>
      </c>
      <c r="B919" s="7" t="s">
        <v>1815</v>
      </c>
      <c r="C919" s="9" t="s">
        <v>1704</v>
      </c>
      <c r="D919" s="13" t="s">
        <v>1816</v>
      </c>
    </row>
    <row r="920" customFormat="false" ht="15" hidden="false" customHeight="false" outlineLevel="0" collapsed="false">
      <c r="A920" s="7" t="s">
        <v>2556</v>
      </c>
      <c r="B920" s="7" t="s">
        <v>1815</v>
      </c>
      <c r="C920" s="9" t="s">
        <v>1704</v>
      </c>
      <c r="D920" s="13" t="s">
        <v>1816</v>
      </c>
    </row>
    <row r="921" customFormat="false" ht="15" hidden="false" customHeight="false" outlineLevel="0" collapsed="false">
      <c r="A921" s="7" t="s">
        <v>2557</v>
      </c>
      <c r="B921" s="7" t="s">
        <v>1976</v>
      </c>
      <c r="C921" s="9" t="s">
        <v>1704</v>
      </c>
      <c r="D921" s="13" t="s">
        <v>1820</v>
      </c>
    </row>
    <row r="922" customFormat="false" ht="15" hidden="false" customHeight="false" outlineLevel="0" collapsed="false">
      <c r="A922" s="7" t="s">
        <v>2558</v>
      </c>
      <c r="B922" s="7" t="s">
        <v>1929</v>
      </c>
      <c r="C922" s="9" t="s">
        <v>1704</v>
      </c>
      <c r="D922" s="13" t="s">
        <v>1816</v>
      </c>
    </row>
    <row r="923" customFormat="false" ht="15" hidden="false" customHeight="false" outlineLevel="0" collapsed="false">
      <c r="A923" s="7" t="s">
        <v>2559</v>
      </c>
      <c r="B923" s="7" t="s">
        <v>1883</v>
      </c>
      <c r="C923" s="9" t="s">
        <v>1704</v>
      </c>
      <c r="D923" s="13" t="s">
        <v>1816</v>
      </c>
    </row>
    <row r="924" customFormat="false" ht="15" hidden="false" customHeight="false" outlineLevel="0" collapsed="false">
      <c r="A924" s="7" t="s">
        <v>2560</v>
      </c>
      <c r="B924" s="7" t="s">
        <v>1838</v>
      </c>
      <c r="C924" s="9" t="s">
        <v>1704</v>
      </c>
      <c r="D924" s="13" t="s">
        <v>1823</v>
      </c>
    </row>
    <row r="925" customFormat="false" ht="15" hidden="false" customHeight="false" outlineLevel="0" collapsed="false">
      <c r="A925" s="7" t="s">
        <v>2561</v>
      </c>
      <c r="B925" s="7" t="s">
        <v>1838</v>
      </c>
      <c r="C925" s="9" t="s">
        <v>1704</v>
      </c>
      <c r="D925" s="13" t="s">
        <v>1823</v>
      </c>
    </row>
    <row r="926" customFormat="false" ht="15" hidden="false" customHeight="false" outlineLevel="0" collapsed="false">
      <c r="A926" s="7" t="s">
        <v>2562</v>
      </c>
      <c r="B926" s="7" t="s">
        <v>2563</v>
      </c>
      <c r="C926" s="9" t="s">
        <v>1704</v>
      </c>
      <c r="D926" s="13" t="s">
        <v>1823</v>
      </c>
    </row>
    <row r="927" customFormat="false" ht="15" hidden="false" customHeight="false" outlineLevel="0" collapsed="false">
      <c r="A927" s="7" t="s">
        <v>2562</v>
      </c>
      <c r="B927" s="7" t="s">
        <v>1815</v>
      </c>
      <c r="C927" s="9" t="s">
        <v>1704</v>
      </c>
      <c r="D927" s="13" t="s">
        <v>1816</v>
      </c>
    </row>
    <row r="928" customFormat="false" ht="15" hidden="false" customHeight="false" outlineLevel="0" collapsed="false">
      <c r="A928" s="7" t="s">
        <v>2564</v>
      </c>
      <c r="B928" s="7" t="s">
        <v>1819</v>
      </c>
      <c r="C928" s="9" t="s">
        <v>1704</v>
      </c>
      <c r="D928" s="13" t="s">
        <v>1820</v>
      </c>
    </row>
    <row r="929" customFormat="false" ht="15" hidden="false" customHeight="false" outlineLevel="0" collapsed="false">
      <c r="A929" s="7" t="s">
        <v>2565</v>
      </c>
      <c r="B929" s="7" t="s">
        <v>1838</v>
      </c>
      <c r="C929" s="9" t="s">
        <v>1704</v>
      </c>
      <c r="D929" s="13" t="s">
        <v>1823</v>
      </c>
    </row>
    <row r="930" customFormat="false" ht="15" hidden="false" customHeight="false" outlineLevel="0" collapsed="false">
      <c r="A930" s="7" t="s">
        <v>2565</v>
      </c>
      <c r="B930" s="7" t="s">
        <v>1883</v>
      </c>
      <c r="C930" s="9" t="s">
        <v>1704</v>
      </c>
      <c r="D930" s="13" t="s">
        <v>1816</v>
      </c>
    </row>
    <row r="931" customFormat="false" ht="15" hidden="false" customHeight="false" outlineLevel="0" collapsed="false">
      <c r="A931" s="7" t="s">
        <v>2566</v>
      </c>
      <c r="B931" s="7" t="s">
        <v>1929</v>
      </c>
      <c r="C931" s="9" t="s">
        <v>1704</v>
      </c>
      <c r="D931" s="13" t="s">
        <v>1816</v>
      </c>
    </row>
    <row r="932" customFormat="false" ht="15" hidden="false" customHeight="false" outlineLevel="0" collapsed="false">
      <c r="A932" s="7" t="s">
        <v>2567</v>
      </c>
      <c r="B932" s="7" t="s">
        <v>1838</v>
      </c>
      <c r="C932" s="9" t="s">
        <v>1704</v>
      </c>
      <c r="D932" s="13" t="s">
        <v>1823</v>
      </c>
    </row>
    <row r="933" customFormat="false" ht="15" hidden="false" customHeight="false" outlineLevel="0" collapsed="false">
      <c r="A933" s="7" t="s">
        <v>2568</v>
      </c>
      <c r="B933" s="7" t="s">
        <v>1976</v>
      </c>
      <c r="C933" s="9" t="s">
        <v>1704</v>
      </c>
      <c r="D933" s="13" t="s">
        <v>1820</v>
      </c>
    </row>
    <row r="934" customFormat="false" ht="15" hidden="false" customHeight="false" outlineLevel="0" collapsed="false">
      <c r="A934" s="7" t="s">
        <v>2569</v>
      </c>
      <c r="B934" s="7" t="s">
        <v>1883</v>
      </c>
      <c r="C934" s="9" t="s">
        <v>1704</v>
      </c>
      <c r="D934" s="13" t="s">
        <v>1816</v>
      </c>
    </row>
    <row r="935" customFormat="false" ht="15" hidden="false" customHeight="false" outlineLevel="0" collapsed="false">
      <c r="A935" s="7" t="s">
        <v>2570</v>
      </c>
      <c r="B935" s="7" t="s">
        <v>1836</v>
      </c>
      <c r="C935" s="9" t="s">
        <v>1704</v>
      </c>
      <c r="D935" s="13" t="s">
        <v>1816</v>
      </c>
    </row>
    <row r="936" customFormat="false" ht="15" hidden="false" customHeight="false" outlineLevel="0" collapsed="false">
      <c r="A936" s="7" t="s">
        <v>2571</v>
      </c>
      <c r="B936" s="7" t="s">
        <v>1838</v>
      </c>
      <c r="C936" s="9" t="s">
        <v>1704</v>
      </c>
      <c r="D936" s="13" t="s">
        <v>1823</v>
      </c>
    </row>
    <row r="937" customFormat="false" ht="15" hidden="false" customHeight="false" outlineLevel="0" collapsed="false">
      <c r="A937" s="7" t="s">
        <v>2572</v>
      </c>
      <c r="B937" s="7" t="s">
        <v>1836</v>
      </c>
      <c r="C937" s="9" t="s">
        <v>1704</v>
      </c>
      <c r="D937" s="13" t="s">
        <v>1816</v>
      </c>
    </row>
    <row r="938" customFormat="false" ht="15" hidden="false" customHeight="false" outlineLevel="0" collapsed="false">
      <c r="A938" s="7" t="s">
        <v>2573</v>
      </c>
      <c r="B938" s="7" t="s">
        <v>1976</v>
      </c>
      <c r="C938" s="9" t="s">
        <v>1704</v>
      </c>
      <c r="D938" s="13" t="s">
        <v>1820</v>
      </c>
    </row>
    <row r="939" customFormat="false" ht="15" hidden="false" customHeight="false" outlineLevel="0" collapsed="false">
      <c r="A939" s="7" t="s">
        <v>2574</v>
      </c>
      <c r="B939" s="7" t="s">
        <v>1838</v>
      </c>
      <c r="C939" s="9" t="s">
        <v>1704</v>
      </c>
      <c r="D939" s="13" t="s">
        <v>1823</v>
      </c>
    </row>
    <row r="940" customFormat="false" ht="15" hidden="false" customHeight="false" outlineLevel="0" collapsed="false">
      <c r="A940" s="7" t="s">
        <v>2575</v>
      </c>
      <c r="B940" s="7" t="s">
        <v>1838</v>
      </c>
      <c r="C940" s="9" t="s">
        <v>1704</v>
      </c>
      <c r="D940" s="13" t="s">
        <v>1823</v>
      </c>
    </row>
    <row r="941" customFormat="false" ht="15" hidden="false" customHeight="false" outlineLevel="0" collapsed="false">
      <c r="A941" s="7" t="s">
        <v>2576</v>
      </c>
      <c r="B941" s="7" t="s">
        <v>1836</v>
      </c>
      <c r="C941" s="9" t="s">
        <v>1704</v>
      </c>
      <c r="D941" s="13" t="s">
        <v>1816</v>
      </c>
    </row>
    <row r="942" customFormat="false" ht="15" hidden="false" customHeight="false" outlineLevel="0" collapsed="false">
      <c r="A942" s="7" t="s">
        <v>2577</v>
      </c>
      <c r="B942" s="7" t="s">
        <v>1836</v>
      </c>
      <c r="C942" s="9" t="s">
        <v>1704</v>
      </c>
      <c r="D942" s="13" t="s">
        <v>1816</v>
      </c>
    </row>
    <row r="943" customFormat="false" ht="15" hidden="false" customHeight="false" outlineLevel="0" collapsed="false">
      <c r="A943" s="7" t="s">
        <v>2578</v>
      </c>
      <c r="B943" s="7" t="s">
        <v>1838</v>
      </c>
      <c r="C943" s="9" t="s">
        <v>1704</v>
      </c>
      <c r="D943" s="13" t="s">
        <v>1823</v>
      </c>
    </row>
    <row r="944" customFormat="false" ht="15" hidden="false" customHeight="false" outlineLevel="0" collapsed="false">
      <c r="A944" s="7" t="s">
        <v>2579</v>
      </c>
      <c r="B944" s="7" t="s">
        <v>1836</v>
      </c>
      <c r="C944" s="9" t="s">
        <v>1704</v>
      </c>
      <c r="D944" s="13" t="s">
        <v>1816</v>
      </c>
    </row>
    <row r="945" customFormat="false" ht="15" hidden="false" customHeight="false" outlineLevel="0" collapsed="false">
      <c r="A945" s="7" t="s">
        <v>2580</v>
      </c>
      <c r="B945" s="7" t="s">
        <v>1838</v>
      </c>
      <c r="C945" s="9" t="s">
        <v>1704</v>
      </c>
      <c r="D945" s="13" t="s">
        <v>1823</v>
      </c>
    </row>
    <row r="946" customFormat="false" ht="15" hidden="false" customHeight="false" outlineLevel="0" collapsed="false">
      <c r="A946" s="7" t="s">
        <v>2581</v>
      </c>
      <c r="B946" s="7" t="s">
        <v>1838</v>
      </c>
      <c r="C946" s="9" t="s">
        <v>1704</v>
      </c>
      <c r="D946" s="13" t="s">
        <v>1823</v>
      </c>
    </row>
    <row r="947" customFormat="false" ht="15" hidden="false" customHeight="false" outlineLevel="0" collapsed="false">
      <c r="A947" s="7" t="s">
        <v>2582</v>
      </c>
      <c r="B947" s="7" t="s">
        <v>1838</v>
      </c>
      <c r="C947" s="9" t="s">
        <v>1704</v>
      </c>
      <c r="D947" s="13" t="s">
        <v>1823</v>
      </c>
    </row>
    <row r="948" customFormat="false" ht="15" hidden="false" customHeight="false" outlineLevel="0" collapsed="false">
      <c r="A948" s="7" t="s">
        <v>2583</v>
      </c>
      <c r="B948" s="7" t="s">
        <v>1815</v>
      </c>
      <c r="C948" s="9" t="s">
        <v>1704</v>
      </c>
      <c r="D948" s="13" t="s">
        <v>1816</v>
      </c>
    </row>
    <row r="949" customFormat="false" ht="15" hidden="false" customHeight="false" outlineLevel="0" collapsed="false">
      <c r="A949" s="7" t="s">
        <v>2584</v>
      </c>
      <c r="B949" s="7" t="s">
        <v>1827</v>
      </c>
      <c r="C949" s="9" t="s">
        <v>1704</v>
      </c>
      <c r="D949" s="13" t="s">
        <v>1820</v>
      </c>
    </row>
    <row r="950" customFormat="false" ht="15" hidden="false" customHeight="false" outlineLevel="0" collapsed="false">
      <c r="A950" s="7" t="s">
        <v>2585</v>
      </c>
      <c r="B950" s="7" t="s">
        <v>1838</v>
      </c>
      <c r="C950" s="9" t="s">
        <v>1704</v>
      </c>
      <c r="D950" s="13" t="s">
        <v>1823</v>
      </c>
    </row>
    <row r="951" customFormat="false" ht="15" hidden="false" customHeight="false" outlineLevel="0" collapsed="false">
      <c r="A951" s="7" t="s">
        <v>2586</v>
      </c>
      <c r="B951" s="7" t="s">
        <v>1883</v>
      </c>
      <c r="C951" s="9" t="s">
        <v>1704</v>
      </c>
      <c r="D951" s="13" t="s">
        <v>1816</v>
      </c>
    </row>
    <row r="952" customFormat="false" ht="15" hidden="false" customHeight="false" outlineLevel="0" collapsed="false">
      <c r="A952" s="7" t="s">
        <v>2587</v>
      </c>
      <c r="B952" s="7" t="s">
        <v>2563</v>
      </c>
      <c r="C952" s="9" t="s">
        <v>1704</v>
      </c>
      <c r="D952" s="13" t="s">
        <v>1823</v>
      </c>
    </row>
    <row r="953" customFormat="false" ht="15" hidden="false" customHeight="false" outlineLevel="0" collapsed="false">
      <c r="A953" s="7" t="s">
        <v>2588</v>
      </c>
      <c r="B953" s="7" t="s">
        <v>1883</v>
      </c>
      <c r="C953" s="9" t="s">
        <v>1704</v>
      </c>
      <c r="D953" s="13" t="s">
        <v>1816</v>
      </c>
    </row>
    <row r="954" customFormat="false" ht="15" hidden="false" customHeight="false" outlineLevel="0" collapsed="false">
      <c r="A954" s="7" t="s">
        <v>2589</v>
      </c>
      <c r="B954" s="7" t="s">
        <v>2590</v>
      </c>
      <c r="C954" s="9" t="s">
        <v>1704</v>
      </c>
      <c r="D954" s="13" t="s">
        <v>1823</v>
      </c>
    </row>
    <row r="955" customFormat="false" ht="15" hidden="false" customHeight="false" outlineLevel="0" collapsed="false">
      <c r="A955" s="7" t="s">
        <v>2591</v>
      </c>
      <c r="B955" s="7" t="s">
        <v>1976</v>
      </c>
      <c r="C955" s="9" t="s">
        <v>1704</v>
      </c>
      <c r="D955" s="13" t="s">
        <v>1820</v>
      </c>
    </row>
    <row r="956" customFormat="false" ht="15" hidden="false" customHeight="false" outlineLevel="0" collapsed="false">
      <c r="A956" s="7" t="s">
        <v>2592</v>
      </c>
      <c r="B956" s="7" t="s">
        <v>1819</v>
      </c>
      <c r="C956" s="9" t="s">
        <v>1704</v>
      </c>
      <c r="D956" s="13" t="s">
        <v>1820</v>
      </c>
    </row>
    <row r="957" customFormat="false" ht="15" hidden="false" customHeight="false" outlineLevel="0" collapsed="false">
      <c r="A957" s="7" t="s">
        <v>2592</v>
      </c>
      <c r="B957" s="7" t="s">
        <v>1815</v>
      </c>
      <c r="C957" s="9" t="s">
        <v>1704</v>
      </c>
      <c r="D957" s="13" t="s">
        <v>1816</v>
      </c>
    </row>
    <row r="958" customFormat="false" ht="15" hidden="false" customHeight="false" outlineLevel="0" collapsed="false">
      <c r="A958" s="7" t="s">
        <v>2592</v>
      </c>
      <c r="B958" s="7" t="s">
        <v>2563</v>
      </c>
      <c r="C958" s="9" t="s">
        <v>1704</v>
      </c>
      <c r="D958" s="13" t="s">
        <v>1823</v>
      </c>
    </row>
    <row r="959" customFormat="false" ht="15" hidden="false" customHeight="false" outlineLevel="0" collapsed="false">
      <c r="A959" s="7" t="s">
        <v>2593</v>
      </c>
      <c r="B959" s="7" t="s">
        <v>1827</v>
      </c>
      <c r="C959" s="9" t="s">
        <v>1704</v>
      </c>
      <c r="D959" s="13" t="s">
        <v>1820</v>
      </c>
    </row>
    <row r="960" customFormat="false" ht="15" hidden="false" customHeight="false" outlineLevel="0" collapsed="false">
      <c r="A960" s="7" t="s">
        <v>2593</v>
      </c>
      <c r="B960" s="7" t="s">
        <v>1815</v>
      </c>
      <c r="C960" s="9" t="s">
        <v>1704</v>
      </c>
      <c r="D960" s="13" t="s">
        <v>1816</v>
      </c>
    </row>
    <row r="961" customFormat="false" ht="15" hidden="false" customHeight="false" outlineLevel="0" collapsed="false">
      <c r="A961" s="7" t="s">
        <v>2594</v>
      </c>
      <c r="B961" s="7" t="s">
        <v>1815</v>
      </c>
      <c r="C961" s="9" t="s">
        <v>1704</v>
      </c>
      <c r="D961" s="13" t="s">
        <v>1816</v>
      </c>
    </row>
    <row r="962" customFormat="false" ht="15" hidden="false" customHeight="false" outlineLevel="0" collapsed="false">
      <c r="A962" s="7" t="s">
        <v>2595</v>
      </c>
      <c r="B962" s="7" t="s">
        <v>1815</v>
      </c>
      <c r="C962" s="9" t="s">
        <v>1704</v>
      </c>
      <c r="D962" s="13" t="s">
        <v>1816</v>
      </c>
    </row>
    <row r="963" customFormat="false" ht="15" hidden="false" customHeight="false" outlineLevel="0" collapsed="false">
      <c r="A963" s="7" t="s">
        <v>2596</v>
      </c>
      <c r="B963" s="7" t="s">
        <v>1815</v>
      </c>
      <c r="C963" s="9" t="s">
        <v>1704</v>
      </c>
      <c r="D963" s="13" t="s">
        <v>1816</v>
      </c>
    </row>
    <row r="964" customFormat="false" ht="15" hidden="false" customHeight="false" outlineLevel="0" collapsed="false">
      <c r="A964" s="7" t="s">
        <v>2597</v>
      </c>
      <c r="B964" s="7" t="s">
        <v>1815</v>
      </c>
      <c r="C964" s="9" t="s">
        <v>1704</v>
      </c>
      <c r="D964" s="13" t="s">
        <v>1816</v>
      </c>
    </row>
    <row r="965" customFormat="false" ht="15" hidden="false" customHeight="false" outlineLevel="0" collapsed="false">
      <c r="A965" s="7" t="s">
        <v>2598</v>
      </c>
      <c r="B965" s="7" t="s">
        <v>1815</v>
      </c>
      <c r="C965" s="9" t="s">
        <v>1704</v>
      </c>
      <c r="D965" s="13" t="s">
        <v>1816</v>
      </c>
    </row>
    <row r="966" customFormat="false" ht="15" hidden="false" customHeight="false" outlineLevel="0" collapsed="false">
      <c r="A966" s="7" t="s">
        <v>2599</v>
      </c>
      <c r="B966" s="7" t="s">
        <v>1883</v>
      </c>
      <c r="C966" s="9" t="s">
        <v>1704</v>
      </c>
      <c r="D966" s="13" t="s">
        <v>1816</v>
      </c>
    </row>
    <row r="967" customFormat="false" ht="15" hidden="false" customHeight="false" outlineLevel="0" collapsed="false">
      <c r="A967" s="7" t="s">
        <v>2600</v>
      </c>
      <c r="B967" s="7" t="s">
        <v>1883</v>
      </c>
      <c r="C967" s="9" t="s">
        <v>1704</v>
      </c>
      <c r="D967" s="13" t="s">
        <v>1816</v>
      </c>
    </row>
    <row r="968" customFormat="false" ht="15" hidden="false" customHeight="false" outlineLevel="0" collapsed="false">
      <c r="A968" s="7" t="s">
        <v>2601</v>
      </c>
      <c r="B968" s="7" t="s">
        <v>1838</v>
      </c>
      <c r="C968" s="9" t="s">
        <v>1704</v>
      </c>
      <c r="D968" s="13" t="s">
        <v>1823</v>
      </c>
    </row>
    <row r="969" customFormat="false" ht="15" hidden="false" customHeight="false" outlineLevel="0" collapsed="false">
      <c r="A969" s="7" t="s">
        <v>2602</v>
      </c>
      <c r="B969" s="7" t="s">
        <v>1838</v>
      </c>
      <c r="C969" s="9" t="s">
        <v>1704</v>
      </c>
      <c r="D969" s="13" t="s">
        <v>1823</v>
      </c>
    </row>
    <row r="970" customFormat="false" ht="15" hidden="false" customHeight="false" outlineLevel="0" collapsed="false">
      <c r="A970" s="7" t="s">
        <v>2603</v>
      </c>
      <c r="B970" s="7" t="s">
        <v>2563</v>
      </c>
      <c r="C970" s="9" t="s">
        <v>1704</v>
      </c>
      <c r="D970" s="13" t="s">
        <v>1823</v>
      </c>
    </row>
    <row r="971" customFormat="false" ht="15" hidden="false" customHeight="false" outlineLevel="0" collapsed="false">
      <c r="A971" s="7" t="s">
        <v>2603</v>
      </c>
      <c r="B971" s="7" t="s">
        <v>1976</v>
      </c>
      <c r="C971" s="9" t="s">
        <v>1704</v>
      </c>
      <c r="D971" s="13" t="s">
        <v>1820</v>
      </c>
    </row>
    <row r="972" customFormat="false" ht="15" hidden="false" customHeight="false" outlineLevel="0" collapsed="false">
      <c r="A972" s="7" t="s">
        <v>2604</v>
      </c>
      <c r="B972" s="7" t="s">
        <v>1929</v>
      </c>
      <c r="C972" s="9" t="s">
        <v>1704</v>
      </c>
      <c r="D972" s="13" t="s">
        <v>1816</v>
      </c>
    </row>
    <row r="973" customFormat="false" ht="15" hidden="false" customHeight="false" outlineLevel="0" collapsed="false">
      <c r="A973" s="7" t="s">
        <v>2605</v>
      </c>
      <c r="B973" s="7" t="s">
        <v>2590</v>
      </c>
      <c r="C973" s="9" t="s">
        <v>1704</v>
      </c>
      <c r="D973" s="13" t="s">
        <v>1823</v>
      </c>
    </row>
    <row r="974" customFormat="false" ht="15" hidden="false" customHeight="false" outlineLevel="0" collapsed="false">
      <c r="A974" s="7" t="s">
        <v>2606</v>
      </c>
      <c r="B974" s="7" t="s">
        <v>1836</v>
      </c>
      <c r="C974" s="9" t="s">
        <v>1704</v>
      </c>
      <c r="D974" s="13" t="s">
        <v>1816</v>
      </c>
    </row>
    <row r="975" customFormat="false" ht="15" hidden="false" customHeight="false" outlineLevel="0" collapsed="false">
      <c r="A975" s="7" t="s">
        <v>2606</v>
      </c>
      <c r="B975" s="7" t="s">
        <v>1854</v>
      </c>
      <c r="C975" s="9" t="s">
        <v>1704</v>
      </c>
      <c r="D975" s="13" t="s">
        <v>1816</v>
      </c>
    </row>
    <row r="976" customFormat="false" ht="15" hidden="false" customHeight="false" outlineLevel="0" collapsed="false">
      <c r="A976" s="7" t="s">
        <v>2607</v>
      </c>
      <c r="B976" s="7" t="s">
        <v>1976</v>
      </c>
      <c r="C976" s="9" t="s">
        <v>1704</v>
      </c>
      <c r="D976" s="13" t="s">
        <v>1820</v>
      </c>
    </row>
    <row r="977" customFormat="false" ht="15" hidden="false" customHeight="false" outlineLevel="0" collapsed="false">
      <c r="A977" s="7" t="s">
        <v>2608</v>
      </c>
      <c r="B977" s="7" t="s">
        <v>1854</v>
      </c>
      <c r="C977" s="8" t="s">
        <v>1706</v>
      </c>
      <c r="D977" s="13" t="s">
        <v>1816</v>
      </c>
    </row>
    <row r="978" customFormat="false" ht="15" hidden="false" customHeight="false" outlineLevel="0" collapsed="false">
      <c r="A978" s="7" t="s">
        <v>2609</v>
      </c>
      <c r="B978" s="7" t="s">
        <v>1838</v>
      </c>
      <c r="C978" s="9" t="s">
        <v>1704</v>
      </c>
      <c r="D978" s="13" t="s">
        <v>1823</v>
      </c>
    </row>
    <row r="979" customFormat="false" ht="15" hidden="false" customHeight="false" outlineLevel="0" collapsed="false">
      <c r="A979" s="7" t="s">
        <v>2610</v>
      </c>
      <c r="B979" s="7" t="s">
        <v>1815</v>
      </c>
      <c r="C979" s="9" t="s">
        <v>1704</v>
      </c>
      <c r="D979" s="13" t="s">
        <v>1816</v>
      </c>
    </row>
    <row r="980" customFormat="false" ht="15" hidden="false" customHeight="false" outlineLevel="0" collapsed="false">
      <c r="A980" s="7" t="s">
        <v>2611</v>
      </c>
      <c r="B980" s="7" t="s">
        <v>1815</v>
      </c>
      <c r="C980" s="9" t="s">
        <v>1704</v>
      </c>
      <c r="D980" s="13" t="s">
        <v>1816</v>
      </c>
    </row>
    <row r="981" customFormat="false" ht="15" hidden="false" customHeight="false" outlineLevel="0" collapsed="false">
      <c r="A981" s="7" t="s">
        <v>2612</v>
      </c>
      <c r="B981" s="7" t="s">
        <v>1815</v>
      </c>
      <c r="C981" s="9" t="s">
        <v>1704</v>
      </c>
      <c r="D981" s="13" t="s">
        <v>1816</v>
      </c>
    </row>
    <row r="982" customFormat="false" ht="15" hidden="false" customHeight="false" outlineLevel="0" collapsed="false">
      <c r="A982" s="7" t="s">
        <v>2613</v>
      </c>
      <c r="B982" s="7" t="s">
        <v>1815</v>
      </c>
      <c r="C982" s="9" t="s">
        <v>1704</v>
      </c>
      <c r="D982" s="13" t="s">
        <v>1816</v>
      </c>
    </row>
    <row r="983" customFormat="false" ht="15" hidden="false" customHeight="false" outlineLevel="0" collapsed="false">
      <c r="A983" s="7" t="s">
        <v>2613</v>
      </c>
      <c r="B983" s="7" t="s">
        <v>1827</v>
      </c>
      <c r="C983" s="9" t="s">
        <v>1704</v>
      </c>
      <c r="D983" s="13" t="s">
        <v>1820</v>
      </c>
    </row>
    <row r="984" customFormat="false" ht="15" hidden="false" customHeight="false" outlineLevel="0" collapsed="false">
      <c r="A984" s="7" t="s">
        <v>2614</v>
      </c>
      <c r="B984" s="7" t="s">
        <v>1815</v>
      </c>
      <c r="C984" s="9" t="s">
        <v>1704</v>
      </c>
      <c r="D984" s="13" t="s">
        <v>1816</v>
      </c>
    </row>
    <row r="985" customFormat="false" ht="15" hidden="false" customHeight="false" outlineLevel="0" collapsed="false">
      <c r="A985" s="7" t="s">
        <v>2615</v>
      </c>
      <c r="B985" s="7" t="s">
        <v>1815</v>
      </c>
      <c r="C985" s="9" t="s">
        <v>1704</v>
      </c>
      <c r="D985" s="13" t="s">
        <v>1816</v>
      </c>
    </row>
    <row r="986" customFormat="false" ht="15" hidden="false" customHeight="false" outlineLevel="0" collapsed="false">
      <c r="A986" s="7" t="s">
        <v>2616</v>
      </c>
      <c r="B986" s="7" t="s">
        <v>1827</v>
      </c>
      <c r="C986" s="9" t="s">
        <v>1704</v>
      </c>
      <c r="D986" s="13" t="s">
        <v>1820</v>
      </c>
    </row>
    <row r="987" customFormat="false" ht="15" hidden="false" customHeight="false" outlineLevel="0" collapsed="false">
      <c r="A987" s="7" t="s">
        <v>2617</v>
      </c>
      <c r="B987" s="7" t="s">
        <v>1744</v>
      </c>
      <c r="C987" s="9" t="s">
        <v>1704</v>
      </c>
      <c r="D987" s="13" t="s">
        <v>1745</v>
      </c>
    </row>
    <row r="988" customFormat="false" ht="15" hidden="false" customHeight="false" outlineLevel="0" collapsed="false">
      <c r="A988" s="7" t="s">
        <v>2618</v>
      </c>
      <c r="B988" s="7" t="s">
        <v>1883</v>
      </c>
      <c r="C988" s="9" t="s">
        <v>1704</v>
      </c>
      <c r="D988" s="13" t="s">
        <v>1816</v>
      </c>
    </row>
    <row r="989" customFormat="false" ht="15" hidden="false" customHeight="false" outlineLevel="0" collapsed="false">
      <c r="A989" s="7" t="s">
        <v>2618</v>
      </c>
      <c r="B989" s="7" t="s">
        <v>1838</v>
      </c>
      <c r="C989" s="9" t="s">
        <v>1704</v>
      </c>
      <c r="D989" s="13" t="s">
        <v>1823</v>
      </c>
    </row>
    <row r="990" customFormat="false" ht="15" hidden="false" customHeight="false" outlineLevel="0" collapsed="false">
      <c r="A990" s="7" t="s">
        <v>2619</v>
      </c>
      <c r="B990" s="7" t="s">
        <v>2563</v>
      </c>
      <c r="C990" s="9" t="s">
        <v>1704</v>
      </c>
      <c r="D990" s="13" t="s">
        <v>1823</v>
      </c>
    </row>
    <row r="991" customFormat="false" ht="15" hidden="false" customHeight="false" outlineLevel="0" collapsed="false">
      <c r="A991" s="7" t="s">
        <v>2620</v>
      </c>
      <c r="B991" s="7" t="s">
        <v>1838</v>
      </c>
      <c r="C991" s="9" t="s">
        <v>1704</v>
      </c>
      <c r="D991" s="13" t="s">
        <v>1823</v>
      </c>
    </row>
    <row r="992" customFormat="false" ht="15" hidden="false" customHeight="false" outlineLevel="0" collapsed="false">
      <c r="A992" s="7" t="s">
        <v>2621</v>
      </c>
      <c r="B992" s="7" t="s">
        <v>1815</v>
      </c>
      <c r="C992" s="9" t="s">
        <v>1704</v>
      </c>
      <c r="D992" s="13" t="s">
        <v>1816</v>
      </c>
    </row>
    <row r="993" customFormat="false" ht="15" hidden="false" customHeight="false" outlineLevel="0" collapsed="false">
      <c r="A993" s="7" t="s">
        <v>2621</v>
      </c>
      <c r="B993" s="7" t="s">
        <v>1827</v>
      </c>
      <c r="C993" s="9" t="s">
        <v>1704</v>
      </c>
      <c r="D993" s="13" t="s">
        <v>1820</v>
      </c>
    </row>
    <row r="994" customFormat="false" ht="15" hidden="false" customHeight="false" outlineLevel="0" collapsed="false">
      <c r="A994" s="7" t="s">
        <v>2622</v>
      </c>
      <c r="B994" s="7" t="s">
        <v>1815</v>
      </c>
      <c r="C994" s="9" t="s">
        <v>1704</v>
      </c>
      <c r="D994" s="13" t="s">
        <v>1816</v>
      </c>
    </row>
    <row r="995" customFormat="false" ht="15" hidden="false" customHeight="false" outlineLevel="0" collapsed="false">
      <c r="A995" s="7" t="s">
        <v>2623</v>
      </c>
      <c r="B995" s="7" t="s">
        <v>1976</v>
      </c>
      <c r="C995" s="9" t="s">
        <v>1704</v>
      </c>
      <c r="D995" s="13" t="s">
        <v>1820</v>
      </c>
    </row>
    <row r="996" customFormat="false" ht="15" hidden="false" customHeight="false" outlineLevel="0" collapsed="false">
      <c r="A996" s="7" t="s">
        <v>2624</v>
      </c>
      <c r="B996" s="7" t="s">
        <v>1883</v>
      </c>
      <c r="C996" s="9" t="s">
        <v>1704</v>
      </c>
      <c r="D996" s="13" t="s">
        <v>1816</v>
      </c>
    </row>
    <row r="997" customFormat="false" ht="15" hidden="false" customHeight="false" outlineLevel="0" collapsed="false">
      <c r="A997" s="7" t="s">
        <v>2625</v>
      </c>
      <c r="B997" s="7" t="s">
        <v>1883</v>
      </c>
      <c r="C997" s="9" t="s">
        <v>1704</v>
      </c>
      <c r="D997" s="13" t="s">
        <v>1816</v>
      </c>
    </row>
    <row r="998" customFormat="false" ht="15" hidden="false" customHeight="false" outlineLevel="0" collapsed="false">
      <c r="A998" s="7" t="s">
        <v>2626</v>
      </c>
      <c r="B998" s="7" t="s">
        <v>1929</v>
      </c>
      <c r="C998" s="9" t="s">
        <v>1704</v>
      </c>
      <c r="D998" s="13" t="s">
        <v>1816</v>
      </c>
    </row>
    <row r="999" customFormat="false" ht="15" hidden="false" customHeight="false" outlineLevel="0" collapsed="false">
      <c r="A999" s="7" t="s">
        <v>2627</v>
      </c>
      <c r="B999" s="7" t="s">
        <v>1976</v>
      </c>
      <c r="C999" s="9" t="s">
        <v>1704</v>
      </c>
      <c r="D999" s="13" t="s">
        <v>1820</v>
      </c>
    </row>
    <row r="1000" customFormat="false" ht="15" hidden="false" customHeight="false" outlineLevel="0" collapsed="false">
      <c r="A1000" s="7" t="s">
        <v>2628</v>
      </c>
      <c r="B1000" s="7" t="s">
        <v>1883</v>
      </c>
      <c r="C1000" s="9" t="s">
        <v>1704</v>
      </c>
      <c r="D1000" s="13" t="s">
        <v>1816</v>
      </c>
    </row>
    <row r="1001" customFormat="false" ht="15" hidden="false" customHeight="false" outlineLevel="0" collapsed="false">
      <c r="A1001" s="7" t="s">
        <v>2629</v>
      </c>
      <c r="B1001" s="7" t="s">
        <v>1747</v>
      </c>
      <c r="C1001" s="9" t="s">
        <v>1704</v>
      </c>
      <c r="D1001" s="13" t="s">
        <v>1745</v>
      </c>
    </row>
    <row r="1002" customFormat="false" ht="15" hidden="false" customHeight="false" outlineLevel="0" collapsed="false">
      <c r="A1002" s="7" t="s">
        <v>2630</v>
      </c>
      <c r="B1002" s="7" t="s">
        <v>1819</v>
      </c>
      <c r="C1002" s="9" t="s">
        <v>1704</v>
      </c>
      <c r="D1002" s="13" t="s">
        <v>1820</v>
      </c>
    </row>
    <row r="1003" customFormat="false" ht="15" hidden="false" customHeight="false" outlineLevel="0" collapsed="false">
      <c r="A1003" s="7" t="s">
        <v>2631</v>
      </c>
      <c r="B1003" s="7" t="s">
        <v>1827</v>
      </c>
      <c r="C1003" s="9" t="s">
        <v>1704</v>
      </c>
      <c r="D1003" s="13" t="s">
        <v>1820</v>
      </c>
    </row>
    <row r="1004" customFormat="false" ht="15" hidden="false" customHeight="false" outlineLevel="0" collapsed="false">
      <c r="A1004" s="7" t="s">
        <v>2632</v>
      </c>
      <c r="B1004" s="7" t="s">
        <v>1838</v>
      </c>
      <c r="C1004" s="9" t="s">
        <v>1704</v>
      </c>
      <c r="D1004" s="13" t="s">
        <v>1823</v>
      </c>
    </row>
    <row r="1005" customFormat="false" ht="15" hidden="false" customHeight="false" outlineLevel="0" collapsed="false">
      <c r="A1005" s="7" t="s">
        <v>2633</v>
      </c>
      <c r="B1005" s="7" t="s">
        <v>1744</v>
      </c>
      <c r="C1005" s="8" t="s">
        <v>1706</v>
      </c>
      <c r="D1005" s="13" t="s">
        <v>1745</v>
      </c>
    </row>
    <row r="1006" customFormat="false" ht="15" hidden="false" customHeight="false" outlineLevel="0" collapsed="false">
      <c r="A1006" s="7" t="s">
        <v>2634</v>
      </c>
      <c r="B1006" s="7" t="s">
        <v>1976</v>
      </c>
      <c r="C1006" s="9" t="s">
        <v>1704</v>
      </c>
      <c r="D1006" s="13" t="s">
        <v>1820</v>
      </c>
    </row>
    <row r="1007" customFormat="false" ht="15" hidden="false" customHeight="false" outlineLevel="0" collapsed="false">
      <c r="A1007" s="7" t="s">
        <v>2635</v>
      </c>
      <c r="B1007" s="7" t="s">
        <v>1883</v>
      </c>
      <c r="C1007" s="9" t="s">
        <v>1704</v>
      </c>
      <c r="D1007" s="13" t="s">
        <v>1816</v>
      </c>
    </row>
    <row r="1008" customFormat="false" ht="15" hidden="false" customHeight="false" outlineLevel="0" collapsed="false">
      <c r="A1008" s="7" t="s">
        <v>2636</v>
      </c>
      <c r="B1008" s="7" t="s">
        <v>1838</v>
      </c>
      <c r="C1008" s="9" t="s">
        <v>1704</v>
      </c>
      <c r="D1008" s="13" t="s">
        <v>1823</v>
      </c>
    </row>
    <row r="1009" customFormat="false" ht="15" hidden="false" customHeight="false" outlineLevel="0" collapsed="false">
      <c r="A1009" s="7" t="s">
        <v>2637</v>
      </c>
      <c r="B1009" s="7" t="s">
        <v>1838</v>
      </c>
      <c r="C1009" s="9" t="s">
        <v>1704</v>
      </c>
      <c r="D1009" s="13" t="s">
        <v>1823</v>
      </c>
    </row>
    <row r="1010" customFormat="false" ht="15" hidden="false" customHeight="false" outlineLevel="0" collapsed="false">
      <c r="A1010" s="7" t="s">
        <v>2638</v>
      </c>
      <c r="B1010" s="7" t="s">
        <v>1815</v>
      </c>
      <c r="C1010" s="9" t="s">
        <v>1704</v>
      </c>
      <c r="D1010" s="13" t="s">
        <v>1816</v>
      </c>
    </row>
    <row r="1011" customFormat="false" ht="15" hidden="false" customHeight="false" outlineLevel="0" collapsed="false">
      <c r="A1011" s="7" t="s">
        <v>2639</v>
      </c>
      <c r="B1011" s="7" t="s">
        <v>1976</v>
      </c>
      <c r="C1011" s="9" t="s">
        <v>1704</v>
      </c>
      <c r="D1011" s="13" t="s">
        <v>1820</v>
      </c>
    </row>
    <row r="1012" customFormat="false" ht="15" hidden="false" customHeight="false" outlineLevel="0" collapsed="false">
      <c r="A1012" s="7" t="s">
        <v>2640</v>
      </c>
      <c r="B1012" s="7" t="s">
        <v>1883</v>
      </c>
      <c r="C1012" s="9" t="s">
        <v>1704</v>
      </c>
      <c r="D1012" s="13" t="s">
        <v>1816</v>
      </c>
    </row>
    <row r="1013" customFormat="false" ht="15" hidden="false" customHeight="false" outlineLevel="0" collapsed="false">
      <c r="A1013" s="7" t="s">
        <v>2641</v>
      </c>
      <c r="B1013" s="7" t="s">
        <v>1929</v>
      </c>
      <c r="C1013" s="9" t="s">
        <v>1704</v>
      </c>
      <c r="D1013" s="13" t="s">
        <v>1816</v>
      </c>
    </row>
    <row r="1014" customFormat="false" ht="15" hidden="false" customHeight="false" outlineLevel="0" collapsed="false">
      <c r="A1014" s="7" t="s">
        <v>2642</v>
      </c>
      <c r="B1014" s="7" t="s">
        <v>1976</v>
      </c>
      <c r="C1014" s="9" t="s">
        <v>1704</v>
      </c>
      <c r="D1014" s="13" t="s">
        <v>1820</v>
      </c>
    </row>
    <row r="1015" customFormat="false" ht="15" hidden="false" customHeight="false" outlineLevel="0" collapsed="false">
      <c r="A1015" s="7" t="s">
        <v>2643</v>
      </c>
      <c r="B1015" s="7" t="s">
        <v>1929</v>
      </c>
      <c r="C1015" s="9" t="s">
        <v>1704</v>
      </c>
      <c r="D1015" s="13" t="s">
        <v>1816</v>
      </c>
    </row>
    <row r="1016" customFormat="false" ht="15" hidden="false" customHeight="false" outlineLevel="0" collapsed="false">
      <c r="A1016" s="7" t="s">
        <v>2643</v>
      </c>
      <c r="B1016" s="7" t="s">
        <v>1976</v>
      </c>
      <c r="C1016" s="9" t="s">
        <v>1704</v>
      </c>
      <c r="D1016" s="13" t="s">
        <v>1820</v>
      </c>
    </row>
    <row r="1017" customFormat="false" ht="15" hidden="false" customHeight="false" outlineLevel="0" collapsed="false">
      <c r="A1017" s="7" t="s">
        <v>2644</v>
      </c>
      <c r="B1017" s="7" t="s">
        <v>1815</v>
      </c>
      <c r="C1017" s="9" t="s">
        <v>1704</v>
      </c>
      <c r="D1017" s="13" t="s">
        <v>1816</v>
      </c>
    </row>
    <row r="1018" customFormat="false" ht="15" hidden="false" customHeight="false" outlineLevel="0" collapsed="false">
      <c r="A1018" s="7" t="s">
        <v>2644</v>
      </c>
      <c r="B1018" s="7" t="s">
        <v>1819</v>
      </c>
      <c r="C1018" s="9" t="s">
        <v>1704</v>
      </c>
      <c r="D1018" s="13" t="s">
        <v>1820</v>
      </c>
    </row>
    <row r="1019" customFormat="false" ht="15" hidden="false" customHeight="false" outlineLevel="0" collapsed="false">
      <c r="A1019" s="7" t="s">
        <v>2645</v>
      </c>
      <c r="B1019" s="7" t="s">
        <v>1815</v>
      </c>
      <c r="C1019" s="9" t="s">
        <v>1704</v>
      </c>
      <c r="D1019" s="13" t="s">
        <v>1816</v>
      </c>
    </row>
    <row r="1020" customFormat="false" ht="15" hidden="false" customHeight="false" outlineLevel="0" collapsed="false">
      <c r="A1020" s="7" t="s">
        <v>2646</v>
      </c>
      <c r="B1020" s="7" t="s">
        <v>1838</v>
      </c>
      <c r="C1020" s="9" t="s">
        <v>1704</v>
      </c>
      <c r="D1020" s="13" t="s">
        <v>1823</v>
      </c>
    </row>
    <row r="1021" customFormat="false" ht="15" hidden="false" customHeight="false" outlineLevel="0" collapsed="false">
      <c r="A1021" s="7" t="s">
        <v>2647</v>
      </c>
      <c r="B1021" s="7" t="s">
        <v>1838</v>
      </c>
      <c r="C1021" s="9" t="s">
        <v>1704</v>
      </c>
      <c r="D1021" s="13" t="s">
        <v>1823</v>
      </c>
    </row>
    <row r="1022" customFormat="false" ht="15" hidden="false" customHeight="false" outlineLevel="0" collapsed="false">
      <c r="A1022" s="7" t="s">
        <v>2648</v>
      </c>
      <c r="B1022" s="7" t="s">
        <v>1883</v>
      </c>
      <c r="C1022" s="9" t="s">
        <v>1704</v>
      </c>
      <c r="D1022" s="13" t="s">
        <v>1816</v>
      </c>
    </row>
    <row r="1023" customFormat="false" ht="15" hidden="false" customHeight="false" outlineLevel="0" collapsed="false">
      <c r="A1023" s="7" t="s">
        <v>2649</v>
      </c>
      <c r="B1023" s="7" t="s">
        <v>1929</v>
      </c>
      <c r="C1023" s="9" t="s">
        <v>1704</v>
      </c>
      <c r="D1023" s="13" t="s">
        <v>1816</v>
      </c>
    </row>
    <row r="1024" customFormat="false" ht="15" hidden="false" customHeight="false" outlineLevel="0" collapsed="false">
      <c r="A1024" s="7" t="s">
        <v>2650</v>
      </c>
      <c r="B1024" s="7" t="s">
        <v>1815</v>
      </c>
      <c r="C1024" s="9" t="s">
        <v>1704</v>
      </c>
      <c r="D1024" s="13" t="s">
        <v>1816</v>
      </c>
    </row>
    <row r="1025" customFormat="false" ht="15" hidden="false" customHeight="false" outlineLevel="0" collapsed="false">
      <c r="A1025" s="7" t="s">
        <v>2650</v>
      </c>
      <c r="B1025" s="7" t="s">
        <v>1819</v>
      </c>
      <c r="C1025" s="9" t="s">
        <v>1704</v>
      </c>
      <c r="D1025" s="13" t="s">
        <v>1820</v>
      </c>
    </row>
    <row r="1026" customFormat="false" ht="15" hidden="false" customHeight="false" outlineLevel="0" collapsed="false">
      <c r="A1026" s="7" t="s">
        <v>2651</v>
      </c>
      <c r="B1026" s="7" t="s">
        <v>1976</v>
      </c>
      <c r="C1026" s="9" t="s">
        <v>1704</v>
      </c>
      <c r="D1026" s="13" t="s">
        <v>1820</v>
      </c>
    </row>
    <row r="1027" customFormat="false" ht="15" hidden="false" customHeight="false" outlineLevel="0" collapsed="false">
      <c r="A1027" s="7" t="s">
        <v>2652</v>
      </c>
      <c r="B1027" s="7" t="s">
        <v>1883</v>
      </c>
      <c r="C1027" s="9" t="s">
        <v>1704</v>
      </c>
      <c r="D1027" s="13" t="s">
        <v>1816</v>
      </c>
    </row>
    <row r="1028" customFormat="false" ht="15" hidden="false" customHeight="false" outlineLevel="0" collapsed="false">
      <c r="A1028" s="7" t="s">
        <v>2653</v>
      </c>
      <c r="B1028" s="7" t="s">
        <v>1883</v>
      </c>
      <c r="C1028" s="9" t="s">
        <v>1704</v>
      </c>
      <c r="D1028" s="13" t="s">
        <v>1816</v>
      </c>
    </row>
    <row r="1029" customFormat="false" ht="15" hidden="false" customHeight="false" outlineLevel="0" collapsed="false">
      <c r="A1029" s="7" t="s">
        <v>2654</v>
      </c>
      <c r="B1029" s="7" t="s">
        <v>1929</v>
      </c>
      <c r="C1029" s="9" t="s">
        <v>1704</v>
      </c>
      <c r="D1029" s="13" t="s">
        <v>1816</v>
      </c>
    </row>
    <row r="1030" customFormat="false" ht="15" hidden="false" customHeight="false" outlineLevel="0" collapsed="false">
      <c r="A1030" s="7" t="s">
        <v>2655</v>
      </c>
      <c r="B1030" s="7" t="s">
        <v>1819</v>
      </c>
      <c r="C1030" s="9" t="s">
        <v>1704</v>
      </c>
      <c r="D1030" s="13" t="s">
        <v>1820</v>
      </c>
    </row>
    <row r="1031" customFormat="false" ht="15" hidden="false" customHeight="false" outlineLevel="0" collapsed="false">
      <c r="A1031" s="7" t="s">
        <v>2656</v>
      </c>
      <c r="B1031" s="7" t="s">
        <v>1976</v>
      </c>
      <c r="C1031" s="9" t="s">
        <v>1704</v>
      </c>
      <c r="D1031" s="13" t="s">
        <v>1820</v>
      </c>
    </row>
    <row r="1032" customFormat="false" ht="15" hidden="false" customHeight="false" outlineLevel="0" collapsed="false">
      <c r="A1032" s="7" t="s">
        <v>2657</v>
      </c>
      <c r="B1032" s="7" t="s">
        <v>1838</v>
      </c>
      <c r="C1032" s="9" t="s">
        <v>1704</v>
      </c>
      <c r="D1032" s="13" t="s">
        <v>1823</v>
      </c>
    </row>
    <row r="1033" customFormat="false" ht="15" hidden="false" customHeight="false" outlineLevel="0" collapsed="false">
      <c r="A1033" s="7" t="s">
        <v>2657</v>
      </c>
      <c r="B1033" s="7" t="s">
        <v>1883</v>
      </c>
      <c r="C1033" s="9" t="s">
        <v>1704</v>
      </c>
      <c r="D1033" s="13" t="s">
        <v>1816</v>
      </c>
    </row>
    <row r="1034" customFormat="false" ht="15" hidden="false" customHeight="false" outlineLevel="0" collapsed="false">
      <c r="A1034" s="7" t="s">
        <v>2658</v>
      </c>
      <c r="B1034" s="7" t="s">
        <v>2563</v>
      </c>
      <c r="C1034" s="9" t="s">
        <v>1704</v>
      </c>
      <c r="D1034" s="13" t="s">
        <v>1823</v>
      </c>
    </row>
    <row r="1035" customFormat="false" ht="15" hidden="false" customHeight="false" outlineLevel="0" collapsed="false">
      <c r="A1035" s="7" t="s">
        <v>2659</v>
      </c>
      <c r="B1035" s="7" t="s">
        <v>1819</v>
      </c>
      <c r="C1035" s="9" t="s">
        <v>1704</v>
      </c>
      <c r="D1035" s="13" t="s">
        <v>1820</v>
      </c>
    </row>
    <row r="1036" customFormat="false" ht="15" hidden="false" customHeight="false" outlineLevel="0" collapsed="false">
      <c r="A1036" s="7" t="s">
        <v>2660</v>
      </c>
      <c r="B1036" s="7" t="s">
        <v>1976</v>
      </c>
      <c r="C1036" s="9" t="s">
        <v>1704</v>
      </c>
      <c r="D1036" s="13" t="s">
        <v>1820</v>
      </c>
    </row>
    <row r="1037" customFormat="false" ht="15" hidden="false" customHeight="false" outlineLevel="0" collapsed="false">
      <c r="A1037" s="7" t="s">
        <v>2661</v>
      </c>
      <c r="B1037" s="7" t="s">
        <v>1883</v>
      </c>
      <c r="C1037" s="9" t="s">
        <v>1704</v>
      </c>
      <c r="D1037" s="13" t="s">
        <v>1816</v>
      </c>
    </row>
    <row r="1038" customFormat="false" ht="15" hidden="false" customHeight="false" outlineLevel="0" collapsed="false">
      <c r="A1038" s="7" t="s">
        <v>2662</v>
      </c>
      <c r="B1038" s="7" t="s">
        <v>1744</v>
      </c>
      <c r="C1038" s="9" t="s">
        <v>1704</v>
      </c>
      <c r="D1038" s="13" t="s">
        <v>1745</v>
      </c>
    </row>
    <row r="1039" customFormat="false" ht="15" hidden="false" customHeight="false" outlineLevel="0" collapsed="false">
      <c r="A1039" s="7" t="s">
        <v>2663</v>
      </c>
      <c r="B1039" s="7" t="s">
        <v>1838</v>
      </c>
      <c r="C1039" s="9" t="s">
        <v>1704</v>
      </c>
      <c r="D1039" s="13" t="s">
        <v>1823</v>
      </c>
    </row>
    <row r="1040" customFormat="false" ht="15" hidden="false" customHeight="false" outlineLevel="0" collapsed="false">
      <c r="A1040" s="7" t="s">
        <v>2664</v>
      </c>
      <c r="B1040" s="7" t="s">
        <v>1883</v>
      </c>
      <c r="C1040" s="9" t="s">
        <v>1704</v>
      </c>
      <c r="D1040" s="13" t="s">
        <v>1816</v>
      </c>
    </row>
    <row r="1041" customFormat="false" ht="15" hidden="false" customHeight="false" outlineLevel="0" collapsed="false">
      <c r="A1041" s="7" t="s">
        <v>2665</v>
      </c>
      <c r="B1041" s="7" t="s">
        <v>1838</v>
      </c>
      <c r="C1041" s="9" t="s">
        <v>1704</v>
      </c>
      <c r="D1041" s="13" t="s">
        <v>1823</v>
      </c>
    </row>
    <row r="1042" customFormat="false" ht="15" hidden="false" customHeight="false" outlineLevel="0" collapsed="false">
      <c r="A1042" s="7" t="s">
        <v>2666</v>
      </c>
      <c r="B1042" s="7" t="s">
        <v>1836</v>
      </c>
      <c r="C1042" s="9" t="s">
        <v>1704</v>
      </c>
      <c r="D1042" s="13" t="s">
        <v>1816</v>
      </c>
    </row>
    <row r="1043" customFormat="false" ht="15" hidden="false" customHeight="false" outlineLevel="0" collapsed="false">
      <c r="A1043" s="7" t="s">
        <v>2666</v>
      </c>
      <c r="B1043" s="7" t="s">
        <v>1854</v>
      </c>
      <c r="C1043" s="9" t="s">
        <v>1704</v>
      </c>
      <c r="D1043" s="13" t="s">
        <v>1816</v>
      </c>
    </row>
    <row r="1044" customFormat="false" ht="15" hidden="false" customHeight="false" outlineLevel="0" collapsed="false">
      <c r="A1044" s="7" t="s">
        <v>2666</v>
      </c>
      <c r="B1044" s="7" t="s">
        <v>1976</v>
      </c>
      <c r="C1044" s="9" t="s">
        <v>1704</v>
      </c>
      <c r="D1044" s="13" t="s">
        <v>1820</v>
      </c>
    </row>
    <row r="1045" customFormat="false" ht="15" hidden="false" customHeight="false" outlineLevel="0" collapsed="false">
      <c r="A1045" s="7" t="s">
        <v>2667</v>
      </c>
      <c r="B1045" s="7" t="s">
        <v>2668</v>
      </c>
      <c r="C1045" s="8" t="s">
        <v>1706</v>
      </c>
      <c r="D1045" s="13" t="s">
        <v>1823</v>
      </c>
    </row>
    <row r="1046" customFormat="false" ht="15" hidden="false" customHeight="false" outlineLevel="0" collapsed="false">
      <c r="A1046" s="7" t="s">
        <v>2669</v>
      </c>
      <c r="B1046" s="7" t="s">
        <v>1976</v>
      </c>
      <c r="C1046" s="9" t="s">
        <v>1704</v>
      </c>
      <c r="D1046" s="13" t="s">
        <v>1820</v>
      </c>
    </row>
    <row r="1047" customFormat="false" ht="15" hidden="false" customHeight="false" outlineLevel="0" collapsed="false">
      <c r="A1047" s="7" t="s">
        <v>2670</v>
      </c>
      <c r="B1047" s="7" t="s">
        <v>2336</v>
      </c>
      <c r="C1047" s="8" t="s">
        <v>1706</v>
      </c>
      <c r="D1047" s="13" t="s">
        <v>1820</v>
      </c>
    </row>
    <row r="1048" customFormat="false" ht="15" hidden="false" customHeight="false" outlineLevel="0" collapsed="false">
      <c r="A1048" s="7" t="s">
        <v>2671</v>
      </c>
      <c r="B1048" s="7" t="s">
        <v>1747</v>
      </c>
      <c r="C1048" s="9" t="s">
        <v>1704</v>
      </c>
      <c r="D1048" s="13" t="s">
        <v>1745</v>
      </c>
    </row>
    <row r="1049" customFormat="false" ht="15" hidden="false" customHeight="false" outlineLevel="0" collapsed="false">
      <c r="A1049" s="7" t="s">
        <v>2672</v>
      </c>
      <c r="B1049" s="7" t="s">
        <v>1883</v>
      </c>
      <c r="C1049" s="8" t="s">
        <v>1706</v>
      </c>
      <c r="D1049" s="13" t="s">
        <v>1816</v>
      </c>
    </row>
    <row r="1050" customFormat="false" ht="15" hidden="false" customHeight="false" outlineLevel="0" collapsed="false">
      <c r="A1050" s="7" t="s">
        <v>2673</v>
      </c>
      <c r="B1050" s="7" t="s">
        <v>1976</v>
      </c>
      <c r="C1050" s="9" t="s">
        <v>1704</v>
      </c>
      <c r="D1050" s="13" t="s">
        <v>1820</v>
      </c>
    </row>
    <row r="1051" customFormat="false" ht="15" hidden="false" customHeight="false" outlineLevel="0" collapsed="false">
      <c r="A1051" s="7" t="s">
        <v>2674</v>
      </c>
      <c r="B1051" s="7" t="s">
        <v>1976</v>
      </c>
      <c r="C1051" s="9" t="s">
        <v>1704</v>
      </c>
      <c r="D1051" s="13" t="s">
        <v>1820</v>
      </c>
    </row>
    <row r="1052" customFormat="false" ht="15" hidden="false" customHeight="false" outlineLevel="0" collapsed="false">
      <c r="A1052" s="7" t="s">
        <v>2675</v>
      </c>
      <c r="B1052" s="7" t="s">
        <v>1867</v>
      </c>
      <c r="C1052" s="9" t="s">
        <v>1704</v>
      </c>
      <c r="D1052" s="13" t="s">
        <v>1816</v>
      </c>
    </row>
    <row r="1053" customFormat="false" ht="15" hidden="false" customHeight="false" outlineLevel="0" collapsed="false">
      <c r="A1053" s="7" t="s">
        <v>2676</v>
      </c>
      <c r="B1053" s="7" t="s">
        <v>1976</v>
      </c>
      <c r="C1053" s="9" t="s">
        <v>1704</v>
      </c>
      <c r="D1053" s="13" t="s">
        <v>1820</v>
      </c>
    </row>
    <row r="1054" customFormat="false" ht="15" hidden="false" customHeight="false" outlineLevel="0" collapsed="false">
      <c r="A1054" s="7" t="s">
        <v>2677</v>
      </c>
      <c r="B1054" s="7" t="s">
        <v>1976</v>
      </c>
      <c r="C1054" s="9" t="s">
        <v>1704</v>
      </c>
      <c r="D1054" s="13" t="s">
        <v>1820</v>
      </c>
    </row>
    <row r="1055" customFormat="false" ht="15" hidden="false" customHeight="false" outlineLevel="0" collapsed="false">
      <c r="A1055" s="7" t="s">
        <v>2678</v>
      </c>
      <c r="B1055" s="7" t="s">
        <v>1854</v>
      </c>
      <c r="C1055" s="8" t="s">
        <v>1706</v>
      </c>
      <c r="D1055" s="13" t="s">
        <v>1816</v>
      </c>
    </row>
    <row r="1056" customFormat="false" ht="15" hidden="false" customHeight="false" outlineLevel="0" collapsed="false">
      <c r="A1056" s="7" t="s">
        <v>2678</v>
      </c>
      <c r="B1056" s="7" t="s">
        <v>1838</v>
      </c>
      <c r="C1056" s="9" t="s">
        <v>1704</v>
      </c>
      <c r="D1056" s="13" t="s">
        <v>1823</v>
      </c>
    </row>
    <row r="1057" customFormat="false" ht="15" hidden="false" customHeight="false" outlineLevel="0" collapsed="false">
      <c r="A1057" s="7" t="s">
        <v>2679</v>
      </c>
      <c r="B1057" s="7" t="s">
        <v>1929</v>
      </c>
      <c r="C1057" s="8" t="s">
        <v>1706</v>
      </c>
      <c r="D1057" s="13" t="s">
        <v>1816</v>
      </c>
    </row>
    <row r="1058" customFormat="false" ht="15" hidden="false" customHeight="false" outlineLevel="0" collapsed="false">
      <c r="A1058" s="7" t="s">
        <v>2680</v>
      </c>
      <c r="B1058" s="7" t="s">
        <v>1883</v>
      </c>
      <c r="C1058" s="9" t="s">
        <v>1704</v>
      </c>
      <c r="D1058" s="13" t="s">
        <v>1816</v>
      </c>
    </row>
    <row r="1059" customFormat="false" ht="15" hidden="false" customHeight="false" outlineLevel="0" collapsed="false">
      <c r="A1059" s="7" t="s">
        <v>2681</v>
      </c>
      <c r="B1059" s="7" t="s">
        <v>1854</v>
      </c>
      <c r="C1059" s="9" t="s">
        <v>1704</v>
      </c>
      <c r="D1059" s="13" t="s">
        <v>1816</v>
      </c>
    </row>
    <row r="1060" customFormat="false" ht="15" hidden="false" customHeight="false" outlineLevel="0" collapsed="false">
      <c r="A1060" s="7" t="s">
        <v>2682</v>
      </c>
      <c r="B1060" s="7" t="s">
        <v>1854</v>
      </c>
      <c r="C1060" s="8" t="s">
        <v>1706</v>
      </c>
      <c r="D1060" s="13" t="s">
        <v>1816</v>
      </c>
    </row>
    <row r="1061" customFormat="false" ht="15" hidden="false" customHeight="false" outlineLevel="0" collapsed="false">
      <c r="A1061" s="7" t="s">
        <v>2683</v>
      </c>
      <c r="B1061" s="7" t="s">
        <v>1815</v>
      </c>
      <c r="C1061" s="9" t="s">
        <v>1704</v>
      </c>
      <c r="D1061" s="13" t="s">
        <v>1816</v>
      </c>
    </row>
    <row r="1062" customFormat="false" ht="15" hidden="false" customHeight="false" outlineLevel="0" collapsed="false">
      <c r="A1062" s="7" t="s">
        <v>2683</v>
      </c>
      <c r="B1062" s="7" t="s">
        <v>1819</v>
      </c>
      <c r="C1062" s="9" t="s">
        <v>1704</v>
      </c>
      <c r="D1062" s="13" t="s">
        <v>1820</v>
      </c>
    </row>
    <row r="1063" customFormat="false" ht="15" hidden="false" customHeight="false" outlineLevel="0" collapsed="false">
      <c r="A1063" s="7" t="s">
        <v>2684</v>
      </c>
      <c r="B1063" s="7" t="s">
        <v>1976</v>
      </c>
      <c r="C1063" s="9" t="s">
        <v>1704</v>
      </c>
      <c r="D1063" s="13" t="s">
        <v>1820</v>
      </c>
    </row>
    <row r="1064" customFormat="false" ht="15" hidden="false" customHeight="false" outlineLevel="0" collapsed="false">
      <c r="A1064" s="7" t="s">
        <v>2685</v>
      </c>
      <c r="B1064" s="7" t="s">
        <v>1838</v>
      </c>
      <c r="C1064" s="9" t="s">
        <v>1704</v>
      </c>
      <c r="D1064" s="13" t="s">
        <v>1823</v>
      </c>
    </row>
    <row r="1065" customFormat="false" ht="15" hidden="false" customHeight="false" outlineLevel="0" collapsed="false">
      <c r="A1065" s="7" t="s">
        <v>2685</v>
      </c>
      <c r="B1065" s="7" t="s">
        <v>1867</v>
      </c>
      <c r="C1065" s="8" t="s">
        <v>1706</v>
      </c>
      <c r="D1065" s="13" t="s">
        <v>1816</v>
      </c>
    </row>
    <row r="1066" customFormat="false" ht="15" hidden="false" customHeight="false" outlineLevel="0" collapsed="false">
      <c r="A1066" s="7" t="s">
        <v>2686</v>
      </c>
      <c r="B1066" s="7" t="s">
        <v>1883</v>
      </c>
      <c r="C1066" s="9" t="s">
        <v>1704</v>
      </c>
      <c r="D1066" s="13" t="s">
        <v>1816</v>
      </c>
    </row>
    <row r="1067" customFormat="false" ht="15" hidden="false" customHeight="false" outlineLevel="0" collapsed="false">
      <c r="A1067" s="7" t="s">
        <v>2687</v>
      </c>
      <c r="B1067" s="7" t="s">
        <v>1854</v>
      </c>
      <c r="C1067" s="9" t="s">
        <v>1704</v>
      </c>
      <c r="D1067" s="13" t="s">
        <v>1816</v>
      </c>
    </row>
    <row r="1068" customFormat="false" ht="15" hidden="false" customHeight="false" outlineLevel="0" collapsed="false">
      <c r="A1068" s="7" t="s">
        <v>2688</v>
      </c>
      <c r="B1068" s="7" t="s">
        <v>1838</v>
      </c>
      <c r="C1068" s="9" t="s">
        <v>1704</v>
      </c>
      <c r="D1068" s="13" t="s">
        <v>1823</v>
      </c>
    </row>
    <row r="1069" customFormat="false" ht="15" hidden="false" customHeight="false" outlineLevel="0" collapsed="false">
      <c r="A1069" s="7" t="s">
        <v>2688</v>
      </c>
      <c r="B1069" s="7" t="s">
        <v>1854</v>
      </c>
      <c r="C1069" s="8" t="s">
        <v>1706</v>
      </c>
      <c r="D1069" s="13" t="s">
        <v>1816</v>
      </c>
    </row>
    <row r="1070" customFormat="false" ht="15" hidden="false" customHeight="false" outlineLevel="0" collapsed="false">
      <c r="A1070" s="7" t="s">
        <v>2689</v>
      </c>
      <c r="B1070" s="7" t="s">
        <v>1854</v>
      </c>
      <c r="C1070" s="9" t="s">
        <v>1704</v>
      </c>
      <c r="D1070" s="13" t="s">
        <v>1816</v>
      </c>
    </row>
    <row r="1071" customFormat="false" ht="15" hidden="false" customHeight="false" outlineLevel="0" collapsed="false">
      <c r="A1071" s="7" t="s">
        <v>2690</v>
      </c>
      <c r="B1071" s="7" t="s">
        <v>1838</v>
      </c>
      <c r="C1071" s="9" t="s">
        <v>1704</v>
      </c>
      <c r="D1071" s="13" t="s">
        <v>1823</v>
      </c>
    </row>
    <row r="1072" customFormat="false" ht="15" hidden="false" customHeight="false" outlineLevel="0" collapsed="false">
      <c r="A1072" s="7" t="s">
        <v>2691</v>
      </c>
      <c r="B1072" s="7" t="s">
        <v>1883</v>
      </c>
      <c r="C1072" s="8" t="s">
        <v>1706</v>
      </c>
      <c r="D1072" s="13" t="s">
        <v>1816</v>
      </c>
    </row>
    <row r="1073" customFormat="false" ht="15" hidden="false" customHeight="false" outlineLevel="0" collapsed="false">
      <c r="A1073" s="7" t="s">
        <v>2691</v>
      </c>
      <c r="B1073" s="7" t="s">
        <v>1854</v>
      </c>
      <c r="C1073" s="8" t="s">
        <v>1706</v>
      </c>
      <c r="D1073" s="13" t="s">
        <v>1816</v>
      </c>
    </row>
    <row r="1074" customFormat="false" ht="15" hidden="false" customHeight="false" outlineLevel="0" collapsed="false">
      <c r="A1074" s="7" t="s">
        <v>2692</v>
      </c>
      <c r="B1074" s="7" t="s">
        <v>1883</v>
      </c>
      <c r="C1074" s="9" t="s">
        <v>1704</v>
      </c>
      <c r="D1074" s="13" t="s">
        <v>1816</v>
      </c>
    </row>
    <row r="1075" customFormat="false" ht="15" hidden="false" customHeight="false" outlineLevel="0" collapsed="false">
      <c r="A1075" s="7" t="s">
        <v>2693</v>
      </c>
      <c r="B1075" s="7" t="s">
        <v>1749</v>
      </c>
      <c r="C1075" s="9" t="s">
        <v>1704</v>
      </c>
      <c r="D1075" s="13" t="s">
        <v>1745</v>
      </c>
    </row>
    <row r="1076" customFormat="false" ht="15" hidden="false" customHeight="false" outlineLevel="0" collapsed="false">
      <c r="A1076" s="7" t="s">
        <v>2694</v>
      </c>
      <c r="B1076" s="7" t="s">
        <v>1836</v>
      </c>
      <c r="C1076" s="9" t="s">
        <v>1704</v>
      </c>
      <c r="D1076" s="13" t="s">
        <v>1816</v>
      </c>
    </row>
    <row r="1077" customFormat="false" ht="15" hidden="false" customHeight="false" outlineLevel="0" collapsed="false">
      <c r="A1077" s="7" t="s">
        <v>2694</v>
      </c>
      <c r="B1077" s="7" t="s">
        <v>1854</v>
      </c>
      <c r="C1077" s="9" t="s">
        <v>1704</v>
      </c>
      <c r="D1077" s="13" t="s">
        <v>1816</v>
      </c>
    </row>
    <row r="1078" customFormat="false" ht="15" hidden="false" customHeight="false" outlineLevel="0" collapsed="false">
      <c r="A1078" s="7" t="s">
        <v>2695</v>
      </c>
      <c r="B1078" s="7" t="s">
        <v>1875</v>
      </c>
      <c r="C1078" s="9" t="s">
        <v>1704</v>
      </c>
      <c r="D1078" s="13" t="s">
        <v>1816</v>
      </c>
    </row>
    <row r="1079" customFormat="false" ht="15" hidden="false" customHeight="false" outlineLevel="0" collapsed="false">
      <c r="A1079" s="7" t="s">
        <v>2696</v>
      </c>
      <c r="B1079" s="7" t="s">
        <v>1867</v>
      </c>
      <c r="C1079" s="9" t="s">
        <v>1704</v>
      </c>
      <c r="D1079" s="13" t="s">
        <v>1816</v>
      </c>
    </row>
    <row r="1080" customFormat="false" ht="15" hidden="false" customHeight="false" outlineLevel="0" collapsed="false">
      <c r="A1080" s="7" t="s">
        <v>2696</v>
      </c>
      <c r="B1080" s="7" t="s">
        <v>1863</v>
      </c>
      <c r="C1080" s="8" t="s">
        <v>1706</v>
      </c>
      <c r="D1080" s="13" t="s">
        <v>1816</v>
      </c>
    </row>
    <row r="1081" customFormat="false" ht="15" hidden="false" customHeight="false" outlineLevel="0" collapsed="false">
      <c r="A1081" s="7" t="s">
        <v>2697</v>
      </c>
      <c r="B1081" s="7" t="s">
        <v>1863</v>
      </c>
      <c r="C1081" s="8" t="s">
        <v>1706</v>
      </c>
      <c r="D1081" s="13" t="s">
        <v>1816</v>
      </c>
    </row>
    <row r="1082" customFormat="false" ht="15" hidden="false" customHeight="false" outlineLevel="0" collapsed="false">
      <c r="A1082" s="7" t="s">
        <v>2698</v>
      </c>
      <c r="B1082" s="7" t="s">
        <v>1863</v>
      </c>
      <c r="C1082" s="8" t="s">
        <v>1706</v>
      </c>
      <c r="D1082" s="13" t="s">
        <v>1816</v>
      </c>
    </row>
    <row r="1083" customFormat="false" ht="15" hidden="false" customHeight="false" outlineLevel="0" collapsed="false">
      <c r="A1083" s="7" t="s">
        <v>2699</v>
      </c>
      <c r="B1083" s="7" t="s">
        <v>1863</v>
      </c>
      <c r="C1083" s="8" t="s">
        <v>1706</v>
      </c>
      <c r="D1083" s="13" t="s">
        <v>1816</v>
      </c>
    </row>
    <row r="1084" customFormat="false" ht="15" hidden="false" customHeight="false" outlineLevel="0" collapsed="false">
      <c r="A1084" s="7" t="s">
        <v>2699</v>
      </c>
      <c r="B1084" s="7" t="s">
        <v>1883</v>
      </c>
      <c r="C1084" s="8" t="s">
        <v>1706</v>
      </c>
      <c r="D1084" s="13" t="s">
        <v>1816</v>
      </c>
    </row>
    <row r="1085" customFormat="false" ht="15" hidden="false" customHeight="false" outlineLevel="0" collapsed="false">
      <c r="A1085" s="7" t="s">
        <v>2700</v>
      </c>
      <c r="B1085" s="7" t="s">
        <v>1863</v>
      </c>
      <c r="C1085" s="8" t="s">
        <v>1706</v>
      </c>
      <c r="D1085" s="13" t="s">
        <v>1816</v>
      </c>
    </row>
    <row r="1086" customFormat="false" ht="15" hidden="false" customHeight="false" outlineLevel="0" collapsed="false">
      <c r="A1086" s="7" t="s">
        <v>2700</v>
      </c>
      <c r="B1086" s="7" t="s">
        <v>1888</v>
      </c>
      <c r="C1086" s="8" t="s">
        <v>1706</v>
      </c>
      <c r="D1086" s="13" t="s">
        <v>1820</v>
      </c>
    </row>
    <row r="1087" customFormat="false" ht="15" hidden="false" customHeight="false" outlineLevel="0" collapsed="false">
      <c r="A1087" s="7" t="s">
        <v>2701</v>
      </c>
      <c r="B1087" s="7" t="s">
        <v>1883</v>
      </c>
      <c r="C1087" s="8" t="s">
        <v>1706</v>
      </c>
      <c r="D1087" s="13" t="s">
        <v>1816</v>
      </c>
    </row>
    <row r="1088" customFormat="false" ht="15" hidden="false" customHeight="false" outlineLevel="0" collapsed="false">
      <c r="A1088" s="7" t="s">
        <v>2702</v>
      </c>
      <c r="B1088" s="7" t="s">
        <v>1883</v>
      </c>
      <c r="C1088" s="8" t="s">
        <v>1706</v>
      </c>
      <c r="D1088" s="13" t="s">
        <v>1816</v>
      </c>
    </row>
    <row r="1089" customFormat="false" ht="15" hidden="false" customHeight="false" outlineLevel="0" collapsed="false">
      <c r="A1089" s="7" t="s">
        <v>2703</v>
      </c>
      <c r="B1089" s="7" t="s">
        <v>1929</v>
      </c>
      <c r="C1089" s="8" t="s">
        <v>1706</v>
      </c>
      <c r="D1089" s="13" t="s">
        <v>1816</v>
      </c>
    </row>
    <row r="1090" customFormat="false" ht="15" hidden="false" customHeight="false" outlineLevel="0" collapsed="false">
      <c r="A1090" s="7" t="s">
        <v>2704</v>
      </c>
      <c r="B1090" s="7" t="s">
        <v>1854</v>
      </c>
      <c r="C1090" s="8" t="s">
        <v>1706</v>
      </c>
      <c r="D1090" s="13" t="s">
        <v>1816</v>
      </c>
    </row>
    <row r="1091" customFormat="false" ht="15" hidden="false" customHeight="false" outlineLevel="0" collapsed="false">
      <c r="A1091" s="7" t="s">
        <v>2705</v>
      </c>
      <c r="B1091" s="7" t="s">
        <v>1744</v>
      </c>
      <c r="C1091" s="8" t="s">
        <v>1706</v>
      </c>
      <c r="D1091" s="13" t="s">
        <v>1745</v>
      </c>
    </row>
    <row r="1092" customFormat="false" ht="15" hidden="false" customHeight="false" outlineLevel="0" collapsed="false">
      <c r="A1092" s="7" t="s">
        <v>2705</v>
      </c>
      <c r="B1092" s="7" t="s">
        <v>1747</v>
      </c>
      <c r="C1092" s="8" t="s">
        <v>1706</v>
      </c>
      <c r="D1092" s="13" t="s">
        <v>1745</v>
      </c>
    </row>
    <row r="1093" customFormat="false" ht="15" hidden="false" customHeight="false" outlineLevel="0" collapsed="false">
      <c r="A1093" s="7" t="s">
        <v>2706</v>
      </c>
      <c r="B1093" s="7" t="s">
        <v>1836</v>
      </c>
      <c r="C1093" s="9" t="s">
        <v>1704</v>
      </c>
      <c r="D1093" s="13" t="s">
        <v>1816</v>
      </c>
    </row>
    <row r="1094" customFormat="false" ht="15" hidden="false" customHeight="false" outlineLevel="0" collapsed="false">
      <c r="A1094" s="7" t="s">
        <v>2707</v>
      </c>
      <c r="B1094" s="7" t="s">
        <v>1854</v>
      </c>
      <c r="C1094" s="9" t="s">
        <v>1704</v>
      </c>
      <c r="D1094" s="13" t="s">
        <v>1816</v>
      </c>
    </row>
    <row r="1095" customFormat="false" ht="15" hidden="false" customHeight="false" outlineLevel="0" collapsed="false">
      <c r="A1095" s="7" t="s">
        <v>2708</v>
      </c>
      <c r="B1095" s="7" t="s">
        <v>1854</v>
      </c>
      <c r="C1095" s="8" t="s">
        <v>1706</v>
      </c>
      <c r="D1095" s="13" t="s">
        <v>1816</v>
      </c>
    </row>
    <row r="1096" customFormat="false" ht="15" hidden="false" customHeight="false" outlineLevel="0" collapsed="false">
      <c r="A1096" s="7" t="s">
        <v>2709</v>
      </c>
      <c r="B1096" s="7" t="s">
        <v>1854</v>
      </c>
      <c r="C1096" s="9" t="s">
        <v>1704</v>
      </c>
      <c r="D1096" s="13" t="s">
        <v>1816</v>
      </c>
    </row>
    <row r="1097" customFormat="false" ht="15" hidden="false" customHeight="false" outlineLevel="0" collapsed="false">
      <c r="A1097" s="7" t="s">
        <v>2709</v>
      </c>
      <c r="B1097" s="7" t="s">
        <v>1836</v>
      </c>
      <c r="C1097" s="9" t="s">
        <v>1704</v>
      </c>
      <c r="D1097" s="13" t="s">
        <v>1816</v>
      </c>
    </row>
    <row r="1098" customFormat="false" ht="15" hidden="false" customHeight="false" outlineLevel="0" collapsed="false">
      <c r="A1098" s="7" t="s">
        <v>2710</v>
      </c>
      <c r="B1098" s="7" t="s">
        <v>1854</v>
      </c>
      <c r="C1098" s="8" t="s">
        <v>1706</v>
      </c>
      <c r="D1098" s="13" t="s">
        <v>1816</v>
      </c>
    </row>
    <row r="1099" customFormat="false" ht="15" hidden="false" customHeight="false" outlineLevel="0" collapsed="false">
      <c r="A1099" s="7" t="s">
        <v>2711</v>
      </c>
      <c r="B1099" s="7" t="s">
        <v>1836</v>
      </c>
      <c r="C1099" s="9" t="s">
        <v>1704</v>
      </c>
      <c r="D1099" s="13" t="s">
        <v>1816</v>
      </c>
    </row>
    <row r="1100" customFormat="false" ht="15" hidden="false" customHeight="false" outlineLevel="0" collapsed="false">
      <c r="A1100" s="7" t="s">
        <v>2712</v>
      </c>
      <c r="B1100" s="7" t="s">
        <v>1976</v>
      </c>
      <c r="C1100" s="9" t="s">
        <v>1704</v>
      </c>
      <c r="D1100" s="13" t="s">
        <v>1820</v>
      </c>
    </row>
    <row r="1101" customFormat="false" ht="15" hidden="false" customHeight="false" outlineLevel="0" collapsed="false">
      <c r="A1101" s="7" t="s">
        <v>2713</v>
      </c>
      <c r="B1101" s="7" t="s">
        <v>1854</v>
      </c>
      <c r="C1101" s="9" t="s">
        <v>1704</v>
      </c>
      <c r="D1101" s="13" t="s">
        <v>1816</v>
      </c>
    </row>
    <row r="1102" customFormat="false" ht="15" hidden="false" customHeight="false" outlineLevel="0" collapsed="false">
      <c r="A1102" s="7" t="s">
        <v>2714</v>
      </c>
      <c r="B1102" s="7" t="s">
        <v>1976</v>
      </c>
      <c r="C1102" s="9" t="s">
        <v>1704</v>
      </c>
      <c r="D1102" s="13" t="s">
        <v>1820</v>
      </c>
    </row>
    <row r="1103" customFormat="false" ht="15" hidden="false" customHeight="false" outlineLevel="0" collapsed="false">
      <c r="A1103" s="7" t="s">
        <v>2715</v>
      </c>
      <c r="B1103" s="7" t="s">
        <v>1976</v>
      </c>
      <c r="C1103" s="9" t="s">
        <v>1704</v>
      </c>
      <c r="D1103" s="13" t="s">
        <v>1820</v>
      </c>
    </row>
    <row r="1104" customFormat="false" ht="15" hidden="false" customHeight="false" outlineLevel="0" collapsed="false">
      <c r="A1104" s="7" t="s">
        <v>2716</v>
      </c>
      <c r="B1104" s="7" t="s">
        <v>1867</v>
      </c>
      <c r="C1104" s="8" t="s">
        <v>1706</v>
      </c>
      <c r="D1104" s="13" t="s">
        <v>1816</v>
      </c>
    </row>
    <row r="1105" customFormat="false" ht="15" hidden="false" customHeight="false" outlineLevel="0" collapsed="false">
      <c r="A1105" s="7" t="s">
        <v>2716</v>
      </c>
      <c r="B1105" s="7" t="s">
        <v>1883</v>
      </c>
      <c r="C1105" s="8" t="s">
        <v>1706</v>
      </c>
      <c r="D1105" s="13" t="s">
        <v>1816</v>
      </c>
    </row>
    <row r="1106" customFormat="false" ht="15" hidden="false" customHeight="false" outlineLevel="0" collapsed="false">
      <c r="A1106" s="7" t="s">
        <v>2717</v>
      </c>
      <c r="B1106" s="7" t="s">
        <v>1976</v>
      </c>
      <c r="C1106" s="9" t="s">
        <v>1704</v>
      </c>
      <c r="D1106" s="13" t="s">
        <v>1820</v>
      </c>
    </row>
    <row r="1107" customFormat="false" ht="15" hidden="false" customHeight="false" outlineLevel="0" collapsed="false">
      <c r="A1107" s="7" t="s">
        <v>2717</v>
      </c>
      <c r="B1107" s="7" t="s">
        <v>1854</v>
      </c>
      <c r="C1107" s="8" t="s">
        <v>1706</v>
      </c>
      <c r="D1107" s="13" t="s">
        <v>1816</v>
      </c>
    </row>
    <row r="1108" customFormat="false" ht="15" hidden="false" customHeight="false" outlineLevel="0" collapsed="false">
      <c r="A1108" s="7" t="s">
        <v>2718</v>
      </c>
      <c r="B1108" s="7" t="s">
        <v>1819</v>
      </c>
      <c r="C1108" s="9" t="s">
        <v>1704</v>
      </c>
      <c r="D1108" s="13" t="s">
        <v>1820</v>
      </c>
    </row>
    <row r="1109" customFormat="false" ht="15" hidden="false" customHeight="false" outlineLevel="0" collapsed="false">
      <c r="A1109" s="7" t="s">
        <v>2719</v>
      </c>
      <c r="B1109" s="7" t="s">
        <v>1838</v>
      </c>
      <c r="C1109" s="9" t="s">
        <v>1704</v>
      </c>
      <c r="D1109" s="13" t="s">
        <v>1823</v>
      </c>
    </row>
    <row r="1110" customFormat="false" ht="15" hidden="false" customHeight="false" outlineLevel="0" collapsed="false">
      <c r="A1110" s="7" t="s">
        <v>2720</v>
      </c>
      <c r="B1110" s="7" t="s">
        <v>1836</v>
      </c>
      <c r="C1110" s="9" t="s">
        <v>1704</v>
      </c>
      <c r="D1110" s="13" t="s">
        <v>1816</v>
      </c>
    </row>
    <row r="1111" customFormat="false" ht="15" hidden="false" customHeight="false" outlineLevel="0" collapsed="false">
      <c r="A1111" s="7" t="s">
        <v>2721</v>
      </c>
      <c r="B1111" s="7" t="s">
        <v>1854</v>
      </c>
      <c r="C1111" s="9" t="s">
        <v>1704</v>
      </c>
      <c r="D1111" s="13" t="s">
        <v>1816</v>
      </c>
    </row>
    <row r="1112" customFormat="false" ht="15" hidden="false" customHeight="false" outlineLevel="0" collapsed="false">
      <c r="A1112" s="7" t="s">
        <v>2722</v>
      </c>
      <c r="B1112" s="7" t="s">
        <v>1854</v>
      </c>
      <c r="C1112" s="8" t="s">
        <v>1706</v>
      </c>
      <c r="D1112" s="13" t="s">
        <v>1816</v>
      </c>
    </row>
    <row r="1113" customFormat="false" ht="15" hidden="false" customHeight="false" outlineLevel="0" collapsed="false">
      <c r="A1113" s="7" t="s">
        <v>2723</v>
      </c>
      <c r="B1113" s="7" t="s">
        <v>1836</v>
      </c>
      <c r="C1113" s="9" t="s">
        <v>1704</v>
      </c>
      <c r="D1113" s="13" t="s">
        <v>1816</v>
      </c>
    </row>
    <row r="1114" customFormat="false" ht="15" hidden="false" customHeight="false" outlineLevel="0" collapsed="false">
      <c r="A1114" s="7" t="s">
        <v>2723</v>
      </c>
      <c r="B1114" s="7" t="s">
        <v>1854</v>
      </c>
      <c r="C1114" s="9" t="s">
        <v>1704</v>
      </c>
      <c r="D1114" s="13" t="s">
        <v>1816</v>
      </c>
    </row>
    <row r="1115" customFormat="false" ht="15" hidden="false" customHeight="false" outlineLevel="0" collapsed="false">
      <c r="A1115" s="7" t="s">
        <v>2724</v>
      </c>
      <c r="B1115" s="7" t="s">
        <v>1854</v>
      </c>
      <c r="C1115" s="8" t="s">
        <v>1706</v>
      </c>
      <c r="D1115" s="13" t="s">
        <v>1816</v>
      </c>
    </row>
    <row r="1116" customFormat="false" ht="15" hidden="false" customHeight="false" outlineLevel="0" collapsed="false">
      <c r="A1116" s="7" t="s">
        <v>2725</v>
      </c>
      <c r="B1116" s="7" t="s">
        <v>1867</v>
      </c>
      <c r="C1116" s="9" t="s">
        <v>1704</v>
      </c>
      <c r="D1116" s="13" t="s">
        <v>1816</v>
      </c>
    </row>
    <row r="1117" customFormat="false" ht="15" hidden="false" customHeight="false" outlineLevel="0" collapsed="false">
      <c r="A1117" s="7" t="s">
        <v>2725</v>
      </c>
      <c r="B1117" s="7" t="s">
        <v>2336</v>
      </c>
      <c r="C1117" s="8" t="s">
        <v>1706</v>
      </c>
      <c r="D1117" s="13" t="s">
        <v>1820</v>
      </c>
    </row>
    <row r="1118" customFormat="false" ht="15" hidden="false" customHeight="false" outlineLevel="0" collapsed="false">
      <c r="A1118" s="7" t="s">
        <v>2726</v>
      </c>
      <c r="B1118" s="7" t="s">
        <v>1867</v>
      </c>
      <c r="C1118" s="8" t="s">
        <v>1706</v>
      </c>
      <c r="D1118" s="13" t="s">
        <v>1816</v>
      </c>
    </row>
    <row r="1119" customFormat="false" ht="15" hidden="false" customHeight="false" outlineLevel="0" collapsed="false">
      <c r="A1119" s="7" t="s">
        <v>2727</v>
      </c>
      <c r="B1119" s="7" t="s">
        <v>1838</v>
      </c>
      <c r="C1119" s="9" t="s">
        <v>1704</v>
      </c>
      <c r="D1119" s="13" t="s">
        <v>1823</v>
      </c>
    </row>
    <row r="1120" customFormat="false" ht="15" hidden="false" customHeight="false" outlineLevel="0" collapsed="false">
      <c r="A1120" s="7" t="s">
        <v>2727</v>
      </c>
      <c r="B1120" s="7" t="s">
        <v>1815</v>
      </c>
      <c r="C1120" s="9" t="s">
        <v>1704</v>
      </c>
      <c r="D1120" s="13" t="s">
        <v>1816</v>
      </c>
    </row>
    <row r="1121" customFormat="false" ht="15" hidden="false" customHeight="false" outlineLevel="0" collapsed="false">
      <c r="A1121" s="7" t="s">
        <v>2728</v>
      </c>
      <c r="B1121" s="7" t="s">
        <v>1815</v>
      </c>
      <c r="C1121" s="9" t="s">
        <v>1704</v>
      </c>
      <c r="D1121" s="13" t="s">
        <v>1816</v>
      </c>
    </row>
    <row r="1122" customFormat="false" ht="15" hidden="false" customHeight="false" outlineLevel="0" collapsed="false">
      <c r="A1122" s="7" t="s">
        <v>2729</v>
      </c>
      <c r="B1122" s="7" t="s">
        <v>2730</v>
      </c>
      <c r="C1122" s="8" t="s">
        <v>1706</v>
      </c>
      <c r="D1122" s="13" t="s">
        <v>2731</v>
      </c>
    </row>
    <row r="1123" customFormat="false" ht="15" hidden="false" customHeight="false" outlineLevel="0" collapsed="false">
      <c r="A1123" s="7" t="s">
        <v>2732</v>
      </c>
      <c r="B1123" s="7" t="s">
        <v>1883</v>
      </c>
      <c r="C1123" s="9" t="s">
        <v>1704</v>
      </c>
      <c r="D1123" s="13" t="s">
        <v>1816</v>
      </c>
    </row>
    <row r="1124" customFormat="false" ht="15" hidden="false" customHeight="false" outlineLevel="0" collapsed="false">
      <c r="A1124" s="7" t="s">
        <v>2733</v>
      </c>
      <c r="B1124" s="7" t="s">
        <v>1815</v>
      </c>
      <c r="C1124" s="9" t="s">
        <v>1704</v>
      </c>
      <c r="D1124" s="13" t="s">
        <v>1816</v>
      </c>
    </row>
    <row r="1125" customFormat="false" ht="15" hidden="false" customHeight="false" outlineLevel="0" collapsed="false">
      <c r="A1125" s="7" t="s">
        <v>2734</v>
      </c>
      <c r="B1125" s="7" t="s">
        <v>1815</v>
      </c>
      <c r="C1125" s="9" t="s">
        <v>1704</v>
      </c>
      <c r="D1125" s="13" t="s">
        <v>1816</v>
      </c>
    </row>
    <row r="1126" customFormat="false" ht="15" hidden="false" customHeight="false" outlineLevel="0" collapsed="false">
      <c r="A1126" s="7" t="s">
        <v>2735</v>
      </c>
      <c r="B1126" s="7" t="s">
        <v>1838</v>
      </c>
      <c r="C1126" s="9" t="s">
        <v>1704</v>
      </c>
      <c r="D1126" s="13" t="s">
        <v>1823</v>
      </c>
    </row>
    <row r="1127" customFormat="false" ht="15" hidden="false" customHeight="false" outlineLevel="0" collapsed="false">
      <c r="A1127" s="7" t="s">
        <v>2735</v>
      </c>
      <c r="B1127" s="7" t="s">
        <v>2590</v>
      </c>
      <c r="C1127" s="9" t="s">
        <v>1704</v>
      </c>
      <c r="D1127" s="13" t="s">
        <v>1823</v>
      </c>
    </row>
    <row r="1128" customFormat="false" ht="15" hidden="false" customHeight="false" outlineLevel="0" collapsed="false">
      <c r="A1128" s="7" t="s">
        <v>2736</v>
      </c>
      <c r="B1128" s="7" t="s">
        <v>1883</v>
      </c>
      <c r="C1128" s="9" t="s">
        <v>1704</v>
      </c>
      <c r="D1128" s="13" t="s">
        <v>1816</v>
      </c>
    </row>
    <row r="1129" customFormat="false" ht="15" hidden="false" customHeight="false" outlineLevel="0" collapsed="false">
      <c r="A1129" s="7" t="s">
        <v>2736</v>
      </c>
      <c r="B1129" s="7" t="s">
        <v>2563</v>
      </c>
      <c r="C1129" s="9" t="s">
        <v>1704</v>
      </c>
      <c r="D1129" s="13" t="s">
        <v>1823</v>
      </c>
    </row>
    <row r="1130" customFormat="false" ht="15" hidden="false" customHeight="false" outlineLevel="0" collapsed="false">
      <c r="A1130" s="7" t="s">
        <v>2737</v>
      </c>
      <c r="B1130" s="7" t="s">
        <v>2738</v>
      </c>
      <c r="C1130" s="9" t="s">
        <v>1704</v>
      </c>
      <c r="D1130" s="13" t="s">
        <v>2731</v>
      </c>
    </row>
    <row r="1131" customFormat="false" ht="15" hidden="false" customHeight="false" outlineLevel="0" collapsed="false">
      <c r="A1131" s="7" t="s">
        <v>2739</v>
      </c>
      <c r="B1131" s="7" t="s">
        <v>1815</v>
      </c>
      <c r="C1131" s="9" t="s">
        <v>1704</v>
      </c>
      <c r="D1131" s="13" t="s">
        <v>1816</v>
      </c>
    </row>
    <row r="1132" customFormat="false" ht="15" hidden="false" customHeight="false" outlineLevel="0" collapsed="false">
      <c r="A1132" s="7" t="s">
        <v>2740</v>
      </c>
      <c r="B1132" s="7" t="s">
        <v>1815</v>
      </c>
      <c r="C1132" s="9" t="s">
        <v>1704</v>
      </c>
      <c r="D1132" s="13" t="s">
        <v>1816</v>
      </c>
    </row>
    <row r="1133" customFormat="false" ht="15" hidden="false" customHeight="false" outlineLevel="0" collapsed="false">
      <c r="A1133" s="7" t="s">
        <v>2741</v>
      </c>
      <c r="B1133" s="7" t="s">
        <v>2730</v>
      </c>
      <c r="C1133" s="8" t="s">
        <v>1706</v>
      </c>
      <c r="D1133" s="13" t="s">
        <v>2731</v>
      </c>
    </row>
    <row r="1134" customFormat="false" ht="15" hidden="false" customHeight="false" outlineLevel="0" collapsed="false">
      <c r="A1134" s="7" t="s">
        <v>2742</v>
      </c>
      <c r="B1134" s="7" t="s">
        <v>1815</v>
      </c>
      <c r="C1134" s="9" t="s">
        <v>1704</v>
      </c>
      <c r="D1134" s="13" t="s">
        <v>1816</v>
      </c>
    </row>
    <row r="1135" customFormat="false" ht="15" hidden="false" customHeight="false" outlineLevel="0" collapsed="false">
      <c r="A1135" s="7" t="s">
        <v>2743</v>
      </c>
      <c r="B1135" s="7" t="s">
        <v>1883</v>
      </c>
      <c r="C1135" s="9" t="s">
        <v>1704</v>
      </c>
      <c r="D1135" s="13" t="s">
        <v>1816</v>
      </c>
    </row>
    <row r="1136" customFormat="false" ht="15" hidden="false" customHeight="false" outlineLevel="0" collapsed="false">
      <c r="A1136" s="7" t="s">
        <v>2744</v>
      </c>
      <c r="B1136" s="7" t="s">
        <v>2738</v>
      </c>
      <c r="C1136" s="9" t="s">
        <v>1704</v>
      </c>
      <c r="D1136" s="13" t="s">
        <v>2731</v>
      </c>
    </row>
    <row r="1137" customFormat="false" ht="15" hidden="false" customHeight="false" outlineLevel="0" collapsed="false">
      <c r="A1137" s="7" t="s">
        <v>2745</v>
      </c>
      <c r="B1137" s="7" t="s">
        <v>1929</v>
      </c>
      <c r="C1137" s="9" t="s">
        <v>1704</v>
      </c>
      <c r="D1137" s="13" t="s">
        <v>1816</v>
      </c>
    </row>
    <row r="1138" customFormat="false" ht="15" hidden="false" customHeight="false" outlineLevel="0" collapsed="false">
      <c r="A1138" s="7" t="s">
        <v>2746</v>
      </c>
      <c r="B1138" s="7" t="s">
        <v>1883</v>
      </c>
      <c r="C1138" s="9" t="s">
        <v>1704</v>
      </c>
      <c r="D1138" s="13" t="s">
        <v>1816</v>
      </c>
    </row>
    <row r="1139" customFormat="false" ht="15" hidden="false" customHeight="false" outlineLevel="0" collapsed="false">
      <c r="A1139" s="7" t="s">
        <v>2747</v>
      </c>
      <c r="B1139" s="7" t="s">
        <v>2738</v>
      </c>
      <c r="C1139" s="9" t="s">
        <v>1704</v>
      </c>
      <c r="D1139" s="13" t="s">
        <v>2731</v>
      </c>
    </row>
    <row r="1140" customFormat="false" ht="15" hidden="false" customHeight="false" outlineLevel="0" collapsed="false">
      <c r="A1140" s="7" t="s">
        <v>2747</v>
      </c>
      <c r="B1140" s="7" t="s">
        <v>2748</v>
      </c>
      <c r="C1140" s="9" t="s">
        <v>1704</v>
      </c>
      <c r="D1140" s="13" t="s">
        <v>2731</v>
      </c>
    </row>
    <row r="1141" customFormat="false" ht="15" hidden="false" customHeight="false" outlineLevel="0" collapsed="false">
      <c r="A1141" s="7" t="s">
        <v>2747</v>
      </c>
      <c r="B1141" s="7" t="s">
        <v>2563</v>
      </c>
      <c r="C1141" s="9" t="s">
        <v>1704</v>
      </c>
      <c r="D1141" s="13" t="s">
        <v>1823</v>
      </c>
    </row>
    <row r="1142" customFormat="false" ht="15" hidden="false" customHeight="false" outlineLevel="0" collapsed="false">
      <c r="A1142" s="7" t="s">
        <v>2749</v>
      </c>
      <c r="B1142" s="7" t="s">
        <v>2750</v>
      </c>
      <c r="C1142" s="9" t="s">
        <v>1704</v>
      </c>
      <c r="D1142" s="13" t="s">
        <v>2731</v>
      </c>
    </row>
    <row r="1143" customFormat="false" ht="15" hidden="false" customHeight="false" outlineLevel="0" collapsed="false">
      <c r="A1143" s="7" t="s">
        <v>2751</v>
      </c>
      <c r="B1143" s="7" t="s">
        <v>1838</v>
      </c>
      <c r="C1143" s="9" t="s">
        <v>1704</v>
      </c>
      <c r="D1143" s="13" t="s">
        <v>1823</v>
      </c>
    </row>
    <row r="1144" customFormat="false" ht="15" hidden="false" customHeight="false" outlineLevel="0" collapsed="false">
      <c r="A1144" s="7" t="s">
        <v>2752</v>
      </c>
      <c r="B1144" s="7" t="s">
        <v>1883</v>
      </c>
      <c r="C1144" s="9" t="s">
        <v>1704</v>
      </c>
      <c r="D1144" s="13" t="s">
        <v>1816</v>
      </c>
    </row>
    <row r="1145" customFormat="false" ht="15" hidden="false" customHeight="false" outlineLevel="0" collapsed="false">
      <c r="A1145" s="7" t="s">
        <v>2753</v>
      </c>
      <c r="B1145" s="7" t="s">
        <v>2730</v>
      </c>
      <c r="C1145" s="8" t="s">
        <v>1706</v>
      </c>
      <c r="D1145" s="13" t="s">
        <v>2731</v>
      </c>
    </row>
    <row r="1146" customFormat="false" ht="15" hidden="false" customHeight="false" outlineLevel="0" collapsed="false">
      <c r="A1146" s="7" t="s">
        <v>2754</v>
      </c>
      <c r="B1146" s="7" t="s">
        <v>2738</v>
      </c>
      <c r="C1146" s="9" t="s">
        <v>1704</v>
      </c>
      <c r="D1146" s="13" t="s">
        <v>2731</v>
      </c>
    </row>
    <row r="1147" customFormat="false" ht="15" hidden="false" customHeight="false" outlineLevel="0" collapsed="false">
      <c r="A1147" s="7" t="s">
        <v>2754</v>
      </c>
      <c r="B1147" s="7" t="s">
        <v>1883</v>
      </c>
      <c r="C1147" s="9" t="s">
        <v>1704</v>
      </c>
      <c r="D1147" s="13" t="s">
        <v>1816</v>
      </c>
    </row>
    <row r="1148" customFormat="false" ht="15" hidden="false" customHeight="false" outlineLevel="0" collapsed="false">
      <c r="A1148" s="7" t="s">
        <v>2755</v>
      </c>
      <c r="B1148" s="7" t="s">
        <v>1838</v>
      </c>
      <c r="C1148" s="9" t="s">
        <v>1704</v>
      </c>
      <c r="D1148" s="13" t="s">
        <v>1823</v>
      </c>
    </row>
    <row r="1149" customFormat="false" ht="15" hidden="false" customHeight="false" outlineLevel="0" collapsed="false">
      <c r="A1149" s="7" t="s">
        <v>2756</v>
      </c>
      <c r="B1149" s="7" t="s">
        <v>1883</v>
      </c>
      <c r="C1149" s="9" t="s">
        <v>1704</v>
      </c>
      <c r="D1149" s="13" t="s">
        <v>1816</v>
      </c>
    </row>
    <row r="1150" customFormat="false" ht="15" hidden="false" customHeight="false" outlineLevel="0" collapsed="false">
      <c r="A1150" s="7" t="s">
        <v>2757</v>
      </c>
      <c r="B1150" s="7" t="s">
        <v>1749</v>
      </c>
      <c r="C1150" s="9" t="s">
        <v>1704</v>
      </c>
      <c r="D1150" s="13" t="s">
        <v>1745</v>
      </c>
    </row>
    <row r="1151" customFormat="false" ht="15" hidden="false" customHeight="false" outlineLevel="0" collapsed="false">
      <c r="A1151" s="7" t="s">
        <v>2758</v>
      </c>
      <c r="B1151" s="7" t="s">
        <v>2738</v>
      </c>
      <c r="C1151" s="9" t="s">
        <v>1704</v>
      </c>
      <c r="D1151" s="13" t="s">
        <v>2731</v>
      </c>
    </row>
    <row r="1152" customFormat="false" ht="15" hidden="false" customHeight="false" outlineLevel="0" collapsed="false">
      <c r="A1152" s="7" t="s">
        <v>2759</v>
      </c>
      <c r="B1152" s="7" t="s">
        <v>1815</v>
      </c>
      <c r="C1152" s="9" t="s">
        <v>1704</v>
      </c>
      <c r="D1152" s="13" t="s">
        <v>1816</v>
      </c>
    </row>
    <row r="1153" customFormat="false" ht="15" hidden="false" customHeight="false" outlineLevel="0" collapsed="false">
      <c r="A1153" s="7" t="s">
        <v>2760</v>
      </c>
      <c r="B1153" s="7" t="s">
        <v>1838</v>
      </c>
      <c r="C1153" s="9" t="s">
        <v>1704</v>
      </c>
      <c r="D1153" s="13" t="s">
        <v>1823</v>
      </c>
    </row>
    <row r="1154" customFormat="false" ht="15" hidden="false" customHeight="false" outlineLevel="0" collapsed="false">
      <c r="A1154" s="7" t="s">
        <v>2761</v>
      </c>
      <c r="B1154" s="7" t="s">
        <v>1815</v>
      </c>
      <c r="C1154" s="9" t="s">
        <v>1704</v>
      </c>
      <c r="D1154" s="13" t="s">
        <v>1816</v>
      </c>
    </row>
    <row r="1155" customFormat="false" ht="15" hidden="false" customHeight="false" outlineLevel="0" collapsed="false">
      <c r="A1155" s="7" t="s">
        <v>2762</v>
      </c>
      <c r="B1155" s="7" t="s">
        <v>1815</v>
      </c>
      <c r="C1155" s="9" t="s">
        <v>1704</v>
      </c>
      <c r="D1155" s="13" t="s">
        <v>1816</v>
      </c>
    </row>
    <row r="1156" customFormat="false" ht="15" hidden="false" customHeight="false" outlineLevel="0" collapsed="false">
      <c r="A1156" s="7" t="s">
        <v>2763</v>
      </c>
      <c r="B1156" s="7" t="s">
        <v>1883</v>
      </c>
      <c r="C1156" s="9" t="s">
        <v>1704</v>
      </c>
      <c r="D1156" s="13" t="s">
        <v>1816</v>
      </c>
    </row>
    <row r="1157" customFormat="false" ht="15" hidden="false" customHeight="false" outlineLevel="0" collapsed="false">
      <c r="A1157" s="7" t="s">
        <v>2764</v>
      </c>
      <c r="B1157" s="7" t="s">
        <v>2738</v>
      </c>
      <c r="C1157" s="9" t="s">
        <v>1704</v>
      </c>
      <c r="D1157" s="13" t="s">
        <v>2731</v>
      </c>
    </row>
    <row r="1158" customFormat="false" ht="15" hidden="false" customHeight="false" outlineLevel="0" collapsed="false">
      <c r="A1158" s="7" t="s">
        <v>2765</v>
      </c>
      <c r="B1158" s="7" t="s">
        <v>1815</v>
      </c>
      <c r="C1158" s="9" t="s">
        <v>1704</v>
      </c>
      <c r="D1158" s="13" t="s">
        <v>1816</v>
      </c>
    </row>
    <row r="1159" customFormat="false" ht="15" hidden="false" customHeight="false" outlineLevel="0" collapsed="false">
      <c r="A1159" s="7" t="s">
        <v>2766</v>
      </c>
      <c r="B1159" s="7" t="s">
        <v>1815</v>
      </c>
      <c r="C1159" s="9" t="s">
        <v>1704</v>
      </c>
      <c r="D1159" s="13" t="s">
        <v>1816</v>
      </c>
    </row>
    <row r="1160" customFormat="false" ht="15" hidden="false" customHeight="false" outlineLevel="0" collapsed="false">
      <c r="A1160" s="7" t="s">
        <v>2767</v>
      </c>
      <c r="B1160" s="7" t="s">
        <v>1815</v>
      </c>
      <c r="C1160" s="9" t="s">
        <v>1704</v>
      </c>
      <c r="D1160" s="13" t="s">
        <v>1816</v>
      </c>
    </row>
    <row r="1161" customFormat="false" ht="15" hidden="false" customHeight="false" outlineLevel="0" collapsed="false">
      <c r="A1161" s="7" t="s">
        <v>2768</v>
      </c>
      <c r="B1161" s="7" t="s">
        <v>1883</v>
      </c>
      <c r="C1161" s="9" t="s">
        <v>1704</v>
      </c>
      <c r="D1161" s="13" t="s">
        <v>1816</v>
      </c>
    </row>
    <row r="1162" customFormat="false" ht="15" hidden="false" customHeight="false" outlineLevel="0" collapsed="false">
      <c r="A1162" s="7" t="s">
        <v>2769</v>
      </c>
      <c r="B1162" s="7" t="s">
        <v>2563</v>
      </c>
      <c r="C1162" s="9" t="s">
        <v>1704</v>
      </c>
      <c r="D1162" s="13" t="s">
        <v>1823</v>
      </c>
    </row>
    <row r="1163" customFormat="false" ht="15" hidden="false" customHeight="false" outlineLevel="0" collapsed="false">
      <c r="A1163" s="7" t="s">
        <v>2770</v>
      </c>
      <c r="B1163" s="7" t="s">
        <v>2738</v>
      </c>
      <c r="C1163" s="9" t="s">
        <v>1704</v>
      </c>
      <c r="D1163" s="13" t="s">
        <v>2731</v>
      </c>
    </row>
    <row r="1164" customFormat="false" ht="15" hidden="false" customHeight="false" outlineLevel="0" collapsed="false">
      <c r="A1164" s="7" t="s">
        <v>2771</v>
      </c>
      <c r="B1164" s="7" t="s">
        <v>1838</v>
      </c>
      <c r="C1164" s="9" t="s">
        <v>1704</v>
      </c>
      <c r="D1164" s="13" t="s">
        <v>1823</v>
      </c>
    </row>
    <row r="1165" customFormat="false" ht="15" hidden="false" customHeight="false" outlineLevel="0" collapsed="false">
      <c r="A1165" s="7" t="s">
        <v>2771</v>
      </c>
      <c r="B1165" s="7" t="s">
        <v>1815</v>
      </c>
      <c r="C1165" s="9" t="s">
        <v>1704</v>
      </c>
      <c r="D1165" s="13" t="s">
        <v>1816</v>
      </c>
    </row>
    <row r="1166" customFormat="false" ht="15" hidden="false" customHeight="false" outlineLevel="0" collapsed="false">
      <c r="A1166" s="7" t="s">
        <v>2772</v>
      </c>
      <c r="B1166" s="7" t="s">
        <v>1838</v>
      </c>
      <c r="C1166" s="9" t="s">
        <v>1704</v>
      </c>
      <c r="D1166" s="13" t="s">
        <v>1823</v>
      </c>
    </row>
    <row r="1167" customFormat="false" ht="15" hidden="false" customHeight="false" outlineLevel="0" collapsed="false">
      <c r="A1167" s="7" t="s">
        <v>2773</v>
      </c>
      <c r="B1167" s="7" t="s">
        <v>1838</v>
      </c>
      <c r="C1167" s="9" t="s">
        <v>1704</v>
      </c>
      <c r="D1167" s="13" t="s">
        <v>1823</v>
      </c>
    </row>
    <row r="1168" customFormat="false" ht="15" hidden="false" customHeight="false" outlineLevel="0" collapsed="false">
      <c r="A1168" s="7" t="s">
        <v>2774</v>
      </c>
      <c r="B1168" s="7" t="s">
        <v>1883</v>
      </c>
      <c r="C1168" s="9" t="s">
        <v>1704</v>
      </c>
      <c r="D1168" s="13" t="s">
        <v>1816</v>
      </c>
    </row>
    <row r="1169" customFormat="false" ht="15" hidden="false" customHeight="false" outlineLevel="0" collapsed="false">
      <c r="A1169" s="7" t="s">
        <v>2775</v>
      </c>
      <c r="B1169" s="7" t="s">
        <v>1815</v>
      </c>
      <c r="C1169" s="9" t="s">
        <v>1704</v>
      </c>
      <c r="D1169" s="13" t="s">
        <v>1816</v>
      </c>
    </row>
    <row r="1170" customFormat="false" ht="15" hidden="false" customHeight="false" outlineLevel="0" collapsed="false">
      <c r="A1170" s="7" t="s">
        <v>2776</v>
      </c>
      <c r="B1170" s="7" t="s">
        <v>1815</v>
      </c>
      <c r="C1170" s="9" t="s">
        <v>1704</v>
      </c>
      <c r="D1170" s="13" t="s">
        <v>1816</v>
      </c>
    </row>
    <row r="1171" customFormat="false" ht="15" hidden="false" customHeight="false" outlineLevel="0" collapsed="false">
      <c r="A1171" s="7" t="s">
        <v>2777</v>
      </c>
      <c r="B1171" s="7" t="s">
        <v>1815</v>
      </c>
      <c r="C1171" s="9" t="s">
        <v>1704</v>
      </c>
      <c r="D1171" s="13" t="s">
        <v>1816</v>
      </c>
    </row>
    <row r="1172" customFormat="false" ht="15" hidden="false" customHeight="false" outlineLevel="0" collapsed="false">
      <c r="A1172" s="7" t="s">
        <v>2778</v>
      </c>
      <c r="B1172" s="7" t="s">
        <v>1815</v>
      </c>
      <c r="C1172" s="9" t="s">
        <v>1704</v>
      </c>
      <c r="D1172" s="13" t="s">
        <v>1816</v>
      </c>
    </row>
    <row r="1173" customFormat="false" ht="15" hidden="false" customHeight="false" outlineLevel="0" collapsed="false">
      <c r="A1173" s="7" t="s">
        <v>2779</v>
      </c>
      <c r="B1173" s="7" t="s">
        <v>1815</v>
      </c>
      <c r="C1173" s="9" t="s">
        <v>1704</v>
      </c>
      <c r="D1173" s="13" t="s">
        <v>1816</v>
      </c>
    </row>
    <row r="1174" customFormat="false" ht="15" hidden="false" customHeight="false" outlineLevel="0" collapsed="false">
      <c r="A1174" s="7" t="s">
        <v>2780</v>
      </c>
      <c r="B1174" s="7" t="s">
        <v>1815</v>
      </c>
      <c r="C1174" s="9" t="s">
        <v>1704</v>
      </c>
      <c r="D1174" s="13" t="s">
        <v>1816</v>
      </c>
    </row>
    <row r="1175" customFormat="false" ht="15" hidden="false" customHeight="false" outlineLevel="0" collapsed="false">
      <c r="A1175" s="7" t="s">
        <v>2781</v>
      </c>
      <c r="B1175" s="7" t="s">
        <v>1883</v>
      </c>
      <c r="C1175" s="9" t="s">
        <v>1704</v>
      </c>
      <c r="D1175" s="13" t="s">
        <v>1816</v>
      </c>
    </row>
    <row r="1176" customFormat="false" ht="15" hidden="false" customHeight="false" outlineLevel="0" collapsed="false">
      <c r="A1176" s="7" t="s">
        <v>2782</v>
      </c>
      <c r="B1176" s="7" t="s">
        <v>1883</v>
      </c>
      <c r="C1176" s="9" t="s">
        <v>1704</v>
      </c>
      <c r="D1176" s="13" t="s">
        <v>1816</v>
      </c>
    </row>
    <row r="1177" customFormat="false" ht="15" hidden="false" customHeight="false" outlineLevel="0" collapsed="false">
      <c r="A1177" s="7" t="s">
        <v>2783</v>
      </c>
      <c r="B1177" s="7" t="s">
        <v>1929</v>
      </c>
      <c r="C1177" s="9" t="s">
        <v>1704</v>
      </c>
      <c r="D1177" s="13" t="s">
        <v>1816</v>
      </c>
    </row>
    <row r="1178" customFormat="false" ht="15" hidden="false" customHeight="false" outlineLevel="0" collapsed="false">
      <c r="A1178" s="7" t="s">
        <v>2784</v>
      </c>
      <c r="B1178" s="7" t="s">
        <v>1815</v>
      </c>
      <c r="C1178" s="9" t="s">
        <v>1704</v>
      </c>
      <c r="D1178" s="13" t="s">
        <v>1816</v>
      </c>
    </row>
    <row r="1179" customFormat="false" ht="15" hidden="false" customHeight="false" outlineLevel="0" collapsed="false">
      <c r="A1179" s="7" t="s">
        <v>2785</v>
      </c>
      <c r="B1179" s="7" t="s">
        <v>1815</v>
      </c>
      <c r="C1179" s="9" t="s">
        <v>1704</v>
      </c>
      <c r="D1179" s="13" t="s">
        <v>1816</v>
      </c>
    </row>
    <row r="1180" customFormat="false" ht="15" hidden="false" customHeight="false" outlineLevel="0" collapsed="false">
      <c r="A1180" s="7" t="s">
        <v>2786</v>
      </c>
      <c r="B1180" s="7" t="s">
        <v>1815</v>
      </c>
      <c r="C1180" s="9" t="s">
        <v>1704</v>
      </c>
      <c r="D1180" s="13" t="s">
        <v>1816</v>
      </c>
    </row>
    <row r="1181" customFormat="false" ht="15" hidden="false" customHeight="false" outlineLevel="0" collapsed="false">
      <c r="A1181" s="7" t="s">
        <v>2787</v>
      </c>
      <c r="B1181" s="7" t="s">
        <v>1815</v>
      </c>
      <c r="C1181" s="9" t="s">
        <v>1704</v>
      </c>
      <c r="D1181" s="13" t="s">
        <v>1816</v>
      </c>
    </row>
    <row r="1182" customFormat="false" ht="15" hidden="false" customHeight="false" outlineLevel="0" collapsed="false">
      <c r="A1182" s="7" t="s">
        <v>2788</v>
      </c>
      <c r="B1182" s="7" t="s">
        <v>1815</v>
      </c>
      <c r="C1182" s="9" t="s">
        <v>1704</v>
      </c>
      <c r="D1182" s="13" t="s">
        <v>1816</v>
      </c>
    </row>
    <row r="1183" customFormat="false" ht="15" hidden="false" customHeight="false" outlineLevel="0" collapsed="false">
      <c r="A1183" s="7" t="s">
        <v>2789</v>
      </c>
      <c r="B1183" s="7" t="s">
        <v>1883</v>
      </c>
      <c r="C1183" s="9" t="s">
        <v>1704</v>
      </c>
      <c r="D1183" s="13" t="s">
        <v>1816</v>
      </c>
    </row>
    <row r="1184" customFormat="false" ht="15" hidden="false" customHeight="false" outlineLevel="0" collapsed="false">
      <c r="A1184" s="7" t="s">
        <v>2790</v>
      </c>
      <c r="B1184" s="7" t="s">
        <v>1838</v>
      </c>
      <c r="C1184" s="9" t="s">
        <v>1704</v>
      </c>
      <c r="D1184" s="13" t="s">
        <v>1823</v>
      </c>
    </row>
    <row r="1185" customFormat="false" ht="15" hidden="false" customHeight="false" outlineLevel="0" collapsed="false">
      <c r="A1185" s="7" t="s">
        <v>2790</v>
      </c>
      <c r="B1185" s="7" t="s">
        <v>1883</v>
      </c>
      <c r="C1185" s="9" t="s">
        <v>1704</v>
      </c>
      <c r="D1185" s="13" t="s">
        <v>1816</v>
      </c>
    </row>
    <row r="1186" customFormat="false" ht="15" hidden="false" customHeight="false" outlineLevel="0" collapsed="false">
      <c r="A1186" s="7" t="s">
        <v>2791</v>
      </c>
      <c r="B1186" s="7" t="s">
        <v>2563</v>
      </c>
      <c r="C1186" s="9" t="s">
        <v>1704</v>
      </c>
      <c r="D1186" s="13" t="s">
        <v>1823</v>
      </c>
    </row>
    <row r="1187" customFormat="false" ht="15" hidden="false" customHeight="false" outlineLevel="0" collapsed="false">
      <c r="A1187" s="7" t="s">
        <v>2792</v>
      </c>
      <c r="B1187" s="7" t="s">
        <v>2750</v>
      </c>
      <c r="C1187" s="9" t="s">
        <v>1704</v>
      </c>
      <c r="D1187" s="13" t="s">
        <v>2731</v>
      </c>
    </row>
    <row r="1188" customFormat="false" ht="15" hidden="false" customHeight="false" outlineLevel="0" collapsed="false">
      <c r="A1188" s="7" t="s">
        <v>2793</v>
      </c>
      <c r="B1188" s="7" t="s">
        <v>2563</v>
      </c>
      <c r="C1188" s="9" t="s">
        <v>1704</v>
      </c>
      <c r="D1188" s="13" t="s">
        <v>1823</v>
      </c>
    </row>
    <row r="1189" customFormat="false" ht="15" hidden="false" customHeight="false" outlineLevel="0" collapsed="false">
      <c r="A1189" s="7" t="s">
        <v>2793</v>
      </c>
      <c r="B1189" s="7" t="s">
        <v>1815</v>
      </c>
      <c r="C1189" s="9" t="s">
        <v>1704</v>
      </c>
      <c r="D1189" s="13" t="s">
        <v>1816</v>
      </c>
    </row>
    <row r="1190" customFormat="false" ht="15" hidden="false" customHeight="false" outlineLevel="0" collapsed="false">
      <c r="A1190" s="7" t="s">
        <v>2794</v>
      </c>
      <c r="B1190" s="7" t="s">
        <v>1815</v>
      </c>
      <c r="C1190" s="9" t="s">
        <v>1704</v>
      </c>
      <c r="D1190" s="13" t="s">
        <v>1816</v>
      </c>
    </row>
    <row r="1191" customFormat="false" ht="15" hidden="false" customHeight="false" outlineLevel="0" collapsed="false">
      <c r="A1191" s="7" t="s">
        <v>2795</v>
      </c>
      <c r="B1191" s="7" t="s">
        <v>1815</v>
      </c>
      <c r="C1191" s="9" t="s">
        <v>1704</v>
      </c>
      <c r="D1191" s="13" t="s">
        <v>1816</v>
      </c>
    </row>
    <row r="1192" customFormat="false" ht="15" hidden="false" customHeight="false" outlineLevel="0" collapsed="false">
      <c r="A1192" s="7" t="s">
        <v>2796</v>
      </c>
      <c r="B1192" s="7" t="s">
        <v>1883</v>
      </c>
      <c r="C1192" s="9" t="s">
        <v>1704</v>
      </c>
      <c r="D1192" s="13" t="s">
        <v>1816</v>
      </c>
    </row>
    <row r="1193" customFormat="false" ht="15" hidden="false" customHeight="false" outlineLevel="0" collapsed="false">
      <c r="A1193" s="7" t="s">
        <v>2797</v>
      </c>
      <c r="B1193" s="7" t="s">
        <v>1883</v>
      </c>
      <c r="C1193" s="9" t="s">
        <v>1704</v>
      </c>
      <c r="D1193" s="13" t="s">
        <v>1816</v>
      </c>
    </row>
    <row r="1194" customFormat="false" ht="15" hidden="false" customHeight="false" outlineLevel="0" collapsed="false">
      <c r="A1194" s="7" t="s">
        <v>2798</v>
      </c>
      <c r="B1194" s="7" t="s">
        <v>1838</v>
      </c>
      <c r="C1194" s="9" t="s">
        <v>1704</v>
      </c>
      <c r="D1194" s="13" t="s">
        <v>1823</v>
      </c>
    </row>
    <row r="1195" customFormat="false" ht="15" hidden="false" customHeight="false" outlineLevel="0" collapsed="false">
      <c r="A1195" s="7" t="s">
        <v>2799</v>
      </c>
      <c r="B1195" s="7" t="s">
        <v>2800</v>
      </c>
      <c r="C1195" s="9" t="s">
        <v>1704</v>
      </c>
      <c r="D1195" s="13" t="s">
        <v>2731</v>
      </c>
    </row>
    <row r="1196" customFormat="false" ht="15" hidden="false" customHeight="false" outlineLevel="0" collapsed="false">
      <c r="A1196" s="7" t="s">
        <v>2801</v>
      </c>
      <c r="B1196" s="7" t="s">
        <v>2802</v>
      </c>
      <c r="C1196" s="9" t="s">
        <v>1704</v>
      </c>
      <c r="D1196" s="13" t="s">
        <v>2731</v>
      </c>
    </row>
    <row r="1197" customFormat="false" ht="15" hidden="false" customHeight="false" outlineLevel="0" collapsed="false">
      <c r="A1197" s="7" t="s">
        <v>2801</v>
      </c>
      <c r="B1197" s="7" t="s">
        <v>2750</v>
      </c>
      <c r="C1197" s="9" t="s">
        <v>1704</v>
      </c>
      <c r="D1197" s="13" t="s">
        <v>2731</v>
      </c>
    </row>
    <row r="1198" customFormat="false" ht="15" hidden="false" customHeight="false" outlineLevel="0" collapsed="false">
      <c r="A1198" s="7" t="s">
        <v>2801</v>
      </c>
      <c r="B1198" s="7" t="s">
        <v>1883</v>
      </c>
      <c r="C1198" s="9" t="s">
        <v>1704</v>
      </c>
      <c r="D1198" s="13" t="s">
        <v>1816</v>
      </c>
    </row>
    <row r="1199" customFormat="false" ht="15" hidden="false" customHeight="false" outlineLevel="0" collapsed="false">
      <c r="A1199" s="7" t="s">
        <v>2803</v>
      </c>
      <c r="B1199" s="7" t="s">
        <v>2563</v>
      </c>
      <c r="C1199" s="9" t="s">
        <v>1704</v>
      </c>
      <c r="D1199" s="13" t="s">
        <v>1823</v>
      </c>
    </row>
    <row r="1200" customFormat="false" ht="15" hidden="false" customHeight="false" outlineLevel="0" collapsed="false">
      <c r="A1200" s="7" t="s">
        <v>2804</v>
      </c>
      <c r="B1200" s="7" t="s">
        <v>1815</v>
      </c>
      <c r="C1200" s="9" t="s">
        <v>1704</v>
      </c>
      <c r="D1200" s="13" t="s">
        <v>1816</v>
      </c>
    </row>
    <row r="1201" customFormat="false" ht="15" hidden="false" customHeight="false" outlineLevel="0" collapsed="false">
      <c r="A1201" s="7" t="s">
        <v>2805</v>
      </c>
      <c r="B1201" s="7" t="s">
        <v>1815</v>
      </c>
      <c r="C1201" s="9" t="s">
        <v>1704</v>
      </c>
      <c r="D1201" s="13" t="s">
        <v>1816</v>
      </c>
    </row>
    <row r="1202" customFormat="false" ht="15" hidden="false" customHeight="false" outlineLevel="0" collapsed="false">
      <c r="A1202" s="7" t="s">
        <v>2806</v>
      </c>
      <c r="B1202" s="7" t="s">
        <v>1815</v>
      </c>
      <c r="C1202" s="9" t="s">
        <v>1704</v>
      </c>
      <c r="D1202" s="13" t="s">
        <v>1816</v>
      </c>
    </row>
    <row r="1203" customFormat="false" ht="15" hidden="false" customHeight="false" outlineLevel="0" collapsed="false">
      <c r="A1203" s="7" t="s">
        <v>2807</v>
      </c>
      <c r="B1203" s="7" t="s">
        <v>1815</v>
      </c>
      <c r="C1203" s="9" t="s">
        <v>1704</v>
      </c>
      <c r="D1203" s="13" t="s">
        <v>1816</v>
      </c>
    </row>
    <row r="1204" customFormat="false" ht="15" hidden="false" customHeight="false" outlineLevel="0" collapsed="false">
      <c r="A1204" s="7" t="s">
        <v>2808</v>
      </c>
      <c r="B1204" s="7" t="s">
        <v>1883</v>
      </c>
      <c r="C1204" s="9" t="s">
        <v>1704</v>
      </c>
      <c r="D1204" s="13" t="s">
        <v>1816</v>
      </c>
    </row>
    <row r="1205" customFormat="false" ht="15" hidden="false" customHeight="false" outlineLevel="0" collapsed="false">
      <c r="A1205" s="7" t="s">
        <v>2809</v>
      </c>
      <c r="B1205" s="7" t="s">
        <v>1815</v>
      </c>
      <c r="C1205" s="9" t="s">
        <v>1704</v>
      </c>
      <c r="D1205" s="13" t="s">
        <v>1816</v>
      </c>
    </row>
    <row r="1206" customFormat="false" ht="15" hidden="false" customHeight="false" outlineLevel="0" collapsed="false">
      <c r="A1206" s="7" t="s">
        <v>2810</v>
      </c>
      <c r="B1206" s="7" t="s">
        <v>1883</v>
      </c>
      <c r="C1206" s="9" t="s">
        <v>1704</v>
      </c>
      <c r="D1206" s="13" t="s">
        <v>1816</v>
      </c>
    </row>
    <row r="1207" customFormat="false" ht="15" hidden="false" customHeight="false" outlineLevel="0" collapsed="false">
      <c r="A1207" s="7" t="s">
        <v>2811</v>
      </c>
      <c r="B1207" s="7" t="s">
        <v>2563</v>
      </c>
      <c r="C1207" s="9" t="s">
        <v>1704</v>
      </c>
      <c r="D1207" s="13" t="s">
        <v>1823</v>
      </c>
    </row>
    <row r="1208" customFormat="false" ht="15" hidden="false" customHeight="false" outlineLevel="0" collapsed="false">
      <c r="A1208" s="7" t="s">
        <v>2812</v>
      </c>
      <c r="B1208" s="7" t="s">
        <v>1883</v>
      </c>
      <c r="C1208" s="9" t="s">
        <v>1704</v>
      </c>
      <c r="D1208" s="13" t="s">
        <v>1816</v>
      </c>
    </row>
    <row r="1209" customFormat="false" ht="15" hidden="false" customHeight="false" outlineLevel="0" collapsed="false">
      <c r="A1209" s="7" t="s">
        <v>2812</v>
      </c>
      <c r="B1209" s="7" t="s">
        <v>2590</v>
      </c>
      <c r="C1209" s="9" t="s">
        <v>1704</v>
      </c>
      <c r="D1209" s="13" t="s">
        <v>1823</v>
      </c>
    </row>
    <row r="1210" customFormat="false" ht="15" hidden="false" customHeight="false" outlineLevel="0" collapsed="false">
      <c r="A1210" s="7" t="s">
        <v>2813</v>
      </c>
      <c r="B1210" s="7" t="s">
        <v>1836</v>
      </c>
      <c r="C1210" s="9" t="s">
        <v>1704</v>
      </c>
      <c r="D1210" s="13" t="s">
        <v>1816</v>
      </c>
    </row>
    <row r="1211" customFormat="false" ht="15" hidden="false" customHeight="false" outlineLevel="0" collapsed="false">
      <c r="A1211" s="7" t="s">
        <v>2813</v>
      </c>
      <c r="B1211" s="7" t="s">
        <v>2738</v>
      </c>
      <c r="C1211" s="9" t="s">
        <v>1704</v>
      </c>
      <c r="D1211" s="13" t="s">
        <v>2731</v>
      </c>
    </row>
    <row r="1212" customFormat="false" ht="15" hidden="false" customHeight="false" outlineLevel="0" collapsed="false">
      <c r="A1212" s="7" t="s">
        <v>2814</v>
      </c>
      <c r="B1212" s="7" t="s">
        <v>2668</v>
      </c>
      <c r="C1212" s="8" t="s">
        <v>1706</v>
      </c>
      <c r="D1212" s="13" t="s">
        <v>1823</v>
      </c>
    </row>
    <row r="1213" customFormat="false" ht="15" hidden="false" customHeight="false" outlineLevel="0" collapsed="false">
      <c r="A1213" s="7" t="s">
        <v>2815</v>
      </c>
      <c r="B1213" s="7" t="s">
        <v>1836</v>
      </c>
      <c r="C1213" s="9" t="s">
        <v>1704</v>
      </c>
      <c r="D1213" s="13" t="s">
        <v>1816</v>
      </c>
    </row>
    <row r="1214" customFormat="false" ht="15" hidden="false" customHeight="false" outlineLevel="0" collapsed="false">
      <c r="A1214" s="7" t="s">
        <v>2816</v>
      </c>
      <c r="B1214" s="7" t="s">
        <v>1822</v>
      </c>
      <c r="C1214" s="9" t="s">
        <v>1704</v>
      </c>
      <c r="D1214" s="13" t="s">
        <v>1823</v>
      </c>
    </row>
    <row r="1215" customFormat="false" ht="15" hidden="false" customHeight="false" outlineLevel="0" collapsed="false">
      <c r="A1215" s="7" t="s">
        <v>2817</v>
      </c>
      <c r="B1215" s="7" t="s">
        <v>2750</v>
      </c>
      <c r="C1215" s="9" t="s">
        <v>1704</v>
      </c>
      <c r="D1215" s="13" t="s">
        <v>2731</v>
      </c>
    </row>
    <row r="1216" customFormat="false" ht="15" hidden="false" customHeight="false" outlineLevel="0" collapsed="false">
      <c r="A1216" s="7" t="s">
        <v>2818</v>
      </c>
      <c r="B1216" s="7" t="s">
        <v>1838</v>
      </c>
      <c r="C1216" s="9" t="s">
        <v>1704</v>
      </c>
      <c r="D1216" s="13" t="s">
        <v>1823</v>
      </c>
    </row>
    <row r="1217" customFormat="false" ht="15" hidden="false" customHeight="false" outlineLevel="0" collapsed="false">
      <c r="A1217" s="7" t="s">
        <v>2818</v>
      </c>
      <c r="B1217" s="7" t="s">
        <v>2748</v>
      </c>
      <c r="C1217" s="9" t="s">
        <v>1704</v>
      </c>
      <c r="D1217" s="13" t="s">
        <v>2731</v>
      </c>
    </row>
    <row r="1218" customFormat="false" ht="15" hidden="false" customHeight="false" outlineLevel="0" collapsed="false">
      <c r="A1218" s="7" t="s">
        <v>2819</v>
      </c>
      <c r="B1218" s="7" t="s">
        <v>2748</v>
      </c>
      <c r="C1218" s="9" t="s">
        <v>1704</v>
      </c>
      <c r="D1218" s="13" t="s">
        <v>2731</v>
      </c>
    </row>
    <row r="1219" customFormat="false" ht="15" hidden="false" customHeight="false" outlineLevel="0" collapsed="false">
      <c r="A1219" s="7" t="s">
        <v>2820</v>
      </c>
      <c r="B1219" s="7" t="s">
        <v>2750</v>
      </c>
      <c r="C1219" s="9" t="s">
        <v>1704</v>
      </c>
      <c r="D1219" s="13" t="s">
        <v>2731</v>
      </c>
    </row>
    <row r="1220" customFormat="false" ht="15" hidden="false" customHeight="false" outlineLevel="0" collapsed="false">
      <c r="A1220" s="7" t="s">
        <v>2821</v>
      </c>
      <c r="B1220" s="7" t="s">
        <v>1883</v>
      </c>
      <c r="C1220" s="9" t="s">
        <v>1704</v>
      </c>
      <c r="D1220" s="13" t="s">
        <v>1816</v>
      </c>
    </row>
    <row r="1221" customFormat="false" ht="15" hidden="false" customHeight="false" outlineLevel="0" collapsed="false">
      <c r="A1221" s="7" t="s">
        <v>2822</v>
      </c>
      <c r="B1221" s="7" t="s">
        <v>2800</v>
      </c>
      <c r="C1221" s="9" t="s">
        <v>1704</v>
      </c>
      <c r="D1221" s="13" t="s">
        <v>2731</v>
      </c>
    </row>
    <row r="1222" customFormat="false" ht="15" hidden="false" customHeight="false" outlineLevel="0" collapsed="false">
      <c r="A1222" s="7" t="s">
        <v>2822</v>
      </c>
      <c r="B1222" s="7" t="s">
        <v>1815</v>
      </c>
      <c r="C1222" s="9" t="s">
        <v>1704</v>
      </c>
      <c r="D1222" s="13" t="s">
        <v>1816</v>
      </c>
    </row>
    <row r="1223" customFormat="false" ht="15" hidden="false" customHeight="false" outlineLevel="0" collapsed="false">
      <c r="A1223" s="7" t="s">
        <v>2823</v>
      </c>
      <c r="B1223" s="7" t="s">
        <v>1815</v>
      </c>
      <c r="C1223" s="9" t="s">
        <v>1704</v>
      </c>
      <c r="D1223" s="13" t="s">
        <v>1816</v>
      </c>
    </row>
    <row r="1224" customFormat="false" ht="15" hidden="false" customHeight="false" outlineLevel="0" collapsed="false">
      <c r="A1224" s="7" t="s">
        <v>2824</v>
      </c>
      <c r="B1224" s="7" t="s">
        <v>1883</v>
      </c>
      <c r="C1224" s="9" t="s">
        <v>1704</v>
      </c>
      <c r="D1224" s="13" t="s">
        <v>1816</v>
      </c>
    </row>
    <row r="1225" customFormat="false" ht="15" hidden="false" customHeight="false" outlineLevel="0" collapsed="false">
      <c r="A1225" s="7" t="s">
        <v>2825</v>
      </c>
      <c r="B1225" s="7" t="s">
        <v>2748</v>
      </c>
      <c r="C1225" s="9" t="s">
        <v>1704</v>
      </c>
      <c r="D1225" s="13" t="s">
        <v>2731</v>
      </c>
    </row>
    <row r="1226" customFormat="false" ht="15" hidden="false" customHeight="false" outlineLevel="0" collapsed="false">
      <c r="A1226" s="7" t="s">
        <v>2826</v>
      </c>
      <c r="B1226" s="7" t="s">
        <v>2738</v>
      </c>
      <c r="C1226" s="9" t="s">
        <v>1704</v>
      </c>
      <c r="D1226" s="13" t="s">
        <v>2731</v>
      </c>
    </row>
    <row r="1227" customFormat="false" ht="15" hidden="false" customHeight="false" outlineLevel="0" collapsed="false">
      <c r="A1227" s="7" t="s">
        <v>2826</v>
      </c>
      <c r="B1227" s="7" t="s">
        <v>1836</v>
      </c>
      <c r="C1227" s="9" t="s">
        <v>1704</v>
      </c>
      <c r="D1227" s="13" t="s">
        <v>1816</v>
      </c>
    </row>
    <row r="1228" customFormat="false" ht="15" hidden="false" customHeight="false" outlineLevel="0" collapsed="false">
      <c r="A1228" s="7" t="s">
        <v>2827</v>
      </c>
      <c r="B1228" s="7" t="s">
        <v>1836</v>
      </c>
      <c r="C1228" s="9" t="s">
        <v>1704</v>
      </c>
      <c r="D1228" s="13" t="s">
        <v>1816</v>
      </c>
    </row>
    <row r="1229" customFormat="false" ht="15" hidden="false" customHeight="false" outlineLevel="0" collapsed="false">
      <c r="A1229" s="7" t="s">
        <v>2827</v>
      </c>
      <c r="B1229" s="7" t="s">
        <v>1822</v>
      </c>
      <c r="C1229" s="9" t="s">
        <v>1704</v>
      </c>
      <c r="D1229" s="13" t="s">
        <v>1823</v>
      </c>
    </row>
    <row r="1230" customFormat="false" ht="15" hidden="false" customHeight="false" outlineLevel="0" collapsed="false">
      <c r="A1230" s="7" t="s">
        <v>2828</v>
      </c>
      <c r="B1230" s="7" t="s">
        <v>2563</v>
      </c>
      <c r="C1230" s="9" t="s">
        <v>1704</v>
      </c>
      <c r="D1230" s="13" t="s">
        <v>1823</v>
      </c>
    </row>
    <row r="1231" customFormat="false" ht="15" hidden="false" customHeight="false" outlineLevel="0" collapsed="false">
      <c r="A1231" s="7" t="s">
        <v>2829</v>
      </c>
      <c r="B1231" s="7" t="s">
        <v>1838</v>
      </c>
      <c r="C1231" s="9" t="s">
        <v>1704</v>
      </c>
      <c r="D1231" s="13" t="s">
        <v>1823</v>
      </c>
    </row>
    <row r="1232" customFormat="false" ht="15" hidden="false" customHeight="false" outlineLevel="0" collapsed="false">
      <c r="A1232" s="7" t="s">
        <v>2829</v>
      </c>
      <c r="B1232" s="7" t="s">
        <v>2748</v>
      </c>
      <c r="C1232" s="9" t="s">
        <v>1704</v>
      </c>
      <c r="D1232" s="13" t="s">
        <v>2731</v>
      </c>
    </row>
    <row r="1233" customFormat="false" ht="15" hidden="false" customHeight="false" outlineLevel="0" collapsed="false">
      <c r="A1233" s="7" t="s">
        <v>2830</v>
      </c>
      <c r="B1233" s="7" t="s">
        <v>1836</v>
      </c>
      <c r="C1233" s="9" t="s">
        <v>1704</v>
      </c>
      <c r="D1233" s="13" t="s">
        <v>1816</v>
      </c>
    </row>
    <row r="1234" customFormat="false" ht="15" hidden="false" customHeight="false" outlineLevel="0" collapsed="false">
      <c r="A1234" s="7" t="s">
        <v>2831</v>
      </c>
      <c r="B1234" s="7" t="s">
        <v>2738</v>
      </c>
      <c r="C1234" s="9" t="s">
        <v>1704</v>
      </c>
      <c r="D1234" s="13" t="s">
        <v>2731</v>
      </c>
    </row>
    <row r="1235" customFormat="false" ht="15" hidden="false" customHeight="false" outlineLevel="0" collapsed="false">
      <c r="A1235" s="7" t="s">
        <v>2832</v>
      </c>
      <c r="B1235" s="7" t="s">
        <v>2738</v>
      </c>
      <c r="C1235" s="9" t="s">
        <v>1704</v>
      </c>
      <c r="D1235" s="13" t="s">
        <v>2731</v>
      </c>
    </row>
    <row r="1236" customFormat="false" ht="15" hidden="false" customHeight="false" outlineLevel="0" collapsed="false">
      <c r="A1236" s="7" t="s">
        <v>2833</v>
      </c>
      <c r="B1236" s="7" t="s">
        <v>2738</v>
      </c>
      <c r="C1236" s="9" t="s">
        <v>1704</v>
      </c>
      <c r="D1236" s="13" t="s">
        <v>2731</v>
      </c>
    </row>
    <row r="1237" customFormat="false" ht="15" hidden="false" customHeight="false" outlineLevel="0" collapsed="false">
      <c r="A1237" s="7" t="s">
        <v>2834</v>
      </c>
      <c r="B1237" s="7" t="s">
        <v>1838</v>
      </c>
      <c r="C1237" s="9" t="s">
        <v>1704</v>
      </c>
      <c r="D1237" s="13" t="s">
        <v>1823</v>
      </c>
    </row>
    <row r="1238" customFormat="false" ht="15" hidden="false" customHeight="false" outlineLevel="0" collapsed="false">
      <c r="A1238" s="7" t="s">
        <v>2834</v>
      </c>
      <c r="B1238" s="7" t="s">
        <v>2748</v>
      </c>
      <c r="C1238" s="9" t="s">
        <v>1704</v>
      </c>
      <c r="D1238" s="13" t="s">
        <v>2731</v>
      </c>
    </row>
    <row r="1239" customFormat="false" ht="15" hidden="false" customHeight="false" outlineLevel="0" collapsed="false">
      <c r="A1239" s="7" t="s">
        <v>2835</v>
      </c>
      <c r="B1239" s="7" t="s">
        <v>2748</v>
      </c>
      <c r="C1239" s="9" t="s">
        <v>1704</v>
      </c>
      <c r="D1239" s="13" t="s">
        <v>2731</v>
      </c>
    </row>
    <row r="1240" customFormat="false" ht="15" hidden="false" customHeight="false" outlineLevel="0" collapsed="false">
      <c r="A1240" s="7" t="s">
        <v>2836</v>
      </c>
      <c r="B1240" s="7" t="s">
        <v>1883</v>
      </c>
      <c r="C1240" s="9" t="s">
        <v>1704</v>
      </c>
      <c r="D1240" s="13" t="s">
        <v>1816</v>
      </c>
    </row>
    <row r="1241" customFormat="false" ht="15" hidden="false" customHeight="false" outlineLevel="0" collapsed="false">
      <c r="A1241" s="7" t="s">
        <v>2837</v>
      </c>
      <c r="B1241" s="7" t="s">
        <v>2800</v>
      </c>
      <c r="C1241" s="9" t="s">
        <v>1704</v>
      </c>
      <c r="D1241" s="13" t="s">
        <v>2731</v>
      </c>
    </row>
    <row r="1242" customFormat="false" ht="15" hidden="false" customHeight="false" outlineLevel="0" collapsed="false">
      <c r="A1242" s="7" t="s">
        <v>2838</v>
      </c>
      <c r="B1242" s="7" t="s">
        <v>1815</v>
      </c>
      <c r="C1242" s="9" t="s">
        <v>1704</v>
      </c>
      <c r="D1242" s="13" t="s">
        <v>1816</v>
      </c>
    </row>
    <row r="1243" customFormat="false" ht="15" hidden="false" customHeight="false" outlineLevel="0" collapsed="false">
      <c r="A1243" s="7" t="s">
        <v>2839</v>
      </c>
      <c r="B1243" s="7" t="s">
        <v>1883</v>
      </c>
      <c r="C1243" s="9" t="s">
        <v>1704</v>
      </c>
      <c r="D1243" s="13" t="s">
        <v>1816</v>
      </c>
    </row>
    <row r="1244" customFormat="false" ht="15" hidden="false" customHeight="false" outlineLevel="0" collapsed="false">
      <c r="A1244" s="7" t="s">
        <v>2839</v>
      </c>
      <c r="B1244" s="7" t="s">
        <v>1838</v>
      </c>
      <c r="C1244" s="9" t="s">
        <v>1704</v>
      </c>
      <c r="D1244" s="13" t="s">
        <v>1823</v>
      </c>
    </row>
    <row r="1245" customFormat="false" ht="15" hidden="false" customHeight="false" outlineLevel="0" collapsed="false">
      <c r="A1245" s="7" t="s">
        <v>2840</v>
      </c>
      <c r="B1245" s="7" t="s">
        <v>2748</v>
      </c>
      <c r="C1245" s="9" t="s">
        <v>1704</v>
      </c>
      <c r="D1245" s="13" t="s">
        <v>2731</v>
      </c>
    </row>
    <row r="1246" customFormat="false" ht="15" hidden="false" customHeight="false" outlineLevel="0" collapsed="false">
      <c r="A1246" s="7" t="s">
        <v>2841</v>
      </c>
      <c r="B1246" s="7" t="s">
        <v>2563</v>
      </c>
      <c r="C1246" s="9" t="s">
        <v>1704</v>
      </c>
      <c r="D1246" s="13" t="s">
        <v>1823</v>
      </c>
    </row>
    <row r="1247" customFormat="false" ht="15" hidden="false" customHeight="false" outlineLevel="0" collapsed="false">
      <c r="A1247" s="7" t="s">
        <v>2842</v>
      </c>
      <c r="B1247" s="7" t="s">
        <v>2748</v>
      </c>
      <c r="C1247" s="9" t="s">
        <v>1704</v>
      </c>
      <c r="D1247" s="13" t="s">
        <v>2731</v>
      </c>
    </row>
    <row r="1248" customFormat="false" ht="15" hidden="false" customHeight="false" outlineLevel="0" collapsed="false">
      <c r="A1248" s="7" t="s">
        <v>2843</v>
      </c>
      <c r="B1248" s="7" t="s">
        <v>1815</v>
      </c>
      <c r="C1248" s="9" t="s">
        <v>1704</v>
      </c>
      <c r="D1248" s="13" t="s">
        <v>1816</v>
      </c>
    </row>
    <row r="1249" customFormat="false" ht="15" hidden="false" customHeight="false" outlineLevel="0" collapsed="false">
      <c r="A1249" s="7" t="s">
        <v>2844</v>
      </c>
      <c r="B1249" s="7" t="s">
        <v>1815</v>
      </c>
      <c r="C1249" s="9" t="s">
        <v>1704</v>
      </c>
      <c r="D1249" s="13" t="s">
        <v>1816</v>
      </c>
    </row>
    <row r="1250" customFormat="false" ht="15" hidden="false" customHeight="false" outlineLevel="0" collapsed="false">
      <c r="A1250" s="7" t="s">
        <v>2845</v>
      </c>
      <c r="B1250" s="7" t="s">
        <v>1815</v>
      </c>
      <c r="C1250" s="9" t="s">
        <v>1704</v>
      </c>
      <c r="D1250" s="13" t="s">
        <v>1816</v>
      </c>
    </row>
    <row r="1251" customFormat="false" ht="15" hidden="false" customHeight="false" outlineLevel="0" collapsed="false">
      <c r="A1251" s="7" t="s">
        <v>2846</v>
      </c>
      <c r="B1251" s="7" t="s">
        <v>1815</v>
      </c>
      <c r="C1251" s="9" t="s">
        <v>1704</v>
      </c>
      <c r="D1251" s="13" t="s">
        <v>1816</v>
      </c>
    </row>
    <row r="1252" customFormat="false" ht="15" hidden="false" customHeight="false" outlineLevel="0" collapsed="false">
      <c r="A1252" s="7" t="s">
        <v>2847</v>
      </c>
      <c r="B1252" s="7" t="s">
        <v>1883</v>
      </c>
      <c r="C1252" s="9" t="s">
        <v>1704</v>
      </c>
      <c r="D1252" s="13" t="s">
        <v>1816</v>
      </c>
    </row>
    <row r="1253" customFormat="false" ht="15" hidden="false" customHeight="false" outlineLevel="0" collapsed="false">
      <c r="A1253" s="7" t="s">
        <v>2848</v>
      </c>
      <c r="B1253" s="7" t="s">
        <v>1744</v>
      </c>
      <c r="C1253" s="9" t="s">
        <v>1704</v>
      </c>
      <c r="D1253" s="13" t="s">
        <v>1745</v>
      </c>
    </row>
    <row r="1254" customFormat="false" ht="15" hidden="false" customHeight="false" outlineLevel="0" collapsed="false">
      <c r="A1254" s="7" t="s">
        <v>2849</v>
      </c>
      <c r="B1254" s="7" t="s">
        <v>1883</v>
      </c>
      <c r="C1254" s="9" t="s">
        <v>1704</v>
      </c>
      <c r="D1254" s="13" t="s">
        <v>1816</v>
      </c>
    </row>
    <row r="1255" customFormat="false" ht="15" hidden="false" customHeight="false" outlineLevel="0" collapsed="false">
      <c r="A1255" s="7" t="s">
        <v>2850</v>
      </c>
      <c r="B1255" s="7" t="s">
        <v>1815</v>
      </c>
      <c r="C1255" s="9" t="s">
        <v>1704</v>
      </c>
      <c r="D1255" s="13" t="s">
        <v>1816</v>
      </c>
    </row>
    <row r="1256" customFormat="false" ht="15" hidden="false" customHeight="false" outlineLevel="0" collapsed="false">
      <c r="A1256" s="7" t="s">
        <v>2851</v>
      </c>
      <c r="B1256" s="7" t="s">
        <v>1815</v>
      </c>
      <c r="C1256" s="9" t="s">
        <v>1704</v>
      </c>
      <c r="D1256" s="13" t="s">
        <v>1816</v>
      </c>
    </row>
    <row r="1257" customFormat="false" ht="15" hidden="false" customHeight="false" outlineLevel="0" collapsed="false">
      <c r="A1257" s="7" t="s">
        <v>2852</v>
      </c>
      <c r="B1257" s="7" t="s">
        <v>1883</v>
      </c>
      <c r="C1257" s="9" t="s">
        <v>1704</v>
      </c>
      <c r="D1257" s="13" t="s">
        <v>1816</v>
      </c>
    </row>
    <row r="1258" customFormat="false" ht="15" hidden="false" customHeight="false" outlineLevel="0" collapsed="false">
      <c r="A1258" s="7" t="s">
        <v>2853</v>
      </c>
      <c r="B1258" s="7" t="s">
        <v>2563</v>
      </c>
      <c r="C1258" s="9" t="s">
        <v>1704</v>
      </c>
      <c r="D1258" s="13" t="s">
        <v>1823</v>
      </c>
    </row>
    <row r="1259" customFormat="false" ht="15" hidden="false" customHeight="false" outlineLevel="0" collapsed="false">
      <c r="A1259" s="7" t="s">
        <v>2854</v>
      </c>
      <c r="B1259" s="7" t="s">
        <v>2748</v>
      </c>
      <c r="C1259" s="9" t="s">
        <v>1704</v>
      </c>
      <c r="D1259" s="13" t="s">
        <v>2731</v>
      </c>
    </row>
    <row r="1260" customFormat="false" ht="15" hidden="false" customHeight="false" outlineLevel="0" collapsed="false">
      <c r="A1260" s="7" t="s">
        <v>2855</v>
      </c>
      <c r="B1260" s="7" t="s">
        <v>2748</v>
      </c>
      <c r="C1260" s="9" t="s">
        <v>1704</v>
      </c>
      <c r="D1260" s="13" t="s">
        <v>2731</v>
      </c>
    </row>
    <row r="1261" customFormat="false" ht="15" hidden="false" customHeight="false" outlineLevel="0" collapsed="false">
      <c r="A1261" s="7" t="s">
        <v>2856</v>
      </c>
      <c r="B1261" s="7" t="s">
        <v>1838</v>
      </c>
      <c r="C1261" s="9" t="s">
        <v>1704</v>
      </c>
      <c r="D1261" s="13" t="s">
        <v>1823</v>
      </c>
    </row>
    <row r="1262" customFormat="false" ht="15" hidden="false" customHeight="false" outlineLevel="0" collapsed="false">
      <c r="A1262" s="7" t="s">
        <v>2857</v>
      </c>
      <c r="B1262" s="7" t="s">
        <v>1883</v>
      </c>
      <c r="C1262" s="9" t="s">
        <v>1704</v>
      </c>
      <c r="D1262" s="13" t="s">
        <v>1816</v>
      </c>
    </row>
    <row r="1263" customFormat="false" ht="15" hidden="false" customHeight="false" outlineLevel="0" collapsed="false">
      <c r="A1263" s="7" t="s">
        <v>2858</v>
      </c>
      <c r="B1263" s="7" t="s">
        <v>1838</v>
      </c>
      <c r="C1263" s="9" t="s">
        <v>1704</v>
      </c>
      <c r="D1263" s="13" t="s">
        <v>1823</v>
      </c>
    </row>
    <row r="1264" customFormat="false" ht="15" hidden="false" customHeight="false" outlineLevel="0" collapsed="false">
      <c r="A1264" s="7" t="s">
        <v>2859</v>
      </c>
      <c r="B1264" s="7" t="s">
        <v>1883</v>
      </c>
      <c r="C1264" s="9" t="s">
        <v>1704</v>
      </c>
      <c r="D1264" s="13" t="s">
        <v>1816</v>
      </c>
    </row>
    <row r="1265" customFormat="false" ht="15" hidden="false" customHeight="false" outlineLevel="0" collapsed="false">
      <c r="A1265" s="7" t="s">
        <v>2859</v>
      </c>
      <c r="B1265" s="7" t="s">
        <v>1929</v>
      </c>
      <c r="C1265" s="9" t="s">
        <v>1704</v>
      </c>
      <c r="D1265" s="13" t="s">
        <v>1816</v>
      </c>
    </row>
    <row r="1266" customFormat="false" ht="15" hidden="false" customHeight="false" outlineLevel="0" collapsed="false">
      <c r="A1266" s="7" t="s">
        <v>2859</v>
      </c>
      <c r="B1266" s="7" t="s">
        <v>2748</v>
      </c>
      <c r="C1266" s="9" t="s">
        <v>1704</v>
      </c>
      <c r="D1266" s="13" t="s">
        <v>2731</v>
      </c>
    </row>
    <row r="1267" customFormat="false" ht="15" hidden="false" customHeight="false" outlineLevel="0" collapsed="false">
      <c r="A1267" s="7" t="s">
        <v>2860</v>
      </c>
      <c r="B1267" s="7" t="s">
        <v>2738</v>
      </c>
      <c r="C1267" s="9" t="s">
        <v>1704</v>
      </c>
      <c r="D1267" s="13" t="s">
        <v>2731</v>
      </c>
    </row>
    <row r="1268" customFormat="false" ht="15" hidden="false" customHeight="false" outlineLevel="0" collapsed="false">
      <c r="A1268" s="7" t="s">
        <v>2860</v>
      </c>
      <c r="B1268" s="7" t="s">
        <v>1836</v>
      </c>
      <c r="C1268" s="9" t="s">
        <v>1704</v>
      </c>
      <c r="D1268" s="13" t="s">
        <v>1816</v>
      </c>
    </row>
    <row r="1269" customFormat="false" ht="15" hidden="false" customHeight="false" outlineLevel="0" collapsed="false">
      <c r="A1269" s="7" t="s">
        <v>2861</v>
      </c>
      <c r="B1269" s="7" t="s">
        <v>1854</v>
      </c>
      <c r="C1269" s="9" t="s">
        <v>1704</v>
      </c>
      <c r="D1269" s="13" t="s">
        <v>1816</v>
      </c>
    </row>
    <row r="1270" customFormat="false" ht="15" hidden="false" customHeight="false" outlineLevel="0" collapsed="false">
      <c r="A1270" s="7" t="s">
        <v>2862</v>
      </c>
      <c r="B1270" s="7" t="s">
        <v>1854</v>
      </c>
      <c r="C1270" s="8" t="s">
        <v>1706</v>
      </c>
      <c r="D1270" s="13" t="s">
        <v>1816</v>
      </c>
    </row>
    <row r="1271" customFormat="false" ht="15" hidden="false" customHeight="false" outlineLevel="0" collapsed="false">
      <c r="A1271" s="7" t="s">
        <v>2863</v>
      </c>
      <c r="B1271" s="7" t="s">
        <v>2748</v>
      </c>
      <c r="C1271" s="9" t="s">
        <v>1704</v>
      </c>
      <c r="D1271" s="13" t="s">
        <v>2731</v>
      </c>
    </row>
    <row r="1272" customFormat="false" ht="15" hidden="false" customHeight="false" outlineLevel="0" collapsed="false">
      <c r="A1272" s="7" t="s">
        <v>2863</v>
      </c>
      <c r="B1272" s="7" t="s">
        <v>1838</v>
      </c>
      <c r="C1272" s="9" t="s">
        <v>1704</v>
      </c>
      <c r="D1272" s="13" t="s">
        <v>1823</v>
      </c>
    </row>
    <row r="1273" customFormat="false" ht="15" hidden="false" customHeight="false" outlineLevel="0" collapsed="false">
      <c r="A1273" s="7" t="s">
        <v>2864</v>
      </c>
      <c r="B1273" s="7" t="s">
        <v>2738</v>
      </c>
      <c r="C1273" s="9" t="s">
        <v>1704</v>
      </c>
      <c r="D1273" s="13" t="s">
        <v>2731</v>
      </c>
    </row>
    <row r="1274" customFormat="false" ht="15" hidden="false" customHeight="false" outlineLevel="0" collapsed="false">
      <c r="A1274" s="7" t="s">
        <v>2864</v>
      </c>
      <c r="B1274" s="7" t="s">
        <v>1822</v>
      </c>
      <c r="C1274" s="9" t="s">
        <v>1704</v>
      </c>
      <c r="D1274" s="13" t="s">
        <v>1823</v>
      </c>
    </row>
    <row r="1275" customFormat="false" ht="15" hidden="false" customHeight="false" outlineLevel="0" collapsed="false">
      <c r="A1275" s="7" t="s">
        <v>2864</v>
      </c>
      <c r="B1275" s="7" t="s">
        <v>1836</v>
      </c>
      <c r="C1275" s="9" t="s">
        <v>1704</v>
      </c>
      <c r="D1275" s="13" t="s">
        <v>1816</v>
      </c>
    </row>
    <row r="1276" customFormat="false" ht="15" hidden="false" customHeight="false" outlineLevel="0" collapsed="false">
      <c r="A1276" s="7" t="s">
        <v>2865</v>
      </c>
      <c r="B1276" s="7" t="s">
        <v>2750</v>
      </c>
      <c r="C1276" s="9" t="s">
        <v>1704</v>
      </c>
      <c r="D1276" s="13" t="s">
        <v>2731</v>
      </c>
    </row>
    <row r="1277" customFormat="false" ht="15" hidden="false" customHeight="false" outlineLevel="0" collapsed="false">
      <c r="A1277" s="7" t="s">
        <v>2866</v>
      </c>
      <c r="B1277" s="7" t="s">
        <v>1854</v>
      </c>
      <c r="C1277" s="9" t="s">
        <v>1704</v>
      </c>
      <c r="D1277" s="13" t="s">
        <v>1816</v>
      </c>
    </row>
    <row r="1278" customFormat="false" ht="15" hidden="false" customHeight="false" outlineLevel="0" collapsed="false">
      <c r="A1278" s="7" t="s">
        <v>2866</v>
      </c>
      <c r="B1278" s="7" t="s">
        <v>1863</v>
      </c>
      <c r="C1278" s="8" t="s">
        <v>1706</v>
      </c>
      <c r="D1278" s="13" t="s">
        <v>1816</v>
      </c>
    </row>
    <row r="1279" customFormat="false" ht="15" hidden="false" customHeight="false" outlineLevel="0" collapsed="false">
      <c r="A1279" s="7" t="s">
        <v>2867</v>
      </c>
      <c r="B1279" s="7" t="s">
        <v>1863</v>
      </c>
      <c r="C1279" s="8" t="s">
        <v>1706</v>
      </c>
      <c r="D1279" s="13" t="s">
        <v>1816</v>
      </c>
    </row>
    <row r="1280" customFormat="false" ht="15" hidden="false" customHeight="false" outlineLevel="0" collapsed="false">
      <c r="A1280" s="7" t="s">
        <v>2868</v>
      </c>
      <c r="B1280" s="7" t="s">
        <v>2869</v>
      </c>
      <c r="C1280" s="8" t="s">
        <v>1706</v>
      </c>
      <c r="D1280" s="13" t="s">
        <v>2731</v>
      </c>
    </row>
    <row r="1281" customFormat="false" ht="15" hidden="false" customHeight="false" outlineLevel="0" collapsed="false">
      <c r="A1281" s="7" t="s">
        <v>2868</v>
      </c>
      <c r="B1281" s="7" t="s">
        <v>2802</v>
      </c>
      <c r="C1281" s="9" t="s">
        <v>1704</v>
      </c>
      <c r="D1281" s="13" t="s">
        <v>2731</v>
      </c>
    </row>
    <row r="1282" customFormat="false" ht="15" hidden="false" customHeight="false" outlineLevel="0" collapsed="false">
      <c r="A1282" s="7" t="s">
        <v>2868</v>
      </c>
      <c r="B1282" s="7" t="s">
        <v>1854</v>
      </c>
      <c r="C1282" s="8" t="s">
        <v>1706</v>
      </c>
      <c r="D1282" s="13" t="s">
        <v>1816</v>
      </c>
    </row>
    <row r="1283" customFormat="false" ht="15" hidden="false" customHeight="false" outlineLevel="0" collapsed="false">
      <c r="A1283" s="7" t="s">
        <v>2870</v>
      </c>
      <c r="B1283" s="7" t="s">
        <v>1854</v>
      </c>
      <c r="C1283" s="9" t="s">
        <v>1704</v>
      </c>
      <c r="D1283" s="13" t="s">
        <v>1816</v>
      </c>
    </row>
    <row r="1284" customFormat="false" ht="15" hidden="false" customHeight="false" outlineLevel="0" collapsed="false">
      <c r="A1284" s="7" t="s">
        <v>2871</v>
      </c>
      <c r="B1284" s="7" t="s">
        <v>1883</v>
      </c>
      <c r="C1284" s="8" t="s">
        <v>1706</v>
      </c>
      <c r="D1284" s="13" t="s">
        <v>1816</v>
      </c>
    </row>
    <row r="1285" customFormat="false" ht="15" hidden="false" customHeight="false" outlineLevel="0" collapsed="false">
      <c r="A1285" s="7" t="s">
        <v>2872</v>
      </c>
      <c r="B1285" s="7" t="s">
        <v>1854</v>
      </c>
      <c r="C1285" s="8" t="s">
        <v>1706</v>
      </c>
      <c r="D1285" s="13" t="s">
        <v>1816</v>
      </c>
    </row>
    <row r="1286" customFormat="false" ht="15" hidden="false" customHeight="false" outlineLevel="0" collapsed="false">
      <c r="A1286" s="7" t="s">
        <v>2873</v>
      </c>
      <c r="B1286" s="7" t="s">
        <v>2738</v>
      </c>
      <c r="C1286" s="9" t="s">
        <v>1704</v>
      </c>
      <c r="D1286" s="13" t="s">
        <v>2731</v>
      </c>
    </row>
    <row r="1287" customFormat="false" ht="15" hidden="false" customHeight="false" outlineLevel="0" collapsed="false">
      <c r="A1287" s="7" t="s">
        <v>2873</v>
      </c>
      <c r="B1287" s="7" t="s">
        <v>1836</v>
      </c>
      <c r="C1287" s="9" t="s">
        <v>1704</v>
      </c>
      <c r="D1287" s="13" t="s">
        <v>1816</v>
      </c>
    </row>
    <row r="1288" customFormat="false" ht="15" hidden="false" customHeight="false" outlineLevel="0" collapsed="false">
      <c r="A1288" s="7" t="s">
        <v>2874</v>
      </c>
      <c r="B1288" s="7" t="s">
        <v>1854</v>
      </c>
      <c r="C1288" s="9" t="s">
        <v>1704</v>
      </c>
      <c r="D1288" s="13" t="s">
        <v>1816</v>
      </c>
    </row>
    <row r="1289" customFormat="false" ht="15" hidden="false" customHeight="false" outlineLevel="0" collapsed="false">
      <c r="A1289" s="7" t="s">
        <v>2875</v>
      </c>
      <c r="B1289" s="7" t="s">
        <v>2750</v>
      </c>
      <c r="C1289" s="9" t="s">
        <v>1704</v>
      </c>
      <c r="D1289" s="13" t="s">
        <v>2731</v>
      </c>
    </row>
    <row r="1290" customFormat="false" ht="15" hidden="false" customHeight="false" outlineLevel="0" collapsed="false">
      <c r="A1290" s="7" t="s">
        <v>2876</v>
      </c>
      <c r="B1290" s="7" t="s">
        <v>1863</v>
      </c>
      <c r="C1290" s="8" t="s">
        <v>1706</v>
      </c>
      <c r="D1290" s="13" t="s">
        <v>1816</v>
      </c>
    </row>
    <row r="1291" customFormat="false" ht="15" hidden="false" customHeight="false" outlineLevel="0" collapsed="false">
      <c r="A1291" s="7" t="s">
        <v>2877</v>
      </c>
      <c r="B1291" s="7" t="s">
        <v>1883</v>
      </c>
      <c r="C1291" s="8" t="s">
        <v>1706</v>
      </c>
      <c r="D1291" s="13" t="s">
        <v>1816</v>
      </c>
    </row>
    <row r="1292" customFormat="false" ht="15" hidden="false" customHeight="false" outlineLevel="0" collapsed="false">
      <c r="A1292" s="7" t="s">
        <v>2878</v>
      </c>
      <c r="B1292" s="7" t="s">
        <v>2869</v>
      </c>
      <c r="C1292" s="8" t="s">
        <v>1706</v>
      </c>
      <c r="D1292" s="13" t="s">
        <v>2731</v>
      </c>
    </row>
    <row r="1293" customFormat="false" ht="15" hidden="false" customHeight="false" outlineLevel="0" collapsed="false">
      <c r="A1293" s="7" t="s">
        <v>2878</v>
      </c>
      <c r="B1293" s="7" t="s">
        <v>1867</v>
      </c>
      <c r="C1293" s="9" t="s">
        <v>1704</v>
      </c>
      <c r="D1293" s="13" t="s">
        <v>1816</v>
      </c>
    </row>
    <row r="1294" customFormat="false" ht="15" hidden="false" customHeight="false" outlineLevel="0" collapsed="false">
      <c r="A1294" s="7" t="s">
        <v>2878</v>
      </c>
      <c r="B1294" s="7" t="s">
        <v>1747</v>
      </c>
      <c r="C1294" s="9" t="s">
        <v>1704</v>
      </c>
      <c r="D1294" s="13" t="s">
        <v>1745</v>
      </c>
    </row>
    <row r="1295" customFormat="false" ht="15" hidden="false" customHeight="false" outlineLevel="0" collapsed="false">
      <c r="A1295" s="7" t="s">
        <v>2878</v>
      </c>
      <c r="B1295" s="7" t="s">
        <v>1744</v>
      </c>
      <c r="C1295" s="9" t="s">
        <v>1704</v>
      </c>
      <c r="D1295" s="13" t="s">
        <v>1745</v>
      </c>
    </row>
    <row r="1296" customFormat="false" ht="15" hidden="false" customHeight="false" outlineLevel="0" collapsed="false">
      <c r="A1296" s="7" t="s">
        <v>2879</v>
      </c>
      <c r="B1296" s="7" t="s">
        <v>2750</v>
      </c>
      <c r="C1296" s="9" t="s">
        <v>1704</v>
      </c>
      <c r="D1296" s="13" t="s">
        <v>2731</v>
      </c>
    </row>
    <row r="1297" customFormat="false" ht="15" hidden="false" customHeight="false" outlineLevel="0" collapsed="false">
      <c r="A1297" s="7" t="s">
        <v>2880</v>
      </c>
      <c r="B1297" s="7" t="s">
        <v>2750</v>
      </c>
      <c r="C1297" s="9" t="s">
        <v>1704</v>
      </c>
      <c r="D1297" s="13" t="s">
        <v>2731</v>
      </c>
    </row>
    <row r="1298" customFormat="false" ht="15" hidden="false" customHeight="false" outlineLevel="0" collapsed="false">
      <c r="A1298" s="7" t="s">
        <v>2880</v>
      </c>
      <c r="B1298" s="7" t="s">
        <v>1863</v>
      </c>
      <c r="C1298" s="8" t="s">
        <v>1706</v>
      </c>
      <c r="D1298" s="13" t="s">
        <v>1816</v>
      </c>
    </row>
    <row r="1299" customFormat="false" ht="15" hidden="false" customHeight="false" outlineLevel="0" collapsed="false">
      <c r="A1299" s="7" t="s">
        <v>2881</v>
      </c>
      <c r="B1299" s="7" t="s">
        <v>1875</v>
      </c>
      <c r="C1299" s="9" t="s">
        <v>1704</v>
      </c>
      <c r="D1299" s="13" t="s">
        <v>1816</v>
      </c>
    </row>
    <row r="1300" customFormat="false" ht="15" hidden="false" customHeight="false" outlineLevel="0" collapsed="false">
      <c r="A1300" s="7" t="s">
        <v>2882</v>
      </c>
      <c r="B1300" s="7" t="s">
        <v>2668</v>
      </c>
      <c r="C1300" s="8" t="s">
        <v>1706</v>
      </c>
      <c r="D1300" s="13" t="s">
        <v>1823</v>
      </c>
    </row>
    <row r="1301" customFormat="false" ht="15" hidden="false" customHeight="false" outlineLevel="0" collapsed="false">
      <c r="A1301" s="7" t="s">
        <v>2883</v>
      </c>
      <c r="B1301" s="7" t="s">
        <v>1883</v>
      </c>
      <c r="C1301" s="8" t="s">
        <v>1706</v>
      </c>
      <c r="D1301" s="13" t="s">
        <v>1816</v>
      </c>
    </row>
    <row r="1302" customFormat="false" ht="15" hidden="false" customHeight="false" outlineLevel="0" collapsed="false">
      <c r="A1302" s="7" t="s">
        <v>2884</v>
      </c>
      <c r="B1302" s="7" t="s">
        <v>2730</v>
      </c>
      <c r="C1302" s="8" t="s">
        <v>1706</v>
      </c>
      <c r="D1302" s="13" t="s">
        <v>2731</v>
      </c>
    </row>
    <row r="1303" customFormat="false" ht="15" hidden="false" customHeight="false" outlineLevel="0" collapsed="false">
      <c r="A1303" s="7" t="s">
        <v>2885</v>
      </c>
      <c r="B1303" s="7" t="s">
        <v>2886</v>
      </c>
      <c r="C1303" s="8" t="s">
        <v>1706</v>
      </c>
      <c r="D1303" s="13" t="s">
        <v>2731</v>
      </c>
    </row>
    <row r="1304" customFormat="false" ht="15" hidden="false" customHeight="false" outlineLevel="0" collapsed="false">
      <c r="A1304" s="7" t="s">
        <v>2887</v>
      </c>
      <c r="B1304" s="7" t="s">
        <v>2869</v>
      </c>
      <c r="C1304" s="8" t="s">
        <v>1706</v>
      </c>
      <c r="D1304" s="13" t="s">
        <v>2731</v>
      </c>
    </row>
    <row r="1305" customFormat="false" ht="15" hidden="false" customHeight="false" outlineLevel="0" collapsed="false">
      <c r="A1305" s="7" t="s">
        <v>2888</v>
      </c>
      <c r="B1305" s="7" t="s">
        <v>2869</v>
      </c>
      <c r="C1305" s="8" t="s">
        <v>1706</v>
      </c>
      <c r="D1305" s="13" t="s">
        <v>2731</v>
      </c>
    </row>
    <row r="1306" customFormat="false" ht="15" hidden="false" customHeight="false" outlineLevel="0" collapsed="false">
      <c r="A1306" s="7" t="s">
        <v>2889</v>
      </c>
      <c r="B1306" s="7" t="s">
        <v>2730</v>
      </c>
      <c r="C1306" s="8" t="s">
        <v>1706</v>
      </c>
      <c r="D1306" s="13" t="s">
        <v>2731</v>
      </c>
    </row>
    <row r="1307" customFormat="false" ht="15" hidden="false" customHeight="false" outlineLevel="0" collapsed="false">
      <c r="A1307" s="7" t="s">
        <v>2890</v>
      </c>
      <c r="B1307" s="7" t="s">
        <v>1854</v>
      </c>
      <c r="C1307" s="8" t="s">
        <v>1706</v>
      </c>
      <c r="D1307" s="13" t="s">
        <v>1816</v>
      </c>
    </row>
    <row r="1308" customFormat="false" ht="15" hidden="false" customHeight="false" outlineLevel="0" collapsed="false">
      <c r="A1308" s="7" t="s">
        <v>2891</v>
      </c>
      <c r="B1308" s="7" t="s">
        <v>2800</v>
      </c>
      <c r="C1308" s="9" t="s">
        <v>1704</v>
      </c>
      <c r="D1308" s="13" t="s">
        <v>2731</v>
      </c>
    </row>
    <row r="1309" customFormat="false" ht="15" hidden="false" customHeight="false" outlineLevel="0" collapsed="false">
      <c r="A1309" s="7" t="s">
        <v>2892</v>
      </c>
      <c r="B1309" s="7" t="s">
        <v>2730</v>
      </c>
      <c r="C1309" s="8" t="s">
        <v>1706</v>
      </c>
      <c r="D1309" s="13" t="s">
        <v>2731</v>
      </c>
    </row>
    <row r="1310" customFormat="false" ht="15" hidden="false" customHeight="false" outlineLevel="0" collapsed="false">
      <c r="A1310" s="7" t="s">
        <v>2893</v>
      </c>
      <c r="B1310" s="7" t="s">
        <v>1854</v>
      </c>
      <c r="C1310" s="9" t="s">
        <v>1704</v>
      </c>
      <c r="D1310" s="13" t="s">
        <v>1816</v>
      </c>
    </row>
    <row r="1311" customFormat="false" ht="15" hidden="false" customHeight="false" outlineLevel="0" collapsed="false">
      <c r="A1311" s="7" t="s">
        <v>2894</v>
      </c>
      <c r="B1311" s="7" t="s">
        <v>1854</v>
      </c>
      <c r="C1311" s="8" t="s">
        <v>1706</v>
      </c>
      <c r="D1311" s="13" t="s">
        <v>1816</v>
      </c>
    </row>
    <row r="1312" customFormat="false" ht="15" hidden="false" customHeight="false" outlineLevel="0" collapsed="false">
      <c r="A1312" s="7" t="s">
        <v>2895</v>
      </c>
      <c r="B1312" s="7" t="s">
        <v>2730</v>
      </c>
      <c r="C1312" s="8" t="s">
        <v>1706</v>
      </c>
      <c r="D1312" s="13" t="s">
        <v>2731</v>
      </c>
    </row>
    <row r="1313" customFormat="false" ht="15" hidden="false" customHeight="false" outlineLevel="0" collapsed="false">
      <c r="A1313" s="7" t="s">
        <v>2896</v>
      </c>
      <c r="B1313" s="7" t="s">
        <v>1854</v>
      </c>
      <c r="C1313" s="9" t="s">
        <v>1704</v>
      </c>
      <c r="D1313" s="13" t="s">
        <v>1816</v>
      </c>
    </row>
    <row r="1314" customFormat="false" ht="15" hidden="false" customHeight="false" outlineLevel="0" collapsed="false">
      <c r="A1314" s="7" t="s">
        <v>2897</v>
      </c>
      <c r="B1314" s="7" t="s">
        <v>1815</v>
      </c>
      <c r="C1314" s="9" t="s">
        <v>1704</v>
      </c>
      <c r="D1314" s="13" t="s">
        <v>1816</v>
      </c>
    </row>
    <row r="1315" customFormat="false" ht="15" hidden="false" customHeight="false" outlineLevel="0" collapsed="false">
      <c r="A1315" s="7" t="s">
        <v>2897</v>
      </c>
      <c r="B1315" s="7" t="s">
        <v>1854</v>
      </c>
      <c r="C1315" s="8" t="s">
        <v>1706</v>
      </c>
      <c r="D1315" s="13" t="s">
        <v>1816</v>
      </c>
    </row>
    <row r="1316" customFormat="false" ht="15" hidden="false" customHeight="false" outlineLevel="0" collapsed="false">
      <c r="A1316" s="7" t="s">
        <v>2898</v>
      </c>
      <c r="B1316" s="7" t="s">
        <v>1838</v>
      </c>
      <c r="C1316" s="9" t="s">
        <v>1704</v>
      </c>
      <c r="D1316" s="13" t="s">
        <v>1823</v>
      </c>
    </row>
    <row r="1317" customFormat="false" ht="15" hidden="false" customHeight="false" outlineLevel="0" collapsed="false">
      <c r="A1317" s="7" t="s">
        <v>2899</v>
      </c>
      <c r="B1317" s="7" t="s">
        <v>1883</v>
      </c>
      <c r="C1317" s="9" t="s">
        <v>1704</v>
      </c>
      <c r="D1317" s="13" t="s">
        <v>1816</v>
      </c>
    </row>
    <row r="1318" customFormat="false" ht="15" hidden="false" customHeight="false" outlineLevel="0" collapsed="false">
      <c r="A1318" s="7" t="s">
        <v>2900</v>
      </c>
      <c r="B1318" s="7" t="s">
        <v>1867</v>
      </c>
      <c r="C1318" s="8" t="s">
        <v>1706</v>
      </c>
      <c r="D1318" s="13" t="s">
        <v>1816</v>
      </c>
    </row>
    <row r="1319" customFormat="false" ht="15" hidden="false" customHeight="false" outlineLevel="0" collapsed="false">
      <c r="A1319" s="7" t="s">
        <v>2901</v>
      </c>
      <c r="B1319" s="7" t="s">
        <v>1815</v>
      </c>
      <c r="C1319" s="9" t="s">
        <v>1704</v>
      </c>
      <c r="D1319" s="13" t="s">
        <v>1816</v>
      </c>
    </row>
    <row r="1320" customFormat="false" ht="15" hidden="false" customHeight="false" outlineLevel="0" collapsed="false">
      <c r="A1320" s="7" t="s">
        <v>2902</v>
      </c>
      <c r="B1320" s="7" t="s">
        <v>1815</v>
      </c>
      <c r="C1320" s="9" t="s">
        <v>1704</v>
      </c>
      <c r="D1320" s="13" t="s">
        <v>1816</v>
      </c>
    </row>
    <row r="1321" customFormat="false" ht="15" hidden="false" customHeight="false" outlineLevel="0" collapsed="false">
      <c r="A1321" s="7" t="s">
        <v>2903</v>
      </c>
      <c r="B1321" s="7" t="s">
        <v>1815</v>
      </c>
      <c r="C1321" s="9" t="s">
        <v>1704</v>
      </c>
      <c r="D1321" s="13" t="s">
        <v>1816</v>
      </c>
    </row>
    <row r="1322" customFormat="false" ht="15" hidden="false" customHeight="false" outlineLevel="0" collapsed="false">
      <c r="A1322" s="7" t="s">
        <v>2904</v>
      </c>
      <c r="B1322" s="7" t="s">
        <v>1815</v>
      </c>
      <c r="C1322" s="9" t="s">
        <v>1704</v>
      </c>
      <c r="D1322" s="13" t="s">
        <v>1816</v>
      </c>
    </row>
    <row r="1323" customFormat="false" ht="15" hidden="false" customHeight="false" outlineLevel="0" collapsed="false">
      <c r="A1323" s="7" t="s">
        <v>2905</v>
      </c>
      <c r="B1323" s="7" t="s">
        <v>1815</v>
      </c>
      <c r="C1323" s="9" t="s">
        <v>1704</v>
      </c>
      <c r="D1323" s="13" t="s">
        <v>1816</v>
      </c>
    </row>
    <row r="1324" customFormat="false" ht="15" hidden="false" customHeight="false" outlineLevel="0" collapsed="false">
      <c r="A1324" s="7" t="s">
        <v>2906</v>
      </c>
      <c r="B1324" s="7" t="s">
        <v>1815</v>
      </c>
      <c r="C1324" s="9" t="s">
        <v>1704</v>
      </c>
      <c r="D1324" s="13" t="s">
        <v>1816</v>
      </c>
    </row>
    <row r="1325" customFormat="false" ht="15" hidden="false" customHeight="false" outlineLevel="0" collapsed="false">
      <c r="A1325" s="7" t="s">
        <v>2907</v>
      </c>
      <c r="B1325" s="7" t="s">
        <v>1815</v>
      </c>
      <c r="C1325" s="9" t="s">
        <v>1704</v>
      </c>
      <c r="D1325" s="13" t="s">
        <v>1816</v>
      </c>
    </row>
    <row r="1326" customFormat="false" ht="15" hidden="false" customHeight="false" outlineLevel="0" collapsed="false">
      <c r="A1326" s="7" t="s">
        <v>2908</v>
      </c>
      <c r="B1326" s="7" t="s">
        <v>1883</v>
      </c>
      <c r="C1326" s="9" t="s">
        <v>1704</v>
      </c>
      <c r="D1326" s="13" t="s">
        <v>1816</v>
      </c>
    </row>
    <row r="1327" customFormat="false" ht="15" hidden="false" customHeight="false" outlineLevel="0" collapsed="false">
      <c r="A1327" s="7" t="s">
        <v>2908</v>
      </c>
      <c r="B1327" s="7" t="s">
        <v>1815</v>
      </c>
      <c r="C1327" s="9" t="s">
        <v>1704</v>
      </c>
      <c r="D1327" s="13" t="s">
        <v>1816</v>
      </c>
    </row>
    <row r="1328" customFormat="false" ht="15" hidden="false" customHeight="false" outlineLevel="0" collapsed="false">
      <c r="A1328" s="7" t="s">
        <v>2908</v>
      </c>
      <c r="B1328" s="7" t="s">
        <v>1838</v>
      </c>
      <c r="C1328" s="9" t="s">
        <v>1704</v>
      </c>
      <c r="D1328" s="13" t="s">
        <v>1823</v>
      </c>
    </row>
    <row r="1329" customFormat="false" ht="15" hidden="false" customHeight="false" outlineLevel="0" collapsed="false">
      <c r="A1329" s="7" t="s">
        <v>2909</v>
      </c>
      <c r="B1329" s="7" t="s">
        <v>2563</v>
      </c>
      <c r="C1329" s="9" t="s">
        <v>1704</v>
      </c>
      <c r="D1329" s="13" t="s">
        <v>1823</v>
      </c>
    </row>
    <row r="1330" customFormat="false" ht="15" hidden="false" customHeight="false" outlineLevel="0" collapsed="false">
      <c r="A1330" s="7" t="s">
        <v>2910</v>
      </c>
      <c r="B1330" s="7" t="s">
        <v>2750</v>
      </c>
      <c r="C1330" s="9" t="s">
        <v>1704</v>
      </c>
      <c r="D1330" s="13" t="s">
        <v>2731</v>
      </c>
    </row>
    <row r="1331" customFormat="false" ht="15" hidden="false" customHeight="false" outlineLevel="0" collapsed="false">
      <c r="A1331" s="7" t="s">
        <v>2910</v>
      </c>
      <c r="B1331" s="7" t="s">
        <v>1836</v>
      </c>
      <c r="C1331" s="9" t="s">
        <v>1704</v>
      </c>
      <c r="D1331" s="13" t="s">
        <v>1816</v>
      </c>
    </row>
    <row r="1332" customFormat="false" ht="15" hidden="false" customHeight="false" outlineLevel="0" collapsed="false">
      <c r="A1332" s="7" t="s">
        <v>2910</v>
      </c>
      <c r="B1332" s="7" t="s">
        <v>2802</v>
      </c>
      <c r="C1332" s="9" t="s">
        <v>1704</v>
      </c>
      <c r="D1332" s="13" t="s">
        <v>2731</v>
      </c>
    </row>
    <row r="1333" customFormat="false" ht="15" hidden="false" customHeight="false" outlineLevel="0" collapsed="false">
      <c r="A1333" s="7" t="s">
        <v>2910</v>
      </c>
      <c r="B1333" s="7" t="s">
        <v>2738</v>
      </c>
      <c r="C1333" s="9" t="s">
        <v>1704</v>
      </c>
      <c r="D1333" s="13" t="s">
        <v>2731</v>
      </c>
    </row>
    <row r="1334" customFormat="false" ht="15" hidden="false" customHeight="false" outlineLevel="0" collapsed="false">
      <c r="A1334" s="7" t="s">
        <v>2911</v>
      </c>
      <c r="B1334" s="7" t="s">
        <v>1838</v>
      </c>
      <c r="C1334" s="9" t="s">
        <v>1704</v>
      </c>
      <c r="D1334" s="13" t="s">
        <v>1823</v>
      </c>
    </row>
    <row r="1335" customFormat="false" ht="15" hidden="false" customHeight="false" outlineLevel="0" collapsed="false">
      <c r="A1335" s="7" t="s">
        <v>2911</v>
      </c>
      <c r="B1335" s="7" t="s">
        <v>2802</v>
      </c>
      <c r="C1335" s="9" t="s">
        <v>1704</v>
      </c>
      <c r="D1335" s="13" t="s">
        <v>2731</v>
      </c>
    </row>
    <row r="1336" customFormat="false" ht="15" hidden="false" customHeight="false" outlineLevel="0" collapsed="false">
      <c r="A1336" s="7" t="s">
        <v>2912</v>
      </c>
      <c r="B1336" s="7" t="s">
        <v>1836</v>
      </c>
      <c r="C1336" s="9" t="s">
        <v>1704</v>
      </c>
      <c r="D1336" s="13" t="s">
        <v>1816</v>
      </c>
    </row>
    <row r="1337" customFormat="false" ht="15" hidden="false" customHeight="false" outlineLevel="0" collapsed="false">
      <c r="A1337" s="7" t="s">
        <v>2912</v>
      </c>
      <c r="B1337" s="7" t="s">
        <v>2750</v>
      </c>
      <c r="C1337" s="9" t="s">
        <v>1704</v>
      </c>
      <c r="D1337" s="13" t="s">
        <v>2731</v>
      </c>
    </row>
    <row r="1338" customFormat="false" ht="15" hidden="false" customHeight="false" outlineLevel="0" collapsed="false">
      <c r="A1338" s="7" t="s">
        <v>2912</v>
      </c>
      <c r="B1338" s="7" t="s">
        <v>2738</v>
      </c>
      <c r="C1338" s="9" t="s">
        <v>1704</v>
      </c>
      <c r="D1338" s="13" t="s">
        <v>2731</v>
      </c>
    </row>
    <row r="1339" customFormat="false" ht="15" hidden="false" customHeight="false" outlineLevel="0" collapsed="false">
      <c r="A1339" s="7" t="s">
        <v>2913</v>
      </c>
      <c r="B1339" s="7" t="s">
        <v>2802</v>
      </c>
      <c r="C1339" s="9" t="s">
        <v>1704</v>
      </c>
      <c r="D1339" s="13" t="s">
        <v>2731</v>
      </c>
    </row>
    <row r="1340" customFormat="false" ht="15" hidden="false" customHeight="false" outlineLevel="0" collapsed="false">
      <c r="A1340" s="7" t="s">
        <v>2914</v>
      </c>
      <c r="B1340" s="7" t="s">
        <v>1854</v>
      </c>
      <c r="C1340" s="9" t="s">
        <v>1704</v>
      </c>
      <c r="D1340" s="13" t="s">
        <v>1816</v>
      </c>
    </row>
    <row r="1341" customFormat="false" ht="15" hidden="false" customHeight="false" outlineLevel="0" collapsed="false">
      <c r="A1341" s="7" t="s">
        <v>2914</v>
      </c>
      <c r="B1341" s="7" t="s">
        <v>1757</v>
      </c>
      <c r="C1341" s="9" t="s">
        <v>1704</v>
      </c>
      <c r="D1341" s="13" t="s">
        <v>1745</v>
      </c>
    </row>
    <row r="1342" customFormat="false" ht="15" hidden="false" customHeight="false" outlineLevel="0" collapsed="false">
      <c r="A1342" s="7" t="s">
        <v>2914</v>
      </c>
      <c r="B1342" s="7" t="s">
        <v>2750</v>
      </c>
      <c r="C1342" s="9" t="s">
        <v>1704</v>
      </c>
      <c r="D1342" s="13" t="s">
        <v>2731</v>
      </c>
    </row>
    <row r="1343" customFormat="false" ht="15" hidden="false" customHeight="false" outlineLevel="0" collapsed="false">
      <c r="A1343" s="7" t="s">
        <v>2914</v>
      </c>
      <c r="B1343" s="7" t="s">
        <v>1747</v>
      </c>
      <c r="C1343" s="9" t="s">
        <v>1704</v>
      </c>
      <c r="D1343" s="13" t="s">
        <v>1745</v>
      </c>
    </row>
    <row r="1344" customFormat="false" ht="15" hidden="false" customHeight="false" outlineLevel="0" collapsed="false">
      <c r="A1344" s="7" t="s">
        <v>2915</v>
      </c>
      <c r="B1344" s="7" t="s">
        <v>1854</v>
      </c>
      <c r="C1344" s="8" t="s">
        <v>1706</v>
      </c>
      <c r="D1344" s="13" t="s">
        <v>1816</v>
      </c>
    </row>
    <row r="1345" customFormat="false" ht="15" hidden="false" customHeight="false" outlineLevel="0" collapsed="false">
      <c r="A1345" s="7" t="s">
        <v>2916</v>
      </c>
      <c r="B1345" s="7" t="s">
        <v>2802</v>
      </c>
      <c r="C1345" s="9" t="s">
        <v>1704</v>
      </c>
      <c r="D1345" s="13" t="s">
        <v>2731</v>
      </c>
    </row>
    <row r="1346" customFormat="false" ht="15" hidden="false" customHeight="false" outlineLevel="0" collapsed="false">
      <c r="A1346" s="7" t="s">
        <v>2916</v>
      </c>
      <c r="B1346" s="7" t="s">
        <v>1875</v>
      </c>
      <c r="C1346" s="9" t="s">
        <v>1704</v>
      </c>
      <c r="D1346" s="13" t="s">
        <v>1816</v>
      </c>
    </row>
    <row r="1347" customFormat="false" ht="15" hidden="false" customHeight="false" outlineLevel="0" collapsed="false">
      <c r="A1347" s="7" t="s">
        <v>2917</v>
      </c>
      <c r="B1347" s="7" t="s">
        <v>1838</v>
      </c>
      <c r="C1347" s="9" t="s">
        <v>1704</v>
      </c>
      <c r="D1347" s="13" t="s">
        <v>1823</v>
      </c>
    </row>
    <row r="1348" customFormat="false" ht="15" hidden="false" customHeight="false" outlineLevel="0" collapsed="false">
      <c r="A1348" s="7" t="s">
        <v>2917</v>
      </c>
      <c r="B1348" s="7" t="s">
        <v>2748</v>
      </c>
      <c r="C1348" s="9" t="s">
        <v>1704</v>
      </c>
      <c r="D1348" s="13" t="s">
        <v>2731</v>
      </c>
    </row>
    <row r="1349" customFormat="false" ht="15" hidden="false" customHeight="false" outlineLevel="0" collapsed="false">
      <c r="A1349" s="7" t="s">
        <v>2917</v>
      </c>
      <c r="B1349" s="7" t="s">
        <v>2730</v>
      </c>
      <c r="C1349" s="8" t="s">
        <v>1706</v>
      </c>
      <c r="D1349" s="13" t="s">
        <v>2731</v>
      </c>
    </row>
    <row r="1350" customFormat="false" ht="15" hidden="false" customHeight="false" outlineLevel="0" collapsed="false">
      <c r="A1350" s="7" t="s">
        <v>2918</v>
      </c>
      <c r="B1350" s="7" t="s">
        <v>2730</v>
      </c>
      <c r="C1350" s="8" t="s">
        <v>1706</v>
      </c>
      <c r="D1350" s="13" t="s">
        <v>2731</v>
      </c>
    </row>
    <row r="1351" customFormat="false" ht="15" hidden="false" customHeight="false" outlineLevel="0" collapsed="false">
      <c r="A1351" s="7" t="s">
        <v>2919</v>
      </c>
      <c r="B1351" s="7" t="s">
        <v>1883</v>
      </c>
      <c r="C1351" s="9" t="s">
        <v>1704</v>
      </c>
      <c r="D1351" s="13" t="s">
        <v>1816</v>
      </c>
    </row>
    <row r="1352" customFormat="false" ht="15" hidden="false" customHeight="false" outlineLevel="0" collapsed="false">
      <c r="A1352" s="7" t="s">
        <v>2920</v>
      </c>
      <c r="B1352" s="7" t="s">
        <v>1744</v>
      </c>
      <c r="C1352" s="8" t="s">
        <v>1706</v>
      </c>
      <c r="D1352" s="13" t="s">
        <v>1745</v>
      </c>
    </row>
    <row r="1353" customFormat="false" ht="15" hidden="false" customHeight="false" outlineLevel="0" collapsed="false">
      <c r="A1353" s="7" t="s">
        <v>2921</v>
      </c>
      <c r="B1353" s="7" t="s">
        <v>2730</v>
      </c>
      <c r="C1353" s="8" t="s">
        <v>1706</v>
      </c>
      <c r="D1353" s="13" t="s">
        <v>2731</v>
      </c>
    </row>
    <row r="1354" customFormat="false" ht="15" hidden="false" customHeight="false" outlineLevel="0" collapsed="false">
      <c r="A1354" s="7" t="s">
        <v>2922</v>
      </c>
      <c r="B1354" s="7" t="s">
        <v>1815</v>
      </c>
      <c r="C1354" s="9" t="s">
        <v>1704</v>
      </c>
      <c r="D1354" s="13" t="s">
        <v>1816</v>
      </c>
    </row>
    <row r="1355" customFormat="false" ht="15" hidden="false" customHeight="false" outlineLevel="0" collapsed="false">
      <c r="A1355" s="7" t="s">
        <v>2923</v>
      </c>
      <c r="B1355" s="7" t="s">
        <v>1815</v>
      </c>
      <c r="C1355" s="9" t="s">
        <v>1704</v>
      </c>
      <c r="D1355" s="13" t="s">
        <v>1816</v>
      </c>
    </row>
    <row r="1356" customFormat="false" ht="15" hidden="false" customHeight="false" outlineLevel="0" collapsed="false">
      <c r="A1356" s="7" t="s">
        <v>2924</v>
      </c>
      <c r="B1356" s="7" t="s">
        <v>1883</v>
      </c>
      <c r="C1356" s="9" t="s">
        <v>1704</v>
      </c>
      <c r="D1356" s="13" t="s">
        <v>1816</v>
      </c>
    </row>
    <row r="1357" customFormat="false" ht="15" hidden="false" customHeight="false" outlineLevel="0" collapsed="false">
      <c r="A1357" s="7" t="s">
        <v>2925</v>
      </c>
      <c r="B1357" s="7" t="s">
        <v>1815</v>
      </c>
      <c r="C1357" s="9" t="s">
        <v>1704</v>
      </c>
      <c r="D1357" s="13" t="s">
        <v>1816</v>
      </c>
    </row>
    <row r="1358" customFormat="false" ht="15" hidden="false" customHeight="false" outlineLevel="0" collapsed="false">
      <c r="A1358" s="7" t="s">
        <v>2926</v>
      </c>
      <c r="B1358" s="7" t="s">
        <v>1883</v>
      </c>
      <c r="C1358" s="9" t="s">
        <v>1704</v>
      </c>
      <c r="D1358" s="13" t="s">
        <v>1816</v>
      </c>
    </row>
    <row r="1359" customFormat="false" ht="15" hidden="false" customHeight="false" outlineLevel="0" collapsed="false">
      <c r="A1359" s="7" t="s">
        <v>2927</v>
      </c>
      <c r="B1359" s="7" t="s">
        <v>1838</v>
      </c>
      <c r="C1359" s="9" t="s">
        <v>1704</v>
      </c>
      <c r="D1359" s="13" t="s">
        <v>1823</v>
      </c>
    </row>
    <row r="1360" customFormat="false" ht="15" hidden="false" customHeight="false" outlineLevel="0" collapsed="false">
      <c r="A1360" s="7" t="s">
        <v>2928</v>
      </c>
      <c r="B1360" s="7" t="s">
        <v>2802</v>
      </c>
      <c r="C1360" s="9" t="s">
        <v>1704</v>
      </c>
      <c r="D1360" s="13" t="s">
        <v>2731</v>
      </c>
    </row>
    <row r="1361" customFormat="false" ht="15" hidden="false" customHeight="false" outlineLevel="0" collapsed="false">
      <c r="A1361" s="7" t="s">
        <v>2928</v>
      </c>
      <c r="B1361" s="7" t="s">
        <v>2738</v>
      </c>
      <c r="C1361" s="9" t="s">
        <v>1704</v>
      </c>
      <c r="D1361" s="13" t="s">
        <v>2731</v>
      </c>
    </row>
    <row r="1362" customFormat="false" ht="15" hidden="false" customHeight="false" outlineLevel="0" collapsed="false">
      <c r="A1362" s="7" t="s">
        <v>2928</v>
      </c>
      <c r="B1362" s="7" t="s">
        <v>1836</v>
      </c>
      <c r="C1362" s="9" t="s">
        <v>1704</v>
      </c>
      <c r="D1362" s="13" t="s">
        <v>1816</v>
      </c>
    </row>
    <row r="1363" customFormat="false" ht="15" hidden="false" customHeight="false" outlineLevel="0" collapsed="false">
      <c r="A1363" s="7" t="s">
        <v>2928</v>
      </c>
      <c r="B1363" s="7" t="s">
        <v>2750</v>
      </c>
      <c r="C1363" s="9" t="s">
        <v>1704</v>
      </c>
      <c r="D1363" s="13" t="s">
        <v>2731</v>
      </c>
    </row>
    <row r="1364" customFormat="false" ht="15" hidden="false" customHeight="false" outlineLevel="0" collapsed="false">
      <c r="A1364" s="7" t="s">
        <v>2929</v>
      </c>
      <c r="B1364" s="7" t="s">
        <v>2563</v>
      </c>
      <c r="C1364" s="9" t="s">
        <v>1704</v>
      </c>
      <c r="D1364" s="13" t="s">
        <v>1823</v>
      </c>
    </row>
    <row r="1365" customFormat="false" ht="15" hidden="false" customHeight="false" outlineLevel="0" collapsed="false">
      <c r="A1365" s="7" t="s">
        <v>2930</v>
      </c>
      <c r="B1365" s="7" t="s">
        <v>2802</v>
      </c>
      <c r="C1365" s="9" t="s">
        <v>1704</v>
      </c>
      <c r="D1365" s="13" t="s">
        <v>2731</v>
      </c>
    </row>
    <row r="1366" customFormat="false" ht="15" hidden="false" customHeight="false" outlineLevel="0" collapsed="false">
      <c r="A1366" s="7" t="s">
        <v>2931</v>
      </c>
      <c r="B1366" s="7" t="s">
        <v>1838</v>
      </c>
      <c r="C1366" s="9" t="s">
        <v>1704</v>
      </c>
      <c r="D1366" s="13" t="s">
        <v>1823</v>
      </c>
    </row>
    <row r="1367" customFormat="false" ht="15" hidden="false" customHeight="false" outlineLevel="0" collapsed="false">
      <c r="A1367" s="7" t="s">
        <v>2932</v>
      </c>
      <c r="B1367" s="7" t="s">
        <v>1929</v>
      </c>
      <c r="C1367" s="9" t="s">
        <v>1704</v>
      </c>
      <c r="D1367" s="13" t="s">
        <v>1816</v>
      </c>
    </row>
    <row r="1368" customFormat="false" ht="15" hidden="false" customHeight="false" outlineLevel="0" collapsed="false">
      <c r="A1368" s="7" t="s">
        <v>2933</v>
      </c>
      <c r="B1368" s="7" t="s">
        <v>2750</v>
      </c>
      <c r="C1368" s="9" t="s">
        <v>1704</v>
      </c>
      <c r="D1368" s="13" t="s">
        <v>2731</v>
      </c>
    </row>
    <row r="1369" customFormat="false" ht="15" hidden="false" customHeight="false" outlineLevel="0" collapsed="false">
      <c r="A1369" s="7" t="s">
        <v>2934</v>
      </c>
      <c r="B1369" s="7" t="s">
        <v>1838</v>
      </c>
      <c r="C1369" s="9" t="s">
        <v>1704</v>
      </c>
      <c r="D1369" s="13" t="s">
        <v>1823</v>
      </c>
    </row>
    <row r="1370" customFormat="false" ht="15" hidden="false" customHeight="false" outlineLevel="0" collapsed="false">
      <c r="A1370" s="7" t="s">
        <v>2935</v>
      </c>
      <c r="B1370" s="7" t="s">
        <v>2738</v>
      </c>
      <c r="C1370" s="9" t="s">
        <v>1704</v>
      </c>
      <c r="D1370" s="13" t="s">
        <v>2731</v>
      </c>
    </row>
    <row r="1371" customFormat="false" ht="15" hidden="false" customHeight="false" outlineLevel="0" collapsed="false">
      <c r="A1371" s="7" t="s">
        <v>2935</v>
      </c>
      <c r="B1371" s="7" t="s">
        <v>1836</v>
      </c>
      <c r="C1371" s="9" t="s">
        <v>1704</v>
      </c>
      <c r="D1371" s="13" t="s">
        <v>1816</v>
      </c>
    </row>
    <row r="1372" customFormat="false" ht="15" hidden="false" customHeight="false" outlineLevel="0" collapsed="false">
      <c r="A1372" s="7" t="s">
        <v>2935</v>
      </c>
      <c r="B1372" s="7" t="s">
        <v>2750</v>
      </c>
      <c r="C1372" s="9" t="s">
        <v>1704</v>
      </c>
      <c r="D1372" s="13" t="s">
        <v>2731</v>
      </c>
    </row>
    <row r="1373" customFormat="false" ht="15" hidden="false" customHeight="false" outlineLevel="0" collapsed="false">
      <c r="A1373" s="7" t="s">
        <v>2936</v>
      </c>
      <c r="B1373" s="7" t="s">
        <v>1822</v>
      </c>
      <c r="C1373" s="9" t="s">
        <v>1704</v>
      </c>
      <c r="D1373" s="13" t="s">
        <v>1823</v>
      </c>
    </row>
    <row r="1374" customFormat="false" ht="15" hidden="false" customHeight="false" outlineLevel="0" collapsed="false">
      <c r="A1374" s="7" t="s">
        <v>2937</v>
      </c>
      <c r="B1374" s="7" t="s">
        <v>1838</v>
      </c>
      <c r="C1374" s="9" t="s">
        <v>1704</v>
      </c>
      <c r="D1374" s="13" t="s">
        <v>1823</v>
      </c>
    </row>
    <row r="1375" customFormat="false" ht="15" hidden="false" customHeight="false" outlineLevel="0" collapsed="false">
      <c r="A1375" s="7" t="s">
        <v>2938</v>
      </c>
      <c r="B1375" s="7" t="s">
        <v>2750</v>
      </c>
      <c r="C1375" s="9" t="s">
        <v>1704</v>
      </c>
      <c r="D1375" s="13" t="s">
        <v>2731</v>
      </c>
    </row>
    <row r="1376" customFormat="false" ht="15" hidden="false" customHeight="false" outlineLevel="0" collapsed="false">
      <c r="A1376" s="7" t="s">
        <v>2938</v>
      </c>
      <c r="B1376" s="7" t="s">
        <v>1883</v>
      </c>
      <c r="C1376" s="9" t="s">
        <v>1704</v>
      </c>
      <c r="D1376" s="13" t="s">
        <v>1816</v>
      </c>
    </row>
    <row r="1377" customFormat="false" ht="15" hidden="false" customHeight="false" outlineLevel="0" collapsed="false">
      <c r="A1377" s="7" t="s">
        <v>2939</v>
      </c>
      <c r="B1377" s="7" t="s">
        <v>2730</v>
      </c>
      <c r="C1377" s="8" t="s">
        <v>1706</v>
      </c>
      <c r="D1377" s="13" t="s">
        <v>2731</v>
      </c>
    </row>
    <row r="1378" customFormat="false" ht="15" hidden="false" customHeight="false" outlineLevel="0" collapsed="false">
      <c r="A1378" s="7" t="s">
        <v>2940</v>
      </c>
      <c r="B1378" s="7" t="s">
        <v>2750</v>
      </c>
      <c r="C1378" s="9" t="s">
        <v>1704</v>
      </c>
      <c r="D1378" s="13" t="s">
        <v>2731</v>
      </c>
    </row>
    <row r="1379" customFormat="false" ht="15" hidden="false" customHeight="false" outlineLevel="0" collapsed="false">
      <c r="A1379" s="7" t="s">
        <v>2940</v>
      </c>
      <c r="B1379" s="7" t="s">
        <v>1836</v>
      </c>
      <c r="C1379" s="9" t="s">
        <v>1704</v>
      </c>
      <c r="D1379" s="13" t="s">
        <v>1816</v>
      </c>
    </row>
    <row r="1380" customFormat="false" ht="15" hidden="false" customHeight="false" outlineLevel="0" collapsed="false">
      <c r="A1380" s="7" t="s">
        <v>2941</v>
      </c>
      <c r="B1380" s="7" t="s">
        <v>1838</v>
      </c>
      <c r="C1380" s="9" t="s">
        <v>1704</v>
      </c>
      <c r="D1380" s="13" t="s">
        <v>1823</v>
      </c>
    </row>
    <row r="1381" customFormat="false" ht="15" hidden="false" customHeight="false" outlineLevel="0" collapsed="false">
      <c r="A1381" s="7" t="s">
        <v>2941</v>
      </c>
      <c r="B1381" s="7" t="s">
        <v>2730</v>
      </c>
      <c r="C1381" s="8" t="s">
        <v>1706</v>
      </c>
      <c r="D1381" s="13" t="s">
        <v>2731</v>
      </c>
    </row>
    <row r="1382" customFormat="false" ht="15" hidden="false" customHeight="false" outlineLevel="0" collapsed="false">
      <c r="A1382" s="7" t="s">
        <v>2942</v>
      </c>
      <c r="B1382" s="7" t="s">
        <v>1749</v>
      </c>
      <c r="C1382" s="8" t="s">
        <v>1706</v>
      </c>
      <c r="D1382" s="13" t="s">
        <v>1745</v>
      </c>
    </row>
    <row r="1383" customFormat="false" ht="15" hidden="false" customHeight="false" outlineLevel="0" collapsed="false">
      <c r="A1383" s="7" t="s">
        <v>2943</v>
      </c>
      <c r="B1383" s="7" t="s">
        <v>1838</v>
      </c>
      <c r="C1383" s="9" t="s">
        <v>1704</v>
      </c>
      <c r="D1383" s="13" t="s">
        <v>1823</v>
      </c>
    </row>
    <row r="1384" customFormat="false" ht="15" hidden="false" customHeight="false" outlineLevel="0" collapsed="false">
      <c r="A1384" s="7" t="s">
        <v>2944</v>
      </c>
      <c r="B1384" s="7" t="s">
        <v>2730</v>
      </c>
      <c r="C1384" s="8" t="s">
        <v>1706</v>
      </c>
      <c r="D1384" s="13" t="s">
        <v>2731</v>
      </c>
    </row>
    <row r="1385" customFormat="false" ht="15" hidden="false" customHeight="false" outlineLevel="0" collapsed="false">
      <c r="A1385" s="7" t="s">
        <v>2944</v>
      </c>
      <c r="B1385" s="7" t="s">
        <v>1822</v>
      </c>
      <c r="C1385" s="9" t="s">
        <v>1704</v>
      </c>
      <c r="D1385" s="13" t="s">
        <v>1823</v>
      </c>
    </row>
    <row r="1386" customFormat="false" ht="15" hidden="false" customHeight="false" outlineLevel="0" collapsed="false">
      <c r="A1386" s="7" t="s">
        <v>2945</v>
      </c>
      <c r="B1386" s="7" t="s">
        <v>1883</v>
      </c>
      <c r="C1386" s="9" t="s">
        <v>1704</v>
      </c>
      <c r="D1386" s="13" t="s">
        <v>1816</v>
      </c>
    </row>
    <row r="1387" customFormat="false" ht="15" hidden="false" customHeight="false" outlineLevel="0" collapsed="false">
      <c r="A1387" s="7" t="s">
        <v>2946</v>
      </c>
      <c r="B1387" s="7" t="s">
        <v>2748</v>
      </c>
      <c r="C1387" s="9" t="s">
        <v>1704</v>
      </c>
      <c r="D1387" s="13" t="s">
        <v>2731</v>
      </c>
    </row>
    <row r="1388" customFormat="false" ht="15" hidden="false" customHeight="false" outlineLevel="0" collapsed="false">
      <c r="A1388" s="7" t="s">
        <v>2946</v>
      </c>
      <c r="B1388" s="7" t="s">
        <v>1838</v>
      </c>
      <c r="C1388" s="9" t="s">
        <v>1704</v>
      </c>
      <c r="D1388" s="13" t="s">
        <v>1823</v>
      </c>
    </row>
    <row r="1389" customFormat="false" ht="15" hidden="false" customHeight="false" outlineLevel="0" collapsed="false">
      <c r="A1389" s="7" t="s">
        <v>2947</v>
      </c>
      <c r="B1389" s="7" t="s">
        <v>2750</v>
      </c>
      <c r="C1389" s="9" t="s">
        <v>1704</v>
      </c>
      <c r="D1389" s="13" t="s">
        <v>2731</v>
      </c>
    </row>
    <row r="1390" customFormat="false" ht="15" hidden="false" customHeight="false" outlineLevel="0" collapsed="false">
      <c r="A1390" s="7" t="s">
        <v>2948</v>
      </c>
      <c r="B1390" s="7" t="s">
        <v>2748</v>
      </c>
      <c r="C1390" s="9" t="s">
        <v>1704</v>
      </c>
      <c r="D1390" s="13" t="s">
        <v>2731</v>
      </c>
    </row>
    <row r="1391" customFormat="false" ht="15" hidden="false" customHeight="false" outlineLevel="0" collapsed="false">
      <c r="A1391" s="7" t="s">
        <v>2948</v>
      </c>
      <c r="B1391" s="7" t="s">
        <v>1838</v>
      </c>
      <c r="C1391" s="9" t="s">
        <v>1704</v>
      </c>
      <c r="D1391" s="13" t="s">
        <v>1823</v>
      </c>
    </row>
    <row r="1392" customFormat="false" ht="15" hidden="false" customHeight="false" outlineLevel="0" collapsed="false">
      <c r="A1392" s="7" t="s">
        <v>2949</v>
      </c>
      <c r="B1392" s="7" t="s">
        <v>2730</v>
      </c>
      <c r="C1392" s="8" t="s">
        <v>1706</v>
      </c>
      <c r="D1392" s="13" t="s">
        <v>2731</v>
      </c>
    </row>
    <row r="1393" customFormat="false" ht="15" hidden="false" customHeight="false" outlineLevel="0" collapsed="false">
      <c r="A1393" s="7" t="s">
        <v>2950</v>
      </c>
      <c r="B1393" s="7" t="s">
        <v>2730</v>
      </c>
      <c r="C1393" s="8" t="s">
        <v>1706</v>
      </c>
      <c r="D1393" s="13" t="s">
        <v>2731</v>
      </c>
    </row>
    <row r="1394" customFormat="false" ht="15" hidden="false" customHeight="false" outlineLevel="0" collapsed="false">
      <c r="A1394" s="7" t="s">
        <v>2951</v>
      </c>
      <c r="B1394" s="7" t="s">
        <v>1815</v>
      </c>
      <c r="C1394" s="9" t="s">
        <v>1704</v>
      </c>
      <c r="D1394" s="13" t="s">
        <v>1816</v>
      </c>
    </row>
    <row r="1395" customFormat="false" ht="15" hidden="false" customHeight="false" outlineLevel="0" collapsed="false">
      <c r="A1395" s="7" t="s">
        <v>2951</v>
      </c>
      <c r="B1395" s="7" t="s">
        <v>2800</v>
      </c>
      <c r="C1395" s="9" t="s">
        <v>1704</v>
      </c>
      <c r="D1395" s="13" t="s">
        <v>2731</v>
      </c>
    </row>
    <row r="1396" customFormat="false" ht="15" hidden="false" customHeight="false" outlineLevel="0" collapsed="false">
      <c r="A1396" s="7" t="s">
        <v>2952</v>
      </c>
      <c r="B1396" s="7" t="s">
        <v>1838</v>
      </c>
      <c r="C1396" s="9" t="s">
        <v>1704</v>
      </c>
      <c r="D1396" s="13" t="s">
        <v>1823</v>
      </c>
    </row>
    <row r="1397" customFormat="false" ht="15" hidden="false" customHeight="false" outlineLevel="0" collapsed="false">
      <c r="A1397" s="7" t="s">
        <v>2953</v>
      </c>
      <c r="B1397" s="7" t="s">
        <v>1883</v>
      </c>
      <c r="C1397" s="9" t="s">
        <v>1704</v>
      </c>
      <c r="D1397" s="13" t="s">
        <v>1816</v>
      </c>
    </row>
    <row r="1398" customFormat="false" ht="15" hidden="false" customHeight="false" outlineLevel="0" collapsed="false">
      <c r="A1398" s="7" t="s">
        <v>2954</v>
      </c>
      <c r="B1398" s="7" t="s">
        <v>1838</v>
      </c>
      <c r="C1398" s="9" t="s">
        <v>1704</v>
      </c>
      <c r="D1398" s="13" t="s">
        <v>1823</v>
      </c>
    </row>
    <row r="1399" customFormat="false" ht="15" hidden="false" customHeight="false" outlineLevel="0" collapsed="false">
      <c r="A1399" s="7" t="s">
        <v>2955</v>
      </c>
      <c r="B1399" s="7" t="s">
        <v>2563</v>
      </c>
      <c r="C1399" s="9" t="s">
        <v>1704</v>
      </c>
      <c r="D1399" s="13" t="s">
        <v>1823</v>
      </c>
    </row>
    <row r="1400" customFormat="false" ht="15" hidden="false" customHeight="false" outlineLevel="0" collapsed="false">
      <c r="A1400" s="7" t="s">
        <v>2956</v>
      </c>
      <c r="B1400" s="7" t="s">
        <v>1815</v>
      </c>
      <c r="C1400" s="9" t="s">
        <v>1704</v>
      </c>
      <c r="D1400" s="13" t="s">
        <v>1816</v>
      </c>
    </row>
    <row r="1401" customFormat="false" ht="15" hidden="false" customHeight="false" outlineLevel="0" collapsed="false">
      <c r="A1401" s="7" t="s">
        <v>2957</v>
      </c>
      <c r="B1401" s="7" t="s">
        <v>1815</v>
      </c>
      <c r="C1401" s="9" t="s">
        <v>1704</v>
      </c>
      <c r="D1401" s="13" t="s">
        <v>1816</v>
      </c>
    </row>
    <row r="1402" customFormat="false" ht="15" hidden="false" customHeight="false" outlineLevel="0" collapsed="false">
      <c r="A1402" s="7" t="s">
        <v>2958</v>
      </c>
      <c r="B1402" s="7" t="s">
        <v>1815</v>
      </c>
      <c r="C1402" s="9" t="s">
        <v>1704</v>
      </c>
      <c r="D1402" s="13" t="s">
        <v>1816</v>
      </c>
    </row>
    <row r="1403" customFormat="false" ht="15" hidden="false" customHeight="false" outlineLevel="0" collapsed="false">
      <c r="A1403" s="7" t="s">
        <v>2959</v>
      </c>
      <c r="B1403" s="7" t="s">
        <v>1815</v>
      </c>
      <c r="C1403" s="9" t="s">
        <v>1704</v>
      </c>
      <c r="D1403" s="13" t="s">
        <v>1816</v>
      </c>
    </row>
    <row r="1404" customFormat="false" ht="15" hidden="false" customHeight="false" outlineLevel="0" collapsed="false">
      <c r="A1404" s="7" t="s">
        <v>2960</v>
      </c>
      <c r="B1404" s="7" t="s">
        <v>1815</v>
      </c>
      <c r="C1404" s="9" t="s">
        <v>1704</v>
      </c>
      <c r="D1404" s="13" t="s">
        <v>1816</v>
      </c>
    </row>
    <row r="1405" customFormat="false" ht="15" hidden="false" customHeight="false" outlineLevel="0" collapsed="false">
      <c r="A1405" s="7" t="s">
        <v>41</v>
      </c>
      <c r="B1405" s="7" t="s">
        <v>1838</v>
      </c>
      <c r="C1405" s="9" t="s">
        <v>1704</v>
      </c>
      <c r="D1405" s="13" t="s">
        <v>1823</v>
      </c>
    </row>
    <row r="1406" customFormat="false" ht="15" hidden="false" customHeight="false" outlineLevel="0" collapsed="false">
      <c r="A1406" s="7" t="s">
        <v>46</v>
      </c>
      <c r="B1406" s="7" t="s">
        <v>1815</v>
      </c>
      <c r="C1406" s="9" t="s">
        <v>1704</v>
      </c>
      <c r="D1406" s="13" t="s">
        <v>1816</v>
      </c>
    </row>
    <row r="1407" customFormat="false" ht="15" hidden="false" customHeight="false" outlineLevel="0" collapsed="false">
      <c r="A1407" s="7" t="s">
        <v>49</v>
      </c>
      <c r="B1407" s="7" t="s">
        <v>1815</v>
      </c>
      <c r="C1407" s="9" t="s">
        <v>1704</v>
      </c>
      <c r="D1407" s="13" t="s">
        <v>1816</v>
      </c>
    </row>
    <row r="1408" customFormat="false" ht="15" hidden="false" customHeight="false" outlineLevel="0" collapsed="false">
      <c r="A1408" s="7" t="s">
        <v>58</v>
      </c>
      <c r="B1408" s="7" t="s">
        <v>2590</v>
      </c>
      <c r="C1408" s="9" t="s">
        <v>1704</v>
      </c>
      <c r="D1408" s="13" t="s">
        <v>1823</v>
      </c>
    </row>
    <row r="1409" customFormat="false" ht="15" hidden="false" customHeight="false" outlineLevel="0" collapsed="false">
      <c r="A1409" s="7" t="s">
        <v>58</v>
      </c>
      <c r="B1409" s="7" t="s">
        <v>2750</v>
      </c>
      <c r="C1409" s="9" t="s">
        <v>1704</v>
      </c>
      <c r="D1409" s="13" t="s">
        <v>2731</v>
      </c>
    </row>
    <row r="1410" customFormat="false" ht="15" hidden="false" customHeight="false" outlineLevel="0" collapsed="false">
      <c r="A1410" s="7" t="s">
        <v>60</v>
      </c>
      <c r="B1410" s="7" t="s">
        <v>2563</v>
      </c>
      <c r="C1410" s="9" t="s">
        <v>1704</v>
      </c>
      <c r="D1410" s="13" t="s">
        <v>1823</v>
      </c>
    </row>
    <row r="1411" customFormat="false" ht="15" hidden="false" customHeight="false" outlineLevel="0" collapsed="false">
      <c r="A1411" s="7" t="s">
        <v>60</v>
      </c>
      <c r="B1411" s="7" t="s">
        <v>1883</v>
      </c>
      <c r="C1411" s="9" t="s">
        <v>1704</v>
      </c>
      <c r="D1411" s="13" t="s">
        <v>1816</v>
      </c>
    </row>
    <row r="1412" customFormat="false" ht="15" hidden="false" customHeight="false" outlineLevel="0" collapsed="false">
      <c r="A1412" s="7" t="s">
        <v>62</v>
      </c>
      <c r="B1412" s="7" t="s">
        <v>2750</v>
      </c>
      <c r="C1412" s="9" t="s">
        <v>1704</v>
      </c>
      <c r="D1412" s="13" t="s">
        <v>2731</v>
      </c>
    </row>
    <row r="1413" customFormat="false" ht="15" hidden="false" customHeight="false" outlineLevel="0" collapsed="false">
      <c r="A1413" s="7" t="s">
        <v>64</v>
      </c>
      <c r="B1413" s="7" t="s">
        <v>1815</v>
      </c>
      <c r="C1413" s="9" t="s">
        <v>1704</v>
      </c>
      <c r="D1413" s="13" t="s">
        <v>1816</v>
      </c>
    </row>
    <row r="1414" customFormat="false" ht="15" hidden="false" customHeight="false" outlineLevel="0" collapsed="false">
      <c r="A1414" s="7" t="s">
        <v>65</v>
      </c>
      <c r="B1414" s="7" t="s">
        <v>1815</v>
      </c>
      <c r="C1414" s="9" t="s">
        <v>1704</v>
      </c>
      <c r="D1414" s="13" t="s">
        <v>1816</v>
      </c>
    </row>
    <row r="1415" customFormat="false" ht="15" hidden="false" customHeight="false" outlineLevel="0" collapsed="false">
      <c r="A1415" s="7" t="s">
        <v>66</v>
      </c>
      <c r="B1415" s="7" t="s">
        <v>1815</v>
      </c>
      <c r="C1415" s="9" t="s">
        <v>1704</v>
      </c>
      <c r="D1415" s="13" t="s">
        <v>1816</v>
      </c>
    </row>
    <row r="1416" customFormat="false" ht="15" hidden="false" customHeight="false" outlineLevel="0" collapsed="false">
      <c r="A1416" s="7" t="s">
        <v>68</v>
      </c>
      <c r="B1416" s="7" t="s">
        <v>1815</v>
      </c>
      <c r="C1416" s="9" t="s">
        <v>1704</v>
      </c>
      <c r="D1416" s="13" t="s">
        <v>1816</v>
      </c>
    </row>
    <row r="1417" customFormat="false" ht="15" hidden="false" customHeight="false" outlineLevel="0" collapsed="false">
      <c r="A1417" s="7" t="s">
        <v>69</v>
      </c>
      <c r="B1417" s="7" t="s">
        <v>1815</v>
      </c>
      <c r="C1417" s="9" t="s">
        <v>1704</v>
      </c>
      <c r="D1417" s="13" t="s">
        <v>1816</v>
      </c>
    </row>
    <row r="1418" customFormat="false" ht="15" hidden="false" customHeight="false" outlineLevel="0" collapsed="false">
      <c r="A1418" s="7" t="s">
        <v>70</v>
      </c>
      <c r="B1418" s="7" t="s">
        <v>1815</v>
      </c>
      <c r="C1418" s="9" t="s">
        <v>1704</v>
      </c>
      <c r="D1418" s="13" t="s">
        <v>1816</v>
      </c>
    </row>
    <row r="1419" customFormat="false" ht="15" hidden="false" customHeight="false" outlineLevel="0" collapsed="false">
      <c r="A1419" s="7" t="s">
        <v>72</v>
      </c>
      <c r="B1419" s="7" t="s">
        <v>1815</v>
      </c>
      <c r="C1419" s="9" t="s">
        <v>1704</v>
      </c>
      <c r="D1419" s="13" t="s">
        <v>1816</v>
      </c>
    </row>
    <row r="1420" customFormat="false" ht="15" hidden="false" customHeight="false" outlineLevel="0" collapsed="false">
      <c r="A1420" s="7" t="s">
        <v>73</v>
      </c>
      <c r="B1420" s="7" t="s">
        <v>1815</v>
      </c>
      <c r="C1420" s="9" t="s">
        <v>1704</v>
      </c>
      <c r="D1420" s="13" t="s">
        <v>1816</v>
      </c>
    </row>
    <row r="1421" customFormat="false" ht="15" hidden="false" customHeight="false" outlineLevel="0" collapsed="false">
      <c r="A1421" s="7" t="s">
        <v>77</v>
      </c>
      <c r="B1421" s="7" t="s">
        <v>2750</v>
      </c>
      <c r="C1421" s="9" t="s">
        <v>1704</v>
      </c>
      <c r="D1421" s="13" t="s">
        <v>2731</v>
      </c>
    </row>
    <row r="1422" customFormat="false" ht="15" hidden="false" customHeight="false" outlineLevel="0" collapsed="false">
      <c r="A1422" s="7" t="s">
        <v>77</v>
      </c>
      <c r="B1422" s="7" t="s">
        <v>1836</v>
      </c>
      <c r="C1422" s="9" t="s">
        <v>1704</v>
      </c>
      <c r="D1422" s="13" t="s">
        <v>1816</v>
      </c>
    </row>
    <row r="1423" customFormat="false" ht="15" hidden="false" customHeight="false" outlineLevel="0" collapsed="false">
      <c r="A1423" s="7" t="s">
        <v>77</v>
      </c>
      <c r="B1423" s="7" t="s">
        <v>2738</v>
      </c>
      <c r="C1423" s="9" t="s">
        <v>1704</v>
      </c>
      <c r="D1423" s="13" t="s">
        <v>2731</v>
      </c>
    </row>
    <row r="1424" customFormat="false" ht="15" hidden="false" customHeight="false" outlineLevel="0" collapsed="false">
      <c r="A1424" s="7" t="s">
        <v>80</v>
      </c>
      <c r="B1424" s="7" t="s">
        <v>2750</v>
      </c>
      <c r="C1424" s="9" t="s">
        <v>1704</v>
      </c>
      <c r="D1424" s="13" t="s">
        <v>2731</v>
      </c>
    </row>
    <row r="1425" customFormat="false" ht="15" hidden="false" customHeight="false" outlineLevel="0" collapsed="false">
      <c r="A1425" s="7" t="s">
        <v>81</v>
      </c>
      <c r="B1425" s="7" t="s">
        <v>1822</v>
      </c>
      <c r="C1425" s="9" t="s">
        <v>1704</v>
      </c>
      <c r="D1425" s="13" t="s">
        <v>1823</v>
      </c>
    </row>
    <row r="1426" customFormat="false" ht="15" hidden="false" customHeight="false" outlineLevel="0" collapsed="false">
      <c r="A1426" s="7" t="s">
        <v>2961</v>
      </c>
      <c r="B1426" s="7" t="s">
        <v>1747</v>
      </c>
      <c r="C1426" s="9" t="s">
        <v>1704</v>
      </c>
      <c r="D1426" s="13" t="s">
        <v>1745</v>
      </c>
    </row>
    <row r="1427" customFormat="false" ht="15" hidden="false" customHeight="false" outlineLevel="0" collapsed="false">
      <c r="A1427" s="7" t="s">
        <v>83</v>
      </c>
      <c r="B1427" s="7" t="s">
        <v>2668</v>
      </c>
      <c r="C1427" s="8" t="s">
        <v>1706</v>
      </c>
      <c r="D1427" s="13" t="s">
        <v>1823</v>
      </c>
    </row>
    <row r="1428" customFormat="false" ht="15" hidden="false" customHeight="false" outlineLevel="0" collapsed="false">
      <c r="A1428" s="7" t="s">
        <v>85</v>
      </c>
      <c r="B1428" s="7" t="s">
        <v>2802</v>
      </c>
      <c r="C1428" s="9" t="s">
        <v>1704</v>
      </c>
      <c r="D1428" s="13" t="s">
        <v>2731</v>
      </c>
    </row>
    <row r="1429" customFormat="false" ht="15" hidden="false" customHeight="false" outlineLevel="0" collapsed="false">
      <c r="A1429" s="7" t="s">
        <v>85</v>
      </c>
      <c r="B1429" s="7" t="s">
        <v>2668</v>
      </c>
      <c r="C1429" s="8" t="s">
        <v>1706</v>
      </c>
      <c r="D1429" s="13" t="s">
        <v>1823</v>
      </c>
    </row>
    <row r="1430" customFormat="false" ht="15" hidden="false" customHeight="false" outlineLevel="0" collapsed="false">
      <c r="A1430" s="7" t="s">
        <v>88</v>
      </c>
      <c r="B1430" s="7" t="s">
        <v>1854</v>
      </c>
      <c r="C1430" s="9" t="s">
        <v>1704</v>
      </c>
      <c r="D1430" s="13" t="s">
        <v>1816</v>
      </c>
    </row>
    <row r="1431" customFormat="false" ht="15" hidden="false" customHeight="false" outlineLevel="0" collapsed="false">
      <c r="A1431" s="7" t="s">
        <v>90</v>
      </c>
      <c r="B1431" s="7" t="s">
        <v>1854</v>
      </c>
      <c r="C1431" s="8" t="s">
        <v>1706</v>
      </c>
      <c r="D1431" s="13" t="s">
        <v>1816</v>
      </c>
    </row>
    <row r="1432" customFormat="false" ht="15" hidden="false" customHeight="false" outlineLevel="0" collapsed="false">
      <c r="A1432" s="7" t="s">
        <v>90</v>
      </c>
      <c r="B1432" s="7" t="s">
        <v>2869</v>
      </c>
      <c r="C1432" s="8" t="s">
        <v>1706</v>
      </c>
      <c r="D1432" s="13" t="s">
        <v>2731</v>
      </c>
    </row>
    <row r="1433" customFormat="false" ht="15" hidden="false" customHeight="false" outlineLevel="0" collapsed="false">
      <c r="A1433" s="7" t="s">
        <v>91</v>
      </c>
      <c r="B1433" s="7" t="s">
        <v>1854</v>
      </c>
      <c r="C1433" s="9" t="s">
        <v>1704</v>
      </c>
      <c r="D1433" s="13" t="s">
        <v>1816</v>
      </c>
    </row>
    <row r="1434" customFormat="false" ht="15" hidden="false" customHeight="false" outlineLevel="0" collapsed="false">
      <c r="A1434" s="7" t="s">
        <v>93</v>
      </c>
      <c r="B1434" s="7" t="s">
        <v>2668</v>
      </c>
      <c r="C1434" s="8" t="s">
        <v>1706</v>
      </c>
      <c r="D1434" s="13" t="s">
        <v>1823</v>
      </c>
    </row>
    <row r="1435" customFormat="false" ht="15" hidden="false" customHeight="false" outlineLevel="0" collapsed="false">
      <c r="A1435" s="7" t="s">
        <v>99</v>
      </c>
      <c r="B1435" s="7" t="s">
        <v>2668</v>
      </c>
      <c r="C1435" s="8" t="s">
        <v>1706</v>
      </c>
      <c r="D1435" s="13" t="s">
        <v>1823</v>
      </c>
    </row>
    <row r="1436" customFormat="false" ht="15" hidden="false" customHeight="false" outlineLevel="0" collapsed="false">
      <c r="A1436" s="7" t="s">
        <v>102</v>
      </c>
      <c r="B1436" s="7" t="s">
        <v>2730</v>
      </c>
      <c r="C1436" s="8" t="s">
        <v>1706</v>
      </c>
      <c r="D1436" s="13" t="s">
        <v>2731</v>
      </c>
    </row>
    <row r="1437" customFormat="false" ht="15" hidden="false" customHeight="false" outlineLevel="0" collapsed="false">
      <c r="A1437" s="7" t="s">
        <v>103</v>
      </c>
      <c r="B1437" s="7" t="s">
        <v>1883</v>
      </c>
      <c r="C1437" s="8" t="s">
        <v>1706</v>
      </c>
      <c r="D1437" s="13" t="s">
        <v>1816</v>
      </c>
    </row>
    <row r="1438" customFormat="false" ht="15" hidden="false" customHeight="false" outlineLevel="0" collapsed="false">
      <c r="A1438" s="7" t="s">
        <v>105</v>
      </c>
      <c r="B1438" s="7" t="s">
        <v>2668</v>
      </c>
      <c r="C1438" s="8" t="s">
        <v>1706</v>
      </c>
      <c r="D1438" s="13" t="s">
        <v>1823</v>
      </c>
    </row>
    <row r="1439" customFormat="false" ht="15" hidden="false" customHeight="false" outlineLevel="0" collapsed="false">
      <c r="A1439" s="7" t="s">
        <v>108</v>
      </c>
      <c r="B1439" s="7" t="s">
        <v>2668</v>
      </c>
      <c r="C1439" s="8" t="s">
        <v>1706</v>
      </c>
      <c r="D1439" s="13" t="s">
        <v>1823</v>
      </c>
    </row>
    <row r="1440" customFormat="false" ht="15" hidden="false" customHeight="false" outlineLevel="0" collapsed="false">
      <c r="A1440" s="7" t="s">
        <v>109</v>
      </c>
      <c r="B1440" s="7" t="s">
        <v>2886</v>
      </c>
      <c r="C1440" s="8" t="s">
        <v>1706</v>
      </c>
      <c r="D1440" s="13" t="s">
        <v>2731</v>
      </c>
    </row>
    <row r="1441" customFormat="false" ht="15" hidden="false" customHeight="false" outlineLevel="0" collapsed="false">
      <c r="A1441" s="7" t="s">
        <v>111</v>
      </c>
      <c r="B1441" s="7" t="s">
        <v>1854</v>
      </c>
      <c r="C1441" s="8" t="s">
        <v>1706</v>
      </c>
      <c r="D1441" s="13" t="s">
        <v>1816</v>
      </c>
    </row>
    <row r="1442" customFormat="false" ht="15" hidden="false" customHeight="false" outlineLevel="0" collapsed="false">
      <c r="A1442" s="7" t="s">
        <v>111</v>
      </c>
      <c r="B1442" s="7" t="s">
        <v>2869</v>
      </c>
      <c r="C1442" s="8" t="s">
        <v>1706</v>
      </c>
      <c r="D1442" s="13" t="s">
        <v>2731</v>
      </c>
    </row>
    <row r="1443" customFormat="false" ht="15" hidden="false" customHeight="false" outlineLevel="0" collapsed="false">
      <c r="A1443" s="7" t="s">
        <v>114</v>
      </c>
      <c r="B1443" s="7" t="s">
        <v>1861</v>
      </c>
      <c r="C1443" s="8" t="s">
        <v>1706</v>
      </c>
      <c r="D1443" s="13" t="s">
        <v>1823</v>
      </c>
    </row>
    <row r="1444" customFormat="false" ht="15" hidden="false" customHeight="false" outlineLevel="0" collapsed="false">
      <c r="A1444" s="7" t="s">
        <v>120</v>
      </c>
      <c r="B1444" s="7" t="s">
        <v>2869</v>
      </c>
      <c r="C1444" s="8" t="s">
        <v>1706</v>
      </c>
      <c r="D1444" s="13" t="s">
        <v>2731</v>
      </c>
    </row>
    <row r="1445" customFormat="false" ht="15" hidden="false" customHeight="false" outlineLevel="0" collapsed="false">
      <c r="A1445" s="7" t="s">
        <v>122</v>
      </c>
      <c r="B1445" s="7" t="s">
        <v>2668</v>
      </c>
      <c r="C1445" s="8" t="s">
        <v>1706</v>
      </c>
      <c r="D1445" s="13" t="s">
        <v>1823</v>
      </c>
    </row>
    <row r="1446" customFormat="false" ht="15" hidden="false" customHeight="false" outlineLevel="0" collapsed="false">
      <c r="A1446" s="7" t="s">
        <v>122</v>
      </c>
      <c r="B1446" s="7" t="s">
        <v>1867</v>
      </c>
      <c r="C1446" s="9" t="s">
        <v>1704</v>
      </c>
      <c r="D1446" s="13" t="s">
        <v>1816</v>
      </c>
    </row>
    <row r="1447" customFormat="false" ht="15" hidden="false" customHeight="false" outlineLevel="0" collapsed="false">
      <c r="A1447" s="7" t="s">
        <v>126</v>
      </c>
      <c r="B1447" s="7" t="s">
        <v>1761</v>
      </c>
      <c r="C1447" s="9" t="s">
        <v>1704</v>
      </c>
      <c r="D1447" s="13" t="s">
        <v>1745</v>
      </c>
    </row>
    <row r="1448" customFormat="false" ht="15" hidden="false" customHeight="false" outlineLevel="0" collapsed="false">
      <c r="A1448" s="7" t="s">
        <v>133</v>
      </c>
      <c r="B1448" s="7" t="s">
        <v>2748</v>
      </c>
      <c r="C1448" s="9" t="s">
        <v>1704</v>
      </c>
      <c r="D1448" s="13" t="s">
        <v>2731</v>
      </c>
    </row>
    <row r="1449" customFormat="false" ht="15" hidden="false" customHeight="false" outlineLevel="0" collapsed="false">
      <c r="A1449" s="7" t="s">
        <v>133</v>
      </c>
      <c r="B1449" s="7" t="s">
        <v>1838</v>
      </c>
      <c r="C1449" s="9" t="s">
        <v>1704</v>
      </c>
      <c r="D1449" s="13" t="s">
        <v>1823</v>
      </c>
    </row>
    <row r="1450" customFormat="false" ht="15" hidden="false" customHeight="false" outlineLevel="0" collapsed="false">
      <c r="A1450" s="7" t="s">
        <v>134</v>
      </c>
      <c r="B1450" s="7" t="s">
        <v>2738</v>
      </c>
      <c r="C1450" s="9" t="s">
        <v>1704</v>
      </c>
      <c r="D1450" s="13" t="s">
        <v>2731</v>
      </c>
    </row>
    <row r="1451" customFormat="false" ht="15" hidden="false" customHeight="false" outlineLevel="0" collapsed="false">
      <c r="A1451" s="7" t="s">
        <v>134</v>
      </c>
      <c r="B1451" s="7" t="s">
        <v>1836</v>
      </c>
      <c r="C1451" s="9" t="s">
        <v>1704</v>
      </c>
      <c r="D1451" s="13" t="s">
        <v>1816</v>
      </c>
    </row>
    <row r="1452" customFormat="false" ht="15" hidden="false" customHeight="false" outlineLevel="0" collapsed="false">
      <c r="A1452" s="7" t="s">
        <v>138</v>
      </c>
      <c r="B1452" s="7" t="s">
        <v>2668</v>
      </c>
      <c r="C1452" s="8" t="s">
        <v>1706</v>
      </c>
      <c r="D1452" s="13" t="s">
        <v>1823</v>
      </c>
    </row>
    <row r="1453" customFormat="false" ht="15" hidden="false" customHeight="false" outlineLevel="0" collapsed="false">
      <c r="A1453" s="7" t="s">
        <v>138</v>
      </c>
      <c r="B1453" s="7" t="s">
        <v>2748</v>
      </c>
      <c r="C1453" s="9" t="s">
        <v>1704</v>
      </c>
      <c r="D1453" s="13" t="s">
        <v>2731</v>
      </c>
    </row>
    <row r="1454" customFormat="false" ht="15" hidden="false" customHeight="false" outlineLevel="0" collapsed="false">
      <c r="A1454" s="7" t="s">
        <v>138</v>
      </c>
      <c r="B1454" s="7" t="s">
        <v>1838</v>
      </c>
      <c r="C1454" s="9" t="s">
        <v>1704</v>
      </c>
      <c r="D1454" s="13" t="s">
        <v>1823</v>
      </c>
    </row>
    <row r="1455" customFormat="false" ht="15" hidden="false" customHeight="false" outlineLevel="0" collapsed="false">
      <c r="A1455" s="7" t="s">
        <v>139</v>
      </c>
      <c r="B1455" s="7" t="s">
        <v>2730</v>
      </c>
      <c r="C1455" s="8" t="s">
        <v>1706</v>
      </c>
      <c r="D1455" s="13" t="s">
        <v>2731</v>
      </c>
    </row>
    <row r="1456" customFormat="false" ht="15" hidden="false" customHeight="false" outlineLevel="0" collapsed="false">
      <c r="A1456" s="7" t="s">
        <v>140</v>
      </c>
      <c r="B1456" s="7" t="s">
        <v>2800</v>
      </c>
      <c r="C1456" s="9" t="s">
        <v>1704</v>
      </c>
      <c r="D1456" s="13" t="s">
        <v>2731</v>
      </c>
    </row>
    <row r="1457" customFormat="false" ht="15" hidden="false" customHeight="false" outlineLevel="0" collapsed="false">
      <c r="A1457" s="7" t="s">
        <v>141</v>
      </c>
      <c r="B1457" s="7" t="s">
        <v>1822</v>
      </c>
      <c r="C1457" s="9" t="s">
        <v>1704</v>
      </c>
      <c r="D1457" s="13" t="s">
        <v>1823</v>
      </c>
    </row>
    <row r="1458" customFormat="false" ht="15" hidden="false" customHeight="false" outlineLevel="0" collapsed="false">
      <c r="A1458" s="7" t="s">
        <v>142</v>
      </c>
      <c r="B1458" s="7" t="s">
        <v>1867</v>
      </c>
      <c r="C1458" s="8" t="s">
        <v>1706</v>
      </c>
      <c r="D1458" s="13" t="s">
        <v>1816</v>
      </c>
    </row>
    <row r="1459" customFormat="false" ht="15" hidden="false" customHeight="false" outlineLevel="0" collapsed="false">
      <c r="A1459" s="7" t="s">
        <v>145</v>
      </c>
      <c r="B1459" s="7" t="s">
        <v>2738</v>
      </c>
      <c r="C1459" s="9" t="s">
        <v>1704</v>
      </c>
      <c r="D1459" s="13" t="s">
        <v>2731</v>
      </c>
    </row>
    <row r="1460" customFormat="false" ht="15" hidden="false" customHeight="false" outlineLevel="0" collapsed="false">
      <c r="A1460" s="7" t="s">
        <v>2962</v>
      </c>
      <c r="B1460" s="7" t="s">
        <v>1747</v>
      </c>
      <c r="C1460" s="8" t="s">
        <v>1706</v>
      </c>
      <c r="D1460" s="13" t="s">
        <v>1745</v>
      </c>
    </row>
    <row r="1461" customFormat="false" ht="15" hidden="false" customHeight="false" outlineLevel="0" collapsed="false">
      <c r="A1461" s="7" t="s">
        <v>151</v>
      </c>
      <c r="B1461" s="7" t="s">
        <v>1815</v>
      </c>
      <c r="C1461" s="9" t="s">
        <v>1704</v>
      </c>
      <c r="D1461" s="13" t="s">
        <v>1816</v>
      </c>
    </row>
    <row r="1462" customFormat="false" ht="15" hidden="false" customHeight="false" outlineLevel="0" collapsed="false">
      <c r="A1462" s="7" t="s">
        <v>152</v>
      </c>
      <c r="B1462" s="7" t="s">
        <v>1815</v>
      </c>
      <c r="C1462" s="9" t="s">
        <v>1704</v>
      </c>
      <c r="D1462" s="13" t="s">
        <v>1816</v>
      </c>
    </row>
    <row r="1463" customFormat="false" ht="15" hidden="false" customHeight="false" outlineLevel="0" collapsed="false">
      <c r="A1463" s="7" t="s">
        <v>153</v>
      </c>
      <c r="B1463" s="7" t="s">
        <v>1815</v>
      </c>
      <c r="C1463" s="9" t="s">
        <v>1704</v>
      </c>
      <c r="D1463" s="13" t="s">
        <v>1816</v>
      </c>
    </row>
    <row r="1464" customFormat="false" ht="15" hidden="false" customHeight="false" outlineLevel="0" collapsed="false">
      <c r="A1464" s="7" t="s">
        <v>155</v>
      </c>
      <c r="B1464" s="7" t="s">
        <v>2738</v>
      </c>
      <c r="C1464" s="9" t="s">
        <v>1704</v>
      </c>
      <c r="D1464" s="13" t="s">
        <v>2731</v>
      </c>
    </row>
    <row r="1465" customFormat="false" ht="15" hidden="false" customHeight="false" outlineLevel="0" collapsed="false">
      <c r="A1465" s="7" t="s">
        <v>156</v>
      </c>
      <c r="B1465" s="7" t="s">
        <v>1838</v>
      </c>
      <c r="C1465" s="9" t="s">
        <v>1704</v>
      </c>
      <c r="D1465" s="13" t="s">
        <v>1823</v>
      </c>
    </row>
    <row r="1466" customFormat="false" ht="15" hidden="false" customHeight="false" outlineLevel="0" collapsed="false">
      <c r="A1466" s="7" t="s">
        <v>156</v>
      </c>
      <c r="B1466" s="7" t="s">
        <v>2748</v>
      </c>
      <c r="C1466" s="9" t="s">
        <v>1704</v>
      </c>
      <c r="D1466" s="13" t="s">
        <v>2731</v>
      </c>
    </row>
    <row r="1467" customFormat="false" ht="15" hidden="false" customHeight="false" outlineLevel="0" collapsed="false">
      <c r="A1467" s="7" t="s">
        <v>157</v>
      </c>
      <c r="B1467" s="7" t="s">
        <v>2668</v>
      </c>
      <c r="C1467" s="8" t="s">
        <v>1706</v>
      </c>
      <c r="D1467" s="13" t="s">
        <v>1823</v>
      </c>
    </row>
    <row r="1468" customFormat="false" ht="15" hidden="false" customHeight="false" outlineLevel="0" collapsed="false">
      <c r="A1468" s="7" t="s">
        <v>159</v>
      </c>
      <c r="B1468" s="7" t="s">
        <v>1883</v>
      </c>
      <c r="C1468" s="9" t="s">
        <v>1704</v>
      </c>
      <c r="D1468" s="13" t="s">
        <v>1816</v>
      </c>
    </row>
    <row r="1469" customFormat="false" ht="15" hidden="false" customHeight="false" outlineLevel="0" collapsed="false">
      <c r="A1469" s="7" t="s">
        <v>162</v>
      </c>
      <c r="B1469" s="7" t="s">
        <v>1815</v>
      </c>
      <c r="C1469" s="9" t="s">
        <v>1704</v>
      </c>
      <c r="D1469" s="13" t="s">
        <v>1816</v>
      </c>
    </row>
    <row r="1470" customFormat="false" ht="15" hidden="false" customHeight="false" outlineLevel="0" collapsed="false">
      <c r="A1470" s="7" t="s">
        <v>163</v>
      </c>
      <c r="B1470" s="7" t="s">
        <v>1815</v>
      </c>
      <c r="C1470" s="9" t="s">
        <v>1704</v>
      </c>
      <c r="D1470" s="13" t="s">
        <v>1816</v>
      </c>
    </row>
    <row r="1471" customFormat="false" ht="15" hidden="false" customHeight="false" outlineLevel="0" collapsed="false">
      <c r="A1471" s="7" t="s">
        <v>163</v>
      </c>
      <c r="B1471" s="7" t="s">
        <v>2563</v>
      </c>
      <c r="C1471" s="9" t="s">
        <v>1704</v>
      </c>
      <c r="D1471" s="13" t="s">
        <v>1823</v>
      </c>
    </row>
    <row r="1472" customFormat="false" ht="15" hidden="false" customHeight="false" outlineLevel="0" collapsed="false">
      <c r="A1472" s="7" t="s">
        <v>164</v>
      </c>
      <c r="B1472" s="7" t="s">
        <v>2738</v>
      </c>
      <c r="C1472" s="9" t="s">
        <v>1704</v>
      </c>
      <c r="D1472" s="13" t="s">
        <v>2731</v>
      </c>
    </row>
    <row r="1473" customFormat="false" ht="15" hidden="false" customHeight="false" outlineLevel="0" collapsed="false">
      <c r="A1473" s="7" t="s">
        <v>164</v>
      </c>
      <c r="B1473" s="7" t="s">
        <v>2748</v>
      </c>
      <c r="C1473" s="9" t="s">
        <v>1704</v>
      </c>
      <c r="D1473" s="13" t="s">
        <v>2731</v>
      </c>
    </row>
    <row r="1474" customFormat="false" ht="15" hidden="false" customHeight="false" outlineLevel="0" collapsed="false">
      <c r="A1474" s="7" t="s">
        <v>166</v>
      </c>
      <c r="B1474" s="7" t="s">
        <v>1822</v>
      </c>
      <c r="C1474" s="9" t="s">
        <v>1704</v>
      </c>
      <c r="D1474" s="13" t="s">
        <v>1823</v>
      </c>
    </row>
    <row r="1475" customFormat="false" ht="15" hidden="false" customHeight="false" outlineLevel="0" collapsed="false">
      <c r="A1475" s="7" t="s">
        <v>166</v>
      </c>
      <c r="B1475" s="7" t="s">
        <v>2738</v>
      </c>
      <c r="C1475" s="9" t="s">
        <v>1704</v>
      </c>
      <c r="D1475" s="13" t="s">
        <v>2731</v>
      </c>
    </row>
    <row r="1476" customFormat="false" ht="15" hidden="false" customHeight="false" outlineLevel="0" collapsed="false">
      <c r="A1476" s="7" t="s">
        <v>166</v>
      </c>
      <c r="B1476" s="7" t="s">
        <v>2748</v>
      </c>
      <c r="C1476" s="9" t="s">
        <v>1704</v>
      </c>
      <c r="D1476" s="13" t="s">
        <v>2731</v>
      </c>
    </row>
    <row r="1477" customFormat="false" ht="15" hidden="false" customHeight="false" outlineLevel="0" collapsed="false">
      <c r="A1477" s="7" t="s">
        <v>168</v>
      </c>
      <c r="B1477" s="7" t="s">
        <v>1883</v>
      </c>
      <c r="C1477" s="9" t="s">
        <v>1704</v>
      </c>
      <c r="D1477" s="13" t="s">
        <v>1816</v>
      </c>
    </row>
    <row r="1478" customFormat="false" ht="15" hidden="false" customHeight="false" outlineLevel="0" collapsed="false">
      <c r="A1478" s="7" t="s">
        <v>169</v>
      </c>
      <c r="B1478" s="7" t="s">
        <v>2802</v>
      </c>
      <c r="C1478" s="9" t="s">
        <v>1704</v>
      </c>
      <c r="D1478" s="13" t="s">
        <v>2731</v>
      </c>
    </row>
    <row r="1479" customFormat="false" ht="15" hidden="false" customHeight="false" outlineLevel="0" collapsed="false">
      <c r="A1479" s="7" t="s">
        <v>169</v>
      </c>
      <c r="B1479" s="7" t="s">
        <v>1815</v>
      </c>
      <c r="C1479" s="9" t="s">
        <v>1704</v>
      </c>
      <c r="D1479" s="13" t="s">
        <v>1816</v>
      </c>
    </row>
    <row r="1480" customFormat="false" ht="15" hidden="false" customHeight="false" outlineLevel="0" collapsed="false">
      <c r="A1480" s="7" t="s">
        <v>170</v>
      </c>
      <c r="B1480" s="7" t="s">
        <v>1815</v>
      </c>
      <c r="C1480" s="9" t="s">
        <v>1704</v>
      </c>
      <c r="D1480" s="13" t="s">
        <v>1816</v>
      </c>
    </row>
    <row r="1481" customFormat="false" ht="15" hidden="false" customHeight="false" outlineLevel="0" collapsed="false">
      <c r="A1481" s="7" t="s">
        <v>171</v>
      </c>
      <c r="B1481" s="7" t="s">
        <v>2802</v>
      </c>
      <c r="C1481" s="9" t="s">
        <v>1704</v>
      </c>
      <c r="D1481" s="13" t="s">
        <v>2731</v>
      </c>
    </row>
    <row r="1482" customFormat="false" ht="15" hidden="false" customHeight="false" outlineLevel="0" collapsed="false">
      <c r="A1482" s="7" t="s">
        <v>171</v>
      </c>
      <c r="B1482" s="7" t="s">
        <v>1815</v>
      </c>
      <c r="C1482" s="9" t="s">
        <v>1704</v>
      </c>
      <c r="D1482" s="13" t="s">
        <v>1816</v>
      </c>
    </row>
    <row r="1483" customFormat="false" ht="15" hidden="false" customHeight="false" outlineLevel="0" collapsed="false">
      <c r="A1483" s="7" t="s">
        <v>176</v>
      </c>
      <c r="B1483" s="7" t="s">
        <v>2738</v>
      </c>
      <c r="C1483" s="9" t="s">
        <v>1704</v>
      </c>
      <c r="D1483" s="13" t="s">
        <v>2731</v>
      </c>
    </row>
    <row r="1484" customFormat="false" ht="15" hidden="false" customHeight="false" outlineLevel="0" collapsed="false">
      <c r="A1484" s="7" t="s">
        <v>178</v>
      </c>
      <c r="B1484" s="7" t="s">
        <v>2730</v>
      </c>
      <c r="C1484" s="8" t="s">
        <v>1706</v>
      </c>
      <c r="D1484" s="13" t="s">
        <v>2731</v>
      </c>
    </row>
    <row r="1485" customFormat="false" ht="15" hidden="false" customHeight="false" outlineLevel="0" collapsed="false">
      <c r="A1485" s="7" t="s">
        <v>179</v>
      </c>
      <c r="B1485" s="7" t="s">
        <v>2738</v>
      </c>
      <c r="C1485" s="9" t="s">
        <v>1704</v>
      </c>
      <c r="D1485" s="13" t="s">
        <v>2731</v>
      </c>
    </row>
    <row r="1486" customFormat="false" ht="15" hidden="false" customHeight="false" outlineLevel="0" collapsed="false">
      <c r="A1486" s="7" t="s">
        <v>180</v>
      </c>
      <c r="B1486" s="7" t="s">
        <v>1883</v>
      </c>
      <c r="C1486" s="9" t="s">
        <v>1704</v>
      </c>
      <c r="D1486" s="13" t="s">
        <v>1816</v>
      </c>
    </row>
    <row r="1487" customFormat="false" ht="15" hidden="false" customHeight="false" outlineLevel="0" collapsed="false">
      <c r="A1487" s="7" t="s">
        <v>184</v>
      </c>
      <c r="B1487" s="7" t="s">
        <v>2738</v>
      </c>
      <c r="C1487" s="9" t="s">
        <v>1704</v>
      </c>
      <c r="D1487" s="13" t="s">
        <v>2731</v>
      </c>
    </row>
    <row r="1488" customFormat="false" ht="15" hidden="false" customHeight="false" outlineLevel="0" collapsed="false">
      <c r="A1488" s="7" t="s">
        <v>186</v>
      </c>
      <c r="B1488" s="7" t="s">
        <v>1883</v>
      </c>
      <c r="C1488" s="9" t="s">
        <v>1704</v>
      </c>
      <c r="D1488" s="13" t="s">
        <v>1816</v>
      </c>
    </row>
    <row r="1489" customFormat="false" ht="15" hidden="false" customHeight="false" outlineLevel="0" collapsed="false">
      <c r="A1489" s="7" t="s">
        <v>187</v>
      </c>
      <c r="B1489" s="7" t="s">
        <v>2738</v>
      </c>
      <c r="C1489" s="9" t="s">
        <v>1704</v>
      </c>
      <c r="D1489" s="13" t="s">
        <v>2731</v>
      </c>
    </row>
    <row r="1490" customFormat="false" ht="15" hidden="false" customHeight="false" outlineLevel="0" collapsed="false">
      <c r="A1490" s="7" t="s">
        <v>191</v>
      </c>
      <c r="B1490" s="7" t="s">
        <v>1815</v>
      </c>
      <c r="C1490" s="9" t="s">
        <v>1704</v>
      </c>
      <c r="D1490" s="13" t="s">
        <v>1816</v>
      </c>
    </row>
    <row r="1491" customFormat="false" ht="15" hidden="false" customHeight="false" outlineLevel="0" collapsed="false">
      <c r="A1491" s="7" t="s">
        <v>192</v>
      </c>
      <c r="B1491" s="7" t="s">
        <v>1815</v>
      </c>
      <c r="C1491" s="9" t="s">
        <v>1704</v>
      </c>
      <c r="D1491" s="13" t="s">
        <v>1816</v>
      </c>
    </row>
    <row r="1492" customFormat="false" ht="15" hidden="false" customHeight="false" outlineLevel="0" collapsed="false">
      <c r="A1492" s="7" t="s">
        <v>193</v>
      </c>
      <c r="B1492" s="7" t="s">
        <v>1815</v>
      </c>
      <c r="C1492" s="9" t="s">
        <v>1704</v>
      </c>
      <c r="D1492" s="13" t="s">
        <v>1816</v>
      </c>
    </row>
    <row r="1493" customFormat="false" ht="15" hidden="false" customHeight="false" outlineLevel="0" collapsed="false">
      <c r="A1493" s="7" t="s">
        <v>199</v>
      </c>
      <c r="B1493" s="7" t="s">
        <v>1883</v>
      </c>
      <c r="C1493" s="9" t="s">
        <v>1704</v>
      </c>
      <c r="D1493" s="13" t="s">
        <v>1816</v>
      </c>
    </row>
    <row r="1494" customFormat="false" ht="15" hidden="false" customHeight="false" outlineLevel="0" collapsed="false">
      <c r="A1494" s="7" t="s">
        <v>204</v>
      </c>
      <c r="B1494" s="7" t="s">
        <v>1815</v>
      </c>
      <c r="C1494" s="9" t="s">
        <v>1704</v>
      </c>
      <c r="D1494" s="13" t="s">
        <v>1816</v>
      </c>
    </row>
    <row r="1495" customFormat="false" ht="15" hidden="false" customHeight="false" outlineLevel="0" collapsed="false">
      <c r="A1495" s="7" t="s">
        <v>214</v>
      </c>
      <c r="B1495" s="7" t="s">
        <v>1822</v>
      </c>
      <c r="C1495" s="9" t="s">
        <v>1704</v>
      </c>
      <c r="D1495" s="13" t="s">
        <v>1823</v>
      </c>
    </row>
    <row r="1496" customFormat="false" ht="15" hidden="false" customHeight="false" outlineLevel="0" collapsed="false">
      <c r="A1496" s="7" t="s">
        <v>214</v>
      </c>
      <c r="B1496" s="7" t="s">
        <v>2738</v>
      </c>
      <c r="C1496" s="9" t="s">
        <v>1704</v>
      </c>
      <c r="D1496" s="13" t="s">
        <v>2731</v>
      </c>
    </row>
    <row r="1497" customFormat="false" ht="15" hidden="false" customHeight="false" outlineLevel="0" collapsed="false">
      <c r="A1497" s="7" t="s">
        <v>215</v>
      </c>
      <c r="B1497" s="7" t="s">
        <v>1836</v>
      </c>
      <c r="C1497" s="9" t="s">
        <v>1704</v>
      </c>
      <c r="D1497" s="13" t="s">
        <v>1816</v>
      </c>
    </row>
    <row r="1498" customFormat="false" ht="15" hidden="false" customHeight="false" outlineLevel="0" collapsed="false">
      <c r="A1498" s="7" t="s">
        <v>216</v>
      </c>
      <c r="B1498" s="7" t="s">
        <v>2563</v>
      </c>
      <c r="C1498" s="9" t="s">
        <v>1704</v>
      </c>
      <c r="D1498" s="13" t="s">
        <v>1823</v>
      </c>
    </row>
    <row r="1499" customFormat="false" ht="15" hidden="false" customHeight="false" outlineLevel="0" collapsed="false">
      <c r="A1499" s="7" t="s">
        <v>227</v>
      </c>
      <c r="B1499" s="7" t="s">
        <v>2750</v>
      </c>
      <c r="C1499" s="9" t="s">
        <v>1704</v>
      </c>
      <c r="D1499" s="13" t="s">
        <v>2731</v>
      </c>
    </row>
    <row r="1500" customFormat="false" ht="15" hidden="false" customHeight="false" outlineLevel="0" collapsed="false">
      <c r="A1500" s="7" t="s">
        <v>235</v>
      </c>
      <c r="B1500" s="7" t="s">
        <v>2730</v>
      </c>
      <c r="C1500" s="8" t="s">
        <v>1706</v>
      </c>
      <c r="D1500" s="13" t="s">
        <v>2731</v>
      </c>
    </row>
    <row r="1501" customFormat="false" ht="15" hidden="false" customHeight="false" outlineLevel="0" collapsed="false">
      <c r="A1501" s="7" t="s">
        <v>240</v>
      </c>
      <c r="B1501" s="7" t="s">
        <v>2738</v>
      </c>
      <c r="C1501" s="9" t="s">
        <v>1704</v>
      </c>
      <c r="D1501" s="13" t="s">
        <v>2731</v>
      </c>
    </row>
    <row r="1502" customFormat="false" ht="15" hidden="false" customHeight="false" outlineLevel="0" collapsed="false">
      <c r="A1502" s="7" t="s">
        <v>240</v>
      </c>
      <c r="B1502" s="7" t="s">
        <v>1838</v>
      </c>
      <c r="C1502" s="9" t="s">
        <v>1704</v>
      </c>
      <c r="D1502" s="13" t="s">
        <v>1823</v>
      </c>
    </row>
    <row r="1503" customFormat="false" ht="15" hidden="false" customHeight="false" outlineLevel="0" collapsed="false">
      <c r="A1503" s="7" t="s">
        <v>245</v>
      </c>
      <c r="B1503" s="7" t="s">
        <v>2738</v>
      </c>
      <c r="C1503" s="9" t="s">
        <v>1704</v>
      </c>
      <c r="D1503" s="13" t="s">
        <v>2731</v>
      </c>
    </row>
    <row r="1504" customFormat="false" ht="15" hidden="false" customHeight="false" outlineLevel="0" collapsed="false">
      <c r="A1504" s="7" t="s">
        <v>245</v>
      </c>
      <c r="B1504" s="7" t="s">
        <v>1836</v>
      </c>
      <c r="C1504" s="9" t="s">
        <v>1704</v>
      </c>
      <c r="D1504" s="13" t="s">
        <v>1816</v>
      </c>
    </row>
    <row r="1505" customFormat="false" ht="15" hidden="false" customHeight="false" outlineLevel="0" collapsed="false">
      <c r="A1505" s="7" t="s">
        <v>247</v>
      </c>
      <c r="B1505" s="7" t="s">
        <v>1836</v>
      </c>
      <c r="C1505" s="9" t="s">
        <v>1704</v>
      </c>
      <c r="D1505" s="13" t="s">
        <v>1816</v>
      </c>
    </row>
    <row r="1506" customFormat="false" ht="15" hidden="false" customHeight="false" outlineLevel="0" collapsed="false">
      <c r="A1506" s="7" t="s">
        <v>250</v>
      </c>
      <c r="B1506" s="7" t="s">
        <v>1836</v>
      </c>
      <c r="C1506" s="9" t="s">
        <v>1704</v>
      </c>
      <c r="D1506" s="13" t="s">
        <v>1816</v>
      </c>
    </row>
    <row r="1507" customFormat="false" ht="15" hidden="false" customHeight="false" outlineLevel="0" collapsed="false">
      <c r="A1507" s="7" t="s">
        <v>252</v>
      </c>
      <c r="B1507" s="7" t="s">
        <v>1822</v>
      </c>
      <c r="C1507" s="9" t="s">
        <v>1704</v>
      </c>
      <c r="D1507" s="13" t="s">
        <v>1823</v>
      </c>
    </row>
    <row r="1508" customFormat="false" ht="15" hidden="false" customHeight="false" outlineLevel="0" collapsed="false">
      <c r="A1508" s="7" t="s">
        <v>257</v>
      </c>
      <c r="B1508" s="7" t="s">
        <v>2730</v>
      </c>
      <c r="C1508" s="8" t="s">
        <v>1706</v>
      </c>
      <c r="D1508" s="13" t="s">
        <v>2731</v>
      </c>
    </row>
    <row r="1509" customFormat="false" ht="15" hidden="false" customHeight="false" outlineLevel="0" collapsed="false">
      <c r="A1509" s="7" t="s">
        <v>257</v>
      </c>
      <c r="B1509" s="7" t="s">
        <v>2668</v>
      </c>
      <c r="C1509" s="8" t="s">
        <v>1706</v>
      </c>
      <c r="D1509" s="13" t="s">
        <v>1823</v>
      </c>
    </row>
    <row r="1510" customFormat="false" ht="15" hidden="false" customHeight="false" outlineLevel="0" collapsed="false">
      <c r="A1510" s="7" t="s">
        <v>258</v>
      </c>
      <c r="B1510" s="7" t="s">
        <v>1838</v>
      </c>
      <c r="C1510" s="9" t="s">
        <v>1704</v>
      </c>
      <c r="D1510" s="13" t="s">
        <v>1823</v>
      </c>
    </row>
    <row r="1511" customFormat="false" ht="15" hidden="false" customHeight="false" outlineLevel="0" collapsed="false">
      <c r="A1511" s="7" t="s">
        <v>261</v>
      </c>
      <c r="B1511" s="7" t="s">
        <v>1836</v>
      </c>
      <c r="C1511" s="9" t="s">
        <v>1704</v>
      </c>
      <c r="D1511" s="13" t="s">
        <v>1816</v>
      </c>
    </row>
    <row r="1512" customFormat="false" ht="15" hidden="false" customHeight="false" outlineLevel="0" collapsed="false">
      <c r="A1512" s="7" t="s">
        <v>262</v>
      </c>
      <c r="B1512" s="7" t="s">
        <v>1838</v>
      </c>
      <c r="C1512" s="9" t="s">
        <v>1704</v>
      </c>
      <c r="D1512" s="13" t="s">
        <v>1823</v>
      </c>
    </row>
    <row r="1513" customFormat="false" ht="15" hidden="false" customHeight="false" outlineLevel="0" collapsed="false">
      <c r="A1513" s="7" t="s">
        <v>274</v>
      </c>
      <c r="B1513" s="7" t="s">
        <v>1744</v>
      </c>
      <c r="C1513" s="8" t="s">
        <v>1706</v>
      </c>
      <c r="D1513" s="13" t="s">
        <v>1745</v>
      </c>
    </row>
    <row r="1514" customFormat="false" ht="15" hidden="false" customHeight="false" outlineLevel="0" collapsed="false">
      <c r="A1514" s="7" t="s">
        <v>275</v>
      </c>
      <c r="B1514" s="7" t="s">
        <v>1815</v>
      </c>
      <c r="C1514" s="9" t="s">
        <v>1704</v>
      </c>
      <c r="D1514" s="13" t="s">
        <v>1816</v>
      </c>
    </row>
    <row r="1515" customFormat="false" ht="15" hidden="false" customHeight="false" outlineLevel="0" collapsed="false">
      <c r="A1515" s="7" t="s">
        <v>276</v>
      </c>
      <c r="B1515" s="7" t="s">
        <v>1815</v>
      </c>
      <c r="C1515" s="9" t="s">
        <v>1704</v>
      </c>
      <c r="D1515" s="13" t="s">
        <v>1816</v>
      </c>
    </row>
    <row r="1516" customFormat="false" ht="15" hidden="false" customHeight="false" outlineLevel="0" collapsed="false">
      <c r="A1516" s="7" t="s">
        <v>277</v>
      </c>
      <c r="B1516" s="7" t="s">
        <v>1815</v>
      </c>
      <c r="C1516" s="9" t="s">
        <v>1704</v>
      </c>
      <c r="D1516" s="13" t="s">
        <v>1816</v>
      </c>
    </row>
    <row r="1517" customFormat="false" ht="15" hidden="false" customHeight="false" outlineLevel="0" collapsed="false">
      <c r="A1517" s="7" t="s">
        <v>278</v>
      </c>
      <c r="B1517" s="7" t="s">
        <v>1815</v>
      </c>
      <c r="C1517" s="9" t="s">
        <v>1704</v>
      </c>
      <c r="D1517" s="13" t="s">
        <v>1816</v>
      </c>
    </row>
    <row r="1518" customFormat="false" ht="15" hidden="false" customHeight="false" outlineLevel="0" collapsed="false">
      <c r="A1518" s="7" t="s">
        <v>279</v>
      </c>
      <c r="B1518" s="7" t="s">
        <v>1815</v>
      </c>
      <c r="C1518" s="9" t="s">
        <v>1704</v>
      </c>
      <c r="D1518" s="13" t="s">
        <v>1816</v>
      </c>
    </row>
    <row r="1519" customFormat="false" ht="15" hidden="false" customHeight="false" outlineLevel="0" collapsed="false">
      <c r="A1519" s="7" t="s">
        <v>280</v>
      </c>
      <c r="B1519" s="7" t="s">
        <v>1815</v>
      </c>
      <c r="C1519" s="9" t="s">
        <v>1704</v>
      </c>
      <c r="D1519" s="13" t="s">
        <v>1816</v>
      </c>
    </row>
    <row r="1520" customFormat="false" ht="15" hidden="false" customHeight="false" outlineLevel="0" collapsed="false">
      <c r="A1520" s="7" t="s">
        <v>284</v>
      </c>
      <c r="B1520" s="7" t="s">
        <v>1883</v>
      </c>
      <c r="C1520" s="9" t="s">
        <v>1704</v>
      </c>
      <c r="D1520" s="13" t="s">
        <v>1816</v>
      </c>
    </row>
    <row r="1521" customFormat="false" ht="15" hidden="false" customHeight="false" outlineLevel="0" collapsed="false">
      <c r="A1521" s="7" t="s">
        <v>293</v>
      </c>
      <c r="B1521" s="7" t="s">
        <v>1815</v>
      </c>
      <c r="C1521" s="9" t="s">
        <v>1704</v>
      </c>
      <c r="D1521" s="13" t="s">
        <v>1816</v>
      </c>
    </row>
    <row r="1522" customFormat="false" ht="15" hidden="false" customHeight="false" outlineLevel="0" collapsed="false">
      <c r="A1522" s="7" t="s">
        <v>294</v>
      </c>
      <c r="B1522" s="7" t="s">
        <v>1815</v>
      </c>
      <c r="C1522" s="9" t="s">
        <v>1704</v>
      </c>
      <c r="D1522" s="13" t="s">
        <v>1816</v>
      </c>
    </row>
    <row r="1523" customFormat="false" ht="15" hidden="false" customHeight="false" outlineLevel="0" collapsed="false">
      <c r="A1523" s="7" t="s">
        <v>295</v>
      </c>
      <c r="B1523" s="7" t="s">
        <v>1815</v>
      </c>
      <c r="C1523" s="9" t="s">
        <v>1704</v>
      </c>
      <c r="D1523" s="13" t="s">
        <v>1816</v>
      </c>
    </row>
    <row r="1524" customFormat="false" ht="15" hidden="false" customHeight="false" outlineLevel="0" collapsed="false">
      <c r="A1524" s="7" t="s">
        <v>298</v>
      </c>
      <c r="B1524" s="7" t="s">
        <v>2563</v>
      </c>
      <c r="C1524" s="9" t="s">
        <v>1704</v>
      </c>
      <c r="D1524" s="13" t="s">
        <v>1823</v>
      </c>
    </row>
    <row r="1525" customFormat="false" ht="15" hidden="false" customHeight="false" outlineLevel="0" collapsed="false">
      <c r="A1525" s="7" t="s">
        <v>300</v>
      </c>
      <c r="B1525" s="7" t="s">
        <v>1815</v>
      </c>
      <c r="C1525" s="9" t="s">
        <v>1704</v>
      </c>
      <c r="D1525" s="13" t="s">
        <v>1816</v>
      </c>
    </row>
    <row r="1526" customFormat="false" ht="15" hidden="false" customHeight="false" outlineLevel="0" collapsed="false">
      <c r="A1526" s="7" t="s">
        <v>300</v>
      </c>
      <c r="B1526" s="7" t="s">
        <v>1838</v>
      </c>
      <c r="C1526" s="9" t="s">
        <v>1704</v>
      </c>
      <c r="D1526" s="13" t="s">
        <v>1823</v>
      </c>
    </row>
    <row r="1527" customFormat="false" ht="15" hidden="false" customHeight="false" outlineLevel="0" collapsed="false">
      <c r="A1527" s="7" t="s">
        <v>308</v>
      </c>
      <c r="B1527" s="7" t="s">
        <v>1815</v>
      </c>
      <c r="C1527" s="9" t="s">
        <v>1704</v>
      </c>
      <c r="D1527" s="13" t="s">
        <v>1816</v>
      </c>
    </row>
    <row r="1528" customFormat="false" ht="15" hidden="false" customHeight="false" outlineLevel="0" collapsed="false">
      <c r="A1528" s="7" t="s">
        <v>314</v>
      </c>
      <c r="B1528" s="7" t="s">
        <v>2668</v>
      </c>
      <c r="C1528" s="8" t="s">
        <v>1706</v>
      </c>
      <c r="D1528" s="13" t="s">
        <v>1823</v>
      </c>
    </row>
    <row r="1529" customFormat="false" ht="15" hidden="false" customHeight="false" outlineLevel="0" collapsed="false">
      <c r="A1529" s="7" t="s">
        <v>315</v>
      </c>
      <c r="B1529" s="7" t="s">
        <v>2563</v>
      </c>
      <c r="C1529" s="9" t="s">
        <v>1704</v>
      </c>
      <c r="D1529" s="13" t="s">
        <v>1823</v>
      </c>
    </row>
    <row r="1530" customFormat="false" ht="15" hidden="false" customHeight="false" outlineLevel="0" collapsed="false">
      <c r="A1530" s="7" t="s">
        <v>316</v>
      </c>
      <c r="B1530" s="7" t="s">
        <v>2668</v>
      </c>
      <c r="C1530" s="8" t="s">
        <v>1706</v>
      </c>
      <c r="D1530" s="13" t="s">
        <v>1823</v>
      </c>
    </row>
    <row r="1531" customFormat="false" ht="15" hidden="false" customHeight="false" outlineLevel="0" collapsed="false">
      <c r="A1531" s="7" t="s">
        <v>316</v>
      </c>
      <c r="B1531" s="7" t="s">
        <v>2738</v>
      </c>
      <c r="C1531" s="9" t="s">
        <v>1704</v>
      </c>
      <c r="D1531" s="13" t="s">
        <v>2731</v>
      </c>
    </row>
    <row r="1532" customFormat="false" ht="15" hidden="false" customHeight="false" outlineLevel="0" collapsed="false">
      <c r="A1532" s="7" t="s">
        <v>316</v>
      </c>
      <c r="B1532" s="7" t="s">
        <v>1883</v>
      </c>
      <c r="C1532" s="9" t="s">
        <v>1704</v>
      </c>
      <c r="D1532" s="13" t="s">
        <v>1816</v>
      </c>
    </row>
    <row r="1533" customFormat="false" ht="15" hidden="false" customHeight="false" outlineLevel="0" collapsed="false">
      <c r="A1533" s="7" t="s">
        <v>319</v>
      </c>
      <c r="B1533" s="7" t="s">
        <v>1815</v>
      </c>
      <c r="C1533" s="9" t="s">
        <v>1704</v>
      </c>
      <c r="D1533" s="13" t="s">
        <v>1816</v>
      </c>
    </row>
    <row r="1534" customFormat="false" ht="15" hidden="false" customHeight="false" outlineLevel="0" collapsed="false">
      <c r="A1534" s="7" t="s">
        <v>320</v>
      </c>
      <c r="B1534" s="7" t="s">
        <v>1815</v>
      </c>
      <c r="C1534" s="9" t="s">
        <v>1704</v>
      </c>
      <c r="D1534" s="13" t="s">
        <v>1816</v>
      </c>
    </row>
    <row r="1535" customFormat="false" ht="15" hidden="false" customHeight="false" outlineLevel="0" collapsed="false">
      <c r="A1535" s="7" t="s">
        <v>321</v>
      </c>
      <c r="B1535" s="7" t="s">
        <v>1815</v>
      </c>
      <c r="C1535" s="9" t="s">
        <v>1704</v>
      </c>
      <c r="D1535" s="13" t="s">
        <v>1816</v>
      </c>
    </row>
    <row r="1536" customFormat="false" ht="15" hidden="false" customHeight="false" outlineLevel="0" collapsed="false">
      <c r="A1536" s="7" t="s">
        <v>324</v>
      </c>
      <c r="B1536" s="7" t="s">
        <v>1815</v>
      </c>
      <c r="C1536" s="9" t="s">
        <v>1704</v>
      </c>
      <c r="D1536" s="13" t="s">
        <v>1816</v>
      </c>
    </row>
    <row r="1537" customFormat="false" ht="15" hidden="false" customHeight="false" outlineLevel="0" collapsed="false">
      <c r="A1537" s="7" t="s">
        <v>325</v>
      </c>
      <c r="B1537" s="7" t="s">
        <v>1815</v>
      </c>
      <c r="C1537" s="9" t="s">
        <v>1704</v>
      </c>
      <c r="D1537" s="13" t="s">
        <v>1816</v>
      </c>
    </row>
    <row r="1538" customFormat="false" ht="15" hidden="false" customHeight="false" outlineLevel="0" collapsed="false">
      <c r="A1538" s="7" t="s">
        <v>330</v>
      </c>
      <c r="B1538" s="7" t="s">
        <v>1883</v>
      </c>
      <c r="C1538" s="9" t="s">
        <v>1704</v>
      </c>
      <c r="D1538" s="13" t="s">
        <v>1816</v>
      </c>
    </row>
    <row r="1539" customFormat="false" ht="15" hidden="false" customHeight="false" outlineLevel="0" collapsed="false">
      <c r="A1539" s="7" t="s">
        <v>333</v>
      </c>
      <c r="B1539" s="7" t="s">
        <v>2738</v>
      </c>
      <c r="C1539" s="9" t="s">
        <v>1704</v>
      </c>
      <c r="D1539" s="13" t="s">
        <v>2731</v>
      </c>
    </row>
    <row r="1540" customFormat="false" ht="15" hidden="false" customHeight="false" outlineLevel="0" collapsed="false">
      <c r="A1540" s="7" t="s">
        <v>333</v>
      </c>
      <c r="B1540" s="7" t="s">
        <v>1836</v>
      </c>
      <c r="C1540" s="9" t="s">
        <v>1704</v>
      </c>
      <c r="D1540" s="13" t="s">
        <v>1816</v>
      </c>
    </row>
    <row r="1541" customFormat="false" ht="15" hidden="false" customHeight="false" outlineLevel="0" collapsed="false">
      <c r="A1541" s="7" t="s">
        <v>334</v>
      </c>
      <c r="B1541" s="7" t="s">
        <v>1929</v>
      </c>
      <c r="C1541" s="9" t="s">
        <v>1704</v>
      </c>
      <c r="D1541" s="13" t="s">
        <v>1816</v>
      </c>
    </row>
    <row r="1542" customFormat="false" ht="15" hidden="false" customHeight="false" outlineLevel="0" collapsed="false">
      <c r="A1542" s="7" t="s">
        <v>335</v>
      </c>
      <c r="B1542" s="7" t="s">
        <v>1838</v>
      </c>
      <c r="C1542" s="9" t="s">
        <v>1704</v>
      </c>
      <c r="D1542" s="13" t="s">
        <v>1823</v>
      </c>
    </row>
    <row r="1543" customFormat="false" ht="15" hidden="false" customHeight="false" outlineLevel="0" collapsed="false">
      <c r="A1543" s="7" t="s">
        <v>337</v>
      </c>
      <c r="B1543" s="7" t="s">
        <v>1836</v>
      </c>
      <c r="C1543" s="9" t="s">
        <v>1704</v>
      </c>
      <c r="D1543" s="13" t="s">
        <v>1816</v>
      </c>
    </row>
    <row r="1544" customFormat="false" ht="15" hidden="false" customHeight="false" outlineLevel="0" collapsed="false">
      <c r="A1544" s="7" t="s">
        <v>337</v>
      </c>
      <c r="B1544" s="7" t="s">
        <v>2738</v>
      </c>
      <c r="C1544" s="9" t="s">
        <v>1704</v>
      </c>
      <c r="D1544" s="13" t="s">
        <v>2731</v>
      </c>
    </row>
    <row r="1545" customFormat="false" ht="15" hidden="false" customHeight="false" outlineLevel="0" collapsed="false">
      <c r="A1545" s="7" t="s">
        <v>340</v>
      </c>
      <c r="B1545" s="7" t="s">
        <v>1822</v>
      </c>
      <c r="C1545" s="9" t="s">
        <v>1704</v>
      </c>
      <c r="D1545" s="13" t="s">
        <v>1823</v>
      </c>
    </row>
    <row r="1546" customFormat="false" ht="15" hidden="false" customHeight="false" outlineLevel="0" collapsed="false">
      <c r="A1546" s="7" t="s">
        <v>344</v>
      </c>
      <c r="B1546" s="7" t="s">
        <v>1836</v>
      </c>
      <c r="C1546" s="9" t="s">
        <v>1704</v>
      </c>
      <c r="D1546" s="13" t="s">
        <v>1816</v>
      </c>
    </row>
    <row r="1547" customFormat="false" ht="15" hidden="false" customHeight="false" outlineLevel="0" collapsed="false">
      <c r="A1547" s="7" t="s">
        <v>346</v>
      </c>
      <c r="B1547" s="7" t="s">
        <v>1838</v>
      </c>
      <c r="C1547" s="9" t="s">
        <v>1704</v>
      </c>
      <c r="D1547" s="13" t="s">
        <v>1823</v>
      </c>
    </row>
    <row r="1548" customFormat="false" ht="15" hidden="false" customHeight="false" outlineLevel="0" collapsed="false">
      <c r="A1548" s="7" t="s">
        <v>348</v>
      </c>
      <c r="B1548" s="7" t="s">
        <v>1836</v>
      </c>
      <c r="C1548" s="9" t="s">
        <v>1704</v>
      </c>
      <c r="D1548" s="13" t="s">
        <v>1816</v>
      </c>
    </row>
    <row r="1549" customFormat="false" ht="15" hidden="false" customHeight="false" outlineLevel="0" collapsed="false">
      <c r="A1549" s="7" t="s">
        <v>348</v>
      </c>
      <c r="B1549" s="7" t="s">
        <v>2738</v>
      </c>
      <c r="C1549" s="9" t="s">
        <v>1704</v>
      </c>
      <c r="D1549" s="13" t="s">
        <v>2731</v>
      </c>
    </row>
    <row r="1550" customFormat="false" ht="15" hidden="false" customHeight="false" outlineLevel="0" collapsed="false">
      <c r="A1550" s="7" t="s">
        <v>350</v>
      </c>
      <c r="B1550" s="7" t="s">
        <v>2802</v>
      </c>
      <c r="C1550" s="9" t="s">
        <v>1704</v>
      </c>
      <c r="D1550" s="13" t="s">
        <v>2731</v>
      </c>
    </row>
    <row r="1551" customFormat="false" ht="15" hidden="false" customHeight="false" outlineLevel="0" collapsed="false">
      <c r="A1551" s="7" t="s">
        <v>352</v>
      </c>
      <c r="B1551" s="7" t="s">
        <v>2738</v>
      </c>
      <c r="C1551" s="9" t="s">
        <v>1704</v>
      </c>
      <c r="D1551" s="13" t="s">
        <v>2731</v>
      </c>
    </row>
    <row r="1552" customFormat="false" ht="15" hidden="false" customHeight="false" outlineLevel="0" collapsed="false">
      <c r="A1552" s="7" t="s">
        <v>352</v>
      </c>
      <c r="B1552" s="7" t="s">
        <v>1836</v>
      </c>
      <c r="C1552" s="9" t="s">
        <v>1704</v>
      </c>
      <c r="D1552" s="13" t="s">
        <v>1816</v>
      </c>
    </row>
    <row r="1553" customFormat="false" ht="15" hidden="false" customHeight="false" outlineLevel="0" collapsed="false">
      <c r="A1553" s="7" t="s">
        <v>355</v>
      </c>
      <c r="B1553" s="7" t="s">
        <v>2738</v>
      </c>
      <c r="C1553" s="9" t="s">
        <v>1704</v>
      </c>
      <c r="D1553" s="13" t="s">
        <v>2731</v>
      </c>
    </row>
    <row r="1554" customFormat="false" ht="15" hidden="false" customHeight="false" outlineLevel="0" collapsed="false">
      <c r="A1554" s="7" t="s">
        <v>358</v>
      </c>
      <c r="B1554" s="7" t="s">
        <v>1838</v>
      </c>
      <c r="C1554" s="9" t="s">
        <v>1704</v>
      </c>
      <c r="D1554" s="13" t="s">
        <v>1823</v>
      </c>
    </row>
    <row r="1555" customFormat="false" ht="15" hidden="false" customHeight="false" outlineLevel="0" collapsed="false">
      <c r="A1555" s="7" t="s">
        <v>363</v>
      </c>
      <c r="B1555" s="7" t="s">
        <v>2730</v>
      </c>
      <c r="C1555" s="8" t="s">
        <v>1706</v>
      </c>
      <c r="D1555" s="13" t="s">
        <v>2731</v>
      </c>
    </row>
    <row r="1556" customFormat="false" ht="15" hidden="false" customHeight="false" outlineLevel="0" collapsed="false">
      <c r="A1556" s="7" t="s">
        <v>365</v>
      </c>
      <c r="B1556" s="7" t="s">
        <v>2730</v>
      </c>
      <c r="C1556" s="8" t="s">
        <v>1706</v>
      </c>
      <c r="D1556" s="13" t="s">
        <v>2731</v>
      </c>
    </row>
    <row r="1557" customFormat="false" ht="15" hidden="false" customHeight="false" outlineLevel="0" collapsed="false">
      <c r="A1557" s="7" t="s">
        <v>367</v>
      </c>
      <c r="B1557" s="7" t="s">
        <v>2730</v>
      </c>
      <c r="C1557" s="8" t="s">
        <v>1706</v>
      </c>
      <c r="D1557" s="13" t="s">
        <v>2731</v>
      </c>
    </row>
    <row r="1558" customFormat="false" ht="15" hidden="false" customHeight="false" outlineLevel="0" collapsed="false">
      <c r="A1558" s="7" t="s">
        <v>369</v>
      </c>
      <c r="B1558" s="7" t="s">
        <v>2802</v>
      </c>
      <c r="C1558" s="9" t="s">
        <v>1704</v>
      </c>
      <c r="D1558" s="13" t="s">
        <v>2731</v>
      </c>
    </row>
    <row r="1559" customFormat="false" ht="15" hidden="false" customHeight="false" outlineLevel="0" collapsed="false">
      <c r="A1559" s="7" t="s">
        <v>372</v>
      </c>
      <c r="B1559" s="7" t="s">
        <v>1883</v>
      </c>
      <c r="C1559" s="9" t="s">
        <v>1704</v>
      </c>
      <c r="D1559" s="13" t="s">
        <v>1816</v>
      </c>
    </row>
    <row r="1560" customFormat="false" ht="15" hidden="false" customHeight="false" outlineLevel="0" collapsed="false">
      <c r="A1560" s="7" t="s">
        <v>376</v>
      </c>
      <c r="B1560" s="7" t="s">
        <v>1883</v>
      </c>
      <c r="C1560" s="9" t="s">
        <v>1704</v>
      </c>
      <c r="D1560" s="13" t="s">
        <v>1816</v>
      </c>
    </row>
    <row r="1561" customFormat="false" ht="15" hidden="false" customHeight="false" outlineLevel="0" collapsed="false">
      <c r="A1561" s="7" t="s">
        <v>378</v>
      </c>
      <c r="B1561" s="7" t="s">
        <v>1929</v>
      </c>
      <c r="C1561" s="9" t="s">
        <v>1704</v>
      </c>
      <c r="D1561" s="13" t="s">
        <v>1816</v>
      </c>
    </row>
    <row r="1562" customFormat="false" ht="15" hidden="false" customHeight="false" outlineLevel="0" collapsed="false">
      <c r="A1562" s="7" t="s">
        <v>380</v>
      </c>
      <c r="B1562" s="7" t="s">
        <v>1883</v>
      </c>
      <c r="C1562" s="9" t="s">
        <v>1704</v>
      </c>
      <c r="D1562" s="13" t="s">
        <v>1816</v>
      </c>
    </row>
    <row r="1563" customFormat="false" ht="15" hidden="false" customHeight="false" outlineLevel="0" collapsed="false">
      <c r="A1563" s="7" t="s">
        <v>384</v>
      </c>
      <c r="B1563" s="7" t="s">
        <v>1838</v>
      </c>
      <c r="C1563" s="9" t="s">
        <v>1704</v>
      </c>
      <c r="D1563" s="13" t="s">
        <v>1823</v>
      </c>
    </row>
    <row r="1564" customFormat="false" ht="15" hidden="false" customHeight="false" outlineLevel="0" collapsed="false">
      <c r="A1564" s="7" t="s">
        <v>385</v>
      </c>
      <c r="B1564" s="7" t="s">
        <v>2750</v>
      </c>
      <c r="C1564" s="9" t="s">
        <v>1704</v>
      </c>
      <c r="D1564" s="13" t="s">
        <v>2731</v>
      </c>
    </row>
    <row r="1565" customFormat="false" ht="15" hidden="false" customHeight="false" outlineLevel="0" collapsed="false">
      <c r="A1565" s="7" t="s">
        <v>386</v>
      </c>
      <c r="B1565" s="7" t="s">
        <v>1836</v>
      </c>
      <c r="C1565" s="9" t="s">
        <v>1704</v>
      </c>
      <c r="D1565" s="13" t="s">
        <v>1816</v>
      </c>
    </row>
    <row r="1566" customFormat="false" ht="15" hidden="false" customHeight="false" outlineLevel="0" collapsed="false">
      <c r="A1566" s="7" t="s">
        <v>386</v>
      </c>
      <c r="B1566" s="7" t="s">
        <v>2738</v>
      </c>
      <c r="C1566" s="9" t="s">
        <v>1704</v>
      </c>
      <c r="D1566" s="13" t="s">
        <v>2731</v>
      </c>
    </row>
    <row r="1567" customFormat="false" ht="15" hidden="false" customHeight="false" outlineLevel="0" collapsed="false">
      <c r="A1567" s="7" t="s">
        <v>386</v>
      </c>
      <c r="B1567" s="7" t="s">
        <v>2802</v>
      </c>
      <c r="C1567" s="9" t="s">
        <v>1704</v>
      </c>
      <c r="D1567" s="13" t="s">
        <v>2731</v>
      </c>
    </row>
    <row r="1568" customFormat="false" ht="15" hidden="false" customHeight="false" outlineLevel="0" collapsed="false">
      <c r="A1568" s="7" t="s">
        <v>386</v>
      </c>
      <c r="B1568" s="7" t="s">
        <v>2563</v>
      </c>
      <c r="C1568" s="9" t="s">
        <v>1704</v>
      </c>
      <c r="D1568" s="13" t="s">
        <v>1823</v>
      </c>
    </row>
    <row r="1569" customFormat="false" ht="15" hidden="false" customHeight="false" outlineLevel="0" collapsed="false">
      <c r="A1569" s="7" t="s">
        <v>388</v>
      </c>
      <c r="B1569" s="7" t="s">
        <v>1838</v>
      </c>
      <c r="C1569" s="9" t="s">
        <v>1704</v>
      </c>
      <c r="D1569" s="13" t="s">
        <v>1823</v>
      </c>
    </row>
    <row r="1570" customFormat="false" ht="15" hidden="false" customHeight="false" outlineLevel="0" collapsed="false">
      <c r="A1570" s="7" t="s">
        <v>388</v>
      </c>
      <c r="B1570" s="7" t="s">
        <v>2730</v>
      </c>
      <c r="C1570" s="8" t="s">
        <v>1706</v>
      </c>
      <c r="D1570" s="13" t="s">
        <v>2731</v>
      </c>
    </row>
    <row r="1571" customFormat="false" ht="15" hidden="false" customHeight="false" outlineLevel="0" collapsed="false">
      <c r="A1571" s="7" t="s">
        <v>391</v>
      </c>
      <c r="B1571" s="7" t="s">
        <v>2750</v>
      </c>
      <c r="C1571" s="9" t="s">
        <v>1704</v>
      </c>
      <c r="D1571" s="13" t="s">
        <v>2731</v>
      </c>
    </row>
    <row r="1572" customFormat="false" ht="15" hidden="false" customHeight="false" outlineLevel="0" collapsed="false">
      <c r="A1572" s="7" t="s">
        <v>392</v>
      </c>
      <c r="B1572" s="7" t="s">
        <v>1838</v>
      </c>
      <c r="C1572" s="9" t="s">
        <v>1704</v>
      </c>
      <c r="D1572" s="13" t="s">
        <v>1823</v>
      </c>
    </row>
    <row r="1573" customFormat="false" ht="15" hidden="false" customHeight="false" outlineLevel="0" collapsed="false">
      <c r="A1573" s="7" t="s">
        <v>401</v>
      </c>
      <c r="B1573" s="7" t="s">
        <v>2748</v>
      </c>
      <c r="C1573" s="9" t="s">
        <v>1704</v>
      </c>
      <c r="D1573" s="13" t="s">
        <v>2731</v>
      </c>
    </row>
    <row r="1574" customFormat="false" ht="15" hidden="false" customHeight="false" outlineLevel="0" collapsed="false">
      <c r="A1574" s="7" t="s">
        <v>415</v>
      </c>
      <c r="B1574" s="7" t="s">
        <v>2730</v>
      </c>
      <c r="C1574" s="8" t="s">
        <v>1706</v>
      </c>
      <c r="D1574" s="13" t="s">
        <v>2731</v>
      </c>
    </row>
    <row r="1575" customFormat="false" ht="15" hidden="false" customHeight="false" outlineLevel="0" collapsed="false">
      <c r="A1575" s="7" t="s">
        <v>420</v>
      </c>
      <c r="B1575" s="7" t="s">
        <v>1752</v>
      </c>
      <c r="C1575" s="9" t="s">
        <v>1704</v>
      </c>
      <c r="D1575" s="13" t="s">
        <v>1745</v>
      </c>
    </row>
    <row r="1576" customFormat="false" ht="15" hidden="false" customHeight="false" outlineLevel="0" collapsed="false">
      <c r="A1576" s="7" t="s">
        <v>423</v>
      </c>
      <c r="B1576" s="7" t="s">
        <v>2730</v>
      </c>
      <c r="C1576" s="8" t="s">
        <v>1706</v>
      </c>
      <c r="D1576" s="13" t="s">
        <v>2731</v>
      </c>
    </row>
    <row r="1577" customFormat="false" ht="15" hidden="false" customHeight="false" outlineLevel="0" collapsed="false">
      <c r="A1577" s="7" t="s">
        <v>426</v>
      </c>
      <c r="B1577" s="7" t="s">
        <v>2730</v>
      </c>
      <c r="C1577" s="8" t="s">
        <v>1706</v>
      </c>
      <c r="D1577" s="13" t="s">
        <v>2731</v>
      </c>
    </row>
    <row r="1578" customFormat="false" ht="15" hidden="false" customHeight="false" outlineLevel="0" collapsed="false">
      <c r="A1578" s="7" t="s">
        <v>429</v>
      </c>
      <c r="B1578" s="7" t="s">
        <v>2730</v>
      </c>
      <c r="C1578" s="8" t="s">
        <v>1706</v>
      </c>
      <c r="D1578" s="13" t="s">
        <v>2731</v>
      </c>
    </row>
    <row r="1579" customFormat="false" ht="15" hidden="false" customHeight="false" outlineLevel="0" collapsed="false">
      <c r="A1579" s="7" t="s">
        <v>432</v>
      </c>
      <c r="B1579" s="7" t="s">
        <v>1883</v>
      </c>
      <c r="C1579" s="9" t="s">
        <v>1704</v>
      </c>
      <c r="D1579" s="13" t="s">
        <v>1816</v>
      </c>
    </row>
    <row r="1580" customFormat="false" ht="15" hidden="false" customHeight="false" outlineLevel="0" collapsed="false">
      <c r="A1580" s="7" t="s">
        <v>434</v>
      </c>
      <c r="B1580" s="7" t="s">
        <v>2730</v>
      </c>
      <c r="C1580" s="8" t="s">
        <v>1706</v>
      </c>
      <c r="D1580" s="13" t="s">
        <v>2731</v>
      </c>
    </row>
    <row r="1581" customFormat="false" ht="15" hidden="false" customHeight="false" outlineLevel="0" collapsed="false">
      <c r="A1581" s="7" t="s">
        <v>435</v>
      </c>
      <c r="B1581" s="7" t="s">
        <v>1815</v>
      </c>
      <c r="C1581" s="9" t="s">
        <v>1704</v>
      </c>
      <c r="D1581" s="13" t="s">
        <v>1816</v>
      </c>
    </row>
    <row r="1582" customFormat="false" ht="15" hidden="false" customHeight="false" outlineLevel="0" collapsed="false">
      <c r="A1582" s="7" t="s">
        <v>436</v>
      </c>
      <c r="B1582" s="7" t="s">
        <v>1815</v>
      </c>
      <c r="C1582" s="9" t="s">
        <v>1704</v>
      </c>
      <c r="D1582" s="13" t="s">
        <v>1816</v>
      </c>
    </row>
    <row r="1583" customFormat="false" ht="15" hidden="false" customHeight="false" outlineLevel="0" collapsed="false">
      <c r="A1583" s="7" t="s">
        <v>437</v>
      </c>
      <c r="B1583" s="7" t="s">
        <v>1815</v>
      </c>
      <c r="C1583" s="9" t="s">
        <v>1704</v>
      </c>
      <c r="D1583" s="13" t="s">
        <v>1816</v>
      </c>
    </row>
    <row r="1584" customFormat="false" ht="15" hidden="false" customHeight="false" outlineLevel="0" collapsed="false">
      <c r="A1584" s="7" t="s">
        <v>438</v>
      </c>
      <c r="B1584" s="7" t="s">
        <v>2750</v>
      </c>
      <c r="C1584" s="9" t="s">
        <v>1704</v>
      </c>
      <c r="D1584" s="13" t="s">
        <v>2731</v>
      </c>
    </row>
    <row r="1585" customFormat="false" ht="15" hidden="false" customHeight="false" outlineLevel="0" collapsed="false">
      <c r="A1585" s="7" t="s">
        <v>440</v>
      </c>
      <c r="B1585" s="7" t="s">
        <v>2730</v>
      </c>
      <c r="C1585" s="8" t="s">
        <v>1706</v>
      </c>
      <c r="D1585" s="13" t="s">
        <v>2731</v>
      </c>
    </row>
    <row r="1586" customFormat="false" ht="15" hidden="false" customHeight="false" outlineLevel="0" collapsed="false">
      <c r="A1586" s="7" t="s">
        <v>440</v>
      </c>
      <c r="B1586" s="7" t="s">
        <v>2563</v>
      </c>
      <c r="C1586" s="9" t="s">
        <v>1704</v>
      </c>
      <c r="D1586" s="13" t="s">
        <v>1823</v>
      </c>
    </row>
    <row r="1587" customFormat="false" ht="15" hidden="false" customHeight="false" outlineLevel="0" collapsed="false">
      <c r="A1587" s="7" t="s">
        <v>442</v>
      </c>
      <c r="B1587" s="7" t="s">
        <v>2750</v>
      </c>
      <c r="C1587" s="9" t="s">
        <v>1704</v>
      </c>
      <c r="D1587" s="13" t="s">
        <v>2731</v>
      </c>
    </row>
    <row r="1588" customFormat="false" ht="15" hidden="false" customHeight="false" outlineLevel="0" collapsed="false">
      <c r="A1588" s="7" t="s">
        <v>443</v>
      </c>
      <c r="B1588" s="7" t="s">
        <v>2730</v>
      </c>
      <c r="C1588" s="8" t="s">
        <v>1706</v>
      </c>
      <c r="D1588" s="13" t="s">
        <v>2731</v>
      </c>
    </row>
    <row r="1589" customFormat="false" ht="15" hidden="false" customHeight="false" outlineLevel="0" collapsed="false">
      <c r="A1589" s="7" t="s">
        <v>444</v>
      </c>
      <c r="B1589" s="7" t="s">
        <v>1883</v>
      </c>
      <c r="C1589" s="9" t="s">
        <v>1704</v>
      </c>
      <c r="D1589" s="13" t="s">
        <v>1816</v>
      </c>
    </row>
    <row r="1590" customFormat="false" ht="15" hidden="false" customHeight="false" outlineLevel="0" collapsed="false">
      <c r="A1590" s="7" t="s">
        <v>452</v>
      </c>
      <c r="B1590" s="7" t="s">
        <v>1883</v>
      </c>
      <c r="C1590" s="9" t="s">
        <v>1704</v>
      </c>
      <c r="D1590" s="13" t="s">
        <v>1816</v>
      </c>
    </row>
    <row r="1591" customFormat="false" ht="15" hidden="false" customHeight="false" outlineLevel="0" collapsed="false">
      <c r="A1591" s="7" t="s">
        <v>454</v>
      </c>
      <c r="B1591" s="7" t="s">
        <v>2750</v>
      </c>
      <c r="C1591" s="9" t="s">
        <v>1704</v>
      </c>
      <c r="D1591" s="13" t="s">
        <v>2731</v>
      </c>
    </row>
    <row r="1592" customFormat="false" ht="15" hidden="false" customHeight="false" outlineLevel="0" collapsed="false">
      <c r="A1592" s="7" t="s">
        <v>457</v>
      </c>
      <c r="B1592" s="7" t="s">
        <v>2800</v>
      </c>
      <c r="C1592" s="9" t="s">
        <v>1704</v>
      </c>
      <c r="D1592" s="13" t="s">
        <v>2731</v>
      </c>
    </row>
    <row r="1593" customFormat="false" ht="15" hidden="false" customHeight="false" outlineLevel="0" collapsed="false">
      <c r="A1593" s="7" t="s">
        <v>457</v>
      </c>
      <c r="B1593" s="7" t="s">
        <v>2730</v>
      </c>
      <c r="C1593" s="8" t="s">
        <v>1706</v>
      </c>
      <c r="D1593" s="13" t="s">
        <v>2731</v>
      </c>
    </row>
    <row r="1594" customFormat="false" ht="15" hidden="false" customHeight="false" outlineLevel="0" collapsed="false">
      <c r="A1594" s="7" t="s">
        <v>457</v>
      </c>
      <c r="B1594" s="7" t="s">
        <v>1815</v>
      </c>
      <c r="C1594" s="9" t="s">
        <v>1704</v>
      </c>
      <c r="D1594" s="13" t="s">
        <v>1816</v>
      </c>
    </row>
    <row r="1595" customFormat="false" ht="15" hidden="false" customHeight="false" outlineLevel="0" collapsed="false">
      <c r="A1595" s="7" t="s">
        <v>461</v>
      </c>
      <c r="B1595" s="7" t="s">
        <v>2730</v>
      </c>
      <c r="C1595" s="8" t="s">
        <v>1706</v>
      </c>
      <c r="D1595" s="13" t="s">
        <v>2731</v>
      </c>
    </row>
    <row r="1596" customFormat="false" ht="15" hidden="false" customHeight="false" outlineLevel="0" collapsed="false">
      <c r="A1596" s="7" t="s">
        <v>470</v>
      </c>
      <c r="B1596" s="7" t="s">
        <v>2750</v>
      </c>
      <c r="C1596" s="9" t="s">
        <v>1704</v>
      </c>
      <c r="D1596" s="13" t="s">
        <v>2731</v>
      </c>
    </row>
    <row r="1597" customFormat="false" ht="15" hidden="false" customHeight="false" outlineLevel="0" collapsed="false">
      <c r="A1597" s="7" t="s">
        <v>471</v>
      </c>
      <c r="B1597" s="7" t="s">
        <v>1883</v>
      </c>
      <c r="C1597" s="9" t="s">
        <v>1704</v>
      </c>
      <c r="D1597" s="13" t="s">
        <v>1816</v>
      </c>
    </row>
    <row r="1598" customFormat="false" ht="15" hidden="false" customHeight="false" outlineLevel="0" collapsed="false">
      <c r="A1598" s="7" t="s">
        <v>476</v>
      </c>
      <c r="B1598" s="7" t="s">
        <v>2738</v>
      </c>
      <c r="C1598" s="9" t="s">
        <v>1704</v>
      </c>
      <c r="D1598" s="13" t="s">
        <v>2731</v>
      </c>
    </row>
    <row r="1599" customFormat="false" ht="15" hidden="false" customHeight="false" outlineLevel="0" collapsed="false">
      <c r="A1599" s="7" t="s">
        <v>476</v>
      </c>
      <c r="B1599" s="7" t="s">
        <v>2563</v>
      </c>
      <c r="C1599" s="9" t="s">
        <v>1704</v>
      </c>
      <c r="D1599" s="13" t="s">
        <v>1823</v>
      </c>
    </row>
    <row r="1600" customFormat="false" ht="15" hidden="false" customHeight="false" outlineLevel="0" collapsed="false">
      <c r="A1600" s="7" t="s">
        <v>476</v>
      </c>
      <c r="B1600" s="7" t="s">
        <v>1838</v>
      </c>
      <c r="C1600" s="9" t="s">
        <v>1704</v>
      </c>
      <c r="D1600" s="13" t="s">
        <v>1823</v>
      </c>
    </row>
    <row r="1601" customFormat="false" ht="15" hidden="false" customHeight="false" outlineLevel="0" collapsed="false">
      <c r="A1601" s="7" t="s">
        <v>476</v>
      </c>
      <c r="B1601" s="7" t="s">
        <v>2748</v>
      </c>
      <c r="C1601" s="9" t="s">
        <v>1704</v>
      </c>
      <c r="D1601" s="13" t="s">
        <v>2731</v>
      </c>
    </row>
    <row r="1602" customFormat="false" ht="15" hidden="false" customHeight="false" outlineLevel="0" collapsed="false">
      <c r="A1602" s="7" t="s">
        <v>476</v>
      </c>
      <c r="B1602" s="7" t="s">
        <v>2802</v>
      </c>
      <c r="C1602" s="9" t="s">
        <v>1704</v>
      </c>
      <c r="D1602" s="13" t="s">
        <v>2731</v>
      </c>
    </row>
    <row r="1603" customFormat="false" ht="15" hidden="false" customHeight="false" outlineLevel="0" collapsed="false">
      <c r="A1603" s="7" t="s">
        <v>476</v>
      </c>
      <c r="B1603" s="7" t="s">
        <v>2750</v>
      </c>
      <c r="C1603" s="9" t="s">
        <v>1704</v>
      </c>
      <c r="D1603" s="13" t="s">
        <v>2731</v>
      </c>
    </row>
    <row r="1604" customFormat="false" ht="15" hidden="false" customHeight="false" outlineLevel="0" collapsed="false">
      <c r="A1604" s="7" t="s">
        <v>478</v>
      </c>
      <c r="B1604" s="7" t="s">
        <v>2730</v>
      </c>
      <c r="C1604" s="8" t="s">
        <v>1706</v>
      </c>
      <c r="D1604" s="13" t="s">
        <v>2731</v>
      </c>
    </row>
    <row r="1605" customFormat="false" ht="15" hidden="false" customHeight="false" outlineLevel="0" collapsed="false">
      <c r="A1605" s="7" t="s">
        <v>480</v>
      </c>
      <c r="B1605" s="7" t="s">
        <v>1929</v>
      </c>
      <c r="C1605" s="9" t="s">
        <v>1704</v>
      </c>
      <c r="D1605" s="13" t="s">
        <v>1816</v>
      </c>
    </row>
    <row r="1606" customFormat="false" ht="15" hidden="false" customHeight="false" outlineLevel="0" collapsed="false">
      <c r="A1606" s="7" t="s">
        <v>482</v>
      </c>
      <c r="B1606" s="7" t="s">
        <v>2802</v>
      </c>
      <c r="C1606" s="9" t="s">
        <v>1704</v>
      </c>
      <c r="D1606" s="13" t="s">
        <v>2731</v>
      </c>
    </row>
    <row r="1607" customFormat="false" ht="15" hidden="false" customHeight="false" outlineLevel="0" collapsed="false">
      <c r="A1607" s="7" t="s">
        <v>482</v>
      </c>
      <c r="B1607" s="7" t="s">
        <v>2750</v>
      </c>
      <c r="C1607" s="9" t="s">
        <v>1704</v>
      </c>
      <c r="D1607" s="13" t="s">
        <v>2731</v>
      </c>
    </row>
    <row r="1608" customFormat="false" ht="15" hidden="false" customHeight="false" outlineLevel="0" collapsed="false">
      <c r="A1608" s="7" t="s">
        <v>484</v>
      </c>
      <c r="B1608" s="7" t="s">
        <v>1836</v>
      </c>
      <c r="C1608" s="9" t="s">
        <v>1704</v>
      </c>
      <c r="D1608" s="13" t="s">
        <v>1816</v>
      </c>
    </row>
    <row r="1609" customFormat="false" ht="15" hidden="false" customHeight="false" outlineLevel="0" collapsed="false">
      <c r="A1609" s="7" t="s">
        <v>484</v>
      </c>
      <c r="B1609" s="7" t="s">
        <v>2738</v>
      </c>
      <c r="C1609" s="9" t="s">
        <v>1704</v>
      </c>
      <c r="D1609" s="13" t="s">
        <v>2731</v>
      </c>
    </row>
    <row r="1610" customFormat="false" ht="15" hidden="false" customHeight="false" outlineLevel="0" collapsed="false">
      <c r="A1610" s="7" t="s">
        <v>486</v>
      </c>
      <c r="B1610" s="7" t="s">
        <v>2738</v>
      </c>
      <c r="C1610" s="9" t="s">
        <v>1704</v>
      </c>
      <c r="D1610" s="13" t="s">
        <v>2731</v>
      </c>
    </row>
    <row r="1611" customFormat="false" ht="15" hidden="false" customHeight="false" outlineLevel="0" collapsed="false">
      <c r="A1611" s="7" t="s">
        <v>486</v>
      </c>
      <c r="B1611" s="7" t="s">
        <v>1836</v>
      </c>
      <c r="C1611" s="9" t="s">
        <v>1704</v>
      </c>
      <c r="D1611" s="13" t="s">
        <v>1816</v>
      </c>
    </row>
    <row r="1612" customFormat="false" ht="15" hidden="false" customHeight="false" outlineLevel="0" collapsed="false">
      <c r="A1612" s="7" t="s">
        <v>486</v>
      </c>
      <c r="B1612" s="7" t="s">
        <v>2802</v>
      </c>
      <c r="C1612" s="9" t="s">
        <v>1704</v>
      </c>
      <c r="D1612" s="13" t="s">
        <v>2731</v>
      </c>
    </row>
    <row r="1613" customFormat="false" ht="15" hidden="false" customHeight="false" outlineLevel="0" collapsed="false">
      <c r="A1613" s="7" t="s">
        <v>488</v>
      </c>
      <c r="B1613" s="7" t="s">
        <v>2730</v>
      </c>
      <c r="C1613" s="8" t="s">
        <v>1706</v>
      </c>
      <c r="D1613" s="13" t="s">
        <v>2731</v>
      </c>
    </row>
    <row r="1614" customFormat="false" ht="15" hidden="false" customHeight="false" outlineLevel="0" collapsed="false">
      <c r="A1614" s="7" t="s">
        <v>489</v>
      </c>
      <c r="B1614" s="7" t="s">
        <v>1838</v>
      </c>
      <c r="C1614" s="9" t="s">
        <v>1704</v>
      </c>
      <c r="D1614" s="13" t="s">
        <v>1823</v>
      </c>
    </row>
    <row r="1615" customFormat="false" ht="15" hidden="false" customHeight="false" outlineLevel="0" collapsed="false">
      <c r="A1615" s="7" t="s">
        <v>489</v>
      </c>
      <c r="B1615" s="7" t="s">
        <v>2748</v>
      </c>
      <c r="C1615" s="9" t="s">
        <v>1704</v>
      </c>
      <c r="D1615" s="13" t="s">
        <v>2731</v>
      </c>
    </row>
    <row r="1616" customFormat="false" ht="15" hidden="false" customHeight="false" outlineLevel="0" collapsed="false">
      <c r="A1616" s="7" t="s">
        <v>491</v>
      </c>
      <c r="B1616" s="7" t="s">
        <v>1836</v>
      </c>
      <c r="C1616" s="9" t="s">
        <v>1704</v>
      </c>
      <c r="D1616" s="13" t="s">
        <v>1816</v>
      </c>
    </row>
    <row r="1617" customFormat="false" ht="15" hidden="false" customHeight="false" outlineLevel="0" collapsed="false">
      <c r="A1617" s="7" t="s">
        <v>494</v>
      </c>
      <c r="B1617" s="7" t="s">
        <v>1838</v>
      </c>
      <c r="C1617" s="9" t="s">
        <v>1704</v>
      </c>
      <c r="D1617" s="13" t="s">
        <v>1823</v>
      </c>
    </row>
    <row r="1618" customFormat="false" ht="15" hidden="false" customHeight="false" outlineLevel="0" collapsed="false">
      <c r="A1618" s="7" t="s">
        <v>494</v>
      </c>
      <c r="B1618" s="7" t="s">
        <v>2748</v>
      </c>
      <c r="C1618" s="9" t="s">
        <v>1704</v>
      </c>
      <c r="D1618" s="13" t="s">
        <v>2731</v>
      </c>
    </row>
    <row r="1619" customFormat="false" ht="15" hidden="false" customHeight="false" outlineLevel="0" collapsed="false">
      <c r="A1619" s="7" t="s">
        <v>500</v>
      </c>
      <c r="B1619" s="7" t="s">
        <v>2730</v>
      </c>
      <c r="C1619" s="8" t="s">
        <v>1706</v>
      </c>
      <c r="D1619" s="13" t="s">
        <v>2731</v>
      </c>
    </row>
    <row r="1620" customFormat="false" ht="15" hidden="false" customHeight="false" outlineLevel="0" collapsed="false">
      <c r="A1620" s="7" t="s">
        <v>500</v>
      </c>
      <c r="B1620" s="7" t="s">
        <v>2748</v>
      </c>
      <c r="C1620" s="9" t="s">
        <v>1704</v>
      </c>
      <c r="D1620" s="13" t="s">
        <v>2731</v>
      </c>
    </row>
    <row r="1621" customFormat="false" ht="15" hidden="false" customHeight="false" outlineLevel="0" collapsed="false">
      <c r="A1621" s="7" t="s">
        <v>504</v>
      </c>
      <c r="B1621" s="7" t="s">
        <v>2800</v>
      </c>
      <c r="C1621" s="9" t="s">
        <v>1704</v>
      </c>
      <c r="D1621" s="13" t="s">
        <v>2731</v>
      </c>
    </row>
    <row r="1622" customFormat="false" ht="15" hidden="false" customHeight="false" outlineLevel="0" collapsed="false">
      <c r="A1622" s="7" t="s">
        <v>504</v>
      </c>
      <c r="B1622" s="7" t="s">
        <v>1815</v>
      </c>
      <c r="C1622" s="9" t="s">
        <v>1704</v>
      </c>
      <c r="D1622" s="13" t="s">
        <v>1816</v>
      </c>
    </row>
    <row r="1623" customFormat="false" ht="15" hidden="false" customHeight="false" outlineLevel="0" collapsed="false">
      <c r="A1623" s="7" t="s">
        <v>2963</v>
      </c>
      <c r="B1623" s="7" t="s">
        <v>1744</v>
      </c>
      <c r="C1623" s="8" t="s">
        <v>1706</v>
      </c>
      <c r="D1623" s="13" t="s">
        <v>1745</v>
      </c>
    </row>
    <row r="1624" customFormat="false" ht="15" hidden="false" customHeight="false" outlineLevel="0" collapsed="false">
      <c r="A1624" s="7" t="s">
        <v>506</v>
      </c>
      <c r="B1624" s="7" t="s">
        <v>2748</v>
      </c>
      <c r="C1624" s="9" t="s">
        <v>1704</v>
      </c>
      <c r="D1624" s="13" t="s">
        <v>2731</v>
      </c>
    </row>
    <row r="1625" customFormat="false" ht="15" hidden="false" customHeight="false" outlineLevel="0" collapsed="false">
      <c r="A1625" s="7" t="s">
        <v>509</v>
      </c>
      <c r="B1625" s="7" t="s">
        <v>2730</v>
      </c>
      <c r="C1625" s="8" t="s">
        <v>1706</v>
      </c>
      <c r="D1625" s="13" t="s">
        <v>2731</v>
      </c>
    </row>
    <row r="1626" customFormat="false" ht="15" hidden="false" customHeight="false" outlineLevel="0" collapsed="false">
      <c r="A1626" s="7" t="s">
        <v>513</v>
      </c>
      <c r="B1626" s="7" t="s">
        <v>1838</v>
      </c>
      <c r="C1626" s="9" t="s">
        <v>1704</v>
      </c>
      <c r="D1626" s="13" t="s">
        <v>1823</v>
      </c>
    </row>
    <row r="1627" customFormat="false" ht="15" hidden="false" customHeight="false" outlineLevel="0" collapsed="false">
      <c r="A1627" s="7" t="s">
        <v>516</v>
      </c>
      <c r="B1627" s="7" t="s">
        <v>1883</v>
      </c>
      <c r="C1627" s="9" t="s">
        <v>1704</v>
      </c>
      <c r="D1627" s="13" t="s">
        <v>1816</v>
      </c>
    </row>
    <row r="1628" customFormat="false" ht="15" hidden="false" customHeight="false" outlineLevel="0" collapsed="false">
      <c r="A1628" s="7" t="s">
        <v>519</v>
      </c>
      <c r="B1628" s="7" t="s">
        <v>2800</v>
      </c>
      <c r="C1628" s="9" t="s">
        <v>1704</v>
      </c>
      <c r="D1628" s="13" t="s">
        <v>2731</v>
      </c>
    </row>
    <row r="1629" customFormat="false" ht="15" hidden="false" customHeight="false" outlineLevel="0" collapsed="false">
      <c r="A1629" s="7" t="s">
        <v>519</v>
      </c>
      <c r="B1629" s="7" t="s">
        <v>1815</v>
      </c>
      <c r="C1629" s="9" t="s">
        <v>1704</v>
      </c>
      <c r="D1629" s="13" t="s">
        <v>1816</v>
      </c>
    </row>
    <row r="1630" customFormat="false" ht="15" hidden="false" customHeight="false" outlineLevel="0" collapsed="false">
      <c r="A1630" s="7" t="s">
        <v>520</v>
      </c>
      <c r="B1630" s="7" t="s">
        <v>1815</v>
      </c>
      <c r="C1630" s="9" t="s">
        <v>1704</v>
      </c>
      <c r="D1630" s="13" t="s">
        <v>1816</v>
      </c>
    </row>
    <row r="1631" customFormat="false" ht="15" hidden="false" customHeight="false" outlineLevel="0" collapsed="false">
      <c r="A1631" s="7" t="s">
        <v>521</v>
      </c>
      <c r="B1631" s="7" t="s">
        <v>2750</v>
      </c>
      <c r="C1631" s="9" t="s">
        <v>1704</v>
      </c>
      <c r="D1631" s="13" t="s">
        <v>2731</v>
      </c>
    </row>
    <row r="1632" customFormat="false" ht="15" hidden="false" customHeight="false" outlineLevel="0" collapsed="false">
      <c r="A1632" s="7" t="s">
        <v>523</v>
      </c>
      <c r="B1632" s="7" t="s">
        <v>2563</v>
      </c>
      <c r="C1632" s="9" t="s">
        <v>1704</v>
      </c>
      <c r="D1632" s="13" t="s">
        <v>1823</v>
      </c>
    </row>
    <row r="1633" customFormat="false" ht="15" hidden="false" customHeight="false" outlineLevel="0" collapsed="false">
      <c r="A1633" s="7" t="s">
        <v>524</v>
      </c>
      <c r="B1633" s="7" t="s">
        <v>1838</v>
      </c>
      <c r="C1633" s="9" t="s">
        <v>1704</v>
      </c>
      <c r="D1633" s="13" t="s">
        <v>1823</v>
      </c>
    </row>
    <row r="1634" customFormat="false" ht="15" hidden="false" customHeight="false" outlineLevel="0" collapsed="false">
      <c r="A1634" s="7" t="s">
        <v>524</v>
      </c>
      <c r="B1634" s="7" t="s">
        <v>2750</v>
      </c>
      <c r="C1634" s="9" t="s">
        <v>1704</v>
      </c>
      <c r="D1634" s="13" t="s">
        <v>2731</v>
      </c>
    </row>
    <row r="1635" customFormat="false" ht="15" hidden="false" customHeight="false" outlineLevel="0" collapsed="false">
      <c r="A1635" s="7" t="s">
        <v>524</v>
      </c>
      <c r="B1635" s="7" t="s">
        <v>2738</v>
      </c>
      <c r="C1635" s="9" t="s">
        <v>1704</v>
      </c>
      <c r="D1635" s="13" t="s">
        <v>2731</v>
      </c>
    </row>
    <row r="1636" customFormat="false" ht="15" hidden="false" customHeight="false" outlineLevel="0" collapsed="false">
      <c r="A1636" s="7" t="s">
        <v>524</v>
      </c>
      <c r="B1636" s="7" t="s">
        <v>2802</v>
      </c>
      <c r="C1636" s="9" t="s">
        <v>1704</v>
      </c>
      <c r="D1636" s="13" t="s">
        <v>2731</v>
      </c>
    </row>
    <row r="1637" customFormat="false" ht="15" hidden="false" customHeight="false" outlineLevel="0" collapsed="false">
      <c r="A1637" s="7" t="s">
        <v>525</v>
      </c>
      <c r="B1637" s="7" t="s">
        <v>2730</v>
      </c>
      <c r="C1637" s="8" t="s">
        <v>1706</v>
      </c>
      <c r="D1637" s="13" t="s">
        <v>2731</v>
      </c>
    </row>
    <row r="1638" customFormat="false" ht="15" hidden="false" customHeight="false" outlineLevel="0" collapsed="false">
      <c r="A1638" s="7" t="s">
        <v>525</v>
      </c>
      <c r="B1638" s="7" t="s">
        <v>1883</v>
      </c>
      <c r="C1638" s="9" t="s">
        <v>1704</v>
      </c>
      <c r="D1638" s="13" t="s">
        <v>1816</v>
      </c>
    </row>
    <row r="1639" customFormat="false" ht="15" hidden="false" customHeight="false" outlineLevel="0" collapsed="false">
      <c r="A1639" s="7" t="s">
        <v>526</v>
      </c>
      <c r="B1639" s="7" t="s">
        <v>1747</v>
      </c>
      <c r="C1639" s="9" t="s">
        <v>1704</v>
      </c>
      <c r="D1639" s="13" t="s">
        <v>1745</v>
      </c>
    </row>
    <row r="1640" customFormat="false" ht="15" hidden="false" customHeight="false" outlineLevel="0" collapsed="false">
      <c r="A1640" s="7" t="s">
        <v>526</v>
      </c>
      <c r="B1640" s="7" t="s">
        <v>2738</v>
      </c>
      <c r="C1640" s="9" t="s">
        <v>1704</v>
      </c>
      <c r="D1640" s="13" t="s">
        <v>2731</v>
      </c>
    </row>
    <row r="1641" customFormat="false" ht="15" hidden="false" customHeight="false" outlineLevel="0" collapsed="false">
      <c r="A1641" s="7" t="s">
        <v>529</v>
      </c>
      <c r="B1641" s="7" t="s">
        <v>1929</v>
      </c>
      <c r="C1641" s="9" t="s">
        <v>1704</v>
      </c>
      <c r="D1641" s="13" t="s">
        <v>1816</v>
      </c>
    </row>
    <row r="1642" customFormat="false" ht="15" hidden="false" customHeight="false" outlineLevel="0" collapsed="false">
      <c r="A1642" s="7" t="s">
        <v>530</v>
      </c>
      <c r="B1642" s="7" t="s">
        <v>1838</v>
      </c>
      <c r="C1642" s="9" t="s">
        <v>1704</v>
      </c>
      <c r="D1642" s="13" t="s">
        <v>1823</v>
      </c>
    </row>
    <row r="1643" customFormat="false" ht="15" hidden="false" customHeight="false" outlineLevel="0" collapsed="false">
      <c r="A1643" s="7" t="s">
        <v>531</v>
      </c>
      <c r="B1643" s="7" t="s">
        <v>2730</v>
      </c>
      <c r="C1643" s="8" t="s">
        <v>1706</v>
      </c>
      <c r="D1643" s="13" t="s">
        <v>2731</v>
      </c>
    </row>
    <row r="1644" customFormat="false" ht="15" hidden="false" customHeight="false" outlineLevel="0" collapsed="false">
      <c r="A1644" s="7" t="s">
        <v>535</v>
      </c>
      <c r="B1644" s="7" t="s">
        <v>2750</v>
      </c>
      <c r="C1644" s="9" t="s">
        <v>1704</v>
      </c>
      <c r="D1644" s="13" t="s">
        <v>2731</v>
      </c>
    </row>
    <row r="1645" customFormat="false" ht="15" hidden="false" customHeight="false" outlineLevel="0" collapsed="false">
      <c r="A1645" s="7" t="s">
        <v>538</v>
      </c>
      <c r="B1645" s="7" t="s">
        <v>1822</v>
      </c>
      <c r="C1645" s="9" t="s">
        <v>1704</v>
      </c>
      <c r="D1645" s="13" t="s">
        <v>1823</v>
      </c>
    </row>
    <row r="1646" customFormat="false" ht="15" hidden="false" customHeight="false" outlineLevel="0" collapsed="false">
      <c r="A1646" s="7" t="s">
        <v>539</v>
      </c>
      <c r="B1646" s="7" t="s">
        <v>1883</v>
      </c>
      <c r="C1646" s="9" t="s">
        <v>1704</v>
      </c>
      <c r="D1646" s="13" t="s">
        <v>1816</v>
      </c>
    </row>
    <row r="1647" customFormat="false" ht="15" hidden="false" customHeight="false" outlineLevel="0" collapsed="false">
      <c r="A1647" s="7" t="s">
        <v>539</v>
      </c>
      <c r="B1647" s="7" t="s">
        <v>1929</v>
      </c>
      <c r="C1647" s="9" t="s">
        <v>1704</v>
      </c>
      <c r="D1647" s="13" t="s">
        <v>1816</v>
      </c>
    </row>
    <row r="1648" customFormat="false" ht="15" hidden="false" customHeight="false" outlineLevel="0" collapsed="false">
      <c r="A1648" s="7" t="s">
        <v>539</v>
      </c>
      <c r="B1648" s="7" t="s">
        <v>2738</v>
      </c>
      <c r="C1648" s="9" t="s">
        <v>1704</v>
      </c>
      <c r="D1648" s="13" t="s">
        <v>2731</v>
      </c>
    </row>
    <row r="1649" customFormat="false" ht="15" hidden="false" customHeight="false" outlineLevel="0" collapsed="false">
      <c r="A1649" s="7" t="s">
        <v>539</v>
      </c>
      <c r="B1649" s="7" t="s">
        <v>2750</v>
      </c>
      <c r="C1649" s="9" t="s">
        <v>1704</v>
      </c>
      <c r="D1649" s="13" t="s">
        <v>2731</v>
      </c>
    </row>
    <row r="1650" customFormat="false" ht="15" hidden="false" customHeight="false" outlineLevel="0" collapsed="false">
      <c r="A1650" s="7" t="s">
        <v>541</v>
      </c>
      <c r="B1650" s="7" t="s">
        <v>1838</v>
      </c>
      <c r="C1650" s="9" t="s">
        <v>1704</v>
      </c>
      <c r="D1650" s="13" t="s">
        <v>1823</v>
      </c>
    </row>
    <row r="1651" customFormat="false" ht="15" hidden="false" customHeight="false" outlineLevel="0" collapsed="false">
      <c r="A1651" s="7" t="s">
        <v>548</v>
      </c>
      <c r="B1651" s="7" t="s">
        <v>1744</v>
      </c>
      <c r="C1651" s="8" t="s">
        <v>1706</v>
      </c>
      <c r="D1651" s="13" t="s">
        <v>1745</v>
      </c>
    </row>
    <row r="1652" customFormat="false" ht="15" hidden="false" customHeight="false" outlineLevel="0" collapsed="false">
      <c r="A1652" s="7" t="s">
        <v>551</v>
      </c>
      <c r="B1652" s="7" t="s">
        <v>1883</v>
      </c>
      <c r="C1652" s="9" t="s">
        <v>1704</v>
      </c>
      <c r="D1652" s="13" t="s">
        <v>1816</v>
      </c>
    </row>
    <row r="1653" customFormat="false" ht="15" hidden="false" customHeight="false" outlineLevel="0" collapsed="false">
      <c r="A1653" s="7" t="s">
        <v>555</v>
      </c>
      <c r="B1653" s="7" t="s">
        <v>2730</v>
      </c>
      <c r="C1653" s="8" t="s">
        <v>1706</v>
      </c>
      <c r="D1653" s="13" t="s">
        <v>2731</v>
      </c>
    </row>
    <row r="1654" customFormat="false" ht="15" hidden="false" customHeight="false" outlineLevel="0" collapsed="false">
      <c r="A1654" s="7" t="s">
        <v>555</v>
      </c>
      <c r="B1654" s="7" t="s">
        <v>1838</v>
      </c>
      <c r="C1654" s="9" t="s">
        <v>1704</v>
      </c>
      <c r="D1654" s="13" t="s">
        <v>1823</v>
      </c>
    </row>
    <row r="1655" customFormat="false" ht="15" hidden="false" customHeight="false" outlineLevel="0" collapsed="false">
      <c r="A1655" s="7" t="s">
        <v>557</v>
      </c>
      <c r="B1655" s="7" t="s">
        <v>2738</v>
      </c>
      <c r="C1655" s="9" t="s">
        <v>1704</v>
      </c>
      <c r="D1655" s="13" t="s">
        <v>2731</v>
      </c>
    </row>
    <row r="1656" customFormat="false" ht="15" hidden="false" customHeight="false" outlineLevel="0" collapsed="false">
      <c r="A1656" s="7" t="s">
        <v>557</v>
      </c>
      <c r="B1656" s="7" t="s">
        <v>1836</v>
      </c>
      <c r="C1656" s="9" t="s">
        <v>1704</v>
      </c>
      <c r="D1656" s="13" t="s">
        <v>1816</v>
      </c>
    </row>
    <row r="1657" customFormat="false" ht="15" hidden="false" customHeight="false" outlineLevel="0" collapsed="false">
      <c r="A1657" s="7" t="s">
        <v>559</v>
      </c>
      <c r="B1657" s="7" t="s">
        <v>2738</v>
      </c>
      <c r="C1657" s="9" t="s">
        <v>1704</v>
      </c>
      <c r="D1657" s="13" t="s">
        <v>2731</v>
      </c>
    </row>
    <row r="1658" customFormat="false" ht="15" hidden="false" customHeight="false" outlineLevel="0" collapsed="false">
      <c r="A1658" s="7" t="s">
        <v>559</v>
      </c>
      <c r="B1658" s="7" t="s">
        <v>1836</v>
      </c>
      <c r="C1658" s="9" t="s">
        <v>1704</v>
      </c>
      <c r="D1658" s="13" t="s">
        <v>1816</v>
      </c>
    </row>
    <row r="1659" customFormat="false" ht="15" hidden="false" customHeight="false" outlineLevel="0" collapsed="false">
      <c r="A1659" s="7" t="s">
        <v>561</v>
      </c>
      <c r="B1659" s="7" t="s">
        <v>2750</v>
      </c>
      <c r="C1659" s="9" t="s">
        <v>1704</v>
      </c>
      <c r="D1659" s="13" t="s">
        <v>2731</v>
      </c>
    </row>
    <row r="1660" customFormat="false" ht="15" hidden="false" customHeight="false" outlineLevel="0" collapsed="false">
      <c r="A1660" s="7" t="s">
        <v>561</v>
      </c>
      <c r="B1660" s="7" t="s">
        <v>1854</v>
      </c>
      <c r="C1660" s="9" t="s">
        <v>1704</v>
      </c>
      <c r="D1660" s="13" t="s">
        <v>1816</v>
      </c>
    </row>
    <row r="1661" customFormat="false" ht="15" hidden="false" customHeight="false" outlineLevel="0" collapsed="false">
      <c r="A1661" s="7" t="s">
        <v>568</v>
      </c>
      <c r="B1661" s="7" t="s">
        <v>2730</v>
      </c>
      <c r="C1661" s="8" t="s">
        <v>1706</v>
      </c>
      <c r="D1661" s="13" t="s">
        <v>2731</v>
      </c>
    </row>
    <row r="1662" customFormat="false" ht="15" hidden="false" customHeight="false" outlineLevel="0" collapsed="false">
      <c r="A1662" s="7" t="s">
        <v>568</v>
      </c>
      <c r="B1662" s="7" t="s">
        <v>1747</v>
      </c>
      <c r="C1662" s="9" t="s">
        <v>1704</v>
      </c>
      <c r="D1662" s="13" t="s">
        <v>1745</v>
      </c>
    </row>
    <row r="1663" customFormat="false" ht="15" hidden="false" customHeight="false" outlineLevel="0" collapsed="false">
      <c r="A1663" s="7" t="s">
        <v>568</v>
      </c>
      <c r="B1663" s="7" t="s">
        <v>2869</v>
      </c>
      <c r="C1663" s="8" t="s">
        <v>1706</v>
      </c>
      <c r="D1663" s="13" t="s">
        <v>2731</v>
      </c>
    </row>
    <row r="1664" customFormat="false" ht="15" hidden="false" customHeight="false" outlineLevel="0" collapsed="false">
      <c r="A1664" s="7" t="s">
        <v>570</v>
      </c>
      <c r="B1664" s="7" t="s">
        <v>1854</v>
      </c>
      <c r="C1664" s="8" t="s">
        <v>1706</v>
      </c>
      <c r="D1664" s="13" t="s">
        <v>1816</v>
      </c>
    </row>
    <row r="1665" customFormat="false" ht="15" hidden="false" customHeight="false" outlineLevel="0" collapsed="false">
      <c r="A1665" s="7" t="s">
        <v>571</v>
      </c>
      <c r="B1665" s="7" t="s">
        <v>1854</v>
      </c>
      <c r="C1665" s="9" t="s">
        <v>1704</v>
      </c>
      <c r="D1665" s="13" t="s">
        <v>1816</v>
      </c>
    </row>
    <row r="1666" customFormat="false" ht="15" hidden="false" customHeight="false" outlineLevel="0" collapsed="false">
      <c r="A1666" s="7" t="s">
        <v>572</v>
      </c>
      <c r="B1666" s="7" t="s">
        <v>2869</v>
      </c>
      <c r="C1666" s="8" t="s">
        <v>1706</v>
      </c>
      <c r="D1666" s="13" t="s">
        <v>2731</v>
      </c>
    </row>
    <row r="1667" customFormat="false" ht="15" hidden="false" customHeight="false" outlineLevel="0" collapsed="false">
      <c r="A1667" s="7" t="s">
        <v>573</v>
      </c>
      <c r="B1667" s="7" t="s">
        <v>2750</v>
      </c>
      <c r="C1667" s="9" t="s">
        <v>1704</v>
      </c>
      <c r="D1667" s="13" t="s">
        <v>2731</v>
      </c>
    </row>
    <row r="1668" customFormat="false" ht="15" hidden="false" customHeight="false" outlineLevel="0" collapsed="false">
      <c r="A1668" s="7" t="s">
        <v>575</v>
      </c>
      <c r="B1668" s="7" t="s">
        <v>1854</v>
      </c>
      <c r="C1668" s="8" t="s">
        <v>1706</v>
      </c>
      <c r="D1668" s="13" t="s">
        <v>1816</v>
      </c>
    </row>
    <row r="1669" customFormat="false" ht="15" hidden="false" customHeight="false" outlineLevel="0" collapsed="false">
      <c r="A1669" s="7" t="s">
        <v>576</v>
      </c>
      <c r="B1669" s="7" t="s">
        <v>2750</v>
      </c>
      <c r="C1669" s="9" t="s">
        <v>1704</v>
      </c>
      <c r="D1669" s="13" t="s">
        <v>2731</v>
      </c>
    </row>
    <row r="1670" customFormat="false" ht="15" hidden="false" customHeight="false" outlineLevel="0" collapsed="false">
      <c r="A1670" s="7" t="s">
        <v>576</v>
      </c>
      <c r="B1670" s="7" t="s">
        <v>2738</v>
      </c>
      <c r="C1670" s="9" t="s">
        <v>1704</v>
      </c>
      <c r="D1670" s="13" t="s">
        <v>2731</v>
      </c>
    </row>
    <row r="1671" customFormat="false" ht="15" hidden="false" customHeight="false" outlineLevel="0" collapsed="false">
      <c r="A1671" s="7" t="s">
        <v>576</v>
      </c>
      <c r="B1671" s="7" t="s">
        <v>1854</v>
      </c>
      <c r="C1671" s="9" t="s">
        <v>1704</v>
      </c>
      <c r="D1671" s="13" t="s">
        <v>1816</v>
      </c>
    </row>
    <row r="1672" customFormat="false" ht="15" hidden="false" customHeight="false" outlineLevel="0" collapsed="false">
      <c r="A1672" s="7" t="s">
        <v>579</v>
      </c>
      <c r="B1672" s="7" t="s">
        <v>2730</v>
      </c>
      <c r="C1672" s="8" t="s">
        <v>1706</v>
      </c>
      <c r="D1672" s="13" t="s">
        <v>2731</v>
      </c>
    </row>
    <row r="1673" customFormat="false" ht="15" hidden="false" customHeight="false" outlineLevel="0" collapsed="false">
      <c r="A1673" s="7" t="s">
        <v>583</v>
      </c>
      <c r="B1673" s="7" t="s">
        <v>1863</v>
      </c>
      <c r="C1673" s="8" t="s">
        <v>1706</v>
      </c>
      <c r="D1673" s="13" t="s">
        <v>1816</v>
      </c>
    </row>
    <row r="1674" customFormat="false" ht="15" hidden="false" customHeight="false" outlineLevel="0" collapsed="false">
      <c r="A1674" s="7" t="s">
        <v>584</v>
      </c>
      <c r="B1674" s="7" t="s">
        <v>1863</v>
      </c>
      <c r="C1674" s="8" t="s">
        <v>1706</v>
      </c>
      <c r="D1674" s="13" t="s">
        <v>1816</v>
      </c>
    </row>
    <row r="1675" customFormat="false" ht="15" hidden="false" customHeight="false" outlineLevel="0" collapsed="false">
      <c r="A1675" s="7" t="s">
        <v>585</v>
      </c>
      <c r="B1675" s="7" t="s">
        <v>2886</v>
      </c>
      <c r="C1675" s="8" t="s">
        <v>1706</v>
      </c>
      <c r="D1675" s="13" t="s">
        <v>2731</v>
      </c>
    </row>
    <row r="1676" customFormat="false" ht="15" hidden="false" customHeight="false" outlineLevel="0" collapsed="false">
      <c r="A1676" s="7" t="s">
        <v>586</v>
      </c>
      <c r="B1676" s="7" t="s">
        <v>1867</v>
      </c>
      <c r="C1676" s="9" t="s">
        <v>1704</v>
      </c>
      <c r="D1676" s="13" t="s">
        <v>1816</v>
      </c>
    </row>
    <row r="1677" customFormat="false" ht="15" hidden="false" customHeight="false" outlineLevel="0" collapsed="false">
      <c r="A1677" s="7" t="s">
        <v>588</v>
      </c>
      <c r="B1677" s="7" t="s">
        <v>2750</v>
      </c>
      <c r="C1677" s="9" t="s">
        <v>1704</v>
      </c>
      <c r="D1677" s="13" t="s">
        <v>2731</v>
      </c>
    </row>
    <row r="1678" customFormat="false" ht="15" hidden="false" customHeight="false" outlineLevel="0" collapsed="false">
      <c r="A1678" s="7" t="s">
        <v>592</v>
      </c>
      <c r="B1678" s="7" t="s">
        <v>1863</v>
      </c>
      <c r="C1678" s="8" t="s">
        <v>1706</v>
      </c>
      <c r="D1678" s="13" t="s">
        <v>1816</v>
      </c>
    </row>
    <row r="1679" customFormat="false" ht="15" hidden="false" customHeight="false" outlineLevel="0" collapsed="false">
      <c r="A1679" s="7" t="s">
        <v>595</v>
      </c>
      <c r="B1679" s="7" t="s">
        <v>2668</v>
      </c>
      <c r="C1679" s="8" t="s">
        <v>1706</v>
      </c>
      <c r="D1679" s="13" t="s">
        <v>1823</v>
      </c>
    </row>
    <row r="1680" customFormat="false" ht="15" hidden="false" customHeight="false" outlineLevel="0" collapsed="false">
      <c r="A1680" s="7" t="s">
        <v>595</v>
      </c>
      <c r="B1680" s="7" t="s">
        <v>2730</v>
      </c>
      <c r="C1680" s="8" t="s">
        <v>1706</v>
      </c>
      <c r="D1680" s="13" t="s">
        <v>2731</v>
      </c>
    </row>
    <row r="1681" customFormat="false" ht="15" hidden="false" customHeight="false" outlineLevel="0" collapsed="false">
      <c r="A1681" s="7" t="s">
        <v>597</v>
      </c>
      <c r="B1681" s="7" t="s">
        <v>1863</v>
      </c>
      <c r="C1681" s="8" t="s">
        <v>1706</v>
      </c>
      <c r="D1681" s="13" t="s">
        <v>1816</v>
      </c>
    </row>
    <row r="1682" customFormat="false" ht="15" hidden="false" customHeight="false" outlineLevel="0" collapsed="false">
      <c r="A1682" s="7" t="s">
        <v>598</v>
      </c>
      <c r="B1682" s="7" t="s">
        <v>2730</v>
      </c>
      <c r="C1682" s="8" t="s">
        <v>1706</v>
      </c>
      <c r="D1682" s="13" t="s">
        <v>2731</v>
      </c>
    </row>
    <row r="1683" customFormat="false" ht="15" hidden="false" customHeight="false" outlineLevel="0" collapsed="false">
      <c r="A1683" s="7" t="s">
        <v>599</v>
      </c>
      <c r="B1683" s="7" t="s">
        <v>2886</v>
      </c>
      <c r="C1683" s="8" t="s">
        <v>1706</v>
      </c>
      <c r="D1683" s="13" t="s">
        <v>2731</v>
      </c>
    </row>
    <row r="1684" customFormat="false" ht="15" hidden="false" customHeight="false" outlineLevel="0" collapsed="false">
      <c r="A1684" s="7" t="s">
        <v>600</v>
      </c>
      <c r="B1684" s="7" t="s">
        <v>1883</v>
      </c>
      <c r="C1684" s="8" t="s">
        <v>1706</v>
      </c>
      <c r="D1684" s="13" t="s">
        <v>1816</v>
      </c>
    </row>
    <row r="1685" customFormat="false" ht="15" hidden="false" customHeight="false" outlineLevel="0" collapsed="false">
      <c r="A1685" s="7" t="s">
        <v>607</v>
      </c>
      <c r="B1685" s="7" t="s">
        <v>2869</v>
      </c>
      <c r="C1685" s="8" t="s">
        <v>1706</v>
      </c>
      <c r="D1685" s="13" t="s">
        <v>2731</v>
      </c>
    </row>
    <row r="1686" customFormat="false" ht="15" hidden="false" customHeight="false" outlineLevel="0" collapsed="false">
      <c r="A1686" s="7" t="s">
        <v>608</v>
      </c>
      <c r="B1686" s="7" t="s">
        <v>1854</v>
      </c>
      <c r="C1686" s="8" t="s">
        <v>1706</v>
      </c>
      <c r="D1686" s="13" t="s">
        <v>1816</v>
      </c>
    </row>
    <row r="1687" customFormat="false" ht="15" hidden="false" customHeight="false" outlineLevel="0" collapsed="false">
      <c r="A1687" s="7" t="s">
        <v>609</v>
      </c>
      <c r="B1687" s="7" t="s">
        <v>2738</v>
      </c>
      <c r="C1687" s="9" t="s">
        <v>1704</v>
      </c>
      <c r="D1687" s="13" t="s">
        <v>2731</v>
      </c>
    </row>
    <row r="1688" customFormat="false" ht="15" hidden="false" customHeight="false" outlineLevel="0" collapsed="false">
      <c r="A1688" s="7" t="s">
        <v>609</v>
      </c>
      <c r="B1688" s="7" t="s">
        <v>1854</v>
      </c>
      <c r="C1688" s="9" t="s">
        <v>1704</v>
      </c>
      <c r="D1688" s="13" t="s">
        <v>1816</v>
      </c>
    </row>
    <row r="1689" customFormat="false" ht="15" hidden="false" customHeight="false" outlineLevel="0" collapsed="false">
      <c r="A1689" s="7" t="s">
        <v>610</v>
      </c>
      <c r="B1689" s="7" t="s">
        <v>1749</v>
      </c>
      <c r="C1689" s="9" t="s">
        <v>1704</v>
      </c>
      <c r="D1689" s="13" t="s">
        <v>1745</v>
      </c>
    </row>
    <row r="1690" customFormat="false" ht="15" hidden="false" customHeight="false" outlineLevel="0" collapsed="false">
      <c r="A1690" s="7" t="s">
        <v>610</v>
      </c>
      <c r="B1690" s="7" t="s">
        <v>1744</v>
      </c>
      <c r="C1690" s="8" t="s">
        <v>1706</v>
      </c>
      <c r="D1690" s="13" t="s">
        <v>1745</v>
      </c>
    </row>
    <row r="1691" customFormat="false" ht="15" hidden="false" customHeight="false" outlineLevel="0" collapsed="false">
      <c r="A1691" s="7" t="s">
        <v>612</v>
      </c>
      <c r="B1691" s="7" t="s">
        <v>1854</v>
      </c>
      <c r="C1691" s="8" t="s">
        <v>1706</v>
      </c>
      <c r="D1691" s="13" t="s">
        <v>1816</v>
      </c>
    </row>
    <row r="1692" customFormat="false" ht="15" hidden="false" customHeight="false" outlineLevel="0" collapsed="false">
      <c r="A1692" s="7" t="s">
        <v>613</v>
      </c>
      <c r="B1692" s="7" t="s">
        <v>1854</v>
      </c>
      <c r="C1692" s="9" t="s">
        <v>1704</v>
      </c>
      <c r="D1692" s="13" t="s">
        <v>1816</v>
      </c>
    </row>
    <row r="1693" customFormat="false" ht="15" hidden="false" customHeight="false" outlineLevel="0" collapsed="false">
      <c r="A1693" s="7" t="s">
        <v>625</v>
      </c>
      <c r="B1693" s="7" t="s">
        <v>2750</v>
      </c>
      <c r="C1693" s="9" t="s">
        <v>1704</v>
      </c>
      <c r="D1693" s="13" t="s">
        <v>2731</v>
      </c>
    </row>
    <row r="1694" customFormat="false" ht="15" hidden="false" customHeight="false" outlineLevel="0" collapsed="false">
      <c r="A1694" s="7" t="s">
        <v>626</v>
      </c>
      <c r="B1694" s="7" t="s">
        <v>1875</v>
      </c>
      <c r="C1694" s="9" t="s">
        <v>1704</v>
      </c>
      <c r="D1694" s="13" t="s">
        <v>1816</v>
      </c>
    </row>
    <row r="1695" customFormat="false" ht="15" hidden="false" customHeight="false" outlineLevel="0" collapsed="false">
      <c r="A1695" s="7" t="s">
        <v>633</v>
      </c>
      <c r="B1695" s="7" t="s">
        <v>2730</v>
      </c>
      <c r="C1695" s="8" t="s">
        <v>1706</v>
      </c>
      <c r="D1695" s="13" t="s">
        <v>2731</v>
      </c>
    </row>
    <row r="1696" customFormat="false" ht="15" hidden="false" customHeight="false" outlineLevel="0" collapsed="false">
      <c r="A1696" s="7" t="s">
        <v>634</v>
      </c>
      <c r="B1696" s="7" t="s">
        <v>1863</v>
      </c>
      <c r="C1696" s="8" t="s">
        <v>1706</v>
      </c>
      <c r="D1696" s="13" t="s">
        <v>1816</v>
      </c>
    </row>
    <row r="1697" customFormat="false" ht="15" hidden="false" customHeight="false" outlineLevel="0" collapsed="false">
      <c r="A1697" s="7" t="s">
        <v>635</v>
      </c>
      <c r="B1697" s="7" t="s">
        <v>1863</v>
      </c>
      <c r="C1697" s="8" t="s">
        <v>1706</v>
      </c>
      <c r="D1697" s="13" t="s">
        <v>1816</v>
      </c>
    </row>
    <row r="1698" customFormat="false" ht="15" hidden="false" customHeight="false" outlineLevel="0" collapsed="false">
      <c r="A1698" s="7" t="s">
        <v>640</v>
      </c>
      <c r="B1698" s="7" t="s">
        <v>2730</v>
      </c>
      <c r="C1698" s="8" t="s">
        <v>1706</v>
      </c>
      <c r="D1698" s="13" t="s">
        <v>2731</v>
      </c>
    </row>
    <row r="1699" customFormat="false" ht="15" hidden="false" customHeight="false" outlineLevel="0" collapsed="false">
      <c r="A1699" s="7" t="s">
        <v>644</v>
      </c>
      <c r="B1699" s="7" t="s">
        <v>2730</v>
      </c>
      <c r="C1699" s="8" t="s">
        <v>1706</v>
      </c>
      <c r="D1699" s="13" t="s">
        <v>2731</v>
      </c>
    </row>
    <row r="1700" customFormat="false" ht="15" hidden="false" customHeight="false" outlineLevel="0" collapsed="false">
      <c r="A1700" s="7" t="s">
        <v>646</v>
      </c>
      <c r="B1700" s="7" t="s">
        <v>2730</v>
      </c>
      <c r="C1700" s="8" t="s">
        <v>1706</v>
      </c>
      <c r="D1700" s="13" t="s">
        <v>2731</v>
      </c>
    </row>
    <row r="1701" customFormat="false" ht="15" hidden="false" customHeight="false" outlineLevel="0" collapsed="false">
      <c r="A1701" s="7" t="s">
        <v>647</v>
      </c>
      <c r="B1701" s="7" t="s">
        <v>1863</v>
      </c>
      <c r="C1701" s="8" t="s">
        <v>1706</v>
      </c>
      <c r="D1701" s="13" t="s">
        <v>1816</v>
      </c>
    </row>
    <row r="1702" customFormat="false" ht="15" hidden="false" customHeight="false" outlineLevel="0" collapsed="false">
      <c r="A1702" s="7" t="s">
        <v>648</v>
      </c>
      <c r="B1702" s="7" t="s">
        <v>2730</v>
      </c>
      <c r="C1702" s="8" t="s">
        <v>1706</v>
      </c>
      <c r="D1702" s="13" t="s">
        <v>2731</v>
      </c>
    </row>
    <row r="1703" customFormat="false" ht="15" hidden="false" customHeight="false" outlineLevel="0" collapsed="false">
      <c r="A1703" s="7" t="s">
        <v>650</v>
      </c>
      <c r="B1703" s="7" t="s">
        <v>1883</v>
      </c>
      <c r="C1703" s="8" t="s">
        <v>1706</v>
      </c>
      <c r="D1703" s="13" t="s">
        <v>1816</v>
      </c>
    </row>
    <row r="1704" customFormat="false" ht="15" hidden="false" customHeight="false" outlineLevel="0" collapsed="false">
      <c r="A1704" s="7" t="s">
        <v>668</v>
      </c>
      <c r="B1704" s="7" t="s">
        <v>2730</v>
      </c>
      <c r="C1704" s="8" t="s">
        <v>1706</v>
      </c>
      <c r="D1704" s="13" t="s">
        <v>2731</v>
      </c>
    </row>
    <row r="1705" customFormat="false" ht="15" hidden="false" customHeight="false" outlineLevel="0" collapsed="false">
      <c r="A1705" s="7" t="s">
        <v>668</v>
      </c>
      <c r="B1705" s="7" t="s">
        <v>1883</v>
      </c>
      <c r="C1705" s="8" t="s">
        <v>1706</v>
      </c>
      <c r="D1705" s="13" t="s">
        <v>1816</v>
      </c>
    </row>
    <row r="1706" customFormat="false" ht="15" hidden="false" customHeight="false" outlineLevel="0" collapsed="false">
      <c r="A1706" s="7" t="s">
        <v>673</v>
      </c>
      <c r="B1706" s="7" t="s">
        <v>2730</v>
      </c>
      <c r="C1706" s="8" t="s">
        <v>1706</v>
      </c>
      <c r="D1706" s="13" t="s">
        <v>2731</v>
      </c>
    </row>
    <row r="1707" customFormat="false" ht="15" hidden="false" customHeight="false" outlineLevel="0" collapsed="false">
      <c r="A1707" s="7" t="s">
        <v>677</v>
      </c>
      <c r="B1707" s="7" t="s">
        <v>1883</v>
      </c>
      <c r="C1707" s="8" t="s">
        <v>1706</v>
      </c>
      <c r="D1707" s="13" t="s">
        <v>1816</v>
      </c>
    </row>
    <row r="1708" customFormat="false" ht="15" hidden="false" customHeight="false" outlineLevel="0" collapsed="false">
      <c r="A1708" s="7" t="s">
        <v>685</v>
      </c>
      <c r="B1708" s="7" t="s">
        <v>1883</v>
      </c>
      <c r="C1708" s="8" t="s">
        <v>1706</v>
      </c>
      <c r="D1708" s="13" t="s">
        <v>1816</v>
      </c>
    </row>
    <row r="1709" customFormat="false" ht="15" hidden="false" customHeight="false" outlineLevel="0" collapsed="false">
      <c r="A1709" s="7" t="s">
        <v>687</v>
      </c>
      <c r="B1709" s="7" t="s">
        <v>1929</v>
      </c>
      <c r="C1709" s="8" t="s">
        <v>1706</v>
      </c>
      <c r="D1709" s="13" t="s">
        <v>1816</v>
      </c>
    </row>
    <row r="1710" customFormat="false" ht="15" hidden="false" customHeight="false" outlineLevel="0" collapsed="false">
      <c r="A1710" s="7" t="s">
        <v>690</v>
      </c>
      <c r="B1710" s="7" t="s">
        <v>2730</v>
      </c>
      <c r="C1710" s="8" t="s">
        <v>1706</v>
      </c>
      <c r="D1710" s="13" t="s">
        <v>2731</v>
      </c>
    </row>
    <row r="1711" customFormat="false" ht="15" hidden="false" customHeight="false" outlineLevel="0" collapsed="false">
      <c r="A1711" s="7" t="s">
        <v>695</v>
      </c>
      <c r="B1711" s="7" t="s">
        <v>2730</v>
      </c>
      <c r="C1711" s="8" t="s">
        <v>1706</v>
      </c>
      <c r="D1711" s="13" t="s">
        <v>2731</v>
      </c>
    </row>
    <row r="1712" customFormat="false" ht="15" hidden="false" customHeight="false" outlineLevel="0" collapsed="false">
      <c r="A1712" s="7" t="s">
        <v>695</v>
      </c>
      <c r="B1712" s="7" t="s">
        <v>2886</v>
      </c>
      <c r="C1712" s="8" t="s">
        <v>1706</v>
      </c>
      <c r="D1712" s="13" t="s">
        <v>2731</v>
      </c>
    </row>
    <row r="1713" customFormat="false" ht="15" hidden="false" customHeight="false" outlineLevel="0" collapsed="false">
      <c r="A1713" s="7" t="s">
        <v>696</v>
      </c>
      <c r="B1713" s="7" t="s">
        <v>2800</v>
      </c>
      <c r="C1713" s="9" t="s">
        <v>1704</v>
      </c>
      <c r="D1713" s="13" t="s">
        <v>2731</v>
      </c>
    </row>
    <row r="1714" customFormat="false" ht="15" hidden="false" customHeight="false" outlineLevel="0" collapsed="false">
      <c r="A1714" s="7" t="s">
        <v>717</v>
      </c>
      <c r="B1714" s="7" t="s">
        <v>2750</v>
      </c>
      <c r="C1714" s="9" t="s">
        <v>1704</v>
      </c>
      <c r="D1714" s="13" t="s">
        <v>2731</v>
      </c>
    </row>
    <row r="1715" customFormat="false" ht="15" hidden="false" customHeight="false" outlineLevel="0" collapsed="false">
      <c r="A1715" s="7" t="s">
        <v>721</v>
      </c>
      <c r="B1715" s="7" t="s">
        <v>2886</v>
      </c>
      <c r="C1715" s="8" t="s">
        <v>1706</v>
      </c>
      <c r="D1715" s="13" t="s">
        <v>2731</v>
      </c>
    </row>
    <row r="1716" customFormat="false" ht="15" hidden="false" customHeight="false" outlineLevel="0" collapsed="false">
      <c r="A1716" s="7" t="s">
        <v>722</v>
      </c>
      <c r="B1716" s="7" t="s">
        <v>2750</v>
      </c>
      <c r="C1716" s="9" t="s">
        <v>1704</v>
      </c>
      <c r="D1716" s="13" t="s">
        <v>2731</v>
      </c>
    </row>
    <row r="1717" customFormat="false" ht="15" hidden="false" customHeight="false" outlineLevel="0" collapsed="false">
      <c r="A1717" s="7" t="s">
        <v>731</v>
      </c>
      <c r="B1717" s="7" t="s">
        <v>2750</v>
      </c>
      <c r="C1717" s="9" t="s">
        <v>1704</v>
      </c>
      <c r="D1717" s="13" t="s">
        <v>2731</v>
      </c>
    </row>
    <row r="1718" customFormat="false" ht="15" hidden="false" customHeight="false" outlineLevel="0" collapsed="false">
      <c r="A1718" s="7" t="s">
        <v>735</v>
      </c>
      <c r="B1718" s="7" t="s">
        <v>2750</v>
      </c>
      <c r="C1718" s="9" t="s">
        <v>1704</v>
      </c>
      <c r="D1718" s="13" t="s">
        <v>2731</v>
      </c>
    </row>
    <row r="1719" customFormat="false" ht="15" hidden="false" customHeight="false" outlineLevel="0" collapsed="false">
      <c r="A1719" s="7" t="s">
        <v>740</v>
      </c>
      <c r="B1719" s="7" t="s">
        <v>2750</v>
      </c>
      <c r="C1719" s="9" t="s">
        <v>1704</v>
      </c>
      <c r="D1719" s="13" t="s">
        <v>2731</v>
      </c>
    </row>
    <row r="1720" customFormat="false" ht="15" hidden="false" customHeight="false" outlineLevel="0" collapsed="false">
      <c r="A1720" s="7" t="s">
        <v>740</v>
      </c>
      <c r="B1720" s="7" t="s">
        <v>1883</v>
      </c>
      <c r="C1720" s="8" t="s">
        <v>1706</v>
      </c>
      <c r="D1720" s="13" t="s">
        <v>1816</v>
      </c>
    </row>
    <row r="1721" customFormat="false" ht="15" hidden="false" customHeight="false" outlineLevel="0" collapsed="false">
      <c r="A1721" s="7" t="s">
        <v>742</v>
      </c>
      <c r="B1721" s="7" t="s">
        <v>1863</v>
      </c>
      <c r="C1721" s="8" t="s">
        <v>1706</v>
      </c>
      <c r="D1721" s="13" t="s">
        <v>1816</v>
      </c>
    </row>
    <row r="1722" customFormat="false" ht="15" hidden="false" customHeight="false" outlineLevel="0" collapsed="false">
      <c r="A1722" s="7" t="s">
        <v>743</v>
      </c>
      <c r="B1722" s="7" t="s">
        <v>1863</v>
      </c>
      <c r="C1722" s="8" t="s">
        <v>1706</v>
      </c>
      <c r="D1722" s="13" t="s">
        <v>1816</v>
      </c>
    </row>
    <row r="1723" customFormat="false" ht="15" hidden="false" customHeight="false" outlineLevel="0" collapsed="false">
      <c r="A1723" s="7" t="s">
        <v>744</v>
      </c>
      <c r="B1723" s="7" t="s">
        <v>1863</v>
      </c>
      <c r="C1723" s="8" t="s">
        <v>1706</v>
      </c>
      <c r="D1723" s="13" t="s">
        <v>1816</v>
      </c>
    </row>
    <row r="1724" customFormat="false" ht="15" hidden="false" customHeight="false" outlineLevel="0" collapsed="false">
      <c r="A1724" s="7" t="s">
        <v>746</v>
      </c>
      <c r="B1724" s="7" t="s">
        <v>1863</v>
      </c>
      <c r="C1724" s="8" t="s">
        <v>1706</v>
      </c>
      <c r="D1724" s="13" t="s">
        <v>1816</v>
      </c>
    </row>
    <row r="1725" customFormat="false" ht="15" hidden="false" customHeight="false" outlineLevel="0" collapsed="false">
      <c r="A1725" s="7" t="s">
        <v>749</v>
      </c>
      <c r="B1725" s="7" t="s">
        <v>1883</v>
      </c>
      <c r="C1725" s="8" t="s">
        <v>1706</v>
      </c>
      <c r="D1725" s="13" t="s">
        <v>1816</v>
      </c>
    </row>
    <row r="1726" customFormat="false" ht="15" hidden="false" customHeight="false" outlineLevel="0" collapsed="false">
      <c r="A1726" s="7" t="s">
        <v>754</v>
      </c>
      <c r="B1726" s="7" t="s">
        <v>2730</v>
      </c>
      <c r="C1726" s="8" t="s">
        <v>1706</v>
      </c>
      <c r="D1726" s="13" t="s">
        <v>2731</v>
      </c>
    </row>
    <row r="1727" customFormat="false" ht="15" hidden="false" customHeight="false" outlineLevel="0" collapsed="false">
      <c r="A1727" s="7" t="s">
        <v>757</v>
      </c>
      <c r="B1727" s="7" t="s">
        <v>1757</v>
      </c>
      <c r="C1727" s="9" t="s">
        <v>1704</v>
      </c>
      <c r="D1727" s="13" t="s">
        <v>1745</v>
      </c>
    </row>
    <row r="1728" customFormat="false" ht="15" hidden="false" customHeight="false" outlineLevel="0" collapsed="false">
      <c r="A1728" s="7" t="s">
        <v>757</v>
      </c>
      <c r="B1728" s="7" t="s">
        <v>1761</v>
      </c>
      <c r="C1728" s="9" t="s">
        <v>1704</v>
      </c>
      <c r="D1728" s="13" t="s">
        <v>1745</v>
      </c>
    </row>
    <row r="1729" customFormat="false" ht="15" hidden="false" customHeight="false" outlineLevel="0" collapsed="false">
      <c r="A1729" s="7" t="s">
        <v>760</v>
      </c>
      <c r="B1729" s="7" t="s">
        <v>1863</v>
      </c>
      <c r="C1729" s="8" t="s">
        <v>1706</v>
      </c>
      <c r="D1729" s="13" t="s">
        <v>1816</v>
      </c>
    </row>
    <row r="1730" customFormat="false" ht="15" hidden="false" customHeight="false" outlineLevel="0" collapsed="false">
      <c r="A1730" s="7" t="s">
        <v>765</v>
      </c>
      <c r="B1730" s="7" t="s">
        <v>2886</v>
      </c>
      <c r="C1730" s="8" t="s">
        <v>1706</v>
      </c>
      <c r="D1730" s="13" t="s">
        <v>2731</v>
      </c>
    </row>
    <row r="1731" customFormat="false" ht="15" hidden="false" customHeight="false" outlineLevel="0" collapsed="false">
      <c r="A1731" s="7" t="s">
        <v>766</v>
      </c>
      <c r="B1731" s="7" t="s">
        <v>1929</v>
      </c>
      <c r="C1731" s="8" t="s">
        <v>1706</v>
      </c>
      <c r="D1731" s="13" t="s">
        <v>1816</v>
      </c>
    </row>
    <row r="1732" customFormat="false" ht="15" hidden="false" customHeight="false" outlineLevel="0" collapsed="false">
      <c r="A1732" s="7" t="s">
        <v>766</v>
      </c>
      <c r="B1732" s="7" t="s">
        <v>1883</v>
      </c>
      <c r="C1732" s="8" t="s">
        <v>1706</v>
      </c>
      <c r="D1732" s="13" t="s">
        <v>1816</v>
      </c>
    </row>
    <row r="1733" customFormat="false" ht="15" hidden="false" customHeight="false" outlineLevel="0" collapsed="false">
      <c r="A1733" s="7" t="s">
        <v>778</v>
      </c>
      <c r="B1733" s="7" t="s">
        <v>2730</v>
      </c>
      <c r="C1733" s="8" t="s">
        <v>1706</v>
      </c>
      <c r="D1733" s="13" t="s">
        <v>2731</v>
      </c>
    </row>
    <row r="1734" customFormat="false" ht="15" hidden="false" customHeight="false" outlineLevel="0" collapsed="false">
      <c r="A1734" s="7" t="s">
        <v>778</v>
      </c>
      <c r="B1734" s="7" t="s">
        <v>1744</v>
      </c>
      <c r="C1734" s="8" t="s">
        <v>1706</v>
      </c>
      <c r="D1734" s="13" t="s">
        <v>1745</v>
      </c>
    </row>
    <row r="1735" customFormat="false" ht="15" hidden="false" customHeight="false" outlineLevel="0" collapsed="false">
      <c r="A1735" s="7" t="s">
        <v>793</v>
      </c>
      <c r="B1735" s="7" t="s">
        <v>2730</v>
      </c>
      <c r="C1735" s="8" t="s">
        <v>1706</v>
      </c>
      <c r="D1735" s="13" t="s">
        <v>2731</v>
      </c>
    </row>
    <row r="1736" customFormat="false" ht="15" hidden="false" customHeight="false" outlineLevel="0" collapsed="false">
      <c r="A1736" s="7" t="s">
        <v>800</v>
      </c>
      <c r="B1736" s="7" t="s">
        <v>2750</v>
      </c>
      <c r="C1736" s="9" t="s">
        <v>1704</v>
      </c>
      <c r="D1736" s="13" t="s">
        <v>2731</v>
      </c>
    </row>
    <row r="1737" customFormat="false" ht="15" hidden="false" customHeight="false" outlineLevel="0" collapsed="false">
      <c r="A1737" s="7" t="s">
        <v>803</v>
      </c>
      <c r="B1737" s="7" t="s">
        <v>1883</v>
      </c>
      <c r="C1737" s="8" t="s">
        <v>1706</v>
      </c>
      <c r="D1737" s="13" t="s">
        <v>1816</v>
      </c>
    </row>
    <row r="1738" customFormat="false" ht="15" hidden="false" customHeight="false" outlineLevel="0" collapsed="false">
      <c r="A1738" s="7" t="s">
        <v>807</v>
      </c>
      <c r="B1738" s="7" t="s">
        <v>2869</v>
      </c>
      <c r="C1738" s="8" t="s">
        <v>1706</v>
      </c>
      <c r="D1738" s="13" t="s">
        <v>2731</v>
      </c>
    </row>
    <row r="1739" customFormat="false" ht="15" hidden="false" customHeight="false" outlineLevel="0" collapsed="false">
      <c r="A1739" s="7" t="s">
        <v>808</v>
      </c>
      <c r="B1739" s="7" t="s">
        <v>2730</v>
      </c>
      <c r="C1739" s="8" t="s">
        <v>1706</v>
      </c>
      <c r="D1739" s="13" t="s">
        <v>2731</v>
      </c>
    </row>
    <row r="1740" customFormat="false" ht="15" hidden="false" customHeight="false" outlineLevel="0" collapsed="false">
      <c r="A1740" s="7" t="s">
        <v>816</v>
      </c>
      <c r="B1740" s="7" t="s">
        <v>1854</v>
      </c>
      <c r="C1740" s="8" t="s">
        <v>1706</v>
      </c>
      <c r="D1740" s="13" t="s">
        <v>1816</v>
      </c>
    </row>
    <row r="1741" customFormat="false" ht="15" hidden="false" customHeight="false" outlineLevel="0" collapsed="false">
      <c r="A1741" s="7" t="s">
        <v>818</v>
      </c>
      <c r="B1741" s="7" t="s">
        <v>1854</v>
      </c>
      <c r="C1741" s="9" t="s">
        <v>1704</v>
      </c>
      <c r="D1741" s="13" t="s">
        <v>1816</v>
      </c>
    </row>
    <row r="1742" customFormat="false" ht="15" hidden="false" customHeight="false" outlineLevel="0" collapsed="false">
      <c r="A1742" s="7" t="s">
        <v>819</v>
      </c>
      <c r="B1742" s="7" t="s">
        <v>1744</v>
      </c>
      <c r="C1742" s="8" t="s">
        <v>1706</v>
      </c>
      <c r="D1742" s="13" t="s">
        <v>1745</v>
      </c>
    </row>
    <row r="1743" customFormat="false" ht="15" hidden="false" customHeight="false" outlineLevel="0" collapsed="false">
      <c r="A1743" s="7" t="s">
        <v>819</v>
      </c>
      <c r="B1743" s="7" t="s">
        <v>1854</v>
      </c>
      <c r="C1743" s="8" t="s">
        <v>1706</v>
      </c>
      <c r="D1743" s="13" t="s">
        <v>1816</v>
      </c>
    </row>
    <row r="1744" customFormat="false" ht="15" hidden="false" customHeight="false" outlineLevel="0" collapsed="false">
      <c r="A1744" s="7" t="s">
        <v>820</v>
      </c>
      <c r="B1744" s="7" t="s">
        <v>2730</v>
      </c>
      <c r="C1744" s="8" t="s">
        <v>1706</v>
      </c>
      <c r="D1744" s="13" t="s">
        <v>2731</v>
      </c>
    </row>
    <row r="1745" customFormat="false" ht="15" hidden="false" customHeight="false" outlineLevel="0" collapsed="false">
      <c r="A1745" s="7" t="s">
        <v>822</v>
      </c>
      <c r="B1745" s="7" t="s">
        <v>1822</v>
      </c>
      <c r="C1745" s="9" t="s">
        <v>1704</v>
      </c>
      <c r="D1745" s="13" t="s">
        <v>1823</v>
      </c>
    </row>
    <row r="1746" customFormat="false" ht="15" hidden="false" customHeight="false" outlineLevel="0" collapsed="false">
      <c r="A1746" s="7" t="s">
        <v>824</v>
      </c>
      <c r="B1746" s="7" t="s">
        <v>1822</v>
      </c>
      <c r="C1746" s="9" t="s">
        <v>1704</v>
      </c>
      <c r="D1746" s="13" t="s">
        <v>1823</v>
      </c>
    </row>
    <row r="1747" customFormat="false" ht="15" hidden="false" customHeight="false" outlineLevel="0" collapsed="false">
      <c r="A1747" s="7" t="s">
        <v>840</v>
      </c>
      <c r="B1747" s="7" t="s">
        <v>2869</v>
      </c>
      <c r="C1747" s="8" t="s">
        <v>1706</v>
      </c>
      <c r="D1747" s="13" t="s">
        <v>2731</v>
      </c>
    </row>
    <row r="1748" customFormat="false" ht="15" hidden="false" customHeight="false" outlineLevel="0" collapsed="false">
      <c r="A1748" s="7" t="s">
        <v>846</v>
      </c>
      <c r="B1748" s="7" t="s">
        <v>1867</v>
      </c>
      <c r="C1748" s="8" t="s">
        <v>1706</v>
      </c>
      <c r="D1748" s="13" t="s">
        <v>1816</v>
      </c>
    </row>
    <row r="1749" customFormat="false" ht="15" hidden="false" customHeight="false" outlineLevel="0" collapsed="false">
      <c r="A1749" s="7" t="s">
        <v>846</v>
      </c>
      <c r="B1749" s="7" t="s">
        <v>1854</v>
      </c>
      <c r="C1749" s="9" t="s">
        <v>1704</v>
      </c>
      <c r="D1749" s="13" t="s">
        <v>1816</v>
      </c>
    </row>
    <row r="1750" customFormat="false" ht="15" hidden="false" customHeight="false" outlineLevel="0" collapsed="false">
      <c r="A1750" s="7" t="s">
        <v>847</v>
      </c>
      <c r="B1750" s="7" t="s">
        <v>2750</v>
      </c>
      <c r="C1750" s="9" t="s">
        <v>1704</v>
      </c>
      <c r="D1750" s="13" t="s">
        <v>2731</v>
      </c>
    </row>
    <row r="1751" customFormat="false" ht="15" hidden="false" customHeight="false" outlineLevel="0" collapsed="false">
      <c r="A1751" s="7" t="s">
        <v>847</v>
      </c>
      <c r="B1751" s="7" t="s">
        <v>1854</v>
      </c>
      <c r="C1751" s="8" t="s">
        <v>1706</v>
      </c>
      <c r="D1751" s="13" t="s">
        <v>1816</v>
      </c>
    </row>
    <row r="1752" customFormat="false" ht="15" hidden="false" customHeight="false" outlineLevel="0" collapsed="false">
      <c r="A1752" s="7" t="s">
        <v>849</v>
      </c>
      <c r="B1752" s="7" t="s">
        <v>2750</v>
      </c>
      <c r="C1752" s="9" t="s">
        <v>1704</v>
      </c>
      <c r="D1752" s="13" t="s">
        <v>2731</v>
      </c>
    </row>
    <row r="1753" customFormat="false" ht="15" hidden="false" customHeight="false" outlineLevel="0" collapsed="false">
      <c r="A1753" s="7" t="s">
        <v>853</v>
      </c>
      <c r="B1753" s="7" t="s">
        <v>2730</v>
      </c>
      <c r="C1753" s="8" t="s">
        <v>1706</v>
      </c>
      <c r="D1753" s="13" t="s">
        <v>2731</v>
      </c>
    </row>
    <row r="1754" customFormat="false" ht="15" hidden="false" customHeight="false" outlineLevel="0" collapsed="false">
      <c r="A1754" s="7" t="s">
        <v>856</v>
      </c>
      <c r="B1754" s="7" t="s">
        <v>2730</v>
      </c>
      <c r="C1754" s="8" t="s">
        <v>1706</v>
      </c>
      <c r="D1754" s="13" t="s">
        <v>2731</v>
      </c>
    </row>
    <row r="1755" customFormat="false" ht="15" hidden="false" customHeight="false" outlineLevel="0" collapsed="false">
      <c r="A1755" s="7" t="s">
        <v>859</v>
      </c>
      <c r="B1755" s="7" t="s">
        <v>2800</v>
      </c>
      <c r="C1755" s="9" t="s">
        <v>1704</v>
      </c>
      <c r="D1755" s="13" t="s">
        <v>2731</v>
      </c>
    </row>
    <row r="1756" customFormat="false" ht="15" hidden="false" customHeight="false" outlineLevel="0" collapsed="false">
      <c r="A1756" s="7" t="s">
        <v>859</v>
      </c>
      <c r="B1756" s="7" t="s">
        <v>1815</v>
      </c>
      <c r="C1756" s="9" t="s">
        <v>1704</v>
      </c>
      <c r="D1756" s="13" t="s">
        <v>1816</v>
      </c>
    </row>
    <row r="1757" customFormat="false" ht="15" hidden="false" customHeight="false" outlineLevel="0" collapsed="false">
      <c r="A1757" s="7" t="s">
        <v>860</v>
      </c>
      <c r="B1757" s="7" t="s">
        <v>1815</v>
      </c>
      <c r="C1757" s="9" t="s">
        <v>1704</v>
      </c>
      <c r="D1757" s="13" t="s">
        <v>1816</v>
      </c>
    </row>
    <row r="1758" customFormat="false" ht="15" hidden="false" customHeight="false" outlineLevel="0" collapsed="false">
      <c r="A1758" s="7" t="s">
        <v>861</v>
      </c>
      <c r="B1758" s="7" t="s">
        <v>1815</v>
      </c>
      <c r="C1758" s="9" t="s">
        <v>1704</v>
      </c>
      <c r="D1758" s="13" t="s">
        <v>1816</v>
      </c>
    </row>
    <row r="1759" customFormat="false" ht="15" hidden="false" customHeight="false" outlineLevel="0" collapsed="false">
      <c r="A1759" s="7" t="s">
        <v>866</v>
      </c>
      <c r="B1759" s="7" t="s">
        <v>2738</v>
      </c>
      <c r="C1759" s="9" t="s">
        <v>1704</v>
      </c>
      <c r="D1759" s="13" t="s">
        <v>2731</v>
      </c>
    </row>
    <row r="1760" customFormat="false" ht="15" hidden="false" customHeight="false" outlineLevel="0" collapsed="false">
      <c r="A1760" s="7" t="s">
        <v>877</v>
      </c>
      <c r="B1760" s="7" t="s">
        <v>1836</v>
      </c>
      <c r="C1760" s="9" t="s">
        <v>1704</v>
      </c>
      <c r="D1760" s="13" t="s">
        <v>1816</v>
      </c>
    </row>
    <row r="1761" customFormat="false" ht="15" hidden="false" customHeight="false" outlineLevel="0" collapsed="false">
      <c r="A1761" s="7" t="s">
        <v>877</v>
      </c>
      <c r="B1761" s="7" t="s">
        <v>2738</v>
      </c>
      <c r="C1761" s="9" t="s">
        <v>1704</v>
      </c>
      <c r="D1761" s="13" t="s">
        <v>2731</v>
      </c>
    </row>
    <row r="1762" customFormat="false" ht="15" hidden="false" customHeight="false" outlineLevel="0" collapsed="false">
      <c r="A1762" s="7" t="s">
        <v>880</v>
      </c>
      <c r="B1762" s="7" t="s">
        <v>1815</v>
      </c>
      <c r="C1762" s="9" t="s">
        <v>1704</v>
      </c>
      <c r="D1762" s="13" t="s">
        <v>1816</v>
      </c>
    </row>
    <row r="1763" customFormat="false" ht="15" hidden="false" customHeight="false" outlineLevel="0" collapsed="false">
      <c r="A1763" s="7" t="s">
        <v>2964</v>
      </c>
      <c r="B1763" s="7" t="s">
        <v>1747</v>
      </c>
      <c r="C1763" s="8" t="s">
        <v>1706</v>
      </c>
      <c r="D1763" s="13" t="s">
        <v>1745</v>
      </c>
    </row>
    <row r="1764" customFormat="false" ht="15" hidden="false" customHeight="false" outlineLevel="0" collapsed="false">
      <c r="A1764" s="7" t="s">
        <v>885</v>
      </c>
      <c r="B1764" s="7" t="s">
        <v>1815</v>
      </c>
      <c r="C1764" s="9" t="s">
        <v>1704</v>
      </c>
      <c r="D1764" s="13" t="s">
        <v>1816</v>
      </c>
    </row>
    <row r="1765" customFormat="false" ht="15" hidden="false" customHeight="false" outlineLevel="0" collapsed="false">
      <c r="A1765" s="7" t="s">
        <v>886</v>
      </c>
      <c r="B1765" s="7" t="s">
        <v>1815</v>
      </c>
      <c r="C1765" s="9" t="s">
        <v>1704</v>
      </c>
      <c r="D1765" s="13" t="s">
        <v>1816</v>
      </c>
    </row>
    <row r="1766" customFormat="false" ht="15" hidden="false" customHeight="false" outlineLevel="0" collapsed="false">
      <c r="A1766" s="7" t="s">
        <v>888</v>
      </c>
      <c r="B1766" s="7" t="s">
        <v>1815</v>
      </c>
      <c r="C1766" s="9" t="s">
        <v>1704</v>
      </c>
      <c r="D1766" s="13" t="s">
        <v>1816</v>
      </c>
    </row>
    <row r="1767" customFormat="false" ht="15" hidden="false" customHeight="false" outlineLevel="0" collapsed="false">
      <c r="A1767" s="7" t="s">
        <v>889</v>
      </c>
      <c r="B1767" s="7" t="s">
        <v>1815</v>
      </c>
      <c r="C1767" s="9" t="s">
        <v>1704</v>
      </c>
      <c r="D1767" s="13" t="s">
        <v>1816</v>
      </c>
    </row>
    <row r="1768" customFormat="false" ht="15" hidden="false" customHeight="false" outlineLevel="0" collapsed="false">
      <c r="A1768" s="7" t="s">
        <v>889</v>
      </c>
      <c r="B1768" s="7" t="s">
        <v>2800</v>
      </c>
      <c r="C1768" s="9" t="s">
        <v>1704</v>
      </c>
      <c r="D1768" s="13" t="s">
        <v>2731</v>
      </c>
    </row>
    <row r="1769" customFormat="false" ht="15" hidden="false" customHeight="false" outlineLevel="0" collapsed="false">
      <c r="A1769" s="7" t="s">
        <v>899</v>
      </c>
      <c r="B1769" s="7" t="s">
        <v>2800</v>
      </c>
      <c r="C1769" s="9" t="s">
        <v>1704</v>
      </c>
      <c r="D1769" s="13" t="s">
        <v>2731</v>
      </c>
    </row>
    <row r="1770" customFormat="false" ht="15" hidden="false" customHeight="false" outlineLevel="0" collapsed="false">
      <c r="A1770" s="7" t="s">
        <v>900</v>
      </c>
      <c r="B1770" s="7" t="s">
        <v>1838</v>
      </c>
      <c r="C1770" s="9" t="s">
        <v>1704</v>
      </c>
      <c r="D1770" s="13" t="s">
        <v>1823</v>
      </c>
    </row>
    <row r="1771" customFormat="false" ht="15" hidden="false" customHeight="false" outlineLevel="0" collapsed="false">
      <c r="A1771" s="7" t="s">
        <v>903</v>
      </c>
      <c r="B1771" s="7" t="s">
        <v>2730</v>
      </c>
      <c r="C1771" s="8" t="s">
        <v>1706</v>
      </c>
      <c r="D1771" s="13" t="s">
        <v>2731</v>
      </c>
    </row>
    <row r="1772" customFormat="false" ht="15" hidden="false" customHeight="false" outlineLevel="0" collapsed="false">
      <c r="A1772" s="7" t="s">
        <v>910</v>
      </c>
      <c r="B1772" s="7" t="s">
        <v>1838</v>
      </c>
      <c r="C1772" s="9" t="s">
        <v>1704</v>
      </c>
      <c r="D1772" s="13" t="s">
        <v>1823</v>
      </c>
    </row>
    <row r="1773" customFormat="false" ht="15" hidden="false" customHeight="false" outlineLevel="0" collapsed="false">
      <c r="A1773" s="7" t="s">
        <v>919</v>
      </c>
      <c r="B1773" s="7" t="s">
        <v>1883</v>
      </c>
      <c r="C1773" s="9" t="s">
        <v>1704</v>
      </c>
      <c r="D1773" s="13" t="s">
        <v>1816</v>
      </c>
    </row>
    <row r="1774" customFormat="false" ht="15" hidden="false" customHeight="false" outlineLevel="0" collapsed="false">
      <c r="A1774" s="7" t="s">
        <v>924</v>
      </c>
      <c r="B1774" s="7" t="s">
        <v>2800</v>
      </c>
      <c r="C1774" s="9" t="s">
        <v>1704</v>
      </c>
      <c r="D1774" s="13" t="s">
        <v>2731</v>
      </c>
    </row>
    <row r="1775" customFormat="false" ht="15" hidden="false" customHeight="false" outlineLevel="0" collapsed="false">
      <c r="A1775" s="7" t="s">
        <v>924</v>
      </c>
      <c r="B1775" s="7" t="s">
        <v>1815</v>
      </c>
      <c r="C1775" s="9" t="s">
        <v>1704</v>
      </c>
      <c r="D1775" s="13" t="s">
        <v>1816</v>
      </c>
    </row>
    <row r="1776" customFormat="false" ht="15" hidden="false" customHeight="false" outlineLevel="0" collapsed="false">
      <c r="A1776" s="7" t="s">
        <v>930</v>
      </c>
      <c r="B1776" s="7" t="s">
        <v>1815</v>
      </c>
      <c r="C1776" s="9" t="s">
        <v>1704</v>
      </c>
      <c r="D1776" s="13" t="s">
        <v>1816</v>
      </c>
    </row>
    <row r="1777" customFormat="false" ht="15" hidden="false" customHeight="false" outlineLevel="0" collapsed="false">
      <c r="A1777" s="7" t="s">
        <v>931</v>
      </c>
      <c r="B1777" s="7" t="s">
        <v>1815</v>
      </c>
      <c r="C1777" s="9" t="s">
        <v>1704</v>
      </c>
      <c r="D1777" s="13" t="s">
        <v>1816</v>
      </c>
    </row>
    <row r="1778" customFormat="false" ht="15" hidden="false" customHeight="false" outlineLevel="0" collapsed="false">
      <c r="A1778" s="7" t="s">
        <v>933</v>
      </c>
      <c r="B1778" s="7" t="s">
        <v>1815</v>
      </c>
      <c r="C1778" s="9" t="s">
        <v>1704</v>
      </c>
      <c r="D1778" s="13" t="s">
        <v>1816</v>
      </c>
    </row>
    <row r="1779" customFormat="false" ht="15" hidden="false" customHeight="false" outlineLevel="0" collapsed="false">
      <c r="A1779" s="7" t="s">
        <v>939</v>
      </c>
      <c r="B1779" s="7" t="s">
        <v>1883</v>
      </c>
      <c r="C1779" s="9" t="s">
        <v>1704</v>
      </c>
      <c r="D1779" s="13" t="s">
        <v>1816</v>
      </c>
    </row>
    <row r="1780" customFormat="false" ht="15" hidden="false" customHeight="false" outlineLevel="0" collapsed="false">
      <c r="A1780" s="7" t="s">
        <v>947</v>
      </c>
      <c r="B1780" s="7" t="s">
        <v>1883</v>
      </c>
      <c r="C1780" s="9" t="s">
        <v>1704</v>
      </c>
      <c r="D1780" s="13" t="s">
        <v>1816</v>
      </c>
    </row>
    <row r="1781" customFormat="false" ht="15" hidden="false" customHeight="false" outlineLevel="0" collapsed="false">
      <c r="A1781" s="7" t="s">
        <v>953</v>
      </c>
      <c r="B1781" s="7" t="s">
        <v>2563</v>
      </c>
      <c r="C1781" s="9" t="s">
        <v>1704</v>
      </c>
      <c r="D1781" s="13" t="s">
        <v>1823</v>
      </c>
    </row>
    <row r="1782" customFormat="false" ht="15" hidden="false" customHeight="false" outlineLevel="0" collapsed="false">
      <c r="A1782" s="7" t="s">
        <v>955</v>
      </c>
      <c r="B1782" s="7" t="s">
        <v>1836</v>
      </c>
      <c r="C1782" s="9" t="s">
        <v>1704</v>
      </c>
      <c r="D1782" s="13" t="s">
        <v>1816</v>
      </c>
    </row>
    <row r="1783" customFormat="false" ht="15" hidden="false" customHeight="false" outlineLevel="0" collapsed="false">
      <c r="A1783" s="7" t="s">
        <v>955</v>
      </c>
      <c r="B1783" s="7" t="s">
        <v>2738</v>
      </c>
      <c r="C1783" s="9" t="s">
        <v>1704</v>
      </c>
      <c r="D1783" s="13" t="s">
        <v>2731</v>
      </c>
    </row>
    <row r="1784" customFormat="false" ht="15" hidden="false" customHeight="false" outlineLevel="0" collapsed="false">
      <c r="A1784" s="7" t="s">
        <v>957</v>
      </c>
      <c r="B1784" s="7" t="s">
        <v>1929</v>
      </c>
      <c r="C1784" s="9" t="s">
        <v>1704</v>
      </c>
      <c r="D1784" s="13" t="s">
        <v>1816</v>
      </c>
    </row>
    <row r="1785" customFormat="false" ht="15" hidden="false" customHeight="false" outlineLevel="0" collapsed="false">
      <c r="A1785" s="7" t="s">
        <v>961</v>
      </c>
      <c r="B1785" s="7" t="s">
        <v>1836</v>
      </c>
      <c r="C1785" s="9" t="s">
        <v>1704</v>
      </c>
      <c r="D1785" s="13" t="s">
        <v>1816</v>
      </c>
    </row>
    <row r="1786" customFormat="false" ht="15" hidden="false" customHeight="false" outlineLevel="0" collapsed="false">
      <c r="A1786" s="7" t="s">
        <v>963</v>
      </c>
      <c r="B1786" s="7" t="s">
        <v>1838</v>
      </c>
      <c r="C1786" s="9" t="s">
        <v>1704</v>
      </c>
      <c r="D1786" s="13" t="s">
        <v>1823</v>
      </c>
    </row>
    <row r="1787" customFormat="false" ht="15" hidden="false" customHeight="false" outlineLevel="0" collapsed="false">
      <c r="A1787" s="7" t="s">
        <v>970</v>
      </c>
      <c r="B1787" s="7" t="s">
        <v>2748</v>
      </c>
      <c r="C1787" s="9" t="s">
        <v>1704</v>
      </c>
      <c r="D1787" s="13" t="s">
        <v>2731</v>
      </c>
    </row>
    <row r="1788" customFormat="false" ht="15" hidden="false" customHeight="false" outlineLevel="0" collapsed="false">
      <c r="A1788" s="7" t="s">
        <v>972</v>
      </c>
      <c r="B1788" s="7" t="s">
        <v>1838</v>
      </c>
      <c r="C1788" s="9" t="s">
        <v>1704</v>
      </c>
      <c r="D1788" s="13" t="s">
        <v>1823</v>
      </c>
    </row>
    <row r="1789" customFormat="false" ht="15" hidden="false" customHeight="false" outlineLevel="0" collapsed="false">
      <c r="A1789" s="7" t="s">
        <v>972</v>
      </c>
      <c r="B1789" s="7" t="s">
        <v>1883</v>
      </c>
      <c r="C1789" s="9" t="s">
        <v>1704</v>
      </c>
      <c r="D1789" s="13" t="s">
        <v>1816</v>
      </c>
    </row>
    <row r="1790" customFormat="false" ht="15" hidden="false" customHeight="false" outlineLevel="0" collapsed="false">
      <c r="A1790" s="7" t="s">
        <v>976</v>
      </c>
      <c r="B1790" s="7" t="s">
        <v>1838</v>
      </c>
      <c r="C1790" s="9" t="s">
        <v>1704</v>
      </c>
      <c r="D1790" s="13" t="s">
        <v>1823</v>
      </c>
    </row>
    <row r="1791" customFormat="false" ht="15" hidden="false" customHeight="false" outlineLevel="0" collapsed="false">
      <c r="A1791" s="7" t="s">
        <v>980</v>
      </c>
      <c r="B1791" s="7" t="s">
        <v>1836</v>
      </c>
      <c r="C1791" s="9" t="s">
        <v>1704</v>
      </c>
      <c r="D1791" s="13" t="s">
        <v>1816</v>
      </c>
    </row>
    <row r="1792" customFormat="false" ht="15" hidden="false" customHeight="false" outlineLevel="0" collapsed="false">
      <c r="A1792" s="7" t="s">
        <v>980</v>
      </c>
      <c r="B1792" s="7" t="s">
        <v>2738</v>
      </c>
      <c r="C1792" s="9" t="s">
        <v>1704</v>
      </c>
      <c r="D1792" s="13" t="s">
        <v>2731</v>
      </c>
    </row>
    <row r="1793" customFormat="false" ht="15" hidden="false" customHeight="false" outlineLevel="0" collapsed="false">
      <c r="A1793" s="7" t="s">
        <v>2965</v>
      </c>
      <c r="B1793" s="7" t="s">
        <v>1747</v>
      </c>
      <c r="C1793" s="9" t="s">
        <v>1704</v>
      </c>
      <c r="D1793" s="13" t="s">
        <v>1745</v>
      </c>
    </row>
    <row r="1794" customFormat="false" ht="15" hidden="false" customHeight="false" outlineLevel="0" collapsed="false">
      <c r="A1794" s="7" t="s">
        <v>988</v>
      </c>
      <c r="B1794" s="7" t="s">
        <v>2750</v>
      </c>
      <c r="C1794" s="9" t="s">
        <v>1704</v>
      </c>
      <c r="D1794" s="13" t="s">
        <v>2731</v>
      </c>
    </row>
    <row r="1795" customFormat="false" ht="15" hidden="false" customHeight="false" outlineLevel="0" collapsed="false">
      <c r="A1795" s="7" t="s">
        <v>989</v>
      </c>
      <c r="B1795" s="7" t="s">
        <v>2802</v>
      </c>
      <c r="C1795" s="9" t="s">
        <v>1704</v>
      </c>
      <c r="D1795" s="13" t="s">
        <v>2731</v>
      </c>
    </row>
    <row r="1796" customFormat="false" ht="15" hidden="false" customHeight="false" outlineLevel="0" collapsed="false">
      <c r="A1796" s="7" t="s">
        <v>992</v>
      </c>
      <c r="B1796" s="7" t="s">
        <v>2802</v>
      </c>
      <c r="C1796" s="9" t="s">
        <v>1704</v>
      </c>
      <c r="D1796" s="13" t="s">
        <v>2731</v>
      </c>
    </row>
    <row r="1797" customFormat="false" ht="15" hidden="false" customHeight="false" outlineLevel="0" collapsed="false">
      <c r="A1797" s="7" t="s">
        <v>994</v>
      </c>
      <c r="B1797" s="7" t="s">
        <v>2748</v>
      </c>
      <c r="C1797" s="9" t="s">
        <v>1704</v>
      </c>
      <c r="D1797" s="13" t="s">
        <v>2731</v>
      </c>
    </row>
    <row r="1798" customFormat="false" ht="15" hidden="false" customHeight="false" outlineLevel="0" collapsed="false">
      <c r="A1798" s="7" t="s">
        <v>995</v>
      </c>
      <c r="B1798" s="7" t="s">
        <v>2750</v>
      </c>
      <c r="C1798" s="9" t="s">
        <v>1704</v>
      </c>
      <c r="D1798" s="13" t="s">
        <v>2731</v>
      </c>
    </row>
    <row r="1799" customFormat="false" ht="15" hidden="false" customHeight="false" outlineLevel="0" collapsed="false">
      <c r="A1799" s="7" t="s">
        <v>996</v>
      </c>
      <c r="B1799" s="7" t="s">
        <v>2802</v>
      </c>
      <c r="C1799" s="9" t="s">
        <v>1704</v>
      </c>
      <c r="D1799" s="13" t="s">
        <v>2731</v>
      </c>
    </row>
    <row r="1800" customFormat="false" ht="15" hidden="false" customHeight="false" outlineLevel="0" collapsed="false">
      <c r="A1800" s="7" t="s">
        <v>999</v>
      </c>
      <c r="B1800" s="7" t="s">
        <v>2802</v>
      </c>
      <c r="C1800" s="9" t="s">
        <v>1704</v>
      </c>
      <c r="D1800" s="13" t="s">
        <v>2731</v>
      </c>
    </row>
    <row r="1801" customFormat="false" ht="15" hidden="false" customHeight="false" outlineLevel="0" collapsed="false">
      <c r="A1801" s="7" t="s">
        <v>1000</v>
      </c>
      <c r="B1801" s="7" t="s">
        <v>2738</v>
      </c>
      <c r="C1801" s="9" t="s">
        <v>1704</v>
      </c>
      <c r="D1801" s="13" t="s">
        <v>2731</v>
      </c>
    </row>
    <row r="1802" customFormat="false" ht="15" hidden="false" customHeight="false" outlineLevel="0" collapsed="false">
      <c r="A1802" s="7" t="s">
        <v>1000</v>
      </c>
      <c r="B1802" s="7" t="s">
        <v>1836</v>
      </c>
      <c r="C1802" s="9" t="s">
        <v>1704</v>
      </c>
      <c r="D1802" s="13" t="s">
        <v>1816</v>
      </c>
    </row>
    <row r="1803" customFormat="false" ht="15" hidden="false" customHeight="false" outlineLevel="0" collapsed="false">
      <c r="A1803" s="7" t="s">
        <v>1002</v>
      </c>
      <c r="B1803" s="7" t="s">
        <v>2802</v>
      </c>
      <c r="C1803" s="9" t="s">
        <v>1704</v>
      </c>
      <c r="D1803" s="13" t="s">
        <v>2731</v>
      </c>
    </row>
    <row r="1804" customFormat="false" ht="15" hidden="false" customHeight="false" outlineLevel="0" collapsed="false">
      <c r="A1804" s="7" t="s">
        <v>1004</v>
      </c>
      <c r="B1804" s="7" t="s">
        <v>1863</v>
      </c>
      <c r="C1804" s="8" t="s">
        <v>1706</v>
      </c>
      <c r="D1804" s="13" t="s">
        <v>1816</v>
      </c>
    </row>
    <row r="1805" customFormat="false" ht="15" hidden="false" customHeight="false" outlineLevel="0" collapsed="false">
      <c r="A1805" s="7" t="s">
        <v>1006</v>
      </c>
      <c r="B1805" s="7" t="s">
        <v>2750</v>
      </c>
      <c r="C1805" s="9" t="s">
        <v>1704</v>
      </c>
      <c r="D1805" s="13" t="s">
        <v>2731</v>
      </c>
    </row>
    <row r="1806" customFormat="false" ht="15" hidden="false" customHeight="false" outlineLevel="0" collapsed="false">
      <c r="A1806" s="7" t="s">
        <v>1010</v>
      </c>
      <c r="B1806" s="7" t="s">
        <v>2730</v>
      </c>
      <c r="C1806" s="8" t="s">
        <v>1706</v>
      </c>
      <c r="D1806" s="13" t="s">
        <v>2731</v>
      </c>
    </row>
    <row r="1807" customFormat="false" ht="15" hidden="false" customHeight="false" outlineLevel="0" collapsed="false">
      <c r="A1807" s="7" t="s">
        <v>1011</v>
      </c>
      <c r="B1807" s="7" t="s">
        <v>1838</v>
      </c>
      <c r="C1807" s="9" t="s">
        <v>1704</v>
      </c>
      <c r="D1807" s="13" t="s">
        <v>1823</v>
      </c>
    </row>
    <row r="1808" customFormat="false" ht="15" hidden="false" customHeight="false" outlineLevel="0" collapsed="false">
      <c r="A1808" s="7" t="s">
        <v>1013</v>
      </c>
      <c r="B1808" s="7" t="s">
        <v>2730</v>
      </c>
      <c r="C1808" s="8" t="s">
        <v>1706</v>
      </c>
      <c r="D1808" s="13" t="s">
        <v>2731</v>
      </c>
    </row>
    <row r="1809" customFormat="false" ht="15" hidden="false" customHeight="false" outlineLevel="0" collapsed="false">
      <c r="A1809" s="7" t="s">
        <v>1016</v>
      </c>
      <c r="B1809" s="7" t="s">
        <v>2800</v>
      </c>
      <c r="C1809" s="9" t="s">
        <v>1704</v>
      </c>
      <c r="D1809" s="13" t="s">
        <v>2731</v>
      </c>
    </row>
    <row r="1810" customFormat="false" ht="15" hidden="false" customHeight="false" outlineLevel="0" collapsed="false">
      <c r="A1810" s="7" t="s">
        <v>1020</v>
      </c>
      <c r="B1810" s="7" t="s">
        <v>2730</v>
      </c>
      <c r="C1810" s="8" t="s">
        <v>1706</v>
      </c>
      <c r="D1810" s="13" t="s">
        <v>2731</v>
      </c>
    </row>
    <row r="1811" customFormat="false" ht="15" hidden="false" customHeight="false" outlineLevel="0" collapsed="false">
      <c r="A1811" s="7" t="s">
        <v>1022</v>
      </c>
      <c r="B1811" s="7" t="s">
        <v>1815</v>
      </c>
      <c r="C1811" s="9" t="s">
        <v>1704</v>
      </c>
      <c r="D1811" s="13" t="s">
        <v>1816</v>
      </c>
    </row>
    <row r="1812" customFormat="false" ht="15" hidden="false" customHeight="false" outlineLevel="0" collapsed="false">
      <c r="A1812" s="7" t="s">
        <v>1031</v>
      </c>
      <c r="B1812" s="7" t="s">
        <v>1883</v>
      </c>
      <c r="C1812" s="9" t="s">
        <v>1704</v>
      </c>
      <c r="D1812" s="13" t="s">
        <v>1816</v>
      </c>
    </row>
    <row r="1813" customFormat="false" ht="15" hidden="false" customHeight="false" outlineLevel="0" collapsed="false">
      <c r="A1813" s="7" t="s">
        <v>1035</v>
      </c>
      <c r="B1813" s="7" t="s">
        <v>1815</v>
      </c>
      <c r="C1813" s="9" t="s">
        <v>1704</v>
      </c>
      <c r="D1813" s="13" t="s">
        <v>1816</v>
      </c>
    </row>
    <row r="1814" customFormat="false" ht="15" hidden="false" customHeight="false" outlineLevel="0" collapsed="false">
      <c r="A1814" s="7" t="s">
        <v>1036</v>
      </c>
      <c r="B1814" s="7" t="s">
        <v>1815</v>
      </c>
      <c r="C1814" s="9" t="s">
        <v>1704</v>
      </c>
      <c r="D1814" s="13" t="s">
        <v>1816</v>
      </c>
    </row>
    <row r="1815" customFormat="false" ht="15" hidden="false" customHeight="false" outlineLevel="0" collapsed="false">
      <c r="A1815" s="7" t="s">
        <v>1050</v>
      </c>
      <c r="B1815" s="7" t="s">
        <v>1838</v>
      </c>
      <c r="C1815" s="9" t="s">
        <v>1704</v>
      </c>
      <c r="D1815" s="13" t="s">
        <v>1823</v>
      </c>
    </row>
    <row r="1816" customFormat="false" ht="15" hidden="false" customHeight="false" outlineLevel="0" collapsed="false">
      <c r="A1816" s="7" t="s">
        <v>1051</v>
      </c>
      <c r="B1816" s="7" t="s">
        <v>1883</v>
      </c>
      <c r="C1816" s="9" t="s">
        <v>1704</v>
      </c>
      <c r="D1816" s="13" t="s">
        <v>1816</v>
      </c>
    </row>
    <row r="1817" customFormat="false" ht="15" hidden="false" customHeight="false" outlineLevel="0" collapsed="false">
      <c r="A1817" s="7" t="s">
        <v>1061</v>
      </c>
      <c r="B1817" s="7" t="s">
        <v>1815</v>
      </c>
      <c r="C1817" s="9" t="s">
        <v>1704</v>
      </c>
      <c r="D1817" s="13" t="s">
        <v>1816</v>
      </c>
    </row>
    <row r="1818" customFormat="false" ht="15" hidden="false" customHeight="false" outlineLevel="0" collapsed="false">
      <c r="A1818" s="7" t="s">
        <v>1070</v>
      </c>
      <c r="B1818" s="7" t="s">
        <v>1744</v>
      </c>
      <c r="C1818" s="9" t="s">
        <v>1704</v>
      </c>
      <c r="D1818" s="13" t="s">
        <v>1745</v>
      </c>
    </row>
    <row r="1819" customFormat="false" ht="15" hidden="false" customHeight="false" outlineLevel="0" collapsed="false">
      <c r="A1819" s="7" t="s">
        <v>1071</v>
      </c>
      <c r="B1819" s="7" t="s">
        <v>1883</v>
      </c>
      <c r="C1819" s="9" t="s">
        <v>1704</v>
      </c>
      <c r="D1819" s="13" t="s">
        <v>1816</v>
      </c>
    </row>
    <row r="1820" customFormat="false" ht="15" hidden="false" customHeight="false" outlineLevel="0" collapsed="false">
      <c r="A1820" s="7" t="s">
        <v>1072</v>
      </c>
      <c r="B1820" s="7" t="s">
        <v>1815</v>
      </c>
      <c r="C1820" s="9" t="s">
        <v>1704</v>
      </c>
      <c r="D1820" s="13" t="s">
        <v>1816</v>
      </c>
    </row>
    <row r="1821" customFormat="false" ht="15" hidden="false" customHeight="false" outlineLevel="0" collapsed="false">
      <c r="A1821" s="7" t="s">
        <v>1072</v>
      </c>
      <c r="B1821" s="7" t="s">
        <v>2800</v>
      </c>
      <c r="C1821" s="9" t="s">
        <v>1704</v>
      </c>
      <c r="D1821" s="13" t="s">
        <v>2731</v>
      </c>
    </row>
    <row r="1822" customFormat="false" ht="15" hidden="false" customHeight="false" outlineLevel="0" collapsed="false">
      <c r="A1822" s="7" t="s">
        <v>1073</v>
      </c>
      <c r="B1822" s="7" t="s">
        <v>1883</v>
      </c>
      <c r="C1822" s="9" t="s">
        <v>1704</v>
      </c>
      <c r="D1822" s="13" t="s">
        <v>1816</v>
      </c>
    </row>
    <row r="1823" customFormat="false" ht="15" hidden="false" customHeight="false" outlineLevel="0" collapsed="false">
      <c r="A1823" s="7" t="s">
        <v>1075</v>
      </c>
      <c r="B1823" s="7" t="s">
        <v>1815</v>
      </c>
      <c r="C1823" s="9" t="s">
        <v>1704</v>
      </c>
      <c r="D1823" s="13" t="s">
        <v>1816</v>
      </c>
    </row>
    <row r="1824" customFormat="false" ht="15" hidden="false" customHeight="false" outlineLevel="0" collapsed="false">
      <c r="A1824" s="7" t="s">
        <v>1076</v>
      </c>
      <c r="B1824" s="7" t="s">
        <v>1815</v>
      </c>
      <c r="C1824" s="9" t="s">
        <v>1704</v>
      </c>
      <c r="D1824" s="13" t="s">
        <v>1816</v>
      </c>
    </row>
    <row r="1825" customFormat="false" ht="15" hidden="false" customHeight="false" outlineLevel="0" collapsed="false">
      <c r="A1825" s="7" t="s">
        <v>1077</v>
      </c>
      <c r="B1825" s="7" t="s">
        <v>1815</v>
      </c>
      <c r="C1825" s="9" t="s">
        <v>1704</v>
      </c>
      <c r="D1825" s="13" t="s">
        <v>1816</v>
      </c>
    </row>
    <row r="1826" customFormat="false" ht="15" hidden="false" customHeight="false" outlineLevel="0" collapsed="false">
      <c r="A1826" s="7" t="s">
        <v>1083</v>
      </c>
      <c r="B1826" s="7" t="s">
        <v>1883</v>
      </c>
      <c r="C1826" s="9" t="s">
        <v>1704</v>
      </c>
      <c r="D1826" s="13" t="s">
        <v>1816</v>
      </c>
    </row>
    <row r="1827" customFormat="false" ht="15" hidden="false" customHeight="false" outlineLevel="0" collapsed="false">
      <c r="A1827" s="7" t="s">
        <v>1085</v>
      </c>
      <c r="B1827" s="7" t="s">
        <v>1815</v>
      </c>
      <c r="C1827" s="9" t="s">
        <v>1704</v>
      </c>
      <c r="D1827" s="13" t="s">
        <v>1816</v>
      </c>
    </row>
    <row r="1828" customFormat="false" ht="15" hidden="false" customHeight="false" outlineLevel="0" collapsed="false">
      <c r="A1828" s="7" t="s">
        <v>1090</v>
      </c>
      <c r="B1828" s="7" t="s">
        <v>1815</v>
      </c>
      <c r="C1828" s="9" t="s">
        <v>1704</v>
      </c>
      <c r="D1828" s="13" t="s">
        <v>1816</v>
      </c>
    </row>
    <row r="1829" customFormat="false" ht="15" hidden="false" customHeight="false" outlineLevel="0" collapsed="false">
      <c r="A1829" s="7" t="s">
        <v>1091</v>
      </c>
      <c r="B1829" s="7" t="s">
        <v>1815</v>
      </c>
      <c r="C1829" s="9" t="s">
        <v>1704</v>
      </c>
      <c r="D1829" s="13" t="s">
        <v>1816</v>
      </c>
    </row>
    <row r="1830" customFormat="false" ht="15" hidden="false" customHeight="false" outlineLevel="0" collapsed="false">
      <c r="A1830" s="7" t="s">
        <v>1097</v>
      </c>
      <c r="B1830" s="7" t="s">
        <v>1883</v>
      </c>
      <c r="C1830" s="9" t="s">
        <v>1704</v>
      </c>
      <c r="D1830" s="13" t="s">
        <v>1816</v>
      </c>
    </row>
    <row r="1831" customFormat="false" ht="15" hidden="false" customHeight="false" outlineLevel="0" collapsed="false">
      <c r="A1831" s="7" t="s">
        <v>1100</v>
      </c>
      <c r="B1831" s="7" t="s">
        <v>1883</v>
      </c>
      <c r="C1831" s="9" t="s">
        <v>1704</v>
      </c>
      <c r="D1831" s="13" t="s">
        <v>1816</v>
      </c>
    </row>
    <row r="1832" customFormat="false" ht="15" hidden="false" customHeight="false" outlineLevel="0" collapsed="false">
      <c r="A1832" s="7" t="s">
        <v>1105</v>
      </c>
      <c r="B1832" s="7" t="s">
        <v>1815</v>
      </c>
      <c r="C1832" s="9" t="s">
        <v>1704</v>
      </c>
      <c r="D1832" s="13" t="s">
        <v>1816</v>
      </c>
    </row>
    <row r="1833" customFormat="false" ht="15" hidden="false" customHeight="false" outlineLevel="0" collapsed="false">
      <c r="A1833" s="7" t="s">
        <v>1106</v>
      </c>
      <c r="B1833" s="7" t="s">
        <v>1815</v>
      </c>
      <c r="C1833" s="9" t="s">
        <v>1704</v>
      </c>
      <c r="D1833" s="13" t="s">
        <v>1816</v>
      </c>
    </row>
    <row r="1834" customFormat="false" ht="15" hidden="false" customHeight="false" outlineLevel="0" collapsed="false">
      <c r="A1834" s="7" t="s">
        <v>1112</v>
      </c>
      <c r="B1834" s="7" t="s">
        <v>1883</v>
      </c>
      <c r="C1834" s="9" t="s">
        <v>1704</v>
      </c>
      <c r="D1834" s="13" t="s">
        <v>1816</v>
      </c>
    </row>
    <row r="1835" customFormat="false" ht="15" hidden="false" customHeight="false" outlineLevel="0" collapsed="false">
      <c r="A1835" s="7" t="s">
        <v>1115</v>
      </c>
      <c r="B1835" s="7" t="s">
        <v>1929</v>
      </c>
      <c r="C1835" s="9" t="s">
        <v>1704</v>
      </c>
      <c r="D1835" s="13" t="s">
        <v>1816</v>
      </c>
    </row>
    <row r="1836" customFormat="false" ht="15" hidden="false" customHeight="false" outlineLevel="0" collapsed="false">
      <c r="A1836" s="7" t="s">
        <v>1120</v>
      </c>
      <c r="B1836" s="7" t="s">
        <v>2590</v>
      </c>
      <c r="C1836" s="9" t="s">
        <v>1704</v>
      </c>
      <c r="D1836" s="13" t="s">
        <v>1823</v>
      </c>
    </row>
    <row r="1837" customFormat="false" ht="15" hidden="false" customHeight="false" outlineLevel="0" collapsed="false">
      <c r="A1837" s="7" t="s">
        <v>1121</v>
      </c>
      <c r="B1837" s="7" t="s">
        <v>1883</v>
      </c>
      <c r="C1837" s="9" t="s">
        <v>1704</v>
      </c>
      <c r="D1837" s="13" t="s">
        <v>1816</v>
      </c>
    </row>
    <row r="1838" customFormat="false" ht="15" hidden="false" customHeight="false" outlineLevel="0" collapsed="false">
      <c r="A1838" s="7" t="s">
        <v>1121</v>
      </c>
      <c r="B1838" s="7" t="s">
        <v>2563</v>
      </c>
      <c r="C1838" s="9" t="s">
        <v>1704</v>
      </c>
      <c r="D1838" s="13" t="s">
        <v>1823</v>
      </c>
    </row>
    <row r="1839" customFormat="false" ht="15" hidden="false" customHeight="false" outlineLevel="0" collapsed="false">
      <c r="A1839" s="7" t="s">
        <v>1121</v>
      </c>
      <c r="B1839" s="7" t="s">
        <v>1838</v>
      </c>
      <c r="C1839" s="9" t="s">
        <v>1704</v>
      </c>
      <c r="D1839" s="13" t="s">
        <v>1823</v>
      </c>
    </row>
    <row r="1840" customFormat="false" ht="15" hidden="false" customHeight="false" outlineLevel="0" collapsed="false">
      <c r="A1840" s="7" t="s">
        <v>1123</v>
      </c>
      <c r="B1840" s="7" t="s">
        <v>2750</v>
      </c>
      <c r="C1840" s="9" t="s">
        <v>1704</v>
      </c>
      <c r="D1840" s="13" t="s">
        <v>2731</v>
      </c>
    </row>
    <row r="1841" customFormat="false" ht="15" hidden="false" customHeight="false" outlineLevel="0" collapsed="false">
      <c r="A1841" s="7" t="s">
        <v>1123</v>
      </c>
      <c r="B1841" s="7" t="s">
        <v>1838</v>
      </c>
      <c r="C1841" s="9" t="s">
        <v>1704</v>
      </c>
      <c r="D1841" s="13" t="s">
        <v>1823</v>
      </c>
    </row>
    <row r="1842" customFormat="false" ht="15" hidden="false" customHeight="false" outlineLevel="0" collapsed="false">
      <c r="A1842" s="7" t="s">
        <v>1125</v>
      </c>
      <c r="B1842" s="7" t="s">
        <v>2750</v>
      </c>
      <c r="C1842" s="9" t="s">
        <v>1704</v>
      </c>
      <c r="D1842" s="13" t="s">
        <v>2731</v>
      </c>
    </row>
    <row r="1843" customFormat="false" ht="15" hidden="false" customHeight="false" outlineLevel="0" collapsed="false">
      <c r="A1843" s="7" t="s">
        <v>1125</v>
      </c>
      <c r="B1843" s="7" t="s">
        <v>1836</v>
      </c>
      <c r="C1843" s="9" t="s">
        <v>1704</v>
      </c>
      <c r="D1843" s="13" t="s">
        <v>1816</v>
      </c>
    </row>
    <row r="1844" customFormat="false" ht="15" hidden="false" customHeight="false" outlineLevel="0" collapsed="false">
      <c r="A1844" s="7" t="s">
        <v>1127</v>
      </c>
      <c r="B1844" s="7" t="s">
        <v>1838</v>
      </c>
      <c r="C1844" s="9" t="s">
        <v>1704</v>
      </c>
      <c r="D1844" s="13" t="s">
        <v>1823</v>
      </c>
    </row>
    <row r="1845" customFormat="false" ht="15" hidden="false" customHeight="false" outlineLevel="0" collapsed="false">
      <c r="A1845" s="7" t="s">
        <v>1134</v>
      </c>
      <c r="B1845" s="7" t="s">
        <v>1838</v>
      </c>
      <c r="C1845" s="9" t="s">
        <v>1704</v>
      </c>
      <c r="D1845" s="13" t="s">
        <v>1823</v>
      </c>
    </row>
    <row r="1846" customFormat="false" ht="15" hidden="false" customHeight="false" outlineLevel="0" collapsed="false">
      <c r="A1846" s="7" t="s">
        <v>1155</v>
      </c>
      <c r="B1846" s="7" t="s">
        <v>1883</v>
      </c>
      <c r="C1846" s="9" t="s">
        <v>1704</v>
      </c>
      <c r="D1846" s="13" t="s">
        <v>1816</v>
      </c>
    </row>
    <row r="1847" customFormat="false" ht="15" hidden="false" customHeight="false" outlineLevel="0" collapsed="false">
      <c r="A1847" s="7" t="s">
        <v>1159</v>
      </c>
      <c r="B1847" s="7" t="s">
        <v>1838</v>
      </c>
      <c r="C1847" s="9" t="s">
        <v>1704</v>
      </c>
      <c r="D1847" s="13" t="s">
        <v>1823</v>
      </c>
    </row>
    <row r="1848" customFormat="false" ht="15" hidden="false" customHeight="false" outlineLevel="0" collapsed="false">
      <c r="A1848" s="7" t="s">
        <v>1165</v>
      </c>
      <c r="B1848" s="7" t="s">
        <v>1838</v>
      </c>
      <c r="C1848" s="9" t="s">
        <v>1704</v>
      </c>
      <c r="D1848" s="13" t="s">
        <v>1823</v>
      </c>
    </row>
    <row r="1849" customFormat="false" ht="15" hidden="false" customHeight="false" outlineLevel="0" collapsed="false">
      <c r="A1849" s="7" t="s">
        <v>1171</v>
      </c>
      <c r="B1849" s="7" t="s">
        <v>1883</v>
      </c>
      <c r="C1849" s="9" t="s">
        <v>1704</v>
      </c>
      <c r="D1849" s="13" t="s">
        <v>1816</v>
      </c>
    </row>
    <row r="1850" customFormat="false" ht="15" hidden="false" customHeight="false" outlineLevel="0" collapsed="false">
      <c r="A1850" s="7" t="s">
        <v>1175</v>
      </c>
      <c r="B1850" s="7" t="s">
        <v>1815</v>
      </c>
      <c r="C1850" s="9" t="s">
        <v>1704</v>
      </c>
      <c r="D1850" s="13" t="s">
        <v>1816</v>
      </c>
    </row>
    <row r="1851" customFormat="false" ht="15" hidden="false" customHeight="false" outlineLevel="0" collapsed="false">
      <c r="A1851" s="7" t="s">
        <v>1176</v>
      </c>
      <c r="B1851" s="7" t="s">
        <v>1815</v>
      </c>
      <c r="C1851" s="9" t="s">
        <v>1704</v>
      </c>
      <c r="D1851" s="13" t="s">
        <v>1816</v>
      </c>
    </row>
    <row r="1852" customFormat="false" ht="15" hidden="false" customHeight="false" outlineLevel="0" collapsed="false">
      <c r="A1852" s="7" t="s">
        <v>1177</v>
      </c>
      <c r="B1852" s="7" t="s">
        <v>1815</v>
      </c>
      <c r="C1852" s="9" t="s">
        <v>1704</v>
      </c>
      <c r="D1852" s="13" t="s">
        <v>1816</v>
      </c>
    </row>
    <row r="1853" customFormat="false" ht="15" hidden="false" customHeight="false" outlineLevel="0" collapsed="false">
      <c r="A1853" s="7" t="s">
        <v>1178</v>
      </c>
      <c r="B1853" s="7" t="s">
        <v>1815</v>
      </c>
      <c r="C1853" s="9" t="s">
        <v>1704</v>
      </c>
      <c r="D1853" s="13" t="s">
        <v>1816</v>
      </c>
    </row>
    <row r="1854" customFormat="false" ht="15" hidden="false" customHeight="false" outlineLevel="0" collapsed="false">
      <c r="A1854" s="7" t="s">
        <v>1179</v>
      </c>
      <c r="B1854" s="7" t="s">
        <v>1815</v>
      </c>
      <c r="C1854" s="9" t="s">
        <v>1704</v>
      </c>
      <c r="D1854" s="13" t="s">
        <v>1816</v>
      </c>
    </row>
    <row r="1855" customFormat="false" ht="15" hidden="false" customHeight="false" outlineLevel="0" collapsed="false">
      <c r="A1855" s="7" t="s">
        <v>1181</v>
      </c>
      <c r="B1855" s="7" t="s">
        <v>1838</v>
      </c>
      <c r="C1855" s="9" t="s">
        <v>1704</v>
      </c>
      <c r="D1855" s="13" t="s">
        <v>1823</v>
      </c>
    </row>
    <row r="1856" customFormat="false" ht="15" hidden="false" customHeight="false" outlineLevel="0" collapsed="false">
      <c r="A1856" s="7" t="s">
        <v>1185</v>
      </c>
      <c r="B1856" s="7" t="s">
        <v>1883</v>
      </c>
      <c r="C1856" s="9" t="s">
        <v>1704</v>
      </c>
      <c r="D1856" s="13" t="s">
        <v>1816</v>
      </c>
    </row>
    <row r="1857" customFormat="false" ht="15" hidden="false" customHeight="false" outlineLevel="0" collapsed="false">
      <c r="A1857" s="7" t="s">
        <v>1188</v>
      </c>
      <c r="B1857" s="7" t="s">
        <v>1838</v>
      </c>
      <c r="C1857" s="9" t="s">
        <v>1704</v>
      </c>
      <c r="D1857" s="13" t="s">
        <v>1823</v>
      </c>
    </row>
    <row r="1858" customFormat="false" ht="15" hidden="false" customHeight="false" outlineLevel="0" collapsed="false">
      <c r="A1858" s="7" t="s">
        <v>1188</v>
      </c>
      <c r="B1858" s="7" t="s">
        <v>2563</v>
      </c>
      <c r="C1858" s="9" t="s">
        <v>1704</v>
      </c>
      <c r="D1858" s="13" t="s">
        <v>1823</v>
      </c>
    </row>
    <row r="1859" customFormat="false" ht="15" hidden="false" customHeight="false" outlineLevel="0" collapsed="false">
      <c r="A1859" s="7" t="s">
        <v>1190</v>
      </c>
      <c r="B1859" s="7" t="s">
        <v>1836</v>
      </c>
      <c r="C1859" s="9" t="s">
        <v>1704</v>
      </c>
      <c r="D1859" s="13" t="s">
        <v>1816</v>
      </c>
    </row>
    <row r="1860" customFormat="false" ht="15" hidden="false" customHeight="false" outlineLevel="0" collapsed="false">
      <c r="A1860" s="7" t="s">
        <v>1190</v>
      </c>
      <c r="B1860" s="7" t="s">
        <v>2590</v>
      </c>
      <c r="C1860" s="9" t="s">
        <v>1704</v>
      </c>
      <c r="D1860" s="13" t="s">
        <v>1823</v>
      </c>
    </row>
    <row r="1861" customFormat="false" ht="15" hidden="false" customHeight="false" outlineLevel="0" collapsed="false">
      <c r="A1861" s="7" t="s">
        <v>1192</v>
      </c>
      <c r="B1861" s="7" t="s">
        <v>1929</v>
      </c>
      <c r="C1861" s="9" t="s">
        <v>1704</v>
      </c>
      <c r="D1861" s="13" t="s">
        <v>1816</v>
      </c>
    </row>
    <row r="1862" customFormat="false" ht="15" hidden="false" customHeight="false" outlineLevel="0" collapsed="false">
      <c r="A1862" s="7" t="s">
        <v>1195</v>
      </c>
      <c r="B1862" s="7" t="s">
        <v>1822</v>
      </c>
      <c r="C1862" s="9" t="s">
        <v>1704</v>
      </c>
      <c r="D1862" s="13" t="s">
        <v>1823</v>
      </c>
    </row>
    <row r="1863" customFormat="false" ht="15" hidden="false" customHeight="false" outlineLevel="0" collapsed="false">
      <c r="A1863" s="7" t="s">
        <v>1197</v>
      </c>
      <c r="B1863" s="7" t="s">
        <v>2738</v>
      </c>
      <c r="C1863" s="9" t="s">
        <v>1704</v>
      </c>
      <c r="D1863" s="13" t="s">
        <v>2731</v>
      </c>
    </row>
    <row r="1864" customFormat="false" ht="15" hidden="false" customHeight="false" outlineLevel="0" collapsed="false">
      <c r="A1864" s="7" t="s">
        <v>1197</v>
      </c>
      <c r="B1864" s="7" t="s">
        <v>2750</v>
      </c>
      <c r="C1864" s="9" t="s">
        <v>1704</v>
      </c>
      <c r="D1864" s="13" t="s">
        <v>2731</v>
      </c>
    </row>
    <row r="1865" customFormat="false" ht="15" hidden="false" customHeight="false" outlineLevel="0" collapsed="false">
      <c r="A1865" s="7" t="s">
        <v>1199</v>
      </c>
      <c r="B1865" s="7" t="s">
        <v>2668</v>
      </c>
      <c r="C1865" s="8" t="s">
        <v>1706</v>
      </c>
      <c r="D1865" s="13" t="s">
        <v>1823</v>
      </c>
    </row>
    <row r="1866" customFormat="false" ht="15" hidden="false" customHeight="false" outlineLevel="0" collapsed="false">
      <c r="A1866" s="7" t="s">
        <v>1203</v>
      </c>
      <c r="B1866" s="7" t="s">
        <v>2750</v>
      </c>
      <c r="C1866" s="9" t="s">
        <v>1704</v>
      </c>
      <c r="D1866" s="13" t="s">
        <v>2731</v>
      </c>
    </row>
    <row r="1867" customFormat="false" ht="15" hidden="false" customHeight="false" outlineLevel="0" collapsed="false">
      <c r="A1867" s="7" t="s">
        <v>1208</v>
      </c>
      <c r="B1867" s="7" t="s">
        <v>1838</v>
      </c>
      <c r="C1867" s="9" t="s">
        <v>1704</v>
      </c>
      <c r="D1867" s="13" t="s">
        <v>1823</v>
      </c>
    </row>
    <row r="1868" customFormat="false" ht="15" hidden="false" customHeight="false" outlineLevel="0" collapsed="false">
      <c r="A1868" s="7" t="s">
        <v>1212</v>
      </c>
      <c r="B1868" s="7" t="s">
        <v>1838</v>
      </c>
      <c r="C1868" s="9" t="s">
        <v>1704</v>
      </c>
      <c r="D1868" s="13" t="s">
        <v>1823</v>
      </c>
    </row>
    <row r="1869" customFormat="false" ht="15" hidden="false" customHeight="false" outlineLevel="0" collapsed="false">
      <c r="A1869" s="7" t="s">
        <v>1215</v>
      </c>
      <c r="B1869" s="7" t="s">
        <v>1836</v>
      </c>
      <c r="C1869" s="9" t="s">
        <v>1704</v>
      </c>
      <c r="D1869" s="13" t="s">
        <v>1816</v>
      </c>
    </row>
    <row r="1870" customFormat="false" ht="15" hidden="false" customHeight="false" outlineLevel="0" collapsed="false">
      <c r="A1870" s="7" t="s">
        <v>1218</v>
      </c>
      <c r="B1870" s="7" t="s">
        <v>1836</v>
      </c>
      <c r="C1870" s="9" t="s">
        <v>1704</v>
      </c>
      <c r="D1870" s="13" t="s">
        <v>1816</v>
      </c>
    </row>
    <row r="1871" customFormat="false" ht="15" hidden="false" customHeight="false" outlineLevel="0" collapsed="false">
      <c r="A1871" s="7" t="s">
        <v>1218</v>
      </c>
      <c r="B1871" s="7" t="s">
        <v>2738</v>
      </c>
      <c r="C1871" s="9" t="s">
        <v>1704</v>
      </c>
      <c r="D1871" s="13" t="s">
        <v>2731</v>
      </c>
    </row>
    <row r="1872" customFormat="false" ht="15" hidden="false" customHeight="false" outlineLevel="0" collapsed="false">
      <c r="A1872" s="7" t="s">
        <v>1221</v>
      </c>
      <c r="B1872" s="7" t="s">
        <v>2738</v>
      </c>
      <c r="C1872" s="9" t="s">
        <v>1704</v>
      </c>
      <c r="D1872" s="13" t="s">
        <v>2731</v>
      </c>
    </row>
    <row r="1873" customFormat="false" ht="15" hidden="false" customHeight="false" outlineLevel="0" collapsed="false">
      <c r="A1873" s="7" t="s">
        <v>1227</v>
      </c>
      <c r="B1873" s="7" t="s">
        <v>1836</v>
      </c>
      <c r="C1873" s="9" t="s">
        <v>1704</v>
      </c>
      <c r="D1873" s="13" t="s">
        <v>1816</v>
      </c>
    </row>
    <row r="1874" customFormat="false" ht="15" hidden="false" customHeight="false" outlineLevel="0" collapsed="false">
      <c r="A1874" s="7" t="s">
        <v>1230</v>
      </c>
      <c r="B1874" s="7" t="s">
        <v>1838</v>
      </c>
      <c r="C1874" s="9" t="s">
        <v>1704</v>
      </c>
      <c r="D1874" s="13" t="s">
        <v>1823</v>
      </c>
    </row>
    <row r="1875" customFormat="false" ht="15" hidden="false" customHeight="false" outlineLevel="0" collapsed="false">
      <c r="A1875" s="7" t="s">
        <v>1231</v>
      </c>
      <c r="B1875" s="7" t="s">
        <v>2748</v>
      </c>
      <c r="C1875" s="9" t="s">
        <v>1704</v>
      </c>
      <c r="D1875" s="13" t="s">
        <v>2731</v>
      </c>
    </row>
    <row r="1876" customFormat="false" ht="15" hidden="false" customHeight="false" outlineLevel="0" collapsed="false">
      <c r="A1876" s="7" t="s">
        <v>1237</v>
      </c>
      <c r="B1876" s="7" t="s">
        <v>2748</v>
      </c>
      <c r="C1876" s="9" t="s">
        <v>1704</v>
      </c>
      <c r="D1876" s="13" t="s">
        <v>2731</v>
      </c>
    </row>
    <row r="1877" customFormat="false" ht="15" hidden="false" customHeight="false" outlineLevel="0" collapsed="false">
      <c r="A1877" s="7" t="s">
        <v>1237</v>
      </c>
      <c r="B1877" s="7" t="s">
        <v>1749</v>
      </c>
      <c r="C1877" s="8" t="s">
        <v>1706</v>
      </c>
      <c r="D1877" s="13" t="s">
        <v>1745</v>
      </c>
    </row>
    <row r="1878" customFormat="false" ht="15" hidden="false" customHeight="false" outlineLevel="0" collapsed="false">
      <c r="A1878" s="7" t="s">
        <v>1240</v>
      </c>
      <c r="B1878" s="7" t="s">
        <v>1883</v>
      </c>
      <c r="C1878" s="9" t="s">
        <v>1704</v>
      </c>
      <c r="D1878" s="13" t="s">
        <v>1816</v>
      </c>
    </row>
    <row r="1879" customFormat="false" ht="15" hidden="false" customHeight="false" outlineLevel="0" collapsed="false">
      <c r="A1879" s="7" t="s">
        <v>1249</v>
      </c>
      <c r="B1879" s="7" t="s">
        <v>2748</v>
      </c>
      <c r="C1879" s="9" t="s">
        <v>1704</v>
      </c>
      <c r="D1879" s="13" t="s">
        <v>2731</v>
      </c>
    </row>
    <row r="1880" customFormat="false" ht="15" hidden="false" customHeight="false" outlineLevel="0" collapsed="false">
      <c r="A1880" s="7" t="s">
        <v>1252</v>
      </c>
      <c r="B1880" s="7" t="s">
        <v>1883</v>
      </c>
      <c r="C1880" s="9" t="s">
        <v>1704</v>
      </c>
      <c r="D1880" s="13" t="s">
        <v>1816</v>
      </c>
    </row>
    <row r="1881" customFormat="false" ht="15" hidden="false" customHeight="false" outlineLevel="0" collapsed="false">
      <c r="A1881" s="7" t="s">
        <v>1258</v>
      </c>
      <c r="B1881" s="7" t="s">
        <v>2800</v>
      </c>
      <c r="C1881" s="9" t="s">
        <v>1704</v>
      </c>
      <c r="D1881" s="13" t="s">
        <v>2731</v>
      </c>
    </row>
    <row r="1882" customFormat="false" ht="15" hidden="false" customHeight="false" outlineLevel="0" collapsed="false">
      <c r="A1882" s="7" t="s">
        <v>1258</v>
      </c>
      <c r="B1882" s="7" t="s">
        <v>1815</v>
      </c>
      <c r="C1882" s="9" t="s">
        <v>1704</v>
      </c>
      <c r="D1882" s="13" t="s">
        <v>1816</v>
      </c>
    </row>
    <row r="1883" customFormat="false" ht="15" hidden="false" customHeight="false" outlineLevel="0" collapsed="false">
      <c r="A1883" s="7" t="s">
        <v>1259</v>
      </c>
      <c r="B1883" s="7" t="s">
        <v>2748</v>
      </c>
      <c r="C1883" s="9" t="s">
        <v>1704</v>
      </c>
      <c r="D1883" s="13" t="s">
        <v>2731</v>
      </c>
    </row>
    <row r="1884" customFormat="false" ht="15" hidden="false" customHeight="false" outlineLevel="0" collapsed="false">
      <c r="A1884" s="7" t="s">
        <v>1260</v>
      </c>
      <c r="B1884" s="7" t="s">
        <v>1838</v>
      </c>
      <c r="C1884" s="9" t="s">
        <v>1704</v>
      </c>
      <c r="D1884" s="13" t="s">
        <v>1823</v>
      </c>
    </row>
    <row r="1885" customFormat="false" ht="15" hidden="false" customHeight="false" outlineLevel="0" collapsed="false">
      <c r="A1885" s="7" t="s">
        <v>1261</v>
      </c>
      <c r="B1885" s="7" t="s">
        <v>1883</v>
      </c>
      <c r="C1885" s="9" t="s">
        <v>1704</v>
      </c>
      <c r="D1885" s="13" t="s">
        <v>1816</v>
      </c>
    </row>
    <row r="1886" customFormat="false" ht="15" hidden="false" customHeight="false" outlineLevel="0" collapsed="false">
      <c r="A1886" s="7" t="s">
        <v>1264</v>
      </c>
      <c r="B1886" s="7" t="s">
        <v>1838</v>
      </c>
      <c r="C1886" s="9" t="s">
        <v>1704</v>
      </c>
      <c r="D1886" s="13" t="s">
        <v>1823</v>
      </c>
    </row>
    <row r="1887" customFormat="false" ht="15" hidden="false" customHeight="false" outlineLevel="0" collapsed="false">
      <c r="A1887" s="7" t="s">
        <v>1264</v>
      </c>
      <c r="B1887" s="7" t="s">
        <v>1815</v>
      </c>
      <c r="C1887" s="9" t="s">
        <v>1704</v>
      </c>
      <c r="D1887" s="13" t="s">
        <v>1816</v>
      </c>
    </row>
    <row r="1888" customFormat="false" ht="15" hidden="false" customHeight="false" outlineLevel="0" collapsed="false">
      <c r="A1888" s="7" t="s">
        <v>1271</v>
      </c>
      <c r="B1888" s="7" t="s">
        <v>2748</v>
      </c>
      <c r="C1888" s="9" t="s">
        <v>1704</v>
      </c>
      <c r="D1888" s="13" t="s">
        <v>2731</v>
      </c>
    </row>
    <row r="1889" customFormat="false" ht="15" hidden="false" customHeight="false" outlineLevel="0" collapsed="false">
      <c r="A1889" s="7" t="s">
        <v>1272</v>
      </c>
      <c r="B1889" s="7" t="s">
        <v>1883</v>
      </c>
      <c r="C1889" s="9" t="s">
        <v>1704</v>
      </c>
      <c r="D1889" s="13" t="s">
        <v>1816</v>
      </c>
    </row>
    <row r="1890" customFormat="false" ht="15" hidden="false" customHeight="false" outlineLevel="0" collapsed="false">
      <c r="A1890" s="7" t="s">
        <v>1281</v>
      </c>
      <c r="B1890" s="7" t="s">
        <v>1815</v>
      </c>
      <c r="C1890" s="9" t="s">
        <v>1704</v>
      </c>
      <c r="D1890" s="13" t="s">
        <v>1816</v>
      </c>
    </row>
    <row r="1891" customFormat="false" ht="15" hidden="false" customHeight="false" outlineLevel="0" collapsed="false">
      <c r="A1891" s="7" t="s">
        <v>1282</v>
      </c>
      <c r="B1891" s="7" t="s">
        <v>1815</v>
      </c>
      <c r="C1891" s="9" t="s">
        <v>1704</v>
      </c>
      <c r="D1891" s="13" t="s">
        <v>1816</v>
      </c>
    </row>
    <row r="1892" customFormat="false" ht="15" hidden="false" customHeight="false" outlineLevel="0" collapsed="false">
      <c r="A1892" s="7" t="s">
        <v>1291</v>
      </c>
      <c r="B1892" s="7" t="s">
        <v>2748</v>
      </c>
      <c r="C1892" s="9" t="s">
        <v>1704</v>
      </c>
      <c r="D1892" s="13" t="s">
        <v>2731</v>
      </c>
    </row>
    <row r="1893" customFormat="false" ht="15" hidden="false" customHeight="false" outlineLevel="0" collapsed="false">
      <c r="A1893" s="7" t="s">
        <v>1293</v>
      </c>
      <c r="B1893" s="7" t="s">
        <v>2738</v>
      </c>
      <c r="C1893" s="9" t="s">
        <v>1704</v>
      </c>
      <c r="D1893" s="13" t="s">
        <v>2731</v>
      </c>
    </row>
    <row r="1894" customFormat="false" ht="15" hidden="false" customHeight="false" outlineLevel="0" collapsed="false">
      <c r="A1894" s="7" t="s">
        <v>1293</v>
      </c>
      <c r="B1894" s="7" t="s">
        <v>1838</v>
      </c>
      <c r="C1894" s="9" t="s">
        <v>1704</v>
      </c>
      <c r="D1894" s="13" t="s">
        <v>1823</v>
      </c>
    </row>
    <row r="1895" customFormat="false" ht="15" hidden="false" customHeight="false" outlineLevel="0" collapsed="false">
      <c r="A1895" s="7" t="s">
        <v>1295</v>
      </c>
      <c r="B1895" s="7" t="s">
        <v>1883</v>
      </c>
      <c r="C1895" s="9" t="s">
        <v>1704</v>
      </c>
      <c r="D1895" s="13" t="s">
        <v>1816</v>
      </c>
    </row>
    <row r="1896" customFormat="false" ht="15" hidden="false" customHeight="false" outlineLevel="0" collapsed="false">
      <c r="A1896" s="7" t="s">
        <v>1296</v>
      </c>
      <c r="B1896" s="7" t="s">
        <v>2563</v>
      </c>
      <c r="C1896" s="9" t="s">
        <v>1704</v>
      </c>
      <c r="D1896" s="13" t="s">
        <v>1823</v>
      </c>
    </row>
    <row r="1897" customFormat="false" ht="15" hidden="false" customHeight="false" outlineLevel="0" collapsed="false">
      <c r="A1897" s="7" t="s">
        <v>1303</v>
      </c>
      <c r="B1897" s="7" t="s">
        <v>2748</v>
      </c>
      <c r="C1897" s="9" t="s">
        <v>1704</v>
      </c>
      <c r="D1897" s="13" t="s">
        <v>2731</v>
      </c>
    </row>
    <row r="1898" customFormat="false" ht="15" hidden="false" customHeight="false" outlineLevel="0" collapsed="false">
      <c r="A1898" s="7" t="s">
        <v>1303</v>
      </c>
      <c r="B1898" s="7" t="s">
        <v>1838</v>
      </c>
      <c r="C1898" s="9" t="s">
        <v>1704</v>
      </c>
      <c r="D1898" s="13" t="s">
        <v>1823</v>
      </c>
    </row>
    <row r="1899" customFormat="false" ht="15" hidden="false" customHeight="false" outlineLevel="0" collapsed="false">
      <c r="A1899" s="7" t="s">
        <v>1307</v>
      </c>
      <c r="B1899" s="7" t="s">
        <v>1929</v>
      </c>
      <c r="C1899" s="9" t="s">
        <v>1704</v>
      </c>
      <c r="D1899" s="13" t="s">
        <v>1816</v>
      </c>
    </row>
    <row r="1900" customFormat="false" ht="15" hidden="false" customHeight="false" outlineLevel="0" collapsed="false">
      <c r="A1900" s="7" t="s">
        <v>1309</v>
      </c>
      <c r="B1900" s="7" t="s">
        <v>1836</v>
      </c>
      <c r="C1900" s="9" t="s">
        <v>1704</v>
      </c>
      <c r="D1900" s="13" t="s">
        <v>1816</v>
      </c>
    </row>
    <row r="1901" customFormat="false" ht="15" hidden="false" customHeight="false" outlineLevel="0" collapsed="false">
      <c r="A1901" s="7" t="s">
        <v>1310</v>
      </c>
      <c r="B1901" s="7" t="s">
        <v>2748</v>
      </c>
      <c r="C1901" s="9" t="s">
        <v>1704</v>
      </c>
      <c r="D1901" s="13" t="s">
        <v>2731</v>
      </c>
    </row>
    <row r="1902" customFormat="false" ht="15" hidden="false" customHeight="false" outlineLevel="0" collapsed="false">
      <c r="A1902" s="7" t="s">
        <v>1310</v>
      </c>
      <c r="B1902" s="7" t="s">
        <v>1838</v>
      </c>
      <c r="C1902" s="9" t="s">
        <v>1704</v>
      </c>
      <c r="D1902" s="13" t="s">
        <v>1823</v>
      </c>
    </row>
    <row r="1903" customFormat="false" ht="15" hidden="false" customHeight="false" outlineLevel="0" collapsed="false">
      <c r="A1903" s="7" t="s">
        <v>1317</v>
      </c>
      <c r="B1903" s="7" t="s">
        <v>2748</v>
      </c>
      <c r="C1903" s="9" t="s">
        <v>1704</v>
      </c>
      <c r="D1903" s="13" t="s">
        <v>2731</v>
      </c>
    </row>
    <row r="1904" customFormat="false" ht="15" hidden="false" customHeight="false" outlineLevel="0" collapsed="false">
      <c r="A1904" s="7" t="s">
        <v>1320</v>
      </c>
      <c r="B1904" s="7" t="s">
        <v>1883</v>
      </c>
      <c r="C1904" s="9" t="s">
        <v>1704</v>
      </c>
      <c r="D1904" s="13" t="s">
        <v>1816</v>
      </c>
    </row>
    <row r="1905" customFormat="false" ht="15" hidden="false" customHeight="false" outlineLevel="0" collapsed="false">
      <c r="A1905" s="7" t="s">
        <v>1325</v>
      </c>
      <c r="B1905" s="7" t="s">
        <v>2748</v>
      </c>
      <c r="C1905" s="9" t="s">
        <v>1704</v>
      </c>
      <c r="D1905" s="13" t="s">
        <v>2731</v>
      </c>
    </row>
    <row r="1906" customFormat="false" ht="15" hidden="false" customHeight="false" outlineLevel="0" collapsed="false">
      <c r="A1906" s="7" t="s">
        <v>1331</v>
      </c>
      <c r="B1906" s="7" t="s">
        <v>1815</v>
      </c>
      <c r="C1906" s="9" t="s">
        <v>1704</v>
      </c>
      <c r="D1906" s="13" t="s">
        <v>1816</v>
      </c>
    </row>
    <row r="1907" customFormat="false" ht="15" hidden="false" customHeight="false" outlineLevel="0" collapsed="false">
      <c r="A1907" s="7" t="s">
        <v>1331</v>
      </c>
      <c r="B1907" s="7" t="s">
        <v>2800</v>
      </c>
      <c r="C1907" s="9" t="s">
        <v>1704</v>
      </c>
      <c r="D1907" s="13" t="s">
        <v>2731</v>
      </c>
    </row>
    <row r="1908" customFormat="false" ht="15" hidden="false" customHeight="false" outlineLevel="0" collapsed="false">
      <c r="A1908" s="7" t="s">
        <v>1332</v>
      </c>
      <c r="B1908" s="7" t="s">
        <v>1815</v>
      </c>
      <c r="C1908" s="9" t="s">
        <v>1704</v>
      </c>
      <c r="D1908" s="13" t="s">
        <v>1816</v>
      </c>
    </row>
    <row r="1909" customFormat="false" ht="15" hidden="false" customHeight="false" outlineLevel="0" collapsed="false">
      <c r="A1909" s="7" t="s">
        <v>1333</v>
      </c>
      <c r="B1909" s="7" t="s">
        <v>1815</v>
      </c>
      <c r="C1909" s="9" t="s">
        <v>1704</v>
      </c>
      <c r="D1909" s="13" t="s">
        <v>1816</v>
      </c>
    </row>
    <row r="1910" customFormat="false" ht="15" hidden="false" customHeight="false" outlineLevel="0" collapsed="false">
      <c r="A1910" s="7" t="s">
        <v>1336</v>
      </c>
      <c r="B1910" s="7" t="s">
        <v>2748</v>
      </c>
      <c r="C1910" s="9" t="s">
        <v>1704</v>
      </c>
      <c r="D1910" s="13" t="s">
        <v>2731</v>
      </c>
    </row>
    <row r="1911" customFormat="false" ht="15" hidden="false" customHeight="false" outlineLevel="0" collapsed="false">
      <c r="A1911" s="7" t="s">
        <v>1337</v>
      </c>
      <c r="B1911" s="7" t="s">
        <v>1883</v>
      </c>
      <c r="C1911" s="9" t="s">
        <v>1704</v>
      </c>
      <c r="D1911" s="13" t="s">
        <v>1816</v>
      </c>
    </row>
    <row r="1912" customFormat="false" ht="15" hidden="false" customHeight="false" outlineLevel="0" collapsed="false">
      <c r="A1912" s="7" t="s">
        <v>1339</v>
      </c>
      <c r="B1912" s="7" t="s">
        <v>1836</v>
      </c>
      <c r="C1912" s="9" t="s">
        <v>1704</v>
      </c>
      <c r="D1912" s="13" t="s">
        <v>1816</v>
      </c>
    </row>
    <row r="1913" customFormat="false" ht="15" hidden="false" customHeight="false" outlineLevel="0" collapsed="false">
      <c r="A1913" s="7" t="s">
        <v>1339</v>
      </c>
      <c r="B1913" s="7" t="s">
        <v>2738</v>
      </c>
      <c r="C1913" s="9" t="s">
        <v>1704</v>
      </c>
      <c r="D1913" s="13" t="s">
        <v>2731</v>
      </c>
    </row>
    <row r="1914" customFormat="false" ht="15" hidden="false" customHeight="false" outlineLevel="0" collapsed="false">
      <c r="A1914" s="7" t="s">
        <v>1340</v>
      </c>
      <c r="B1914" s="7" t="s">
        <v>2563</v>
      </c>
      <c r="C1914" s="9" t="s">
        <v>1704</v>
      </c>
      <c r="D1914" s="13" t="s">
        <v>1823</v>
      </c>
    </row>
    <row r="1915" customFormat="false" ht="15" hidden="false" customHeight="false" outlineLevel="0" collapsed="false">
      <c r="A1915" s="7" t="s">
        <v>1341</v>
      </c>
      <c r="B1915" s="7" t="s">
        <v>1836</v>
      </c>
      <c r="C1915" s="9" t="s">
        <v>1704</v>
      </c>
      <c r="D1915" s="13" t="s">
        <v>1816</v>
      </c>
    </row>
    <row r="1916" customFormat="false" ht="15" hidden="false" customHeight="false" outlineLevel="0" collapsed="false">
      <c r="A1916" s="7" t="s">
        <v>1341</v>
      </c>
      <c r="B1916" s="7" t="s">
        <v>2738</v>
      </c>
      <c r="C1916" s="9" t="s">
        <v>1704</v>
      </c>
      <c r="D1916" s="13" t="s">
        <v>2731</v>
      </c>
    </row>
    <row r="1917" customFormat="false" ht="15" hidden="false" customHeight="false" outlineLevel="0" collapsed="false">
      <c r="A1917" s="7" t="s">
        <v>1344</v>
      </c>
      <c r="B1917" s="7" t="s">
        <v>1854</v>
      </c>
      <c r="C1917" s="9" t="s">
        <v>1704</v>
      </c>
      <c r="D1917" s="13" t="s">
        <v>1816</v>
      </c>
    </row>
    <row r="1918" customFormat="false" ht="15" hidden="false" customHeight="false" outlineLevel="0" collapsed="false">
      <c r="A1918" s="7" t="s">
        <v>1345</v>
      </c>
      <c r="B1918" s="7" t="s">
        <v>2750</v>
      </c>
      <c r="C1918" s="9" t="s">
        <v>1704</v>
      </c>
      <c r="D1918" s="13" t="s">
        <v>2731</v>
      </c>
    </row>
    <row r="1919" customFormat="false" ht="15" hidden="false" customHeight="false" outlineLevel="0" collapsed="false">
      <c r="A1919" s="7" t="s">
        <v>1354</v>
      </c>
      <c r="B1919" s="7" t="s">
        <v>2869</v>
      </c>
      <c r="C1919" s="8" t="s">
        <v>1706</v>
      </c>
      <c r="D1919" s="13" t="s">
        <v>2731</v>
      </c>
    </row>
    <row r="1920" customFormat="false" ht="15" hidden="false" customHeight="false" outlineLevel="0" collapsed="false">
      <c r="A1920" s="7" t="s">
        <v>1356</v>
      </c>
      <c r="B1920" s="7" t="s">
        <v>2886</v>
      </c>
      <c r="C1920" s="8" t="s">
        <v>1706</v>
      </c>
      <c r="D1920" s="13" t="s">
        <v>2731</v>
      </c>
    </row>
    <row r="1921" customFormat="false" ht="15" hidden="false" customHeight="false" outlineLevel="0" collapsed="false">
      <c r="A1921" s="7" t="s">
        <v>1361</v>
      </c>
      <c r="B1921" s="7" t="s">
        <v>1744</v>
      </c>
      <c r="C1921" s="9" t="s">
        <v>1704</v>
      </c>
      <c r="D1921" s="13" t="s">
        <v>1745</v>
      </c>
    </row>
    <row r="1922" customFormat="false" ht="15" hidden="false" customHeight="false" outlineLevel="0" collapsed="false">
      <c r="A1922" s="7" t="s">
        <v>1361</v>
      </c>
      <c r="B1922" s="7" t="s">
        <v>1747</v>
      </c>
      <c r="C1922" s="9" t="s">
        <v>1704</v>
      </c>
      <c r="D1922" s="13" t="s">
        <v>1745</v>
      </c>
    </row>
    <row r="1923" customFormat="false" ht="15" hidden="false" customHeight="false" outlineLevel="0" collapsed="false">
      <c r="A1923" s="7" t="s">
        <v>1364</v>
      </c>
      <c r="B1923" s="7" t="s">
        <v>1863</v>
      </c>
      <c r="C1923" s="8" t="s">
        <v>1706</v>
      </c>
      <c r="D1923" s="13" t="s">
        <v>1816</v>
      </c>
    </row>
    <row r="1924" customFormat="false" ht="15" hidden="false" customHeight="false" outlineLevel="0" collapsed="false">
      <c r="A1924" s="7" t="s">
        <v>1364</v>
      </c>
      <c r="B1924" s="7" t="s">
        <v>2750</v>
      </c>
      <c r="C1924" s="9" t="s">
        <v>1704</v>
      </c>
      <c r="D1924" s="13" t="s">
        <v>2731</v>
      </c>
    </row>
    <row r="1925" customFormat="false" ht="15" hidden="false" customHeight="false" outlineLevel="0" collapsed="false">
      <c r="A1925" s="7" t="s">
        <v>1368</v>
      </c>
      <c r="B1925" s="7" t="s">
        <v>2668</v>
      </c>
      <c r="C1925" s="8" t="s">
        <v>1706</v>
      </c>
      <c r="D1925" s="13" t="s">
        <v>1823</v>
      </c>
    </row>
    <row r="1926" customFormat="false" ht="15" hidden="false" customHeight="false" outlineLevel="0" collapsed="false">
      <c r="A1926" s="7" t="s">
        <v>1370</v>
      </c>
      <c r="B1926" s="7" t="s">
        <v>1867</v>
      </c>
      <c r="C1926" s="9" t="s">
        <v>1704</v>
      </c>
      <c r="D1926" s="13" t="s">
        <v>1816</v>
      </c>
    </row>
    <row r="1927" customFormat="false" ht="15" hidden="false" customHeight="false" outlineLevel="0" collapsed="false">
      <c r="A1927" s="7" t="s">
        <v>1370</v>
      </c>
      <c r="B1927" s="7" t="s">
        <v>1875</v>
      </c>
      <c r="C1927" s="9" t="s">
        <v>1704</v>
      </c>
      <c r="D1927" s="13" t="s">
        <v>1816</v>
      </c>
    </row>
    <row r="1928" customFormat="false" ht="15" hidden="false" customHeight="false" outlineLevel="0" collapsed="false">
      <c r="A1928" s="7" t="s">
        <v>1371</v>
      </c>
      <c r="B1928" s="7" t="s">
        <v>2730</v>
      </c>
      <c r="C1928" s="8" t="s">
        <v>1706</v>
      </c>
      <c r="D1928" s="13" t="s">
        <v>2731</v>
      </c>
    </row>
    <row r="1929" customFormat="false" ht="15" hidden="false" customHeight="false" outlineLevel="0" collapsed="false">
      <c r="A1929" s="7" t="s">
        <v>1372</v>
      </c>
      <c r="B1929" s="7" t="s">
        <v>1883</v>
      </c>
      <c r="C1929" s="8" t="s">
        <v>1706</v>
      </c>
      <c r="D1929" s="13" t="s">
        <v>1816</v>
      </c>
    </row>
    <row r="1930" customFormat="false" ht="15" hidden="false" customHeight="false" outlineLevel="0" collapsed="false">
      <c r="A1930" s="7" t="s">
        <v>1381</v>
      </c>
      <c r="B1930" s="7" t="s">
        <v>2869</v>
      </c>
      <c r="C1930" s="8" t="s">
        <v>1706</v>
      </c>
      <c r="D1930" s="13" t="s">
        <v>2731</v>
      </c>
    </row>
    <row r="1931" customFormat="false" ht="15" hidden="false" customHeight="false" outlineLevel="0" collapsed="false">
      <c r="A1931" s="7" t="s">
        <v>1381</v>
      </c>
      <c r="B1931" s="7" t="s">
        <v>2886</v>
      </c>
      <c r="C1931" s="8" t="s">
        <v>1706</v>
      </c>
      <c r="D1931" s="13" t="s">
        <v>2731</v>
      </c>
    </row>
    <row r="1932" customFormat="false" ht="15" hidden="false" customHeight="false" outlineLevel="0" collapsed="false">
      <c r="A1932" s="7" t="s">
        <v>1383</v>
      </c>
      <c r="B1932" s="7" t="s">
        <v>2869</v>
      </c>
      <c r="C1932" s="8" t="s">
        <v>1706</v>
      </c>
      <c r="D1932" s="13" t="s">
        <v>2731</v>
      </c>
    </row>
    <row r="1933" customFormat="false" ht="15" hidden="false" customHeight="false" outlineLevel="0" collapsed="false">
      <c r="A1933" s="7" t="s">
        <v>1390</v>
      </c>
      <c r="B1933" s="7" t="s">
        <v>1854</v>
      </c>
      <c r="C1933" s="8" t="s">
        <v>1706</v>
      </c>
      <c r="D1933" s="13" t="s">
        <v>1816</v>
      </c>
    </row>
    <row r="1934" customFormat="false" ht="15" hidden="false" customHeight="false" outlineLevel="0" collapsed="false">
      <c r="A1934" s="7" t="s">
        <v>1390</v>
      </c>
      <c r="B1934" s="7" t="s">
        <v>1822</v>
      </c>
      <c r="C1934" s="9" t="s">
        <v>1704</v>
      </c>
      <c r="D1934" s="13" t="s">
        <v>1823</v>
      </c>
    </row>
    <row r="1935" customFormat="false" ht="15" hidden="false" customHeight="false" outlineLevel="0" collapsed="false">
      <c r="A1935" s="7" t="s">
        <v>1391</v>
      </c>
      <c r="B1935" s="7" t="s">
        <v>1838</v>
      </c>
      <c r="C1935" s="9" t="s">
        <v>1704</v>
      </c>
      <c r="D1935" s="13" t="s">
        <v>1823</v>
      </c>
    </row>
    <row r="1936" customFormat="false" ht="15" hidden="false" customHeight="false" outlineLevel="0" collapsed="false">
      <c r="A1936" s="7" t="s">
        <v>1404</v>
      </c>
      <c r="B1936" s="7" t="s">
        <v>2800</v>
      </c>
      <c r="C1936" s="9" t="s">
        <v>1704</v>
      </c>
      <c r="D1936" s="13" t="s">
        <v>2731</v>
      </c>
    </row>
    <row r="1937" customFormat="false" ht="15" hidden="false" customHeight="false" outlineLevel="0" collapsed="false">
      <c r="A1937" s="7" t="s">
        <v>1413</v>
      </c>
      <c r="B1937" s="7" t="s">
        <v>2748</v>
      </c>
      <c r="C1937" s="9" t="s">
        <v>1704</v>
      </c>
      <c r="D1937" s="13" t="s">
        <v>2731</v>
      </c>
    </row>
    <row r="1938" customFormat="false" ht="15" hidden="false" customHeight="false" outlineLevel="0" collapsed="false">
      <c r="A1938" s="7" t="s">
        <v>1417</v>
      </c>
      <c r="B1938" s="7" t="s">
        <v>2748</v>
      </c>
      <c r="C1938" s="9" t="s">
        <v>1704</v>
      </c>
      <c r="D1938" s="13" t="s">
        <v>2731</v>
      </c>
    </row>
    <row r="1939" customFormat="false" ht="15" hidden="false" customHeight="false" outlineLevel="0" collapsed="false">
      <c r="A1939" s="7" t="s">
        <v>1417</v>
      </c>
      <c r="B1939" s="7" t="s">
        <v>1867</v>
      </c>
      <c r="C1939" s="8" t="s">
        <v>1706</v>
      </c>
      <c r="D1939" s="13" t="s">
        <v>1816</v>
      </c>
    </row>
    <row r="1940" customFormat="false" ht="15" hidden="false" customHeight="false" outlineLevel="0" collapsed="false">
      <c r="A1940" s="7" t="s">
        <v>1417</v>
      </c>
      <c r="B1940" s="7" t="s">
        <v>1883</v>
      </c>
      <c r="C1940" s="9" t="s">
        <v>1704</v>
      </c>
      <c r="D1940" s="13" t="s">
        <v>1816</v>
      </c>
    </row>
    <row r="1941" customFormat="false" ht="15" hidden="false" customHeight="false" outlineLevel="0" collapsed="false">
      <c r="A1941" s="7" t="s">
        <v>1419</v>
      </c>
      <c r="B1941" s="7" t="s">
        <v>2800</v>
      </c>
      <c r="C1941" s="9" t="s">
        <v>1704</v>
      </c>
      <c r="D1941" s="13" t="s">
        <v>2731</v>
      </c>
    </row>
    <row r="1942" customFormat="false" ht="15" hidden="false" customHeight="false" outlineLevel="0" collapsed="false">
      <c r="A1942" s="7" t="s">
        <v>1420</v>
      </c>
      <c r="B1942" s="7" t="s">
        <v>1815</v>
      </c>
      <c r="C1942" s="9" t="s">
        <v>1704</v>
      </c>
      <c r="D1942" s="13" t="s">
        <v>1816</v>
      </c>
    </row>
    <row r="1943" customFormat="false" ht="15" hidden="false" customHeight="false" outlineLevel="0" collapsed="false">
      <c r="A1943" s="7" t="s">
        <v>1433</v>
      </c>
      <c r="B1943" s="7" t="s">
        <v>2800</v>
      </c>
      <c r="C1943" s="9" t="s">
        <v>1704</v>
      </c>
      <c r="D1943" s="13" t="s">
        <v>2731</v>
      </c>
    </row>
    <row r="1944" customFormat="false" ht="15" hidden="false" customHeight="false" outlineLevel="0" collapsed="false">
      <c r="A1944" s="7" t="s">
        <v>1433</v>
      </c>
      <c r="B1944" s="7" t="s">
        <v>1815</v>
      </c>
      <c r="C1944" s="9" t="s">
        <v>1704</v>
      </c>
      <c r="D1944" s="13" t="s">
        <v>1816</v>
      </c>
    </row>
    <row r="1945" customFormat="false" ht="15" hidden="false" customHeight="false" outlineLevel="0" collapsed="false">
      <c r="A1945" s="7" t="s">
        <v>1434</v>
      </c>
      <c r="B1945" s="7" t="s">
        <v>1815</v>
      </c>
      <c r="C1945" s="9" t="s">
        <v>1704</v>
      </c>
      <c r="D1945" s="13" t="s">
        <v>1816</v>
      </c>
    </row>
    <row r="1946" customFormat="false" ht="15" hidden="false" customHeight="false" outlineLevel="0" collapsed="false">
      <c r="A1946" s="7" t="s">
        <v>1445</v>
      </c>
      <c r="B1946" s="7" t="s">
        <v>2748</v>
      </c>
      <c r="C1946" s="9" t="s">
        <v>1704</v>
      </c>
      <c r="D1946" s="13" t="s">
        <v>2731</v>
      </c>
    </row>
    <row r="1947" customFormat="false" ht="15" hidden="false" customHeight="false" outlineLevel="0" collapsed="false">
      <c r="A1947" s="7" t="s">
        <v>1446</v>
      </c>
      <c r="B1947" s="7" t="s">
        <v>1838</v>
      </c>
      <c r="C1947" s="9" t="s">
        <v>1704</v>
      </c>
      <c r="D1947" s="13" t="s">
        <v>1823</v>
      </c>
    </row>
    <row r="1948" customFormat="false" ht="15" hidden="false" customHeight="false" outlineLevel="0" collapsed="false">
      <c r="A1948" s="7" t="s">
        <v>1446</v>
      </c>
      <c r="B1948" s="7" t="s">
        <v>2750</v>
      </c>
      <c r="C1948" s="9" t="s">
        <v>1704</v>
      </c>
      <c r="D1948" s="13" t="s">
        <v>2731</v>
      </c>
    </row>
    <row r="1949" customFormat="false" ht="15" hidden="false" customHeight="false" outlineLevel="0" collapsed="false">
      <c r="A1949" s="7" t="s">
        <v>1447</v>
      </c>
      <c r="B1949" s="7" t="s">
        <v>1883</v>
      </c>
      <c r="C1949" s="9" t="s">
        <v>1704</v>
      </c>
      <c r="D1949" s="13" t="s">
        <v>1816</v>
      </c>
    </row>
    <row r="1950" customFormat="false" ht="15" hidden="false" customHeight="false" outlineLevel="0" collapsed="false">
      <c r="A1950" s="7" t="s">
        <v>1450</v>
      </c>
      <c r="B1950" s="7" t="s">
        <v>2800</v>
      </c>
      <c r="C1950" s="9" t="s">
        <v>1704</v>
      </c>
      <c r="D1950" s="13" t="s">
        <v>2731</v>
      </c>
    </row>
    <row r="1951" customFormat="false" ht="15" hidden="false" customHeight="false" outlineLevel="0" collapsed="false">
      <c r="A1951" s="7" t="s">
        <v>1450</v>
      </c>
      <c r="B1951" s="7" t="s">
        <v>1815</v>
      </c>
      <c r="C1951" s="9" t="s">
        <v>1704</v>
      </c>
      <c r="D1951" s="13" t="s">
        <v>1816</v>
      </c>
    </row>
    <row r="1952" customFormat="false" ht="15" hidden="false" customHeight="false" outlineLevel="0" collapsed="false">
      <c r="A1952" s="7" t="s">
        <v>1451</v>
      </c>
      <c r="B1952" s="7" t="s">
        <v>1815</v>
      </c>
      <c r="C1952" s="9" t="s">
        <v>1704</v>
      </c>
      <c r="D1952" s="13" t="s">
        <v>1816</v>
      </c>
    </row>
    <row r="1953" customFormat="false" ht="15" hidden="false" customHeight="false" outlineLevel="0" collapsed="false">
      <c r="A1953" s="7" t="s">
        <v>1453</v>
      </c>
      <c r="B1953" s="7" t="s">
        <v>1815</v>
      </c>
      <c r="C1953" s="9" t="s">
        <v>1704</v>
      </c>
      <c r="D1953" s="13" t="s">
        <v>1816</v>
      </c>
    </row>
    <row r="1954" customFormat="false" ht="15" hidden="false" customHeight="false" outlineLevel="0" collapsed="false">
      <c r="A1954" s="7" t="s">
        <v>1454</v>
      </c>
      <c r="B1954" s="7" t="s">
        <v>1815</v>
      </c>
      <c r="C1954" s="9" t="s">
        <v>1704</v>
      </c>
      <c r="D1954" s="13" t="s">
        <v>1816</v>
      </c>
    </row>
    <row r="1955" customFormat="false" ht="15" hidden="false" customHeight="false" outlineLevel="0" collapsed="false">
      <c r="A1955" s="7" t="s">
        <v>1459</v>
      </c>
      <c r="B1955" s="7" t="s">
        <v>1883</v>
      </c>
      <c r="C1955" s="9" t="s">
        <v>1704</v>
      </c>
      <c r="D1955" s="13" t="s">
        <v>1816</v>
      </c>
    </row>
    <row r="1956" customFormat="false" ht="15" hidden="false" customHeight="false" outlineLevel="0" collapsed="false">
      <c r="A1956" s="7" t="s">
        <v>1470</v>
      </c>
      <c r="B1956" s="7" t="s">
        <v>1883</v>
      </c>
      <c r="C1956" s="9" t="s">
        <v>1704</v>
      </c>
      <c r="D1956" s="13" t="s">
        <v>1816</v>
      </c>
    </row>
    <row r="1957" customFormat="false" ht="15" hidden="false" customHeight="false" outlineLevel="0" collapsed="false">
      <c r="A1957" s="7" t="s">
        <v>1473</v>
      </c>
      <c r="B1957" s="7" t="s">
        <v>2748</v>
      </c>
      <c r="C1957" s="9" t="s">
        <v>1704</v>
      </c>
      <c r="D1957" s="13" t="s">
        <v>2731</v>
      </c>
    </row>
    <row r="1958" customFormat="false" ht="15" hidden="false" customHeight="false" outlineLevel="0" collapsed="false">
      <c r="A1958" s="7" t="s">
        <v>1473</v>
      </c>
      <c r="B1958" s="7" t="s">
        <v>2800</v>
      </c>
      <c r="C1958" s="9" t="s">
        <v>1704</v>
      </c>
      <c r="D1958" s="13" t="s">
        <v>2731</v>
      </c>
    </row>
    <row r="1959" customFormat="false" ht="15" hidden="false" customHeight="false" outlineLevel="0" collapsed="false">
      <c r="A1959" s="7" t="s">
        <v>1473</v>
      </c>
      <c r="B1959" s="7" t="s">
        <v>1815</v>
      </c>
      <c r="C1959" s="9" t="s">
        <v>1704</v>
      </c>
      <c r="D1959" s="13" t="s">
        <v>1816</v>
      </c>
    </row>
    <row r="1960" customFormat="false" ht="15" hidden="false" customHeight="false" outlineLevel="0" collapsed="false">
      <c r="A1960" s="7" t="s">
        <v>1474</v>
      </c>
      <c r="B1960" s="7" t="s">
        <v>1815</v>
      </c>
      <c r="C1960" s="9" t="s">
        <v>1704</v>
      </c>
      <c r="D1960" s="13" t="s">
        <v>1816</v>
      </c>
    </row>
    <row r="1961" customFormat="false" ht="15" hidden="false" customHeight="false" outlineLevel="0" collapsed="false">
      <c r="A1961" s="7" t="s">
        <v>1475</v>
      </c>
      <c r="B1961" s="7" t="s">
        <v>1815</v>
      </c>
      <c r="C1961" s="9" t="s">
        <v>1704</v>
      </c>
      <c r="D1961" s="13" t="s">
        <v>1816</v>
      </c>
    </row>
    <row r="1962" customFormat="false" ht="15" hidden="false" customHeight="false" outlineLevel="0" collapsed="false">
      <c r="A1962" s="7" t="s">
        <v>1476</v>
      </c>
      <c r="B1962" s="7" t="s">
        <v>2748</v>
      </c>
      <c r="C1962" s="9" t="s">
        <v>1704</v>
      </c>
      <c r="D1962" s="13" t="s">
        <v>2731</v>
      </c>
    </row>
    <row r="1963" customFormat="false" ht="15" hidden="false" customHeight="false" outlineLevel="0" collapsed="false">
      <c r="A1963" s="7" t="s">
        <v>1479</v>
      </c>
      <c r="B1963" s="7" t="s">
        <v>2748</v>
      </c>
      <c r="C1963" s="9" t="s">
        <v>1704</v>
      </c>
      <c r="D1963" s="13" t="s">
        <v>2731</v>
      </c>
    </row>
    <row r="1964" customFormat="false" ht="15" hidden="false" customHeight="false" outlineLevel="0" collapsed="false">
      <c r="A1964" s="7" t="s">
        <v>1482</v>
      </c>
      <c r="B1964" s="7" t="s">
        <v>2748</v>
      </c>
      <c r="C1964" s="9" t="s">
        <v>1704</v>
      </c>
      <c r="D1964" s="13" t="s">
        <v>2731</v>
      </c>
    </row>
    <row r="1965" customFormat="false" ht="15" hidden="false" customHeight="false" outlineLevel="0" collapsed="false">
      <c r="A1965" s="7" t="s">
        <v>1487</v>
      </c>
      <c r="B1965" s="7" t="s">
        <v>2748</v>
      </c>
      <c r="C1965" s="9" t="s">
        <v>1704</v>
      </c>
      <c r="D1965" s="13" t="s">
        <v>2731</v>
      </c>
    </row>
    <row r="1966" customFormat="false" ht="15" hidden="false" customHeight="false" outlineLevel="0" collapsed="false">
      <c r="A1966" s="7" t="s">
        <v>1487</v>
      </c>
      <c r="B1966" s="7" t="s">
        <v>1749</v>
      </c>
      <c r="C1966" s="8" t="s">
        <v>1706</v>
      </c>
      <c r="D1966" s="13" t="s">
        <v>1745</v>
      </c>
    </row>
    <row r="1967" customFormat="false" ht="15" hidden="false" customHeight="false" outlineLevel="0" collapsed="false">
      <c r="A1967" s="7" t="s">
        <v>1490</v>
      </c>
      <c r="B1967" s="7" t="s">
        <v>2748</v>
      </c>
      <c r="C1967" s="9" t="s">
        <v>1704</v>
      </c>
      <c r="D1967" s="13" t="s">
        <v>2731</v>
      </c>
    </row>
    <row r="1968" customFormat="false" ht="15" hidden="false" customHeight="false" outlineLevel="0" collapsed="false">
      <c r="A1968" s="7" t="s">
        <v>1491</v>
      </c>
      <c r="B1968" s="7" t="s">
        <v>2800</v>
      </c>
      <c r="C1968" s="9" t="s">
        <v>1704</v>
      </c>
      <c r="D1968" s="13" t="s">
        <v>2731</v>
      </c>
    </row>
    <row r="1969" customFormat="false" ht="15" hidden="false" customHeight="false" outlineLevel="0" collapsed="false">
      <c r="A1969" s="7" t="s">
        <v>1491</v>
      </c>
      <c r="B1969" s="7" t="s">
        <v>1815</v>
      </c>
      <c r="C1969" s="9" t="s">
        <v>1704</v>
      </c>
      <c r="D1969" s="13" t="s">
        <v>1816</v>
      </c>
    </row>
    <row r="1970" customFormat="false" ht="15" hidden="false" customHeight="false" outlineLevel="0" collapsed="false">
      <c r="A1970" s="7" t="s">
        <v>1493</v>
      </c>
      <c r="B1970" s="7" t="s">
        <v>1815</v>
      </c>
      <c r="C1970" s="9" t="s">
        <v>1704</v>
      </c>
      <c r="D1970" s="13" t="s">
        <v>1816</v>
      </c>
    </row>
    <row r="1971" customFormat="false" ht="15" hidden="false" customHeight="false" outlineLevel="0" collapsed="false">
      <c r="A1971" s="7" t="s">
        <v>1493</v>
      </c>
      <c r="B1971" s="7" t="s">
        <v>1838</v>
      </c>
      <c r="C1971" s="9" t="s">
        <v>1704</v>
      </c>
      <c r="D1971" s="13" t="s">
        <v>1823</v>
      </c>
    </row>
    <row r="1972" customFormat="false" ht="15" hidden="false" customHeight="false" outlineLevel="0" collapsed="false">
      <c r="A1972" s="7" t="s">
        <v>1495</v>
      </c>
      <c r="B1972" s="7" t="s">
        <v>2563</v>
      </c>
      <c r="C1972" s="9" t="s">
        <v>1704</v>
      </c>
      <c r="D1972" s="13" t="s">
        <v>1823</v>
      </c>
    </row>
    <row r="1973" customFormat="false" ht="15" hidden="false" customHeight="false" outlineLevel="0" collapsed="false">
      <c r="A1973" s="7" t="s">
        <v>1495</v>
      </c>
      <c r="B1973" s="7" t="s">
        <v>2750</v>
      </c>
      <c r="C1973" s="9" t="s">
        <v>1704</v>
      </c>
      <c r="D1973" s="13" t="s">
        <v>2731</v>
      </c>
    </row>
    <row r="1974" customFormat="false" ht="15" hidden="false" customHeight="false" outlineLevel="0" collapsed="false">
      <c r="A1974" s="7" t="s">
        <v>1496</v>
      </c>
      <c r="B1974" s="7" t="s">
        <v>1883</v>
      </c>
      <c r="C1974" s="9" t="s">
        <v>1704</v>
      </c>
      <c r="D1974" s="13" t="s">
        <v>1816</v>
      </c>
    </row>
    <row r="1975" customFormat="false" ht="15" hidden="false" customHeight="false" outlineLevel="0" collapsed="false">
      <c r="A1975" s="7" t="s">
        <v>1499</v>
      </c>
      <c r="B1975" s="7" t="s">
        <v>2750</v>
      </c>
      <c r="C1975" s="9" t="s">
        <v>1704</v>
      </c>
      <c r="D1975" s="13" t="s">
        <v>2731</v>
      </c>
    </row>
    <row r="1976" customFormat="false" ht="15" hidden="false" customHeight="false" outlineLevel="0" collapsed="false">
      <c r="A1976" s="7" t="s">
        <v>1499</v>
      </c>
      <c r="B1976" s="7" t="s">
        <v>2738</v>
      </c>
      <c r="C1976" s="9" t="s">
        <v>1704</v>
      </c>
      <c r="D1976" s="13" t="s">
        <v>2731</v>
      </c>
    </row>
    <row r="1977" customFormat="false" ht="15" hidden="false" customHeight="false" outlineLevel="0" collapsed="false">
      <c r="A1977" s="7" t="s">
        <v>1501</v>
      </c>
      <c r="B1977" s="7" t="s">
        <v>1815</v>
      </c>
      <c r="C1977" s="9" t="s">
        <v>1704</v>
      </c>
      <c r="D1977" s="13" t="s">
        <v>1816</v>
      </c>
    </row>
    <row r="1978" customFormat="false" ht="15" hidden="false" customHeight="false" outlineLevel="0" collapsed="false">
      <c r="A1978" s="7" t="s">
        <v>1505</v>
      </c>
      <c r="B1978" s="7" t="s">
        <v>1815</v>
      </c>
      <c r="C1978" s="9" t="s">
        <v>1704</v>
      </c>
      <c r="D1978" s="13" t="s">
        <v>1816</v>
      </c>
    </row>
    <row r="1979" customFormat="false" ht="15" hidden="false" customHeight="false" outlineLevel="0" collapsed="false">
      <c r="A1979" s="7" t="s">
        <v>1506</v>
      </c>
      <c r="B1979" s="7" t="s">
        <v>1815</v>
      </c>
      <c r="C1979" s="9" t="s">
        <v>1704</v>
      </c>
      <c r="D1979" s="13" t="s">
        <v>1816</v>
      </c>
    </row>
    <row r="1980" customFormat="false" ht="15" hidden="false" customHeight="false" outlineLevel="0" collapsed="false">
      <c r="A1980" s="7" t="s">
        <v>1508</v>
      </c>
      <c r="B1980" s="7" t="s">
        <v>2748</v>
      </c>
      <c r="C1980" s="9" t="s">
        <v>1704</v>
      </c>
      <c r="D1980" s="13" t="s">
        <v>2731</v>
      </c>
    </row>
    <row r="1981" customFormat="false" ht="15" hidden="false" customHeight="false" outlineLevel="0" collapsed="false">
      <c r="A1981" s="7" t="s">
        <v>1514</v>
      </c>
      <c r="B1981" s="7" t="s">
        <v>1883</v>
      </c>
      <c r="C1981" s="9" t="s">
        <v>1704</v>
      </c>
      <c r="D1981" s="13" t="s">
        <v>1816</v>
      </c>
    </row>
    <row r="1982" customFormat="false" ht="15" hidden="false" customHeight="false" outlineLevel="0" collapsed="false">
      <c r="A1982" s="7" t="s">
        <v>1522</v>
      </c>
      <c r="B1982" s="7" t="s">
        <v>1836</v>
      </c>
      <c r="C1982" s="9" t="s">
        <v>1704</v>
      </c>
      <c r="D1982" s="13" t="s">
        <v>1816</v>
      </c>
    </row>
    <row r="1983" customFormat="false" ht="15" hidden="false" customHeight="false" outlineLevel="0" collapsed="false">
      <c r="A1983" s="7" t="s">
        <v>1524</v>
      </c>
      <c r="B1983" s="7" t="s">
        <v>1836</v>
      </c>
      <c r="C1983" s="9" t="s">
        <v>1704</v>
      </c>
      <c r="D1983" s="13" t="s">
        <v>1816</v>
      </c>
    </row>
    <row r="1984" customFormat="false" ht="15" hidden="false" customHeight="false" outlineLevel="0" collapsed="false">
      <c r="A1984" s="7" t="s">
        <v>1524</v>
      </c>
      <c r="B1984" s="7" t="s">
        <v>2738</v>
      </c>
      <c r="C1984" s="9" t="s">
        <v>1704</v>
      </c>
      <c r="D1984" s="13" t="s">
        <v>2731</v>
      </c>
    </row>
    <row r="1985" customFormat="false" ht="15" hidden="false" customHeight="false" outlineLevel="0" collapsed="false">
      <c r="A1985" s="7" t="s">
        <v>1525</v>
      </c>
      <c r="B1985" s="7" t="s">
        <v>1929</v>
      </c>
      <c r="C1985" s="9" t="s">
        <v>1704</v>
      </c>
      <c r="D1985" s="13" t="s">
        <v>1816</v>
      </c>
    </row>
    <row r="1986" customFormat="false" ht="15" hidden="false" customHeight="false" outlineLevel="0" collapsed="false">
      <c r="A1986" s="7" t="s">
        <v>1525</v>
      </c>
      <c r="B1986" s="7" t="s">
        <v>2750</v>
      </c>
      <c r="C1986" s="9" t="s">
        <v>1704</v>
      </c>
      <c r="D1986" s="13" t="s">
        <v>2731</v>
      </c>
    </row>
    <row r="1987" customFormat="false" ht="15" hidden="false" customHeight="false" outlineLevel="0" collapsed="false">
      <c r="A1987" s="7" t="s">
        <v>1526</v>
      </c>
      <c r="B1987" s="7" t="s">
        <v>1838</v>
      </c>
      <c r="C1987" s="9" t="s">
        <v>1704</v>
      </c>
      <c r="D1987" s="13" t="s">
        <v>1823</v>
      </c>
    </row>
    <row r="1988" customFormat="false" ht="15" hidden="false" customHeight="false" outlineLevel="0" collapsed="false">
      <c r="A1988" s="7" t="s">
        <v>1526</v>
      </c>
      <c r="B1988" s="7" t="s">
        <v>2563</v>
      </c>
      <c r="C1988" s="9" t="s">
        <v>1704</v>
      </c>
      <c r="D1988" s="13" t="s">
        <v>1823</v>
      </c>
    </row>
    <row r="1989" customFormat="false" ht="15" hidden="false" customHeight="false" outlineLevel="0" collapsed="false">
      <c r="A1989" s="7" t="s">
        <v>1540</v>
      </c>
      <c r="B1989" s="7" t="s">
        <v>1883</v>
      </c>
      <c r="C1989" s="9" t="s">
        <v>1704</v>
      </c>
      <c r="D1989" s="13" t="s">
        <v>1816</v>
      </c>
    </row>
    <row r="1990" customFormat="false" ht="15" hidden="false" customHeight="false" outlineLevel="0" collapsed="false">
      <c r="A1990" s="7" t="s">
        <v>1543</v>
      </c>
      <c r="B1990" s="7" t="s">
        <v>1838</v>
      </c>
      <c r="C1990" s="9" t="s">
        <v>1704</v>
      </c>
      <c r="D1990" s="13" t="s">
        <v>1823</v>
      </c>
    </row>
    <row r="1991" customFormat="false" ht="15" hidden="false" customHeight="false" outlineLevel="0" collapsed="false">
      <c r="A1991" s="7" t="s">
        <v>1553</v>
      </c>
      <c r="B1991" s="7" t="s">
        <v>1883</v>
      </c>
      <c r="C1991" s="9" t="s">
        <v>1704</v>
      </c>
      <c r="D1991" s="13" t="s">
        <v>1816</v>
      </c>
    </row>
    <row r="1992" customFormat="false" ht="15" hidden="false" customHeight="false" outlineLevel="0" collapsed="false">
      <c r="A1992" s="7" t="s">
        <v>1563</v>
      </c>
      <c r="B1992" s="7" t="s">
        <v>1883</v>
      </c>
      <c r="C1992" s="9" t="s">
        <v>1704</v>
      </c>
      <c r="D1992" s="13" t="s">
        <v>1816</v>
      </c>
    </row>
    <row r="1993" customFormat="false" ht="15" hidden="false" customHeight="false" outlineLevel="0" collapsed="false">
      <c r="A1993" s="7" t="s">
        <v>1571</v>
      </c>
      <c r="B1993" s="7" t="s">
        <v>1838</v>
      </c>
      <c r="C1993" s="9" t="s">
        <v>1704</v>
      </c>
      <c r="D1993" s="13" t="s">
        <v>1823</v>
      </c>
    </row>
    <row r="1994" customFormat="false" ht="15" hidden="false" customHeight="false" outlineLevel="0" collapsed="false">
      <c r="A1994" s="7" t="s">
        <v>1574</v>
      </c>
      <c r="B1994" s="7" t="s">
        <v>1883</v>
      </c>
      <c r="C1994" s="9" t="s">
        <v>1704</v>
      </c>
      <c r="D1994" s="13" t="s">
        <v>1816</v>
      </c>
    </row>
    <row r="1995" customFormat="false" ht="15" hidden="false" customHeight="false" outlineLevel="0" collapsed="false">
      <c r="A1995" s="7" t="s">
        <v>1575</v>
      </c>
      <c r="B1995" s="7" t="s">
        <v>1836</v>
      </c>
      <c r="C1995" s="9" t="s">
        <v>1704</v>
      </c>
      <c r="D1995" s="13" t="s">
        <v>1816</v>
      </c>
    </row>
    <row r="1996" customFormat="false" ht="15" hidden="false" customHeight="false" outlineLevel="0" collapsed="false">
      <c r="A1996" s="7" t="s">
        <v>1576</v>
      </c>
      <c r="B1996" s="7" t="s">
        <v>1838</v>
      </c>
      <c r="C1996" s="9" t="s">
        <v>1704</v>
      </c>
      <c r="D1996" s="13" t="s">
        <v>1823</v>
      </c>
    </row>
    <row r="1997" customFormat="false" ht="15" hidden="false" customHeight="false" outlineLevel="0" collapsed="false">
      <c r="A1997" s="7" t="s">
        <v>1583</v>
      </c>
      <c r="B1997" s="7" t="s">
        <v>1838</v>
      </c>
      <c r="C1997" s="9" t="s">
        <v>1704</v>
      </c>
      <c r="D1997" s="13" t="s">
        <v>1823</v>
      </c>
    </row>
    <row r="1998" customFormat="false" ht="15" hidden="false" customHeight="false" outlineLevel="0" collapsed="false">
      <c r="A1998" s="7" t="s">
        <v>1585</v>
      </c>
      <c r="B1998" s="7" t="s">
        <v>1838</v>
      </c>
      <c r="C1998" s="9" t="s">
        <v>1704</v>
      </c>
      <c r="D1998" s="13" t="s">
        <v>1823</v>
      </c>
    </row>
    <row r="1999" customFormat="false" ht="15" hidden="false" customHeight="false" outlineLevel="0" collapsed="false">
      <c r="A1999" s="7" t="s">
        <v>1587</v>
      </c>
      <c r="B1999" s="7" t="s">
        <v>1838</v>
      </c>
      <c r="C1999" s="9" t="s">
        <v>1704</v>
      </c>
      <c r="D1999" s="13" t="s">
        <v>1823</v>
      </c>
    </row>
    <row r="2000" customFormat="false" ht="15" hidden="false" customHeight="false" outlineLevel="0" collapsed="false">
      <c r="A2000" s="7" t="s">
        <v>1593</v>
      </c>
      <c r="B2000" s="7" t="s">
        <v>1838</v>
      </c>
      <c r="C2000" s="9" t="s">
        <v>1704</v>
      </c>
      <c r="D2000" s="13" t="s">
        <v>1823</v>
      </c>
    </row>
    <row r="2001" customFormat="false" ht="15" hidden="false" customHeight="false" outlineLevel="0" collapsed="false">
      <c r="A2001" s="7" t="s">
        <v>1593</v>
      </c>
      <c r="B2001" s="7" t="s">
        <v>1883</v>
      </c>
      <c r="C2001" s="9" t="s">
        <v>1704</v>
      </c>
      <c r="D2001" s="13" t="s">
        <v>1816</v>
      </c>
    </row>
    <row r="2002" customFormat="false" ht="15" hidden="false" customHeight="false" outlineLevel="0" collapsed="false">
      <c r="A2002" s="7" t="s">
        <v>1596</v>
      </c>
      <c r="B2002" s="7" t="s">
        <v>1838</v>
      </c>
      <c r="C2002" s="9" t="s">
        <v>1704</v>
      </c>
      <c r="D2002" s="13" t="s">
        <v>1823</v>
      </c>
    </row>
    <row r="2003" customFormat="false" ht="15" hidden="false" customHeight="false" outlineLevel="0" collapsed="false">
      <c r="A2003" s="7" t="s">
        <v>1596</v>
      </c>
      <c r="B2003" s="7" t="s">
        <v>2750</v>
      </c>
      <c r="C2003" s="9" t="s">
        <v>1704</v>
      </c>
      <c r="D2003" s="13" t="s">
        <v>2731</v>
      </c>
    </row>
    <row r="2004" customFormat="false" ht="15" hidden="false" customHeight="false" outlineLevel="0" collapsed="false">
      <c r="A2004" s="7" t="s">
        <v>1599</v>
      </c>
      <c r="B2004" s="7" t="s">
        <v>1836</v>
      </c>
      <c r="C2004" s="9" t="s">
        <v>1704</v>
      </c>
      <c r="D2004" s="13" t="s">
        <v>1816</v>
      </c>
    </row>
    <row r="2005" customFormat="false" ht="15" hidden="false" customHeight="false" outlineLevel="0" collapsed="false">
      <c r="A2005" s="7" t="s">
        <v>1599</v>
      </c>
      <c r="B2005" s="7" t="s">
        <v>2750</v>
      </c>
      <c r="C2005" s="9" t="s">
        <v>1704</v>
      </c>
      <c r="D2005" s="13" t="s">
        <v>2731</v>
      </c>
    </row>
    <row r="2006" customFormat="false" ht="15" hidden="false" customHeight="false" outlineLevel="0" collapsed="false">
      <c r="A2006" s="7" t="s">
        <v>1600</v>
      </c>
      <c r="B2006" s="7" t="s">
        <v>2738</v>
      </c>
      <c r="C2006" s="9" t="s">
        <v>1704</v>
      </c>
      <c r="D2006" s="13" t="s">
        <v>2731</v>
      </c>
    </row>
    <row r="2007" customFormat="false" ht="15" hidden="false" customHeight="false" outlineLevel="0" collapsed="false">
      <c r="A2007" s="7" t="s">
        <v>1603</v>
      </c>
      <c r="B2007" s="7" t="s">
        <v>2738</v>
      </c>
      <c r="C2007" s="9" t="s">
        <v>1704</v>
      </c>
      <c r="D2007" s="13" t="s">
        <v>2731</v>
      </c>
    </row>
    <row r="2008" customFormat="false" ht="15" hidden="false" customHeight="false" outlineLevel="0" collapsed="false">
      <c r="A2008" s="7" t="s">
        <v>1603</v>
      </c>
      <c r="B2008" s="7" t="s">
        <v>1836</v>
      </c>
      <c r="C2008" s="9" t="s">
        <v>1704</v>
      </c>
      <c r="D2008" s="13" t="s">
        <v>1816</v>
      </c>
    </row>
    <row r="2009" customFormat="false" ht="15" hidden="false" customHeight="false" outlineLevel="0" collapsed="false">
      <c r="A2009" s="7" t="s">
        <v>1603</v>
      </c>
      <c r="B2009" s="7" t="s">
        <v>2750</v>
      </c>
      <c r="C2009" s="9" t="s">
        <v>1704</v>
      </c>
      <c r="D2009" s="13" t="s">
        <v>2731</v>
      </c>
    </row>
    <row r="2010" customFormat="false" ht="15" hidden="false" customHeight="false" outlineLevel="0" collapsed="false">
      <c r="A2010" s="7" t="s">
        <v>1605</v>
      </c>
      <c r="B2010" s="7" t="s">
        <v>1854</v>
      </c>
      <c r="C2010" s="9" t="s">
        <v>1704</v>
      </c>
      <c r="D2010" s="13" t="s">
        <v>1816</v>
      </c>
    </row>
    <row r="2011" customFormat="false" ht="15" hidden="false" customHeight="false" outlineLevel="0" collapsed="false">
      <c r="A2011" s="7" t="s">
        <v>1605</v>
      </c>
      <c r="B2011" s="7" t="s">
        <v>2750</v>
      </c>
      <c r="C2011" s="9" t="s">
        <v>1704</v>
      </c>
      <c r="D2011" s="13" t="s">
        <v>2731</v>
      </c>
    </row>
    <row r="2012" customFormat="false" ht="15" hidden="false" customHeight="false" outlineLevel="0" collapsed="false">
      <c r="A2012" s="7" t="s">
        <v>1610</v>
      </c>
      <c r="B2012" s="7" t="s">
        <v>2750</v>
      </c>
      <c r="C2012" s="9" t="s">
        <v>1704</v>
      </c>
      <c r="D2012" s="13" t="s">
        <v>2731</v>
      </c>
    </row>
    <row r="2013" customFormat="false" ht="15" hidden="false" customHeight="false" outlineLevel="0" collapsed="false">
      <c r="A2013" s="7" t="s">
        <v>1617</v>
      </c>
      <c r="B2013" s="7" t="s">
        <v>1854</v>
      </c>
      <c r="C2013" s="8" t="s">
        <v>1706</v>
      </c>
      <c r="D2013" s="13" t="s">
        <v>1816</v>
      </c>
    </row>
    <row r="2014" customFormat="false" ht="15" hidden="false" customHeight="false" outlineLevel="0" collapsed="false">
      <c r="A2014" s="7" t="s">
        <v>1617</v>
      </c>
      <c r="B2014" s="7" t="s">
        <v>1838</v>
      </c>
      <c r="C2014" s="9" t="s">
        <v>1704</v>
      </c>
      <c r="D2014" s="13" t="s">
        <v>1823</v>
      </c>
    </row>
    <row r="2015" customFormat="false" ht="15" hidden="false" customHeight="false" outlineLevel="0" collapsed="false">
      <c r="A2015" s="7" t="s">
        <v>1619</v>
      </c>
      <c r="B2015" s="7" t="s">
        <v>1867</v>
      </c>
      <c r="C2015" s="9" t="s">
        <v>1704</v>
      </c>
      <c r="D2015" s="13" t="s">
        <v>1816</v>
      </c>
    </row>
    <row r="2016" customFormat="false" ht="15" hidden="false" customHeight="false" outlineLevel="0" collapsed="false">
      <c r="A2016" s="7" t="s">
        <v>1624</v>
      </c>
      <c r="B2016" s="7" t="s">
        <v>1867</v>
      </c>
      <c r="C2016" s="8" t="s">
        <v>1706</v>
      </c>
      <c r="D2016" s="13" t="s">
        <v>1816</v>
      </c>
    </row>
    <row r="2017" customFormat="false" ht="15" hidden="false" customHeight="false" outlineLevel="0" collapsed="false">
      <c r="A2017" s="7" t="s">
        <v>1644</v>
      </c>
      <c r="B2017" s="7" t="s">
        <v>2738</v>
      </c>
      <c r="C2017" s="9" t="s">
        <v>1704</v>
      </c>
      <c r="D2017" s="13" t="s">
        <v>2731</v>
      </c>
    </row>
    <row r="2018" customFormat="false" ht="15" hidden="false" customHeight="false" outlineLevel="0" collapsed="false">
      <c r="A2018" s="7" t="s">
        <v>1648</v>
      </c>
      <c r="B2018" s="7" t="s">
        <v>2738</v>
      </c>
      <c r="C2018" s="9" t="s">
        <v>1704</v>
      </c>
      <c r="D2018" s="13" t="s">
        <v>2731</v>
      </c>
    </row>
    <row r="2019" customFormat="false" ht="15" hidden="false" customHeight="false" outlineLevel="0" collapsed="false">
      <c r="A2019" s="7" t="s">
        <v>1648</v>
      </c>
      <c r="B2019" s="7" t="s">
        <v>1883</v>
      </c>
      <c r="C2019" s="9" t="s">
        <v>1704</v>
      </c>
      <c r="D2019" s="13" t="s">
        <v>1816</v>
      </c>
    </row>
    <row r="2020" customFormat="false" ht="15" hidden="false" customHeight="false" outlineLevel="0" collapsed="false">
      <c r="A2020" s="7" t="s">
        <v>1650</v>
      </c>
      <c r="B2020" s="7" t="s">
        <v>1815</v>
      </c>
      <c r="C2020" s="9" t="s">
        <v>1704</v>
      </c>
      <c r="D2020" s="13" t="s">
        <v>1816</v>
      </c>
    </row>
    <row r="2021" customFormat="false" ht="15" hidden="false" customHeight="false" outlineLevel="0" collapsed="false">
      <c r="A2021" s="7" t="s">
        <v>1652</v>
      </c>
      <c r="B2021" s="7" t="s">
        <v>1815</v>
      </c>
      <c r="C2021" s="9" t="s">
        <v>1704</v>
      </c>
      <c r="D2021" s="13" t="s">
        <v>1816</v>
      </c>
    </row>
    <row r="2022" customFormat="false" ht="15" hidden="false" customHeight="false" outlineLevel="0" collapsed="false">
      <c r="A2022" s="7" t="s">
        <v>1653</v>
      </c>
      <c r="B2022" s="7" t="s">
        <v>1815</v>
      </c>
      <c r="C2022" s="9" t="s">
        <v>1704</v>
      </c>
      <c r="D2022" s="13" t="s">
        <v>1816</v>
      </c>
    </row>
    <row r="2023" customFormat="false" ht="15" hidden="false" customHeight="false" outlineLevel="0" collapsed="false">
      <c r="A2023" s="7" t="s">
        <v>2966</v>
      </c>
      <c r="B2023" s="7" t="s">
        <v>1761</v>
      </c>
      <c r="C2023" s="9" t="s">
        <v>1704</v>
      </c>
      <c r="D2023" s="13" t="s">
        <v>1745</v>
      </c>
    </row>
    <row r="2024" customFormat="false" ht="15" hidden="false" customHeight="false" outlineLevel="0" collapsed="false">
      <c r="A2024" s="7" t="s">
        <v>1654</v>
      </c>
      <c r="B2024" s="7" t="s">
        <v>1815</v>
      </c>
      <c r="C2024" s="9" t="s">
        <v>1704</v>
      </c>
      <c r="D2024" s="13" t="s">
        <v>1816</v>
      </c>
    </row>
    <row r="2025" customFormat="false" ht="15" hidden="false" customHeight="false" outlineLevel="0" collapsed="false">
      <c r="A2025" s="7" t="s">
        <v>1655</v>
      </c>
      <c r="B2025" s="7" t="s">
        <v>2800</v>
      </c>
      <c r="C2025" s="9" t="s">
        <v>1704</v>
      </c>
      <c r="D2025" s="13" t="s">
        <v>2731</v>
      </c>
    </row>
    <row r="2026" customFormat="false" ht="15" hidden="false" customHeight="false" outlineLevel="0" collapsed="false">
      <c r="A2026" s="7" t="s">
        <v>1657</v>
      </c>
      <c r="B2026" s="7" t="s">
        <v>2738</v>
      </c>
      <c r="C2026" s="9" t="s">
        <v>1704</v>
      </c>
      <c r="D2026" s="13" t="s">
        <v>2731</v>
      </c>
    </row>
    <row r="2027" customFormat="false" ht="15" hidden="false" customHeight="false" outlineLevel="0" collapsed="false">
      <c r="A2027" s="7" t="s">
        <v>1659</v>
      </c>
      <c r="B2027" s="7" t="s">
        <v>1838</v>
      </c>
      <c r="C2027" s="9" t="s">
        <v>1704</v>
      </c>
      <c r="D2027" s="13" t="s">
        <v>1823</v>
      </c>
    </row>
    <row r="2028" customFormat="false" ht="15" hidden="false" customHeight="false" outlineLevel="0" collapsed="false">
      <c r="A2028" s="7" t="s">
        <v>1659</v>
      </c>
      <c r="B2028" s="7" t="s">
        <v>1883</v>
      </c>
      <c r="C2028" s="9" t="s">
        <v>1704</v>
      </c>
      <c r="D2028" s="13" t="s">
        <v>1816</v>
      </c>
    </row>
    <row r="2029" customFormat="false" ht="15" hidden="false" customHeight="false" outlineLevel="0" collapsed="false">
      <c r="A2029" s="7" t="s">
        <v>1660</v>
      </c>
      <c r="B2029" s="7" t="s">
        <v>2738</v>
      </c>
      <c r="C2029" s="9" t="s">
        <v>1704</v>
      </c>
      <c r="D2029" s="13" t="s">
        <v>2731</v>
      </c>
    </row>
    <row r="2030" customFormat="false" ht="15" hidden="false" customHeight="false" outlineLevel="0" collapsed="false">
      <c r="A2030" s="7" t="s">
        <v>1661</v>
      </c>
      <c r="B2030" s="7" t="s">
        <v>1836</v>
      </c>
      <c r="C2030" s="9" t="s">
        <v>1704</v>
      </c>
      <c r="D2030" s="13" t="s">
        <v>1816</v>
      </c>
    </row>
    <row r="2031" customFormat="false" ht="15" hidden="false" customHeight="false" outlineLevel="0" collapsed="false">
      <c r="A2031" s="7" t="s">
        <v>1662</v>
      </c>
      <c r="B2031" s="7" t="s">
        <v>1822</v>
      </c>
      <c r="C2031" s="9" t="s">
        <v>1704</v>
      </c>
      <c r="D2031" s="13" t="s">
        <v>1823</v>
      </c>
    </row>
    <row r="2032" customFormat="false" ht="15" hidden="false" customHeight="false" outlineLevel="0" collapsed="false">
      <c r="A2032" s="7" t="s">
        <v>1662</v>
      </c>
      <c r="B2032" s="7" t="s">
        <v>1838</v>
      </c>
      <c r="C2032" s="9" t="s">
        <v>1704</v>
      </c>
      <c r="D2032" s="13" t="s">
        <v>1823</v>
      </c>
    </row>
    <row r="2033" customFormat="false" ht="15" hidden="false" customHeight="false" outlineLevel="0" collapsed="false">
      <c r="A2033" s="7" t="s">
        <v>1662</v>
      </c>
      <c r="B2033" s="7" t="s">
        <v>2869</v>
      </c>
      <c r="C2033" s="8" t="s">
        <v>1706</v>
      </c>
      <c r="D2033" s="13" t="s">
        <v>2731</v>
      </c>
    </row>
    <row r="2034" customFormat="false" ht="15" hidden="false" customHeight="false" outlineLevel="0" collapsed="false">
      <c r="A2034" s="7" t="s">
        <v>1669</v>
      </c>
      <c r="B2034" s="7" t="s">
        <v>2738</v>
      </c>
      <c r="C2034" s="9" t="s">
        <v>1704</v>
      </c>
      <c r="D2034" s="13" t="s">
        <v>2731</v>
      </c>
    </row>
    <row r="2035" customFormat="false" ht="15" hidden="false" customHeight="false" outlineLevel="0" collapsed="false">
      <c r="A2035" s="7" t="s">
        <v>1671</v>
      </c>
      <c r="B2035" s="7" t="s">
        <v>1883</v>
      </c>
      <c r="C2035" s="9" t="s">
        <v>1704</v>
      </c>
      <c r="D2035" s="13" t="s">
        <v>1816</v>
      </c>
    </row>
    <row r="2036" customFormat="false" ht="15" hidden="false" customHeight="false" outlineLevel="0" collapsed="false">
      <c r="A2036" s="7" t="s">
        <v>1672</v>
      </c>
      <c r="B2036" s="7" t="s">
        <v>2738</v>
      </c>
      <c r="C2036" s="9" t="s">
        <v>1704</v>
      </c>
      <c r="D2036" s="13" t="s">
        <v>2731</v>
      </c>
    </row>
    <row r="2037" customFormat="false" ht="15" hidden="false" customHeight="false" outlineLevel="0" collapsed="false">
      <c r="A2037" s="7" t="s">
        <v>1673</v>
      </c>
      <c r="B2037" s="7" t="s">
        <v>1838</v>
      </c>
      <c r="C2037" s="9" t="s">
        <v>1704</v>
      </c>
      <c r="D2037" s="13" t="s">
        <v>1823</v>
      </c>
    </row>
    <row r="2038" customFormat="false" ht="15" hidden="false" customHeight="false" outlineLevel="0" collapsed="false">
      <c r="A2038" s="7" t="s">
        <v>1674</v>
      </c>
      <c r="B2038" s="7" t="s">
        <v>1749</v>
      </c>
      <c r="C2038" s="9" t="s">
        <v>1704</v>
      </c>
      <c r="D2038" s="13" t="s">
        <v>1745</v>
      </c>
    </row>
    <row r="2039" customFormat="false" ht="15" hidden="false" customHeight="false" outlineLevel="0" collapsed="false">
      <c r="A2039" s="7" t="s">
        <v>1679</v>
      </c>
      <c r="B2039" s="7" t="s">
        <v>1883</v>
      </c>
      <c r="C2039" s="9" t="s">
        <v>1704</v>
      </c>
      <c r="D2039" s="13" t="s">
        <v>1816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9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8"/>
    <col collapsed="false" customWidth="true" hidden="false" outlineLevel="0" max="9" min="9" style="0" width="4"/>
  </cols>
  <sheetData>
    <row r="1" customFormat="false" ht="16.4" hidden="false" customHeight="false" outlineLevel="0" collapsed="false">
      <c r="A1" s="1" t="s">
        <v>2967</v>
      </c>
    </row>
    <row r="2" customFormat="false" ht="15" hidden="false" customHeight="false" outlineLevel="0" collapsed="false">
      <c r="A2" s="5" t="s">
        <v>2968</v>
      </c>
      <c r="B2" s="5" t="s">
        <v>1740</v>
      </c>
      <c r="C2" s="5" t="s">
        <v>1742</v>
      </c>
      <c r="D2" s="5" t="s">
        <v>1741</v>
      </c>
      <c r="E2" s="5" t="s">
        <v>2969</v>
      </c>
      <c r="F2" s="5" t="s">
        <v>2970</v>
      </c>
      <c r="G2" s="5" t="s">
        <v>2971</v>
      </c>
      <c r="H2" s="6" t="s">
        <v>2972</v>
      </c>
      <c r="I2" s="6" t="s">
        <v>2973</v>
      </c>
    </row>
    <row r="3" customFormat="false" ht="15" hidden="false" customHeight="false" outlineLevel="0" collapsed="false">
      <c r="A3" s="7" t="n">
        <v>1</v>
      </c>
      <c r="B3" s="7" t="s">
        <v>1827</v>
      </c>
      <c r="C3" s="13" t="s">
        <v>1820</v>
      </c>
      <c r="D3" s="7" t="s">
        <v>1704</v>
      </c>
      <c r="E3" s="7" t="s">
        <v>2974</v>
      </c>
      <c r="F3" s="7" t="s">
        <v>2975</v>
      </c>
      <c r="G3" s="7" t="s">
        <v>2976</v>
      </c>
      <c r="H3" s="14" t="n">
        <v>0.5</v>
      </c>
      <c r="I3" s="7"/>
    </row>
    <row r="4" customFormat="false" ht="15" hidden="false" customHeight="false" outlineLevel="0" collapsed="false">
      <c r="A4" s="7" t="n">
        <v>2</v>
      </c>
      <c r="B4" s="7" t="s">
        <v>2748</v>
      </c>
      <c r="C4" s="13" t="s">
        <v>2731</v>
      </c>
      <c r="D4" s="7" t="s">
        <v>1704</v>
      </c>
      <c r="E4" s="8" t="s">
        <v>2977</v>
      </c>
      <c r="F4" s="7" t="s">
        <v>2978</v>
      </c>
      <c r="G4" s="7" t="s">
        <v>2979</v>
      </c>
      <c r="H4" s="14" t="n">
        <v>0.24</v>
      </c>
      <c r="I4" s="7" t="s">
        <v>2973</v>
      </c>
    </row>
    <row r="5" customFormat="false" ht="15" hidden="false" customHeight="false" outlineLevel="0" collapsed="false">
      <c r="A5" s="7" t="n">
        <v>3</v>
      </c>
      <c r="B5" s="7" t="s">
        <v>1838</v>
      </c>
      <c r="C5" s="13" t="s">
        <v>1823</v>
      </c>
      <c r="D5" s="7" t="s">
        <v>1704</v>
      </c>
      <c r="E5" s="8" t="s">
        <v>2977</v>
      </c>
      <c r="F5" s="7" t="s">
        <v>2980</v>
      </c>
      <c r="G5" s="7" t="s">
        <v>2981</v>
      </c>
      <c r="H5" s="14" t="n">
        <v>0.431</v>
      </c>
      <c r="I5" s="7" t="s">
        <v>2973</v>
      </c>
    </row>
    <row r="6" customFormat="false" ht="15" hidden="false" customHeight="false" outlineLevel="0" collapsed="false">
      <c r="A6" s="7" t="n">
        <v>4</v>
      </c>
      <c r="B6" s="7" t="s">
        <v>2750</v>
      </c>
      <c r="C6" s="13" t="s">
        <v>2731</v>
      </c>
      <c r="D6" s="7" t="s">
        <v>1704</v>
      </c>
      <c r="E6" s="7" t="s">
        <v>2974</v>
      </c>
      <c r="F6" s="7" t="s">
        <v>2980</v>
      </c>
      <c r="G6" s="7" t="s">
        <v>2979</v>
      </c>
      <c r="H6" s="14" t="n">
        <v>0.377</v>
      </c>
      <c r="I6" s="7"/>
    </row>
    <row r="7" customFormat="false" ht="15" hidden="false" customHeight="false" outlineLevel="0" collapsed="false">
      <c r="A7" s="7" t="n">
        <v>5</v>
      </c>
      <c r="B7" s="7" t="s">
        <v>1976</v>
      </c>
      <c r="C7" s="13" t="s">
        <v>1820</v>
      </c>
      <c r="D7" s="7" t="s">
        <v>1704</v>
      </c>
      <c r="E7" s="7" t="s">
        <v>2974</v>
      </c>
      <c r="F7" s="7" t="s">
        <v>2980</v>
      </c>
      <c r="G7" s="7" t="s">
        <v>2982</v>
      </c>
      <c r="H7" s="14" t="n">
        <v>0.383</v>
      </c>
      <c r="I7" s="7"/>
    </row>
    <row r="8" customFormat="false" ht="15" hidden="false" customHeight="false" outlineLevel="0" collapsed="false">
      <c r="A8" s="7" t="n">
        <v>6</v>
      </c>
      <c r="B8" s="7" t="s">
        <v>1822</v>
      </c>
      <c r="C8" s="13" t="s">
        <v>1823</v>
      </c>
      <c r="D8" s="7" t="s">
        <v>1704</v>
      </c>
      <c r="E8" s="7" t="s">
        <v>2974</v>
      </c>
      <c r="F8" s="7" t="s">
        <v>2983</v>
      </c>
      <c r="G8" s="7" t="s">
        <v>2984</v>
      </c>
      <c r="H8" s="14" t="n">
        <v>0.467</v>
      </c>
      <c r="I8" s="7"/>
    </row>
    <row r="9" customFormat="false" ht="15" hidden="false" customHeight="false" outlineLevel="0" collapsed="false">
      <c r="A9" s="7" t="n">
        <v>7</v>
      </c>
      <c r="B9" s="7" t="s">
        <v>1875</v>
      </c>
      <c r="C9" s="13" t="s">
        <v>1816</v>
      </c>
      <c r="D9" s="7" t="s">
        <v>1704</v>
      </c>
      <c r="E9" s="7" t="s">
        <v>2974</v>
      </c>
      <c r="F9" s="7" t="s">
        <v>2983</v>
      </c>
      <c r="G9" s="7" t="s">
        <v>2984</v>
      </c>
      <c r="H9" s="14" t="n">
        <v>0.571</v>
      </c>
      <c r="I9" s="7"/>
    </row>
    <row r="10" customFormat="false" ht="15" hidden="false" customHeight="false" outlineLevel="0" collapsed="false">
      <c r="A10" s="7" t="n">
        <v>8</v>
      </c>
      <c r="B10" s="7" t="s">
        <v>1815</v>
      </c>
      <c r="C10" s="13" t="s">
        <v>1816</v>
      </c>
      <c r="D10" s="7" t="s">
        <v>1704</v>
      </c>
      <c r="E10" s="8" t="s">
        <v>2977</v>
      </c>
      <c r="F10" s="7" t="s">
        <v>2985</v>
      </c>
      <c r="G10" s="7" t="s">
        <v>2986</v>
      </c>
      <c r="H10" s="14" t="n">
        <v>0.34</v>
      </c>
      <c r="I10" s="7" t="s">
        <v>2973</v>
      </c>
    </row>
    <row r="11" customFormat="false" ht="15" hidden="false" customHeight="false" outlineLevel="0" collapsed="false">
      <c r="A11" s="7" t="n">
        <v>9</v>
      </c>
      <c r="B11" s="7" t="s">
        <v>2800</v>
      </c>
      <c r="C11" s="13" t="s">
        <v>2731</v>
      </c>
      <c r="D11" s="7" t="s">
        <v>1704</v>
      </c>
      <c r="E11" s="8" t="s">
        <v>2977</v>
      </c>
      <c r="F11" s="7" t="s">
        <v>2987</v>
      </c>
      <c r="G11" s="7" t="s">
        <v>2988</v>
      </c>
      <c r="H11" s="14" t="n">
        <v>0.125</v>
      </c>
      <c r="I11" s="7" t="s">
        <v>2973</v>
      </c>
    </row>
    <row r="12" customFormat="false" ht="15" hidden="false" customHeight="false" outlineLevel="0" collapsed="false">
      <c r="A12" s="7" t="n">
        <v>10</v>
      </c>
      <c r="B12" s="7" t="s">
        <v>2802</v>
      </c>
      <c r="C12" s="13" t="s">
        <v>2731</v>
      </c>
      <c r="D12" s="7" t="s">
        <v>1704</v>
      </c>
      <c r="E12" s="7" t="s">
        <v>2974</v>
      </c>
      <c r="F12" s="7" t="s">
        <v>2989</v>
      </c>
      <c r="G12" s="7" t="s">
        <v>2990</v>
      </c>
      <c r="H12" s="14" t="n">
        <v>0.6087</v>
      </c>
      <c r="I12" s="7"/>
    </row>
    <row r="13" customFormat="false" ht="15" hidden="false" customHeight="false" outlineLevel="0" collapsed="false">
      <c r="A13" s="7" t="n">
        <v>11</v>
      </c>
      <c r="B13" s="7" t="s">
        <v>1819</v>
      </c>
      <c r="C13" s="13" t="s">
        <v>1820</v>
      </c>
      <c r="D13" s="7" t="s">
        <v>1704</v>
      </c>
      <c r="E13" s="7" t="s">
        <v>2974</v>
      </c>
      <c r="F13" s="7" t="s">
        <v>2989</v>
      </c>
      <c r="G13" s="7" t="s">
        <v>2991</v>
      </c>
      <c r="H13" s="14" t="n">
        <v>0.341</v>
      </c>
      <c r="I13" s="7"/>
    </row>
    <row r="14" customFormat="false" ht="15" hidden="false" customHeight="false" outlineLevel="0" collapsed="false">
      <c r="A14" s="7" t="n">
        <v>12</v>
      </c>
      <c r="B14" s="7" t="s">
        <v>1883</v>
      </c>
      <c r="C14" s="13" t="s">
        <v>1816</v>
      </c>
      <c r="D14" s="7" t="s">
        <v>2992</v>
      </c>
      <c r="E14" s="8" t="s">
        <v>2977</v>
      </c>
      <c r="F14" s="7" t="s">
        <v>2993</v>
      </c>
      <c r="G14" s="7" t="s">
        <v>2994</v>
      </c>
      <c r="H14" s="14" t="n">
        <v>0.432</v>
      </c>
      <c r="I14" s="7"/>
    </row>
    <row r="15" customFormat="false" ht="15" hidden="false" customHeight="false" outlineLevel="0" collapsed="false">
      <c r="A15" s="7" t="n">
        <v>13</v>
      </c>
      <c r="B15" s="7" t="s">
        <v>1854</v>
      </c>
      <c r="C15" s="13" t="s">
        <v>1816</v>
      </c>
      <c r="D15" s="7" t="s">
        <v>2992</v>
      </c>
      <c r="E15" s="8" t="s">
        <v>2977</v>
      </c>
      <c r="F15" s="7" t="s">
        <v>2995</v>
      </c>
      <c r="G15" s="7" t="s">
        <v>2996</v>
      </c>
      <c r="H15" s="14" t="n">
        <v>0.425</v>
      </c>
      <c r="I15" s="7"/>
    </row>
    <row r="16" customFormat="false" ht="15" hidden="false" customHeight="false" outlineLevel="0" collapsed="false">
      <c r="A16" s="7" t="n">
        <v>14</v>
      </c>
      <c r="B16" s="7" t="s">
        <v>1929</v>
      </c>
      <c r="C16" s="13" t="s">
        <v>1816</v>
      </c>
      <c r="D16" s="7" t="s">
        <v>2992</v>
      </c>
      <c r="E16" s="7" t="s">
        <v>2974</v>
      </c>
      <c r="F16" s="7" t="s">
        <v>2997</v>
      </c>
      <c r="G16" s="7" t="s">
        <v>2998</v>
      </c>
      <c r="H16" s="14" t="n">
        <v>0.49</v>
      </c>
      <c r="I16" s="7"/>
    </row>
    <row r="17" customFormat="false" ht="15" hidden="false" customHeight="false" outlineLevel="0" collapsed="false">
      <c r="A17" s="7" t="n">
        <v>15</v>
      </c>
      <c r="B17" s="7" t="s">
        <v>1836</v>
      </c>
      <c r="C17" s="13" t="s">
        <v>1816</v>
      </c>
      <c r="D17" s="7" t="s">
        <v>1704</v>
      </c>
      <c r="E17" s="8" t="s">
        <v>2977</v>
      </c>
      <c r="F17" s="7" t="s">
        <v>2999</v>
      </c>
      <c r="G17" s="7" t="s">
        <v>3000</v>
      </c>
      <c r="H17" s="14" t="n">
        <v>0.525</v>
      </c>
      <c r="I17" s="7"/>
    </row>
    <row r="18" customFormat="false" ht="15" hidden="false" customHeight="false" outlineLevel="0" collapsed="false">
      <c r="A18" s="7" t="n">
        <v>16</v>
      </c>
      <c r="B18" s="7" t="s">
        <v>2563</v>
      </c>
      <c r="C18" s="13" t="s">
        <v>1823</v>
      </c>
      <c r="D18" s="7" t="s">
        <v>1704</v>
      </c>
      <c r="E18" s="8" t="s">
        <v>2977</v>
      </c>
      <c r="F18" s="7" t="s">
        <v>3001</v>
      </c>
      <c r="G18" s="7" t="s">
        <v>3002</v>
      </c>
      <c r="H18" s="14" t="n">
        <v>0.4</v>
      </c>
      <c r="I18" s="7" t="s">
        <v>2973</v>
      </c>
    </row>
    <row r="19" customFormat="false" ht="15" hidden="false" customHeight="false" outlineLevel="0" collapsed="false">
      <c r="A19" s="7" t="n">
        <v>17</v>
      </c>
      <c r="B19" s="7" t="s">
        <v>2886</v>
      </c>
      <c r="C19" s="13" t="s">
        <v>2731</v>
      </c>
      <c r="D19" s="7" t="s">
        <v>1706</v>
      </c>
      <c r="E19" s="8" t="s">
        <v>2977</v>
      </c>
      <c r="F19" s="7" t="s">
        <v>3001</v>
      </c>
      <c r="G19" s="7" t="s">
        <v>3003</v>
      </c>
      <c r="H19" s="14" t="n">
        <v>0.3333</v>
      </c>
      <c r="I19" s="7" t="s">
        <v>2973</v>
      </c>
    </row>
    <row r="20" customFormat="false" ht="15" hidden="false" customHeight="false" outlineLevel="0" collapsed="false">
      <c r="A20" s="7" t="n">
        <v>18</v>
      </c>
      <c r="B20" s="7" t="s">
        <v>2738</v>
      </c>
      <c r="C20" s="13" t="s">
        <v>2731</v>
      </c>
      <c r="D20" s="7" t="s">
        <v>1704</v>
      </c>
      <c r="E20" s="7" t="s">
        <v>2974</v>
      </c>
      <c r="F20" s="7" t="s">
        <v>3001</v>
      </c>
      <c r="G20" s="7" t="s">
        <v>3004</v>
      </c>
      <c r="H20" s="14" t="n">
        <v>0.4355</v>
      </c>
      <c r="I20" s="7"/>
    </row>
    <row r="21" customFormat="false" ht="15" hidden="false" customHeight="false" outlineLevel="0" collapsed="false">
      <c r="A21" s="7" t="n">
        <v>19</v>
      </c>
      <c r="B21" s="7" t="s">
        <v>2730</v>
      </c>
      <c r="C21" s="13" t="s">
        <v>2731</v>
      </c>
      <c r="D21" s="7" t="s">
        <v>1706</v>
      </c>
      <c r="E21" s="8" t="s">
        <v>2977</v>
      </c>
      <c r="F21" s="7" t="s">
        <v>3005</v>
      </c>
      <c r="G21" s="7" t="s">
        <v>3006</v>
      </c>
      <c r="H21" s="14" t="n">
        <v>0.4769</v>
      </c>
      <c r="I21" s="7" t="s">
        <v>2973</v>
      </c>
    </row>
    <row r="22" customFormat="false" ht="15" hidden="false" customHeight="false" outlineLevel="0" collapsed="false">
      <c r="A22" s="7" t="n">
        <v>20</v>
      </c>
      <c r="B22" s="7" t="s">
        <v>2336</v>
      </c>
      <c r="C22" s="13" t="s">
        <v>1820</v>
      </c>
      <c r="D22" s="7" t="s">
        <v>1706</v>
      </c>
      <c r="E22" s="7" t="s">
        <v>2974</v>
      </c>
      <c r="F22" s="7" t="s">
        <v>3007</v>
      </c>
      <c r="G22" s="7" t="s">
        <v>3008</v>
      </c>
      <c r="H22" s="14" t="n">
        <v>0.5</v>
      </c>
      <c r="I22" s="7"/>
    </row>
    <row r="23" customFormat="false" ht="15" hidden="false" customHeight="false" outlineLevel="0" collapsed="false">
      <c r="A23" s="7" t="n">
        <v>21</v>
      </c>
      <c r="B23" s="7" t="s">
        <v>1888</v>
      </c>
      <c r="C23" s="13" t="s">
        <v>1820</v>
      </c>
      <c r="D23" s="7" t="s">
        <v>1706</v>
      </c>
      <c r="E23" s="8" t="s">
        <v>2977</v>
      </c>
      <c r="F23" s="7" t="s">
        <v>3009</v>
      </c>
      <c r="G23" s="7" t="s">
        <v>3010</v>
      </c>
      <c r="H23" s="14" t="n">
        <v>0</v>
      </c>
      <c r="I23" s="7" t="s">
        <v>2973</v>
      </c>
    </row>
    <row r="24" customFormat="false" ht="15" hidden="false" customHeight="false" outlineLevel="0" collapsed="false">
      <c r="A24" s="7" t="n">
        <v>22</v>
      </c>
      <c r="B24" s="7" t="s">
        <v>1863</v>
      </c>
      <c r="C24" s="13" t="s">
        <v>1816</v>
      </c>
      <c r="D24" s="7" t="s">
        <v>1706</v>
      </c>
      <c r="E24" s="8" t="s">
        <v>2977</v>
      </c>
      <c r="F24" s="7" t="s">
        <v>3011</v>
      </c>
      <c r="G24" s="7" t="s">
        <v>3012</v>
      </c>
      <c r="H24" s="14" t="n">
        <v>0</v>
      </c>
      <c r="I24" s="7" t="s">
        <v>2973</v>
      </c>
    </row>
    <row r="25" customFormat="false" ht="15" hidden="false" customHeight="false" outlineLevel="0" collapsed="false">
      <c r="A25" s="7" t="n">
        <v>23</v>
      </c>
      <c r="B25" s="7" t="s">
        <v>2869</v>
      </c>
      <c r="C25" s="13" t="s">
        <v>2731</v>
      </c>
      <c r="D25" s="7" t="s">
        <v>1706</v>
      </c>
      <c r="E25" s="8" t="s">
        <v>2977</v>
      </c>
      <c r="F25" s="7" t="s">
        <v>3013</v>
      </c>
      <c r="G25" s="7" t="s">
        <v>3006</v>
      </c>
      <c r="H25" s="14" t="n">
        <v>0.4667</v>
      </c>
      <c r="I25" s="7" t="s">
        <v>2973</v>
      </c>
    </row>
    <row r="26" customFormat="false" ht="15" hidden="false" customHeight="false" outlineLevel="0" collapsed="false">
      <c r="A26" s="7" t="n">
        <v>24</v>
      </c>
      <c r="B26" s="7" t="s">
        <v>1861</v>
      </c>
      <c r="C26" s="13" t="s">
        <v>1823</v>
      </c>
      <c r="D26" s="7" t="s">
        <v>1706</v>
      </c>
      <c r="E26" s="7" t="s">
        <v>2974</v>
      </c>
      <c r="F26" s="7" t="s">
        <v>3014</v>
      </c>
      <c r="G26" s="7" t="s">
        <v>3015</v>
      </c>
      <c r="H26" s="14" t="n">
        <v>0.125</v>
      </c>
      <c r="I26" s="7"/>
    </row>
    <row r="27" customFormat="false" ht="15" hidden="false" customHeight="false" outlineLevel="0" collapsed="false">
      <c r="A27" s="7" t="n">
        <v>25</v>
      </c>
      <c r="B27" s="7" t="s">
        <v>1867</v>
      </c>
      <c r="C27" s="13" t="s">
        <v>1816</v>
      </c>
      <c r="D27" s="7" t="s">
        <v>2992</v>
      </c>
      <c r="E27" s="7" t="s">
        <v>2974</v>
      </c>
      <c r="F27" s="7" t="s">
        <v>3016</v>
      </c>
      <c r="G27" s="7" t="s">
        <v>3017</v>
      </c>
      <c r="H27" s="14" t="n">
        <v>0.529</v>
      </c>
      <c r="I27" s="7"/>
    </row>
    <row r="28" customFormat="false" ht="15" hidden="false" customHeight="false" outlineLevel="0" collapsed="false">
      <c r="A28" s="7" t="n">
        <v>26</v>
      </c>
      <c r="B28" s="7" t="s">
        <v>2590</v>
      </c>
      <c r="C28" s="13" t="s">
        <v>1823</v>
      </c>
      <c r="D28" s="7" t="s">
        <v>1704</v>
      </c>
      <c r="E28" s="7" t="s">
        <v>2974</v>
      </c>
      <c r="F28" s="7" t="s">
        <v>3018</v>
      </c>
      <c r="G28" s="7" t="s">
        <v>3019</v>
      </c>
      <c r="H28" s="14" t="n">
        <v>0.429</v>
      </c>
      <c r="I28" s="7"/>
    </row>
    <row r="29" customFormat="false" ht="15" hidden="false" customHeight="false" outlineLevel="0" collapsed="false">
      <c r="A29" s="7" t="n">
        <v>27</v>
      </c>
      <c r="B29" s="7" t="s">
        <v>1744</v>
      </c>
      <c r="C29" s="13" t="s">
        <v>1745</v>
      </c>
      <c r="D29" s="7" t="s">
        <v>2992</v>
      </c>
      <c r="E29" s="7" t="s">
        <v>2974</v>
      </c>
      <c r="F29" s="7" t="s">
        <v>3020</v>
      </c>
      <c r="G29" s="7" t="s">
        <v>3021</v>
      </c>
      <c r="H29" s="14" t="n">
        <v>0.262</v>
      </c>
      <c r="I29" s="7"/>
    </row>
    <row r="30" customFormat="false" ht="15" hidden="false" customHeight="false" outlineLevel="0" collapsed="false">
      <c r="A30" s="7" t="n">
        <v>28</v>
      </c>
      <c r="B30" s="7" t="s">
        <v>1747</v>
      </c>
      <c r="C30" s="13" t="s">
        <v>1745</v>
      </c>
      <c r="D30" s="7" t="s">
        <v>2992</v>
      </c>
      <c r="E30" s="8" t="s">
        <v>2977</v>
      </c>
      <c r="F30" s="7" t="s">
        <v>3022</v>
      </c>
      <c r="G30" s="7" t="s">
        <v>3023</v>
      </c>
      <c r="H30" s="14" t="n">
        <v>0.232</v>
      </c>
      <c r="I30" s="7" t="s">
        <v>2973</v>
      </c>
    </row>
    <row r="31" customFormat="false" ht="15" hidden="false" customHeight="false" outlineLevel="0" collapsed="false">
      <c r="A31" s="7" t="n">
        <v>29</v>
      </c>
      <c r="B31" s="7" t="s">
        <v>1749</v>
      </c>
      <c r="C31" s="13" t="s">
        <v>1745</v>
      </c>
      <c r="D31" s="7" t="s">
        <v>2992</v>
      </c>
      <c r="E31" s="8" t="s">
        <v>2977</v>
      </c>
      <c r="F31" s="7" t="s">
        <v>3024</v>
      </c>
      <c r="G31" s="7" t="s">
        <v>3025</v>
      </c>
      <c r="H31" s="14" t="n">
        <v>0.333</v>
      </c>
      <c r="I31" s="7"/>
    </row>
    <row r="32" customFormat="false" ht="15" hidden="false" customHeight="false" outlineLevel="0" collapsed="false">
      <c r="A32" s="7" t="n">
        <v>30</v>
      </c>
      <c r="B32" s="7" t="s">
        <v>1757</v>
      </c>
      <c r="C32" s="13" t="s">
        <v>1745</v>
      </c>
      <c r="D32" s="7" t="s">
        <v>1704</v>
      </c>
      <c r="E32" s="8" t="s">
        <v>2977</v>
      </c>
      <c r="F32" s="7" t="s">
        <v>3024</v>
      </c>
      <c r="G32" s="7" t="s">
        <v>3026</v>
      </c>
      <c r="H32" s="14" t="n">
        <v>0</v>
      </c>
      <c r="I32" s="7"/>
    </row>
    <row r="33" customFormat="false" ht="15" hidden="false" customHeight="false" outlineLevel="0" collapsed="false">
      <c r="A33" s="7" t="n">
        <v>31</v>
      </c>
      <c r="B33" s="7" t="s">
        <v>1752</v>
      </c>
      <c r="C33" s="13" t="s">
        <v>1745</v>
      </c>
      <c r="D33" s="7" t="s">
        <v>1704</v>
      </c>
      <c r="E33" s="7" t="s">
        <v>2974</v>
      </c>
      <c r="F33" s="7" t="s">
        <v>3024</v>
      </c>
      <c r="G33" s="7" t="s">
        <v>3027</v>
      </c>
      <c r="H33" s="14" t="n">
        <v>0.111</v>
      </c>
      <c r="I33" s="7"/>
    </row>
    <row r="34" customFormat="false" ht="15" hidden="false" customHeight="false" outlineLevel="0" collapsed="false">
      <c r="A34" s="7" t="n">
        <v>32</v>
      </c>
      <c r="B34" s="7" t="s">
        <v>1761</v>
      </c>
      <c r="C34" s="13" t="s">
        <v>1745</v>
      </c>
      <c r="D34" s="7" t="s">
        <v>1704</v>
      </c>
      <c r="E34" s="15" t="s">
        <v>3028</v>
      </c>
      <c r="F34" s="7" t="s">
        <v>3029</v>
      </c>
      <c r="G34" s="7" t="s">
        <v>3030</v>
      </c>
      <c r="H34" s="14" t="n">
        <v>0.083</v>
      </c>
      <c r="I34" s="7"/>
    </row>
    <row r="35" customFormat="false" ht="15" hidden="false" customHeight="false" outlineLevel="0" collapsed="false">
      <c r="A35" s="7" t="n">
        <v>33</v>
      </c>
      <c r="B35" s="7" t="s">
        <v>2668</v>
      </c>
      <c r="C35" s="13" t="s">
        <v>1823</v>
      </c>
      <c r="D35" s="7" t="s">
        <v>1706</v>
      </c>
      <c r="E35" s="7" t="s">
        <v>3031</v>
      </c>
      <c r="F35" s="7" t="s">
        <v>3032</v>
      </c>
      <c r="G35" s="7" t="s">
        <v>3033</v>
      </c>
      <c r="H35" s="14" t="n">
        <v>0.167</v>
      </c>
      <c r="I35" s="7" t="s">
        <v>2973</v>
      </c>
    </row>
    <row r="36" customFormat="false" ht="15" hidden="false" customHeight="false" outlineLevel="0" collapsed="false">
      <c r="A36" s="7" t="n">
        <v>34</v>
      </c>
      <c r="B36" s="7" t="s">
        <v>3034</v>
      </c>
      <c r="C36" s="13" t="s">
        <v>1820</v>
      </c>
      <c r="D36" s="7" t="s">
        <v>1706</v>
      </c>
      <c r="E36" s="7" t="s">
        <v>2974</v>
      </c>
      <c r="F36" s="7" t="s">
        <v>3035</v>
      </c>
      <c r="G36" s="7" t="s">
        <v>3036</v>
      </c>
      <c r="H36" s="14" t="n">
        <v>0</v>
      </c>
      <c r="I3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6" min="3" style="0" width="10"/>
  </cols>
  <sheetData>
    <row r="1" customFormat="false" ht="16.4" hidden="false" customHeight="false" outlineLevel="0" collapsed="false">
      <c r="A1" s="11" t="s">
        <v>3037</v>
      </c>
    </row>
    <row r="2" customFormat="false" ht="32.8" hidden="false" customHeight="false" outlineLevel="0" collapsed="false">
      <c r="A2" s="5" t="s">
        <v>3038</v>
      </c>
      <c r="B2" s="5" t="s">
        <v>1699</v>
      </c>
      <c r="C2" s="16" t="s">
        <v>1815</v>
      </c>
      <c r="D2" s="16" t="s">
        <v>1863</v>
      </c>
      <c r="E2" s="16" t="s">
        <v>1929</v>
      </c>
      <c r="F2" s="16" t="s">
        <v>1883</v>
      </c>
      <c r="G2" s="16" t="s">
        <v>1854</v>
      </c>
      <c r="H2" s="16" t="s">
        <v>1875</v>
      </c>
      <c r="I2" s="16" t="s">
        <v>1867</v>
      </c>
      <c r="J2" s="16" t="s">
        <v>1836</v>
      </c>
      <c r="K2" s="16" t="s">
        <v>1838</v>
      </c>
      <c r="L2" s="16" t="s">
        <v>1861</v>
      </c>
      <c r="M2" s="16" t="s">
        <v>2563</v>
      </c>
      <c r="N2" s="16" t="s">
        <v>2668</v>
      </c>
      <c r="O2" s="16" t="s">
        <v>2590</v>
      </c>
      <c r="P2" s="16" t="s">
        <v>1822</v>
      </c>
      <c r="Q2" s="16" t="s">
        <v>2802</v>
      </c>
      <c r="R2" s="16" t="s">
        <v>2730</v>
      </c>
      <c r="S2" s="16" t="s">
        <v>2800</v>
      </c>
      <c r="T2" s="16" t="s">
        <v>2886</v>
      </c>
      <c r="U2" s="16" t="s">
        <v>2748</v>
      </c>
      <c r="V2" s="16" t="s">
        <v>2738</v>
      </c>
      <c r="W2" s="16" t="s">
        <v>2869</v>
      </c>
      <c r="X2" s="16" t="s">
        <v>2750</v>
      </c>
      <c r="Y2" s="16" t="s">
        <v>1819</v>
      </c>
      <c r="Z2" s="16" t="s">
        <v>1888</v>
      </c>
      <c r="AA2" s="16" t="s">
        <v>1976</v>
      </c>
      <c r="AB2" s="16" t="s">
        <v>3034</v>
      </c>
      <c r="AC2" s="16" t="s">
        <v>2336</v>
      </c>
      <c r="AD2" s="16" t="s">
        <v>1827</v>
      </c>
      <c r="AE2" s="16" t="s">
        <v>1744</v>
      </c>
      <c r="AF2" s="16" t="s">
        <v>1749</v>
      </c>
      <c r="AG2" s="16" t="s">
        <v>1757</v>
      </c>
      <c r="AH2" s="16" t="s">
        <v>1752</v>
      </c>
      <c r="AI2" s="16" t="s">
        <v>1761</v>
      </c>
      <c r="AJ2" s="16" t="s">
        <v>1747</v>
      </c>
    </row>
    <row r="3" customFormat="false" ht="15" hidden="false" customHeight="false" outlineLevel="0" collapsed="false">
      <c r="A3" s="7" t="s">
        <v>1703</v>
      </c>
      <c r="B3" s="9" t="s">
        <v>1704</v>
      </c>
      <c r="C3" s="8" t="n">
        <v>-68</v>
      </c>
      <c r="J3" s="8" t="n">
        <v>-45</v>
      </c>
      <c r="K3" s="8" t="n">
        <v>-42</v>
      </c>
      <c r="P3" s="8" t="n">
        <v>-55</v>
      </c>
      <c r="AD3" s="8" t="n">
        <v>-72</v>
      </c>
    </row>
    <row r="4" customFormat="false" ht="15" hidden="false" customHeight="false" outlineLevel="0" collapsed="false">
      <c r="A4" s="7" t="s">
        <v>1705</v>
      </c>
      <c r="B4" s="8" t="s">
        <v>1706</v>
      </c>
      <c r="G4" s="7" t="n">
        <v>1</v>
      </c>
    </row>
    <row r="5" customFormat="false" ht="15" hidden="false" customHeight="false" outlineLevel="0" collapsed="false">
      <c r="A5" s="7" t="s">
        <v>1707</v>
      </c>
      <c r="B5" s="9" t="s">
        <v>1704</v>
      </c>
      <c r="C5" s="8" t="n">
        <v>-71</v>
      </c>
      <c r="G5" s="8" t="n">
        <v>-10</v>
      </c>
      <c r="J5" s="8" t="n">
        <v>-80</v>
      </c>
      <c r="K5" s="8" t="n">
        <v>-77</v>
      </c>
      <c r="P5" s="8" t="n">
        <v>-90</v>
      </c>
      <c r="AD5" s="8" t="n">
        <v>-85</v>
      </c>
    </row>
    <row r="6" customFormat="false" ht="15" hidden="false" customHeight="false" outlineLevel="0" collapsed="false">
      <c r="A6" s="7" t="s">
        <v>1708</v>
      </c>
      <c r="B6" s="8" t="s">
        <v>1706</v>
      </c>
      <c r="D6" s="7" t="n">
        <v>0</v>
      </c>
      <c r="G6" s="8" t="n">
        <v>-25</v>
      </c>
      <c r="L6" s="8" t="n">
        <v>-6</v>
      </c>
    </row>
    <row r="7" customFormat="false" ht="15" hidden="false" customHeight="false" outlineLevel="0" collapsed="false">
      <c r="A7" s="7" t="s">
        <v>1709</v>
      </c>
      <c r="B7" s="9" t="s">
        <v>1704</v>
      </c>
      <c r="G7" s="8" t="n">
        <v>-63</v>
      </c>
      <c r="I7" s="8" t="n">
        <v>-25</v>
      </c>
      <c r="J7" s="8" t="n">
        <v>-86</v>
      </c>
      <c r="K7" s="8" t="n">
        <v>-83</v>
      </c>
    </row>
    <row r="8" customFormat="false" ht="15" hidden="false" customHeight="false" outlineLevel="0" collapsed="false">
      <c r="A8" s="7" t="s">
        <v>1710</v>
      </c>
      <c r="B8" s="8" t="s">
        <v>1706</v>
      </c>
      <c r="D8" s="8" t="n">
        <v>-13</v>
      </c>
      <c r="G8" s="8" t="n">
        <v>-69</v>
      </c>
    </row>
    <row r="9" customFormat="false" ht="15" hidden="false" customHeight="false" outlineLevel="0" collapsed="false">
      <c r="A9" s="7" t="s">
        <v>1711</v>
      </c>
      <c r="B9" s="9" t="s">
        <v>1704</v>
      </c>
      <c r="G9" s="8" t="n">
        <v>-65</v>
      </c>
      <c r="H9" s="8" t="n">
        <v>-42</v>
      </c>
    </row>
    <row r="10" customFormat="false" ht="15" hidden="false" customHeight="false" outlineLevel="0" collapsed="false">
      <c r="A10" s="7" t="s">
        <v>1712</v>
      </c>
      <c r="B10" s="8" t="s">
        <v>1706</v>
      </c>
      <c r="D10" s="8" t="n">
        <v>-34</v>
      </c>
      <c r="F10" s="7" t="n">
        <v>-1</v>
      </c>
      <c r="G10" s="8" t="n">
        <v>-90</v>
      </c>
    </row>
    <row r="11" customFormat="false" ht="15" hidden="false" customHeight="false" outlineLevel="0" collapsed="false">
      <c r="A11" s="7" t="s">
        <v>1713</v>
      </c>
      <c r="B11" s="9" t="s">
        <v>1704</v>
      </c>
      <c r="H11" s="8" t="n">
        <v>-71</v>
      </c>
    </row>
    <row r="12" customFormat="false" ht="15" hidden="false" customHeight="false" outlineLevel="0" collapsed="false">
      <c r="A12" s="7" t="s">
        <v>1714</v>
      </c>
      <c r="B12" s="8" t="s">
        <v>1706</v>
      </c>
      <c r="D12" s="8" t="n">
        <v>-90</v>
      </c>
      <c r="F12" s="8" t="n">
        <v>-65</v>
      </c>
      <c r="L12" s="8" t="n">
        <v>-49</v>
      </c>
      <c r="Z12" s="8" t="n">
        <v>-30</v>
      </c>
    </row>
    <row r="13" customFormat="false" ht="15" hidden="false" customHeight="false" outlineLevel="0" collapsed="false">
      <c r="A13" s="7" t="s">
        <v>1715</v>
      </c>
      <c r="B13" s="9" t="s">
        <v>1704</v>
      </c>
    </row>
    <row r="14" customFormat="false" ht="15" hidden="false" customHeight="false" outlineLevel="0" collapsed="false">
      <c r="A14" s="7" t="s">
        <v>1716</v>
      </c>
      <c r="B14" s="8" t="s">
        <v>1706</v>
      </c>
      <c r="Z14" s="8" t="n">
        <v>-25</v>
      </c>
    </row>
    <row r="15" customFormat="false" ht="15" hidden="false" customHeight="false" outlineLevel="0" collapsed="false">
      <c r="A15" s="7" t="s">
        <v>1717</v>
      </c>
      <c r="B15" s="9" t="s">
        <v>1704</v>
      </c>
      <c r="C15" s="8" t="n">
        <v>-21</v>
      </c>
      <c r="G15" s="8" t="n">
        <v>-9</v>
      </c>
      <c r="Y15" s="8" t="n">
        <v>-21</v>
      </c>
    </row>
    <row r="16" customFormat="false" ht="15" hidden="false" customHeight="false" outlineLevel="0" collapsed="false">
      <c r="A16" s="7" t="s">
        <v>1718</v>
      </c>
      <c r="B16" s="8" t="s">
        <v>1706</v>
      </c>
      <c r="D16" s="8" t="n">
        <v>-71</v>
      </c>
      <c r="F16" s="7" t="n">
        <v>-3</v>
      </c>
      <c r="Z16" s="8" t="n">
        <v>-44</v>
      </c>
    </row>
    <row r="17" customFormat="false" ht="15" hidden="false" customHeight="false" outlineLevel="0" collapsed="false">
      <c r="A17" s="7" t="s">
        <v>1719</v>
      </c>
      <c r="B17" s="9" t="s">
        <v>1704</v>
      </c>
    </row>
    <row r="18" customFormat="false" ht="15" hidden="false" customHeight="false" outlineLevel="0" collapsed="false">
      <c r="A18" s="7" t="s">
        <v>1720</v>
      </c>
      <c r="B18" s="8" t="s">
        <v>1706</v>
      </c>
      <c r="D18" s="8" t="n">
        <v>-90</v>
      </c>
      <c r="E18" s="8" t="n">
        <v>-18</v>
      </c>
      <c r="F18" s="8" t="n">
        <v>-49</v>
      </c>
      <c r="Z18" s="8" t="n">
        <v>-90</v>
      </c>
    </row>
    <row r="19" customFormat="false" ht="15" hidden="false" customHeight="false" outlineLevel="0" collapsed="false">
      <c r="A19" s="7" t="s">
        <v>1721</v>
      </c>
      <c r="B19" s="9" t="s">
        <v>1704</v>
      </c>
      <c r="C19" s="8" t="n">
        <v>-88</v>
      </c>
      <c r="E19" s="8" t="n">
        <v>-42</v>
      </c>
      <c r="F19" s="8" t="n">
        <v>-83</v>
      </c>
      <c r="J19" s="8" t="n">
        <v>-82</v>
      </c>
      <c r="K19" s="8" t="n">
        <v>-81</v>
      </c>
      <c r="P19" s="8" t="n">
        <v>-79</v>
      </c>
      <c r="Y19" s="8" t="n">
        <v>-88</v>
      </c>
      <c r="AA19" s="8" t="n">
        <v>-45</v>
      </c>
      <c r="AD19" s="8" t="n">
        <v>-18</v>
      </c>
    </row>
    <row r="20" customFormat="false" ht="15" hidden="false" customHeight="false" outlineLevel="0" collapsed="false">
      <c r="A20" s="7" t="s">
        <v>1722</v>
      </c>
      <c r="B20" s="8" t="s">
        <v>1706</v>
      </c>
      <c r="F20" s="7" t="n">
        <v>5</v>
      </c>
      <c r="G20" s="8" t="n">
        <v>-70</v>
      </c>
      <c r="Z20" s="8" t="n">
        <v>-16</v>
      </c>
    </row>
    <row r="21" customFormat="false" ht="15" hidden="false" customHeight="false" outlineLevel="0" collapsed="false">
      <c r="A21" s="7" t="s">
        <v>1723</v>
      </c>
      <c r="B21" s="9" t="s">
        <v>1704</v>
      </c>
      <c r="C21" s="7" t="n">
        <v>-2</v>
      </c>
      <c r="E21" s="8" t="n">
        <v>-67</v>
      </c>
      <c r="F21" s="8" t="n">
        <v>-89</v>
      </c>
      <c r="G21" s="8" t="n">
        <v>-54</v>
      </c>
      <c r="J21" s="8" t="n">
        <v>-65</v>
      </c>
      <c r="K21" s="8" t="n">
        <v>-59</v>
      </c>
      <c r="Y21" s="8" t="n">
        <v>-85</v>
      </c>
      <c r="AA21" s="8" t="n">
        <v>-80</v>
      </c>
      <c r="AD21" s="8" t="n">
        <v>-84</v>
      </c>
      <c r="AE21" s="8" t="n">
        <v>-7</v>
      </c>
      <c r="AG21" s="8" t="n">
        <v>-15</v>
      </c>
      <c r="AJ21" s="8" t="n">
        <v>-15</v>
      </c>
    </row>
    <row r="22" customFormat="false" ht="15" hidden="false" customHeight="false" outlineLevel="0" collapsed="false">
      <c r="A22" s="7" t="s">
        <v>1724</v>
      </c>
      <c r="B22" s="8" t="s">
        <v>1706</v>
      </c>
      <c r="D22" s="8" t="n">
        <v>-22</v>
      </c>
      <c r="F22" s="8" t="n">
        <v>-27</v>
      </c>
      <c r="G22" s="8" t="n">
        <v>-72</v>
      </c>
      <c r="Z22" s="8" t="n">
        <v>-42</v>
      </c>
    </row>
    <row r="23" customFormat="false" ht="15" hidden="false" customHeight="false" outlineLevel="0" collapsed="false">
      <c r="A23" s="7" t="s">
        <v>1725</v>
      </c>
      <c r="B23" s="9" t="s">
        <v>1704</v>
      </c>
      <c r="C23" s="7" t="n">
        <v>0</v>
      </c>
      <c r="G23" s="8" t="n">
        <v>-12</v>
      </c>
      <c r="H23" s="8" t="n">
        <v>-89</v>
      </c>
      <c r="Y23" s="8" t="n">
        <v>-17</v>
      </c>
      <c r="AD23" s="8" t="n">
        <v>-17</v>
      </c>
    </row>
    <row r="24" customFormat="false" ht="15" hidden="false" customHeight="false" outlineLevel="0" collapsed="false">
      <c r="A24" s="7" t="s">
        <v>1726</v>
      </c>
      <c r="B24" s="8" t="s">
        <v>1706</v>
      </c>
      <c r="D24" s="8" t="n">
        <v>-17</v>
      </c>
      <c r="E24" s="8" t="n">
        <v>-55</v>
      </c>
      <c r="F24" s="8" t="n">
        <v>-70</v>
      </c>
      <c r="G24" s="8" t="n">
        <v>-54</v>
      </c>
      <c r="Z24" s="8" t="n">
        <v>-20</v>
      </c>
    </row>
    <row r="25" customFormat="false" ht="15" hidden="false" customHeight="false" outlineLevel="0" collapsed="false">
      <c r="A25" s="7" t="s">
        <v>1727</v>
      </c>
      <c r="B25" s="9" t="s">
        <v>1704</v>
      </c>
      <c r="G25" s="8" t="n">
        <v>-59</v>
      </c>
    </row>
    <row r="26" customFormat="false" ht="15" hidden="false" customHeight="false" outlineLevel="0" collapsed="false">
      <c r="A26" s="7" t="s">
        <v>1728</v>
      </c>
      <c r="B26" s="8" t="s">
        <v>1706</v>
      </c>
      <c r="D26" s="8" t="n">
        <v>-35</v>
      </c>
      <c r="E26" s="8" t="n">
        <v>-73</v>
      </c>
      <c r="F26" s="8" t="n">
        <v>-88</v>
      </c>
      <c r="G26" s="8" t="n">
        <v>-72</v>
      </c>
      <c r="L26" s="8" t="n">
        <v>-6</v>
      </c>
      <c r="Z26" s="8" t="n">
        <v>-38</v>
      </c>
    </row>
    <row r="27" customFormat="false" ht="15" hidden="false" customHeight="false" outlineLevel="0" collapsed="false">
      <c r="A27" s="7" t="s">
        <v>1729</v>
      </c>
      <c r="B27" s="9" t="s">
        <v>1704</v>
      </c>
    </row>
    <row r="28" customFormat="false" ht="15" hidden="false" customHeight="false" outlineLevel="0" collapsed="false">
      <c r="A28" s="7" t="s">
        <v>1730</v>
      </c>
      <c r="B28" s="8" t="s">
        <v>1706</v>
      </c>
      <c r="D28" s="8" t="n">
        <v>-90</v>
      </c>
      <c r="L28" s="8" t="n">
        <v>-78</v>
      </c>
      <c r="Z28" s="8" t="n">
        <v>-78</v>
      </c>
    </row>
    <row r="29" customFormat="false" ht="15" hidden="false" customHeight="false" outlineLevel="0" collapsed="false">
      <c r="A29" s="7" t="s">
        <v>1731</v>
      </c>
      <c r="B29" s="9" t="s">
        <v>1704</v>
      </c>
      <c r="C29" s="8" t="n">
        <v>-89</v>
      </c>
      <c r="E29" s="8" t="n">
        <v>-63</v>
      </c>
      <c r="F29" s="8" t="n">
        <v>-67</v>
      </c>
      <c r="J29" s="8" t="n">
        <v>-59</v>
      </c>
      <c r="K29" s="8" t="n">
        <v>-67</v>
      </c>
      <c r="Y29" s="8" t="n">
        <v>-66</v>
      </c>
      <c r="AA29" s="8" t="n">
        <v>-88</v>
      </c>
      <c r="AD29" s="8" t="n">
        <v>-83</v>
      </c>
    </row>
    <row r="30" customFormat="false" ht="15" hidden="false" customHeight="false" outlineLevel="0" collapsed="false">
      <c r="A30" s="7" t="s">
        <v>1732</v>
      </c>
      <c r="B30" s="8" t="s">
        <v>1706</v>
      </c>
      <c r="D30" s="8" t="n">
        <v>-19</v>
      </c>
      <c r="G30" s="8" t="n">
        <v>-29</v>
      </c>
      <c r="Z30" s="7" t="n">
        <v>-3</v>
      </c>
      <c r="AC30" s="8" t="n">
        <v>-37</v>
      </c>
    </row>
    <row r="31" customFormat="false" ht="15" hidden="false" customHeight="false" outlineLevel="0" collapsed="false">
      <c r="A31" s="7" t="s">
        <v>1733</v>
      </c>
      <c r="B31" s="9" t="s">
        <v>1704</v>
      </c>
      <c r="C31" s="8" t="n">
        <v>-58</v>
      </c>
      <c r="E31" s="8" t="n">
        <v>-34</v>
      </c>
      <c r="F31" s="8" t="n">
        <v>-67</v>
      </c>
      <c r="J31" s="8" t="n">
        <v>-31</v>
      </c>
      <c r="K31" s="8" t="n">
        <v>-81</v>
      </c>
      <c r="AA31" s="8" t="n">
        <v>-47</v>
      </c>
      <c r="AD31" s="8" t="n">
        <v>-88</v>
      </c>
      <c r="AI31" s="8" t="n">
        <v>-6</v>
      </c>
      <c r="AJ31" s="8" t="n">
        <v>-10</v>
      </c>
    </row>
    <row r="32" customFormat="false" ht="15" hidden="false" customHeight="false" outlineLevel="0" collapsed="false">
      <c r="A32" s="7" t="s">
        <v>1734</v>
      </c>
      <c r="B32" s="8" t="s">
        <v>1706</v>
      </c>
      <c r="D32" s="8" t="n">
        <v>-30</v>
      </c>
      <c r="F32" s="7" t="n">
        <v>5</v>
      </c>
      <c r="G32" s="8" t="n">
        <v>-72</v>
      </c>
      <c r="Z32" s="8" t="n">
        <v>-74</v>
      </c>
      <c r="AC32" s="8" t="n">
        <v>-34</v>
      </c>
    </row>
    <row r="33" customFormat="false" ht="15" hidden="false" customHeight="false" outlineLevel="0" collapsed="false">
      <c r="A33" s="7" t="s">
        <v>1735</v>
      </c>
      <c r="B33" s="9" t="s">
        <v>1704</v>
      </c>
      <c r="C33" s="8" t="n">
        <v>-83</v>
      </c>
      <c r="E33" s="8" t="n">
        <v>-74</v>
      </c>
      <c r="F33" s="8" t="n">
        <v>-78</v>
      </c>
      <c r="K33" s="8" t="n">
        <v>-85</v>
      </c>
      <c r="M33" s="8" t="n">
        <v>-11</v>
      </c>
      <c r="Y33" s="8" t="n">
        <v>-61</v>
      </c>
      <c r="AA33" s="8" t="n">
        <v>-80</v>
      </c>
    </row>
    <row r="34" customFormat="false" ht="15" hidden="false" customHeight="false" outlineLevel="0" collapsed="false">
      <c r="A34" s="7" t="s">
        <v>1736</v>
      </c>
      <c r="B34" s="8" t="s">
        <v>1706</v>
      </c>
      <c r="D34" s="8" t="n">
        <v>-18</v>
      </c>
      <c r="E34" s="8" t="n">
        <v>-70</v>
      </c>
      <c r="F34" s="8" t="n">
        <v>-34</v>
      </c>
      <c r="G34" s="8" t="n">
        <v>-75</v>
      </c>
      <c r="I34" s="8" t="n">
        <v>-46</v>
      </c>
      <c r="Z34" s="7" t="n">
        <v>-4</v>
      </c>
    </row>
    <row r="35" customFormat="false" ht="15" hidden="false" customHeight="false" outlineLevel="0" collapsed="false">
      <c r="A35" s="7" t="s">
        <v>1737</v>
      </c>
      <c r="B35" s="9" t="s">
        <v>1704</v>
      </c>
      <c r="C35" s="8" t="n">
        <v>-49</v>
      </c>
      <c r="F35" s="8" t="n">
        <v>-70</v>
      </c>
      <c r="K35" s="8" t="n">
        <v>-80</v>
      </c>
      <c r="M35" s="8" t="n">
        <v>-41</v>
      </c>
      <c r="S35" s="8" t="n">
        <v>-61</v>
      </c>
      <c r="U35" s="8" t="n">
        <v>-80</v>
      </c>
      <c r="V35" s="8" t="n">
        <v>-89</v>
      </c>
    </row>
    <row r="36" customFormat="false" ht="15" hidden="false" customHeight="false" outlineLevel="0" collapsed="false">
      <c r="A36" s="7" t="s">
        <v>1738</v>
      </c>
      <c r="B36" s="8" t="s">
        <v>1706</v>
      </c>
      <c r="D36" s="8" t="n">
        <v>-41</v>
      </c>
      <c r="F36" s="8" t="n">
        <v>-33</v>
      </c>
      <c r="G36" s="8" t="n">
        <v>-49</v>
      </c>
      <c r="N36" s="7" t="n">
        <v>1</v>
      </c>
      <c r="W36" s="8" t="n">
        <v>-35</v>
      </c>
    </row>
    <row r="37" customFormat="false" ht="15" hidden="false" customHeight="false" outlineLevel="0" collapsed="false">
      <c r="A37" s="7" t="s">
        <v>74</v>
      </c>
      <c r="B37" s="9" t="s">
        <v>1704</v>
      </c>
      <c r="C37" s="8" t="n">
        <v>-78</v>
      </c>
      <c r="F37" s="8" t="n">
        <v>-50</v>
      </c>
      <c r="J37" s="7" t="n">
        <v>3</v>
      </c>
      <c r="K37" s="8" t="n">
        <v>-90</v>
      </c>
      <c r="M37" s="8" t="n">
        <v>-47</v>
      </c>
      <c r="O37" s="8" t="n">
        <v>-16</v>
      </c>
      <c r="S37" s="8" t="n">
        <v>-78</v>
      </c>
      <c r="U37" s="8" t="n">
        <v>-90</v>
      </c>
      <c r="V37" s="7" t="n">
        <v>3</v>
      </c>
      <c r="X37" s="8" t="n">
        <v>-16</v>
      </c>
    </row>
    <row r="38" customFormat="false" ht="15" hidden="false" customHeight="false" outlineLevel="0" collapsed="false">
      <c r="A38" s="7" t="s">
        <v>98</v>
      </c>
      <c r="B38" s="8" t="s">
        <v>1706</v>
      </c>
      <c r="F38" s="7" t="n">
        <v>5</v>
      </c>
      <c r="G38" s="8" t="n">
        <v>-8</v>
      </c>
      <c r="N38" s="8" t="n">
        <v>-14</v>
      </c>
      <c r="R38" s="7" t="n">
        <v>4</v>
      </c>
      <c r="W38" s="8" t="n">
        <v>-8</v>
      </c>
      <c r="AE38" s="8" t="n">
        <v>-9</v>
      </c>
      <c r="AF38" s="8" t="n">
        <v>-7</v>
      </c>
      <c r="AJ38" s="7" t="n">
        <v>2</v>
      </c>
    </row>
    <row r="39" customFormat="false" ht="15" hidden="false" customHeight="false" outlineLevel="0" collapsed="false">
      <c r="A39" s="7" t="s">
        <v>520</v>
      </c>
      <c r="B39" s="9" t="s">
        <v>1704</v>
      </c>
      <c r="C39" s="8" t="n">
        <v>-85</v>
      </c>
      <c r="E39" s="8" t="n">
        <v>-40</v>
      </c>
      <c r="F39" s="8" t="n">
        <v>-88</v>
      </c>
      <c r="J39" s="8" t="n">
        <v>-36</v>
      </c>
      <c r="K39" s="8" t="n">
        <v>-44</v>
      </c>
      <c r="M39" s="8" t="n">
        <v>-80</v>
      </c>
      <c r="Q39" s="8" t="n">
        <v>-44</v>
      </c>
      <c r="S39" s="8" t="n">
        <v>-63</v>
      </c>
      <c r="U39" s="8" t="n">
        <v>-44</v>
      </c>
      <c r="V39" s="8" t="n">
        <v>-44</v>
      </c>
      <c r="X39" s="8" t="n">
        <v>-82</v>
      </c>
    </row>
    <row r="40" customFormat="false" ht="15" hidden="false" customHeight="false" outlineLevel="0" collapsed="false">
      <c r="A40" s="7" t="s">
        <v>597</v>
      </c>
      <c r="B40" s="8" t="s">
        <v>1706</v>
      </c>
      <c r="D40" s="8" t="n">
        <v>-14</v>
      </c>
      <c r="F40" s="7" t="n">
        <v>3</v>
      </c>
      <c r="G40" s="8" t="n">
        <v>-27</v>
      </c>
      <c r="N40" s="7" t="n">
        <v>-2</v>
      </c>
      <c r="R40" s="8" t="n">
        <v>-88</v>
      </c>
      <c r="T40" s="8" t="n">
        <v>-12</v>
      </c>
      <c r="W40" s="8" t="n">
        <v>-29</v>
      </c>
    </row>
    <row r="41" customFormat="false" ht="15" hidden="false" customHeight="false" outlineLevel="0" collapsed="false">
      <c r="A41" s="7" t="s">
        <v>608</v>
      </c>
      <c r="B41" s="9" t="s">
        <v>1704</v>
      </c>
      <c r="C41" s="8" t="n">
        <v>-89</v>
      </c>
      <c r="E41" s="8" t="n">
        <v>-79</v>
      </c>
      <c r="F41" s="8" t="n">
        <v>-83</v>
      </c>
      <c r="G41" s="8" t="n">
        <v>-47</v>
      </c>
      <c r="I41" s="8" t="n">
        <v>-22</v>
      </c>
      <c r="J41" s="8" t="n">
        <v>-51</v>
      </c>
      <c r="K41" s="8" t="n">
        <v>-84</v>
      </c>
      <c r="M41" s="8" t="n">
        <v>-85</v>
      </c>
      <c r="P41" s="8" t="n">
        <v>-70</v>
      </c>
      <c r="Q41" s="8" t="n">
        <v>-84</v>
      </c>
      <c r="S41" s="8" t="n">
        <v>-89</v>
      </c>
      <c r="V41" s="8" t="n">
        <v>-84</v>
      </c>
      <c r="X41" s="8" t="n">
        <v>-87</v>
      </c>
    </row>
    <row r="42" customFormat="false" ht="15" hidden="false" customHeight="false" outlineLevel="0" collapsed="false">
      <c r="A42" s="7" t="s">
        <v>663</v>
      </c>
      <c r="B42" s="8" t="s">
        <v>1706</v>
      </c>
      <c r="D42" s="8" t="n">
        <v>-80</v>
      </c>
      <c r="F42" s="8" t="n">
        <v>-63</v>
      </c>
      <c r="G42" s="8" t="n">
        <v>-88</v>
      </c>
      <c r="N42" s="8" t="n">
        <v>-68</v>
      </c>
      <c r="R42" s="8" t="n">
        <v>-84</v>
      </c>
      <c r="T42" s="8" t="n">
        <v>-78</v>
      </c>
      <c r="W42" s="8" t="n">
        <v>-56</v>
      </c>
    </row>
    <row r="43" customFormat="false" ht="15" hidden="false" customHeight="false" outlineLevel="0" collapsed="false">
      <c r="A43" s="7" t="s">
        <v>703</v>
      </c>
      <c r="B43" s="9" t="s">
        <v>1704</v>
      </c>
      <c r="G43" s="8" t="n">
        <v>-90</v>
      </c>
      <c r="H43" s="8" t="n">
        <v>-77</v>
      </c>
      <c r="S43" s="8" t="n">
        <v>-7</v>
      </c>
      <c r="X43" s="8" t="n">
        <v>-78</v>
      </c>
    </row>
    <row r="44" customFormat="false" ht="15" hidden="false" customHeight="false" outlineLevel="0" collapsed="false">
      <c r="A44" s="7" t="s">
        <v>797</v>
      </c>
      <c r="B44" s="8" t="s">
        <v>1706</v>
      </c>
      <c r="D44" s="8" t="n">
        <v>-55</v>
      </c>
      <c r="E44" s="8" t="n">
        <v>-31</v>
      </c>
      <c r="F44" s="8" t="n">
        <v>-57</v>
      </c>
      <c r="R44" s="8" t="n">
        <v>-43</v>
      </c>
      <c r="T44" s="8" t="n">
        <v>-76</v>
      </c>
    </row>
    <row r="45" customFormat="false" ht="15" hidden="false" customHeight="false" outlineLevel="0" collapsed="false">
      <c r="A45" s="7" t="s">
        <v>1333</v>
      </c>
      <c r="B45" s="9" t="s">
        <v>1704</v>
      </c>
      <c r="C45" s="8" t="n">
        <v>-75</v>
      </c>
      <c r="E45" s="8" t="n">
        <v>-26</v>
      </c>
      <c r="F45" s="8" t="n">
        <v>-81</v>
      </c>
      <c r="J45" s="8" t="n">
        <v>-24</v>
      </c>
      <c r="K45" s="8" t="n">
        <v>-73</v>
      </c>
      <c r="M45" s="8" t="n">
        <v>-37</v>
      </c>
      <c r="S45" s="8" t="n">
        <v>-75</v>
      </c>
      <c r="U45" s="8" t="n">
        <v>-84</v>
      </c>
      <c r="V45" s="8" t="n">
        <v>-40</v>
      </c>
    </row>
    <row r="46" customFormat="false" ht="15" hidden="false" customHeight="false" outlineLevel="0" collapsed="false">
      <c r="A46" s="7" t="s">
        <v>1367</v>
      </c>
      <c r="B46" s="8" t="s">
        <v>1706</v>
      </c>
      <c r="D46" s="7" t="n">
        <v>-3</v>
      </c>
      <c r="F46" s="7" t="n">
        <v>5</v>
      </c>
      <c r="N46" s="7" t="n">
        <v>1</v>
      </c>
      <c r="R46" s="7" t="n">
        <v>4</v>
      </c>
      <c r="T46" s="8" t="n">
        <v>-11</v>
      </c>
      <c r="W46" s="8" t="n">
        <v>-13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2026-07-28T14:02:30Z</dcterms:created>
  <dc:creator>openpyxl</dc:creator>
  <dc:description/>
  <dc:language>en-US</dc:language>
  <cp:lastModifiedBy/>
  <dcterms:modified xsi:type="dcterms:W3CDTF">2026-07-28T14:02:30Z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